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13-KTSX-BPGC\.NESTING-CNC-DDC\17-TCTN.DNS.26.004 ĐUONG CAO TOC VIN\04-VT-CTV-TT-004-BAI2-BO2\01-REV00\01-REV00\"/>
    </mc:Choice>
  </mc:AlternateContent>
  <xr:revisionPtr revIDLastSave="0" documentId="13_ncr:1_{2F223A9C-449E-44A6-A325-33218FD4CE95}" xr6:coauthVersionLast="47" xr6:coauthVersionMax="47" xr10:uidLastSave="{00000000-0000-0000-0000-000000000000}"/>
  <bookViews>
    <workbookView xWindow="-120" yWindow="-120" windowWidth="29040" windowHeight="15720" xr2:uid="{D918C1C5-D1FC-4FA3-9DD2-A65684434F75}"/>
  </bookViews>
  <sheets>
    <sheet name="List chi tiet" sheetId="1" r:id="rId1"/>
    <sheet name="Phieu vat tu" sheetId="2" r:id="rId2"/>
    <sheet name="Hao hut vat tu" sheetId="3" r:id="rId3"/>
    <sheet name="LSX-VT" sheetId="4" r:id="rId4"/>
    <sheet name="SAP" sheetId="5" r:id="rId5"/>
  </sheets>
  <definedNames>
    <definedName name="_xlnm._FilterDatabase" localSheetId="2" hidden="1">'Hao hut vat tu'!$A$12:$Q$350</definedName>
    <definedName name="_xlnm._FilterDatabase" localSheetId="0" hidden="1">'List chi tiet'!$A$5:$AC$2576</definedName>
    <definedName name="_xlnm._FilterDatabase" localSheetId="3" hidden="1">'LSX-VT'!$A$10:$AD$2581</definedName>
    <definedName name="_xlnm._FilterDatabase" localSheetId="1" hidden="1">'Phieu vat tu'!$A$4:$Z$342</definedName>
    <definedName name="_xlnm._FilterDatabase" localSheetId="4" hidden="1">SAP!$A$1:$Y$537</definedName>
    <definedName name="_xlnm.Print_Area" localSheetId="2">'Hao hut vat tu'!$A$1:$Q$350</definedName>
    <definedName name="_xlnm.Print_Area" localSheetId="0">'List chi tiet'!$A$1:$AC$2576</definedName>
    <definedName name="_xlnm.Print_Area" localSheetId="3">'LSX-VT'!$A$1:$AD$2581</definedName>
    <definedName name="_xlnm.Print_Area" localSheetId="1">'Phieu vat tu'!$A$1:$Z$342</definedName>
    <definedName name="_xlnm.Print_Area" localSheetId="4">SAP!$A$1:$Y$537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" i="4" l="1"/>
  <c r="I8" i="4"/>
  <c r="H8" i="4"/>
  <c r="K8" i="3"/>
  <c r="K7" i="3"/>
  <c r="K5" i="3"/>
  <c r="K4" i="3"/>
  <c r="K3" i="3"/>
  <c r="K2" i="3"/>
  <c r="U3" i="2"/>
  <c r="T3" i="2"/>
  <c r="S3" i="2"/>
  <c r="R3" i="2"/>
  <c r="Q3" i="2"/>
  <c r="P3" i="2"/>
  <c r="N3" i="2"/>
  <c r="M3" i="2"/>
  <c r="L4" i="1"/>
  <c r="J4" i="1"/>
  <c r="H4" i="1"/>
  <c r="G4" i="1"/>
  <c r="B4" i="1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P11" i="4"/>
  <c r="AB11" i="4"/>
  <c r="P12" i="4"/>
  <c r="AB12" i="4"/>
  <c r="P13" i="4"/>
  <c r="AB13" i="4"/>
  <c r="P14" i="4"/>
  <c r="AB14" i="4"/>
  <c r="P15" i="4"/>
  <c r="AB15" i="4"/>
  <c r="P16" i="4"/>
  <c r="AB16" i="4"/>
  <c r="P17" i="4"/>
  <c r="AB17" i="4"/>
  <c r="P18" i="4"/>
  <c r="AB18" i="4"/>
  <c r="P19" i="4"/>
  <c r="AB19" i="4"/>
  <c r="P20" i="4"/>
  <c r="AB20" i="4"/>
  <c r="P21" i="4"/>
  <c r="AB21" i="4"/>
  <c r="P22" i="4"/>
  <c r="AB22" i="4"/>
  <c r="P23" i="4"/>
  <c r="AB23" i="4"/>
  <c r="P24" i="4"/>
  <c r="AB24" i="4"/>
  <c r="P25" i="4"/>
  <c r="AB25" i="4"/>
  <c r="P26" i="4"/>
  <c r="AB26" i="4"/>
  <c r="P27" i="4"/>
  <c r="AB27" i="4"/>
  <c r="P28" i="4"/>
  <c r="AB28" i="4"/>
  <c r="P29" i="4"/>
  <c r="AB29" i="4"/>
  <c r="P30" i="4"/>
  <c r="AB30" i="4"/>
  <c r="P31" i="4"/>
  <c r="AB31" i="4"/>
  <c r="P32" i="4"/>
  <c r="AB32" i="4"/>
  <c r="P33" i="4"/>
  <c r="AB33" i="4"/>
  <c r="P34" i="4"/>
  <c r="AB34" i="4"/>
  <c r="P35" i="4"/>
  <c r="AB35" i="4"/>
  <c r="P36" i="4"/>
  <c r="AB36" i="4"/>
  <c r="P37" i="4"/>
  <c r="AB37" i="4"/>
  <c r="P38" i="4"/>
  <c r="AB38" i="4"/>
  <c r="P39" i="4"/>
  <c r="AB39" i="4"/>
  <c r="P40" i="4"/>
  <c r="AB40" i="4"/>
  <c r="P41" i="4"/>
  <c r="AB41" i="4"/>
  <c r="P42" i="4"/>
  <c r="AB42" i="4"/>
  <c r="P43" i="4"/>
  <c r="AB43" i="4"/>
  <c r="P44" i="4"/>
  <c r="AB44" i="4"/>
  <c r="P45" i="4"/>
  <c r="AB45" i="4"/>
  <c r="P46" i="4"/>
  <c r="AB46" i="4"/>
  <c r="P47" i="4"/>
  <c r="AB47" i="4"/>
  <c r="P48" i="4"/>
  <c r="AB48" i="4"/>
  <c r="P49" i="4"/>
  <c r="AB49" i="4"/>
  <c r="P50" i="4"/>
  <c r="AB50" i="4"/>
  <c r="P51" i="4"/>
  <c r="AB51" i="4"/>
  <c r="P52" i="4"/>
  <c r="AB52" i="4"/>
  <c r="P53" i="4"/>
  <c r="AB53" i="4"/>
  <c r="P54" i="4"/>
  <c r="AB54" i="4"/>
  <c r="P55" i="4"/>
  <c r="AB55" i="4"/>
  <c r="P56" i="4"/>
  <c r="AB56" i="4"/>
  <c r="P57" i="4"/>
  <c r="AB57" i="4"/>
  <c r="P58" i="4"/>
  <c r="AB58" i="4"/>
  <c r="P59" i="4"/>
  <c r="AB59" i="4"/>
  <c r="P60" i="4"/>
  <c r="AB60" i="4"/>
  <c r="P61" i="4"/>
  <c r="AB61" i="4"/>
  <c r="P62" i="4"/>
  <c r="AB62" i="4"/>
  <c r="P63" i="4"/>
  <c r="AB63" i="4"/>
  <c r="P64" i="4"/>
  <c r="AB64" i="4"/>
  <c r="P65" i="4"/>
  <c r="AB65" i="4"/>
  <c r="P66" i="4"/>
  <c r="AB66" i="4"/>
  <c r="P67" i="4"/>
  <c r="AB67" i="4"/>
  <c r="P68" i="4"/>
  <c r="AB68" i="4"/>
  <c r="P69" i="4"/>
  <c r="AB69" i="4"/>
  <c r="P70" i="4"/>
  <c r="AB70" i="4"/>
  <c r="P71" i="4"/>
  <c r="AB71" i="4"/>
  <c r="P72" i="4"/>
  <c r="AB72" i="4"/>
  <c r="P73" i="4"/>
  <c r="AB73" i="4"/>
  <c r="P74" i="4"/>
  <c r="AB74" i="4"/>
  <c r="P75" i="4"/>
  <c r="AB75" i="4"/>
  <c r="P76" i="4"/>
  <c r="AB76" i="4"/>
  <c r="P77" i="4"/>
  <c r="AB77" i="4"/>
  <c r="P78" i="4"/>
  <c r="AB78" i="4"/>
  <c r="P79" i="4"/>
  <c r="AB79" i="4"/>
  <c r="P80" i="4"/>
  <c r="AB80" i="4"/>
  <c r="P81" i="4"/>
  <c r="AB81" i="4"/>
  <c r="P82" i="4"/>
  <c r="AB82" i="4"/>
  <c r="P83" i="4"/>
  <c r="AB83" i="4"/>
  <c r="P84" i="4"/>
  <c r="AB84" i="4"/>
  <c r="P85" i="4"/>
  <c r="AB85" i="4"/>
  <c r="P86" i="4"/>
  <c r="AB86" i="4"/>
  <c r="P87" i="4"/>
  <c r="AB87" i="4"/>
  <c r="P88" i="4"/>
  <c r="AB88" i="4"/>
  <c r="P89" i="4"/>
  <c r="AB89" i="4"/>
  <c r="P90" i="4"/>
  <c r="AB90" i="4"/>
  <c r="P91" i="4"/>
  <c r="AB91" i="4"/>
  <c r="P92" i="4"/>
  <c r="AB92" i="4"/>
  <c r="P93" i="4"/>
  <c r="AB93" i="4"/>
  <c r="P94" i="4"/>
  <c r="AB94" i="4"/>
  <c r="P95" i="4"/>
  <c r="AB95" i="4"/>
  <c r="P96" i="4"/>
  <c r="AB96" i="4"/>
  <c r="P97" i="4"/>
  <c r="AB97" i="4"/>
  <c r="P98" i="4"/>
  <c r="AB98" i="4"/>
  <c r="P99" i="4"/>
  <c r="AB99" i="4"/>
  <c r="P100" i="4"/>
  <c r="AB100" i="4"/>
  <c r="P101" i="4"/>
  <c r="AB101" i="4"/>
  <c r="P102" i="4"/>
  <c r="AB102" i="4"/>
  <c r="P103" i="4"/>
  <c r="AB103" i="4"/>
  <c r="P104" i="4"/>
  <c r="AB104" i="4"/>
  <c r="P105" i="4"/>
  <c r="AB105" i="4"/>
  <c r="P106" i="4"/>
  <c r="AB106" i="4"/>
  <c r="P107" i="4"/>
  <c r="AB107" i="4"/>
  <c r="P108" i="4"/>
  <c r="AB108" i="4"/>
  <c r="P109" i="4"/>
  <c r="AB109" i="4"/>
  <c r="P110" i="4"/>
  <c r="AB110" i="4"/>
  <c r="P111" i="4"/>
  <c r="AB111" i="4"/>
  <c r="P112" i="4"/>
  <c r="AB112" i="4"/>
  <c r="P113" i="4"/>
  <c r="AB113" i="4"/>
  <c r="P114" i="4"/>
  <c r="AB114" i="4"/>
  <c r="P115" i="4"/>
  <c r="AB115" i="4"/>
  <c r="P116" i="4"/>
  <c r="AB116" i="4"/>
  <c r="P117" i="4"/>
  <c r="AB117" i="4"/>
  <c r="P118" i="4"/>
  <c r="AB118" i="4"/>
  <c r="P119" i="4"/>
  <c r="AB119" i="4"/>
  <c r="P120" i="4"/>
  <c r="AB120" i="4"/>
  <c r="P121" i="4"/>
  <c r="AB121" i="4"/>
  <c r="P122" i="4"/>
  <c r="AB122" i="4"/>
  <c r="P123" i="4"/>
  <c r="AB123" i="4"/>
  <c r="P124" i="4"/>
  <c r="AB124" i="4"/>
  <c r="P125" i="4"/>
  <c r="AB125" i="4"/>
  <c r="P126" i="4"/>
  <c r="AB126" i="4"/>
  <c r="P127" i="4"/>
  <c r="AB127" i="4"/>
  <c r="P128" i="4"/>
  <c r="AB128" i="4"/>
  <c r="P129" i="4"/>
  <c r="AB129" i="4"/>
  <c r="P130" i="4"/>
  <c r="AB130" i="4"/>
  <c r="P131" i="4"/>
  <c r="AB131" i="4"/>
  <c r="P132" i="4"/>
  <c r="AB132" i="4"/>
  <c r="P133" i="4"/>
  <c r="AB133" i="4"/>
  <c r="P134" i="4"/>
  <c r="AB134" i="4"/>
  <c r="P135" i="4"/>
  <c r="AB135" i="4"/>
  <c r="P136" i="4"/>
  <c r="AB136" i="4"/>
  <c r="P137" i="4"/>
  <c r="AB137" i="4"/>
  <c r="P138" i="4"/>
  <c r="AB138" i="4"/>
  <c r="P139" i="4"/>
  <c r="AB139" i="4"/>
  <c r="P140" i="4"/>
  <c r="AB140" i="4"/>
  <c r="P141" i="4"/>
  <c r="AB141" i="4"/>
  <c r="P142" i="4"/>
  <c r="AB142" i="4"/>
  <c r="P143" i="4"/>
  <c r="AB143" i="4"/>
  <c r="P144" i="4"/>
  <c r="AB144" i="4"/>
  <c r="P145" i="4"/>
  <c r="AB145" i="4"/>
  <c r="P146" i="4"/>
  <c r="AB146" i="4"/>
  <c r="P147" i="4"/>
  <c r="AB147" i="4"/>
  <c r="P148" i="4"/>
  <c r="AB148" i="4"/>
  <c r="P149" i="4"/>
  <c r="AB149" i="4"/>
  <c r="P150" i="4"/>
  <c r="AB150" i="4"/>
  <c r="P151" i="4"/>
  <c r="AB151" i="4"/>
  <c r="P152" i="4"/>
  <c r="AB152" i="4"/>
  <c r="P153" i="4"/>
  <c r="AB153" i="4"/>
  <c r="P154" i="4"/>
  <c r="AB154" i="4"/>
  <c r="P155" i="4"/>
  <c r="AB155" i="4"/>
  <c r="P156" i="4"/>
  <c r="AB156" i="4"/>
  <c r="P157" i="4"/>
  <c r="AB157" i="4"/>
  <c r="P158" i="4"/>
  <c r="AB158" i="4"/>
  <c r="P159" i="4"/>
  <c r="AB159" i="4"/>
  <c r="P160" i="4"/>
  <c r="AB160" i="4"/>
  <c r="P161" i="4"/>
  <c r="AB161" i="4"/>
  <c r="P162" i="4"/>
  <c r="AB162" i="4"/>
  <c r="P163" i="4"/>
  <c r="AB163" i="4"/>
  <c r="P164" i="4"/>
  <c r="AB164" i="4"/>
  <c r="P165" i="4"/>
  <c r="AB165" i="4"/>
  <c r="P166" i="4"/>
  <c r="AB166" i="4"/>
  <c r="P167" i="4"/>
  <c r="AB167" i="4"/>
  <c r="P168" i="4"/>
  <c r="AB168" i="4"/>
  <c r="P169" i="4"/>
  <c r="AB169" i="4"/>
  <c r="P170" i="4"/>
  <c r="AB170" i="4"/>
  <c r="P171" i="4"/>
  <c r="AB171" i="4"/>
  <c r="P172" i="4"/>
  <c r="AB172" i="4"/>
  <c r="P173" i="4"/>
  <c r="AB173" i="4"/>
  <c r="P174" i="4"/>
  <c r="AB174" i="4"/>
  <c r="P175" i="4"/>
  <c r="AB175" i="4"/>
  <c r="P176" i="4"/>
  <c r="AB176" i="4"/>
  <c r="P177" i="4"/>
  <c r="AB177" i="4"/>
  <c r="P178" i="4"/>
  <c r="AB178" i="4"/>
  <c r="P179" i="4"/>
  <c r="AB179" i="4"/>
  <c r="P180" i="4"/>
  <c r="AB180" i="4"/>
  <c r="P181" i="4"/>
  <c r="AB181" i="4"/>
  <c r="P182" i="4"/>
  <c r="AB182" i="4"/>
  <c r="P183" i="4"/>
  <c r="AB183" i="4"/>
  <c r="P184" i="4"/>
  <c r="AB184" i="4"/>
  <c r="P185" i="4"/>
  <c r="AB185" i="4"/>
  <c r="P186" i="4"/>
  <c r="AB186" i="4"/>
  <c r="P187" i="4"/>
  <c r="AB187" i="4"/>
  <c r="P188" i="4"/>
  <c r="AB188" i="4"/>
  <c r="P189" i="4"/>
  <c r="AB189" i="4"/>
  <c r="P190" i="4"/>
  <c r="AB190" i="4"/>
  <c r="P191" i="4"/>
  <c r="AB191" i="4"/>
  <c r="P192" i="4"/>
  <c r="AB192" i="4"/>
  <c r="P193" i="4"/>
  <c r="AB193" i="4"/>
  <c r="P194" i="4"/>
  <c r="AB194" i="4"/>
  <c r="P195" i="4"/>
  <c r="AB195" i="4"/>
  <c r="P196" i="4"/>
  <c r="AB196" i="4"/>
  <c r="P197" i="4"/>
  <c r="AB197" i="4"/>
  <c r="P198" i="4"/>
  <c r="AB198" i="4"/>
  <c r="P199" i="4"/>
  <c r="AB199" i="4"/>
  <c r="P200" i="4"/>
  <c r="AB200" i="4"/>
  <c r="P201" i="4"/>
  <c r="AB201" i="4"/>
  <c r="P202" i="4"/>
  <c r="AB202" i="4"/>
  <c r="P203" i="4"/>
  <c r="AB203" i="4"/>
  <c r="P204" i="4"/>
  <c r="AB204" i="4"/>
  <c r="P205" i="4"/>
  <c r="AB205" i="4"/>
  <c r="P206" i="4"/>
  <c r="AB206" i="4"/>
  <c r="P207" i="4"/>
  <c r="AB207" i="4"/>
  <c r="P208" i="4"/>
  <c r="AB208" i="4"/>
  <c r="P209" i="4"/>
  <c r="AB209" i="4"/>
  <c r="P210" i="4"/>
  <c r="AB210" i="4"/>
  <c r="P211" i="4"/>
  <c r="AB211" i="4"/>
  <c r="P212" i="4"/>
  <c r="AB212" i="4"/>
  <c r="P213" i="4"/>
  <c r="AB213" i="4"/>
  <c r="P214" i="4"/>
  <c r="AB214" i="4"/>
  <c r="P215" i="4"/>
  <c r="AB215" i="4"/>
  <c r="P216" i="4"/>
  <c r="AB216" i="4"/>
  <c r="P217" i="4"/>
  <c r="AB217" i="4"/>
  <c r="P218" i="4"/>
  <c r="AB218" i="4"/>
  <c r="P219" i="4"/>
  <c r="AB219" i="4"/>
  <c r="P220" i="4"/>
  <c r="AB220" i="4"/>
  <c r="P221" i="4"/>
  <c r="AB221" i="4"/>
  <c r="P222" i="4"/>
  <c r="AB222" i="4"/>
  <c r="P223" i="4"/>
  <c r="AB223" i="4"/>
  <c r="P224" i="4"/>
  <c r="AB224" i="4"/>
  <c r="P225" i="4"/>
  <c r="AB225" i="4"/>
  <c r="P226" i="4"/>
  <c r="AB226" i="4"/>
  <c r="P227" i="4"/>
  <c r="AB227" i="4"/>
  <c r="P228" i="4"/>
  <c r="AB228" i="4"/>
  <c r="P229" i="4"/>
  <c r="AB229" i="4"/>
  <c r="P230" i="4"/>
  <c r="AB230" i="4"/>
  <c r="P231" i="4"/>
  <c r="AB231" i="4"/>
  <c r="P232" i="4"/>
  <c r="AB232" i="4"/>
  <c r="P233" i="4"/>
  <c r="AB233" i="4"/>
  <c r="P234" i="4"/>
  <c r="AB234" i="4"/>
  <c r="P235" i="4"/>
  <c r="AB235" i="4"/>
  <c r="P236" i="4"/>
  <c r="AB236" i="4"/>
  <c r="P237" i="4"/>
  <c r="AB237" i="4"/>
  <c r="P238" i="4"/>
  <c r="AB238" i="4"/>
  <c r="P239" i="4"/>
  <c r="AB239" i="4"/>
  <c r="P240" i="4"/>
  <c r="AB240" i="4"/>
  <c r="P241" i="4"/>
  <c r="AB241" i="4"/>
  <c r="P242" i="4"/>
  <c r="AB242" i="4"/>
  <c r="P243" i="4"/>
  <c r="AB243" i="4"/>
  <c r="P244" i="4"/>
  <c r="AB244" i="4"/>
  <c r="P245" i="4"/>
  <c r="AB245" i="4"/>
  <c r="P246" i="4"/>
  <c r="AB246" i="4"/>
  <c r="P247" i="4"/>
  <c r="AB247" i="4"/>
  <c r="P248" i="4"/>
  <c r="AB248" i="4"/>
  <c r="P249" i="4"/>
  <c r="AB249" i="4"/>
  <c r="P250" i="4"/>
  <c r="AB250" i="4"/>
  <c r="P251" i="4"/>
  <c r="AB251" i="4"/>
  <c r="P252" i="4"/>
  <c r="AB252" i="4"/>
  <c r="P253" i="4"/>
  <c r="AB253" i="4"/>
  <c r="P254" i="4"/>
  <c r="AB254" i="4"/>
  <c r="P255" i="4"/>
  <c r="AB255" i="4"/>
  <c r="P256" i="4"/>
  <c r="AB256" i="4"/>
  <c r="P257" i="4"/>
  <c r="AB257" i="4"/>
  <c r="P258" i="4"/>
  <c r="AB258" i="4"/>
  <c r="P259" i="4"/>
  <c r="AB259" i="4"/>
  <c r="P260" i="4"/>
  <c r="AB260" i="4"/>
  <c r="P261" i="4"/>
  <c r="AB261" i="4"/>
  <c r="P262" i="4"/>
  <c r="AB262" i="4"/>
  <c r="P263" i="4"/>
  <c r="AB263" i="4"/>
  <c r="P264" i="4"/>
  <c r="AB264" i="4"/>
  <c r="P265" i="4"/>
  <c r="AB265" i="4"/>
  <c r="P266" i="4"/>
  <c r="AB266" i="4"/>
  <c r="P267" i="4"/>
  <c r="AB267" i="4"/>
  <c r="P268" i="4"/>
  <c r="AB268" i="4"/>
  <c r="P269" i="4"/>
  <c r="AB269" i="4"/>
  <c r="P270" i="4"/>
  <c r="AB270" i="4"/>
  <c r="P271" i="4"/>
  <c r="AB271" i="4"/>
  <c r="P272" i="4"/>
  <c r="AB272" i="4"/>
  <c r="P273" i="4"/>
  <c r="AB273" i="4"/>
  <c r="P274" i="4"/>
  <c r="AB274" i="4"/>
  <c r="P275" i="4"/>
  <c r="AB275" i="4"/>
  <c r="P276" i="4"/>
  <c r="AB276" i="4"/>
  <c r="P277" i="4"/>
  <c r="AB277" i="4"/>
  <c r="P278" i="4"/>
  <c r="AB278" i="4"/>
  <c r="P279" i="4"/>
  <c r="AB279" i="4"/>
  <c r="P280" i="4"/>
  <c r="AB280" i="4"/>
  <c r="P281" i="4"/>
  <c r="AB281" i="4"/>
  <c r="P282" i="4"/>
  <c r="AB282" i="4"/>
  <c r="P283" i="4"/>
  <c r="AB283" i="4"/>
  <c r="P284" i="4"/>
  <c r="AB284" i="4"/>
  <c r="P285" i="4"/>
  <c r="AB285" i="4"/>
  <c r="P286" i="4"/>
  <c r="AB286" i="4"/>
  <c r="P287" i="4"/>
  <c r="AB287" i="4"/>
  <c r="P288" i="4"/>
  <c r="AB288" i="4"/>
  <c r="P289" i="4"/>
  <c r="AB289" i="4"/>
  <c r="P290" i="4"/>
  <c r="AB290" i="4"/>
  <c r="P291" i="4"/>
  <c r="AB291" i="4"/>
  <c r="P292" i="4"/>
  <c r="AB292" i="4"/>
  <c r="P293" i="4"/>
  <c r="AB293" i="4"/>
  <c r="P294" i="4"/>
  <c r="AB294" i="4"/>
  <c r="P295" i="4"/>
  <c r="AB295" i="4"/>
  <c r="P296" i="4"/>
  <c r="AB296" i="4"/>
  <c r="P297" i="4"/>
  <c r="AB297" i="4"/>
  <c r="P298" i="4"/>
  <c r="AB298" i="4"/>
  <c r="P299" i="4"/>
  <c r="AB299" i="4"/>
  <c r="P300" i="4"/>
  <c r="AB300" i="4"/>
  <c r="P301" i="4"/>
  <c r="AB301" i="4"/>
  <c r="P302" i="4"/>
  <c r="AB302" i="4"/>
  <c r="P303" i="4"/>
  <c r="AB303" i="4"/>
  <c r="P304" i="4"/>
  <c r="AB304" i="4"/>
  <c r="P305" i="4"/>
  <c r="AB305" i="4"/>
  <c r="P306" i="4"/>
  <c r="AB306" i="4"/>
  <c r="P307" i="4"/>
  <c r="AB307" i="4"/>
  <c r="P308" i="4"/>
  <c r="AB308" i="4"/>
  <c r="P309" i="4"/>
  <c r="AB309" i="4"/>
  <c r="P310" i="4"/>
  <c r="AB310" i="4"/>
  <c r="P311" i="4"/>
  <c r="AB311" i="4"/>
  <c r="P312" i="4"/>
  <c r="AB312" i="4"/>
  <c r="P313" i="4"/>
  <c r="AB313" i="4"/>
  <c r="P314" i="4"/>
  <c r="AB314" i="4"/>
  <c r="P315" i="4"/>
  <c r="AB315" i="4"/>
  <c r="P316" i="4"/>
  <c r="AB316" i="4"/>
  <c r="P317" i="4"/>
  <c r="AB317" i="4"/>
  <c r="P318" i="4"/>
  <c r="AB318" i="4"/>
  <c r="P319" i="4"/>
  <c r="AB319" i="4"/>
  <c r="P320" i="4"/>
  <c r="AB320" i="4"/>
  <c r="P321" i="4"/>
  <c r="AB321" i="4"/>
  <c r="P322" i="4"/>
  <c r="AB322" i="4"/>
  <c r="P323" i="4"/>
  <c r="AB323" i="4"/>
  <c r="P324" i="4"/>
  <c r="AB324" i="4"/>
  <c r="P325" i="4"/>
  <c r="AB325" i="4"/>
  <c r="P326" i="4"/>
  <c r="AB326" i="4"/>
  <c r="P327" i="4"/>
  <c r="AB327" i="4"/>
  <c r="P328" i="4"/>
  <c r="AB328" i="4"/>
  <c r="P329" i="4"/>
  <c r="AB329" i="4"/>
  <c r="P330" i="4"/>
  <c r="AB330" i="4"/>
  <c r="P331" i="4"/>
  <c r="AB331" i="4"/>
  <c r="P332" i="4"/>
  <c r="AB332" i="4"/>
  <c r="P333" i="4"/>
  <c r="AB333" i="4"/>
  <c r="P334" i="4"/>
  <c r="AB334" i="4"/>
  <c r="P335" i="4"/>
  <c r="AB335" i="4"/>
  <c r="P336" i="4"/>
  <c r="AB336" i="4"/>
  <c r="P337" i="4"/>
  <c r="AB337" i="4"/>
  <c r="P338" i="4"/>
  <c r="AB338" i="4"/>
  <c r="P339" i="4"/>
  <c r="AB339" i="4"/>
  <c r="P340" i="4"/>
  <c r="AB340" i="4"/>
  <c r="P341" i="4"/>
  <c r="AB341" i="4"/>
  <c r="P342" i="4"/>
  <c r="AB342" i="4"/>
  <c r="P343" i="4"/>
  <c r="AB343" i="4"/>
  <c r="P344" i="4"/>
  <c r="AB344" i="4"/>
  <c r="P345" i="4"/>
  <c r="AB345" i="4"/>
  <c r="P346" i="4"/>
  <c r="AB346" i="4"/>
  <c r="P347" i="4"/>
  <c r="AB347" i="4"/>
  <c r="P348" i="4"/>
  <c r="AB348" i="4"/>
  <c r="P349" i="4"/>
  <c r="AB349" i="4"/>
  <c r="P350" i="4"/>
  <c r="AB350" i="4"/>
  <c r="P351" i="4"/>
  <c r="AB351" i="4"/>
  <c r="P352" i="4"/>
  <c r="AB352" i="4"/>
  <c r="P353" i="4"/>
  <c r="AB353" i="4"/>
  <c r="P354" i="4"/>
  <c r="AB354" i="4"/>
  <c r="P355" i="4"/>
  <c r="AB355" i="4"/>
  <c r="P356" i="4"/>
  <c r="AB356" i="4"/>
  <c r="P357" i="4"/>
  <c r="AB357" i="4"/>
  <c r="P358" i="4"/>
  <c r="AB358" i="4"/>
  <c r="P359" i="4"/>
  <c r="AB359" i="4"/>
  <c r="P360" i="4"/>
  <c r="AB360" i="4"/>
  <c r="P361" i="4"/>
  <c r="AB361" i="4"/>
  <c r="P362" i="4"/>
  <c r="AB362" i="4"/>
  <c r="P363" i="4"/>
  <c r="AB363" i="4"/>
  <c r="P364" i="4"/>
  <c r="AB364" i="4"/>
  <c r="P365" i="4"/>
  <c r="AB365" i="4"/>
  <c r="P366" i="4"/>
  <c r="AB366" i="4"/>
  <c r="P367" i="4"/>
  <c r="AB367" i="4"/>
  <c r="P368" i="4"/>
  <c r="AB368" i="4"/>
  <c r="P369" i="4"/>
  <c r="AB369" i="4"/>
  <c r="P370" i="4"/>
  <c r="AB370" i="4"/>
  <c r="P371" i="4"/>
  <c r="AB371" i="4"/>
  <c r="P372" i="4"/>
  <c r="AB372" i="4"/>
  <c r="P373" i="4"/>
  <c r="AB373" i="4"/>
  <c r="P374" i="4"/>
  <c r="AB374" i="4"/>
  <c r="P375" i="4"/>
  <c r="AB375" i="4"/>
  <c r="P376" i="4"/>
  <c r="AB376" i="4"/>
  <c r="P377" i="4"/>
  <c r="AB377" i="4"/>
  <c r="P378" i="4"/>
  <c r="AB378" i="4"/>
  <c r="P379" i="4"/>
  <c r="AB379" i="4"/>
  <c r="P380" i="4"/>
  <c r="AB380" i="4"/>
  <c r="P381" i="4"/>
  <c r="AB381" i="4"/>
  <c r="P382" i="4"/>
  <c r="AB382" i="4"/>
  <c r="P383" i="4"/>
  <c r="AB383" i="4"/>
  <c r="P384" i="4"/>
  <c r="AB384" i="4"/>
  <c r="P385" i="4"/>
  <c r="AB385" i="4"/>
  <c r="P386" i="4"/>
  <c r="AB386" i="4"/>
  <c r="P387" i="4"/>
  <c r="AB387" i="4"/>
  <c r="P388" i="4"/>
  <c r="AB388" i="4"/>
  <c r="P389" i="4"/>
  <c r="AB389" i="4"/>
  <c r="P390" i="4"/>
  <c r="AB390" i="4"/>
  <c r="P391" i="4"/>
  <c r="AB391" i="4"/>
  <c r="P392" i="4"/>
  <c r="AB392" i="4"/>
  <c r="P393" i="4"/>
  <c r="AB393" i="4"/>
  <c r="P394" i="4"/>
  <c r="AB394" i="4"/>
  <c r="P395" i="4"/>
  <c r="AB395" i="4"/>
  <c r="P396" i="4"/>
  <c r="AB396" i="4"/>
  <c r="P397" i="4"/>
  <c r="AB397" i="4"/>
  <c r="P398" i="4"/>
  <c r="AB398" i="4"/>
  <c r="P399" i="4"/>
  <c r="AB399" i="4"/>
  <c r="P400" i="4"/>
  <c r="AB400" i="4"/>
  <c r="P401" i="4"/>
  <c r="AB401" i="4"/>
  <c r="P402" i="4"/>
  <c r="AB402" i="4"/>
  <c r="P403" i="4"/>
  <c r="AB403" i="4"/>
  <c r="P404" i="4"/>
  <c r="AB404" i="4"/>
  <c r="P405" i="4"/>
  <c r="AB405" i="4"/>
  <c r="P406" i="4"/>
  <c r="AB406" i="4"/>
  <c r="P407" i="4"/>
  <c r="AB407" i="4"/>
  <c r="P408" i="4"/>
  <c r="AB408" i="4"/>
  <c r="P409" i="4"/>
  <c r="AB409" i="4"/>
  <c r="P410" i="4"/>
  <c r="AB410" i="4"/>
  <c r="P411" i="4"/>
  <c r="AB411" i="4"/>
  <c r="P412" i="4"/>
  <c r="AB412" i="4"/>
  <c r="P413" i="4"/>
  <c r="AB413" i="4"/>
  <c r="P414" i="4"/>
  <c r="AB414" i="4"/>
  <c r="P415" i="4"/>
  <c r="AB415" i="4"/>
  <c r="P416" i="4"/>
  <c r="AB416" i="4"/>
  <c r="P417" i="4"/>
  <c r="AB417" i="4"/>
  <c r="P418" i="4"/>
  <c r="AB418" i="4"/>
  <c r="P419" i="4"/>
  <c r="AB419" i="4"/>
  <c r="P420" i="4"/>
  <c r="AB420" i="4"/>
  <c r="P421" i="4"/>
  <c r="AB421" i="4"/>
  <c r="P422" i="4"/>
  <c r="AB422" i="4"/>
  <c r="P423" i="4"/>
  <c r="AB423" i="4"/>
  <c r="P424" i="4"/>
  <c r="AB424" i="4"/>
  <c r="P425" i="4"/>
  <c r="AB425" i="4"/>
  <c r="P426" i="4"/>
  <c r="AB426" i="4"/>
  <c r="P427" i="4"/>
  <c r="AB427" i="4"/>
  <c r="P428" i="4"/>
  <c r="AB428" i="4"/>
  <c r="P429" i="4"/>
  <c r="AB429" i="4"/>
  <c r="P430" i="4"/>
  <c r="AB430" i="4"/>
  <c r="P431" i="4"/>
  <c r="AB431" i="4"/>
  <c r="P432" i="4"/>
  <c r="AB432" i="4"/>
  <c r="P433" i="4"/>
  <c r="AB433" i="4"/>
  <c r="P434" i="4"/>
  <c r="AB434" i="4"/>
  <c r="P435" i="4"/>
  <c r="AB435" i="4"/>
  <c r="P436" i="4"/>
  <c r="AB436" i="4"/>
  <c r="P437" i="4"/>
  <c r="AB437" i="4"/>
  <c r="P438" i="4"/>
  <c r="AB438" i="4"/>
  <c r="P439" i="4"/>
  <c r="AB439" i="4"/>
  <c r="P440" i="4"/>
  <c r="AB440" i="4"/>
  <c r="P441" i="4"/>
  <c r="AB441" i="4"/>
  <c r="P442" i="4"/>
  <c r="AB442" i="4"/>
  <c r="P443" i="4"/>
  <c r="AB443" i="4"/>
  <c r="P444" i="4"/>
  <c r="AB444" i="4"/>
  <c r="P445" i="4"/>
  <c r="AB445" i="4"/>
  <c r="P446" i="4"/>
  <c r="AB446" i="4"/>
  <c r="P447" i="4"/>
  <c r="AB447" i="4"/>
  <c r="P448" i="4"/>
  <c r="AB448" i="4"/>
  <c r="P449" i="4"/>
  <c r="AB449" i="4"/>
  <c r="P450" i="4"/>
  <c r="AB450" i="4"/>
  <c r="P451" i="4"/>
  <c r="AB451" i="4"/>
  <c r="P452" i="4"/>
  <c r="AB452" i="4"/>
  <c r="P453" i="4"/>
  <c r="AB453" i="4"/>
  <c r="P454" i="4"/>
  <c r="AB454" i="4"/>
  <c r="P455" i="4"/>
  <c r="AB455" i="4"/>
  <c r="P456" i="4"/>
  <c r="AB456" i="4"/>
  <c r="P457" i="4"/>
  <c r="AB457" i="4"/>
  <c r="P458" i="4"/>
  <c r="AB458" i="4"/>
  <c r="P459" i="4"/>
  <c r="AB459" i="4"/>
  <c r="P460" i="4"/>
  <c r="AB460" i="4"/>
  <c r="P461" i="4"/>
  <c r="AB461" i="4"/>
  <c r="P462" i="4"/>
  <c r="AB462" i="4"/>
  <c r="P463" i="4"/>
  <c r="AB463" i="4"/>
  <c r="P464" i="4"/>
  <c r="AB464" i="4"/>
  <c r="P465" i="4"/>
  <c r="AB465" i="4"/>
  <c r="P466" i="4"/>
  <c r="AB466" i="4"/>
  <c r="P467" i="4"/>
  <c r="AB467" i="4"/>
  <c r="P468" i="4"/>
  <c r="AB468" i="4"/>
  <c r="P469" i="4"/>
  <c r="AB469" i="4"/>
  <c r="P470" i="4"/>
  <c r="AB470" i="4"/>
  <c r="P471" i="4"/>
  <c r="AB471" i="4"/>
  <c r="P472" i="4"/>
  <c r="AB472" i="4"/>
  <c r="P473" i="4"/>
  <c r="AB473" i="4"/>
  <c r="P474" i="4"/>
  <c r="AB474" i="4"/>
  <c r="P475" i="4"/>
  <c r="AB475" i="4"/>
  <c r="P476" i="4"/>
  <c r="AB476" i="4"/>
  <c r="P477" i="4"/>
  <c r="AB477" i="4"/>
  <c r="P478" i="4"/>
  <c r="AB478" i="4"/>
  <c r="P479" i="4"/>
  <c r="AB479" i="4"/>
  <c r="P480" i="4"/>
  <c r="AB480" i="4"/>
  <c r="P481" i="4"/>
  <c r="AB481" i="4"/>
  <c r="P482" i="4"/>
  <c r="AB482" i="4"/>
  <c r="P483" i="4"/>
  <c r="AB483" i="4"/>
  <c r="P484" i="4"/>
  <c r="AB484" i="4"/>
  <c r="P485" i="4"/>
  <c r="AB485" i="4"/>
  <c r="P486" i="4"/>
  <c r="AB486" i="4"/>
  <c r="P487" i="4"/>
  <c r="AB487" i="4"/>
  <c r="P488" i="4"/>
  <c r="AB488" i="4"/>
  <c r="P489" i="4"/>
  <c r="AB489" i="4"/>
  <c r="P490" i="4"/>
  <c r="AB490" i="4"/>
  <c r="P491" i="4"/>
  <c r="AB491" i="4"/>
  <c r="P492" i="4"/>
  <c r="AB492" i="4"/>
  <c r="P493" i="4"/>
  <c r="AB493" i="4"/>
  <c r="P494" i="4"/>
  <c r="AB494" i="4"/>
  <c r="P495" i="4"/>
  <c r="AB495" i="4"/>
  <c r="P496" i="4"/>
  <c r="AB496" i="4"/>
  <c r="P497" i="4"/>
  <c r="AB497" i="4"/>
  <c r="P498" i="4"/>
  <c r="AB498" i="4"/>
  <c r="P499" i="4"/>
  <c r="AB499" i="4"/>
  <c r="P500" i="4"/>
  <c r="AB500" i="4"/>
  <c r="P501" i="4"/>
  <c r="AB501" i="4"/>
  <c r="P502" i="4"/>
  <c r="AB502" i="4"/>
  <c r="P503" i="4"/>
  <c r="AB503" i="4"/>
  <c r="P504" i="4"/>
  <c r="AB504" i="4"/>
  <c r="P505" i="4"/>
  <c r="AB505" i="4"/>
  <c r="P506" i="4"/>
  <c r="AB506" i="4"/>
  <c r="P507" i="4"/>
  <c r="AB507" i="4"/>
  <c r="P508" i="4"/>
  <c r="AB508" i="4"/>
  <c r="P509" i="4"/>
  <c r="AB509" i="4"/>
  <c r="P510" i="4"/>
  <c r="AB510" i="4"/>
  <c r="P511" i="4"/>
  <c r="AB511" i="4"/>
  <c r="P512" i="4"/>
  <c r="AB512" i="4"/>
  <c r="P513" i="4"/>
  <c r="AB513" i="4"/>
  <c r="P514" i="4"/>
  <c r="AB514" i="4"/>
  <c r="P515" i="4"/>
  <c r="AB515" i="4"/>
  <c r="P516" i="4"/>
  <c r="AB516" i="4"/>
  <c r="C5" i="4"/>
  <c r="C3" i="4"/>
  <c r="H13" i="3"/>
  <c r="I13" i="3"/>
  <c r="H14" i="3"/>
  <c r="I14" i="3"/>
  <c r="J14" i="3" s="1"/>
  <c r="H15" i="3"/>
  <c r="I15" i="3"/>
  <c r="J15" i="3" s="1"/>
  <c r="H16" i="3"/>
  <c r="I16" i="3"/>
  <c r="J16" i="3" s="1"/>
  <c r="H17" i="3"/>
  <c r="I17" i="3"/>
  <c r="J17" i="3" s="1"/>
  <c r="L17" i="3" s="1"/>
  <c r="H18" i="3"/>
  <c r="I18" i="3"/>
  <c r="J18" i="3" s="1"/>
  <c r="H19" i="3"/>
  <c r="I19" i="3"/>
  <c r="J19" i="3" s="1"/>
  <c r="H20" i="3"/>
  <c r="I20" i="3"/>
  <c r="J20" i="3" s="1"/>
  <c r="H21" i="3"/>
  <c r="I21" i="3"/>
  <c r="J21" i="3"/>
  <c r="H22" i="3"/>
  <c r="I22" i="3"/>
  <c r="J22" i="3" s="1"/>
  <c r="H23" i="3"/>
  <c r="I23" i="3"/>
  <c r="J23" i="3" s="1"/>
  <c r="H24" i="3"/>
  <c r="I24" i="3"/>
  <c r="J24" i="3"/>
  <c r="L24" i="3" s="1"/>
  <c r="H25" i="3"/>
  <c r="I25" i="3"/>
  <c r="J25" i="3" s="1"/>
  <c r="H26" i="3"/>
  <c r="I26" i="3"/>
  <c r="J26" i="3" s="1"/>
  <c r="H27" i="3"/>
  <c r="I27" i="3"/>
  <c r="J27" i="3" s="1"/>
  <c r="H28" i="3"/>
  <c r="I28" i="3"/>
  <c r="J28" i="3" s="1"/>
  <c r="H29" i="3"/>
  <c r="I29" i="3"/>
  <c r="J29" i="3" s="1"/>
  <c r="H30" i="3"/>
  <c r="I30" i="3"/>
  <c r="J30" i="3" s="1"/>
  <c r="H31" i="3"/>
  <c r="I31" i="3"/>
  <c r="J31" i="3" s="1"/>
  <c r="L31" i="3" s="1"/>
  <c r="H32" i="3"/>
  <c r="I32" i="3"/>
  <c r="J32" i="3" s="1"/>
  <c r="H33" i="3"/>
  <c r="I33" i="3"/>
  <c r="J33" i="3" s="1"/>
  <c r="H34" i="3"/>
  <c r="I34" i="3"/>
  <c r="J34" i="3" s="1"/>
  <c r="H35" i="3"/>
  <c r="I35" i="3"/>
  <c r="J35" i="3" s="1"/>
  <c r="H36" i="3"/>
  <c r="I36" i="3"/>
  <c r="J36" i="3" s="1"/>
  <c r="H37" i="3"/>
  <c r="I37" i="3"/>
  <c r="J37" i="3"/>
  <c r="H38" i="3"/>
  <c r="I38" i="3"/>
  <c r="J38" i="3" s="1"/>
  <c r="L38" i="3" s="1"/>
  <c r="H39" i="3"/>
  <c r="I39" i="3"/>
  <c r="J39" i="3" s="1"/>
  <c r="H40" i="3"/>
  <c r="I40" i="3"/>
  <c r="J40" i="3" s="1"/>
  <c r="H41" i="3"/>
  <c r="I41" i="3"/>
  <c r="J41" i="3" s="1"/>
  <c r="H42" i="3"/>
  <c r="I42" i="3"/>
  <c r="J42" i="3" s="1"/>
  <c r="H43" i="3"/>
  <c r="I43" i="3"/>
  <c r="J43" i="3" s="1"/>
  <c r="H44" i="3"/>
  <c r="I44" i="3"/>
  <c r="J44" i="3" s="1"/>
  <c r="H45" i="3"/>
  <c r="I45" i="3"/>
  <c r="J45" i="3" s="1"/>
  <c r="L45" i="3" s="1"/>
  <c r="H46" i="3"/>
  <c r="I46" i="3"/>
  <c r="J46" i="3" s="1"/>
  <c r="H47" i="3"/>
  <c r="I47" i="3"/>
  <c r="J47" i="3" s="1"/>
  <c r="H48" i="3"/>
  <c r="I48" i="3"/>
  <c r="J48" i="3" s="1"/>
  <c r="H49" i="3"/>
  <c r="I49" i="3"/>
  <c r="J49" i="3" s="1"/>
  <c r="H50" i="3"/>
  <c r="I50" i="3"/>
  <c r="J50" i="3" s="1"/>
  <c r="H51" i="3"/>
  <c r="I51" i="3"/>
  <c r="J51" i="3" s="1"/>
  <c r="H52" i="3"/>
  <c r="I52" i="3"/>
  <c r="J52" i="3" s="1"/>
  <c r="L52" i="3" s="1"/>
  <c r="H53" i="3"/>
  <c r="I53" i="3"/>
  <c r="J53" i="3" s="1"/>
  <c r="H54" i="3"/>
  <c r="I54" i="3"/>
  <c r="J54" i="3" s="1"/>
  <c r="H55" i="3"/>
  <c r="I55" i="3"/>
  <c r="J55" i="3" s="1"/>
  <c r="H56" i="3"/>
  <c r="I56" i="3"/>
  <c r="J56" i="3" s="1"/>
  <c r="H57" i="3"/>
  <c r="I57" i="3"/>
  <c r="J57" i="3" s="1"/>
  <c r="H58" i="3"/>
  <c r="I58" i="3"/>
  <c r="J58" i="3" s="1"/>
  <c r="H59" i="3"/>
  <c r="I59" i="3"/>
  <c r="J59" i="3" s="1"/>
  <c r="L59" i="3" s="1"/>
  <c r="H60" i="3"/>
  <c r="I60" i="3"/>
  <c r="J60" i="3" s="1"/>
  <c r="H61" i="3"/>
  <c r="I61" i="3"/>
  <c r="J61" i="3" s="1"/>
  <c r="H62" i="3"/>
  <c r="I62" i="3"/>
  <c r="J62" i="3" s="1"/>
  <c r="H63" i="3"/>
  <c r="I63" i="3"/>
  <c r="J63" i="3" s="1"/>
  <c r="H64" i="3"/>
  <c r="I64" i="3"/>
  <c r="J64" i="3" s="1"/>
  <c r="H65" i="3"/>
  <c r="I65" i="3"/>
  <c r="J65" i="3" s="1"/>
  <c r="H66" i="3"/>
  <c r="I66" i="3"/>
  <c r="J66" i="3" s="1"/>
  <c r="L66" i="3" s="1"/>
  <c r="H67" i="3"/>
  <c r="I67" i="3"/>
  <c r="J67" i="3" s="1"/>
  <c r="H68" i="3"/>
  <c r="I68" i="3"/>
  <c r="J68" i="3" s="1"/>
  <c r="H69" i="3"/>
  <c r="I69" i="3"/>
  <c r="J69" i="3" s="1"/>
  <c r="H70" i="3"/>
  <c r="I70" i="3"/>
  <c r="J70" i="3" s="1"/>
  <c r="H71" i="3"/>
  <c r="I71" i="3"/>
  <c r="J71" i="3" s="1"/>
  <c r="H72" i="3"/>
  <c r="I72" i="3"/>
  <c r="J72" i="3" s="1"/>
  <c r="H73" i="3"/>
  <c r="I73" i="3"/>
  <c r="J73" i="3" s="1"/>
  <c r="L73" i="3" s="1"/>
  <c r="H74" i="3"/>
  <c r="I74" i="3"/>
  <c r="J74" i="3" s="1"/>
  <c r="H75" i="3"/>
  <c r="I75" i="3"/>
  <c r="J75" i="3" s="1"/>
  <c r="H76" i="3"/>
  <c r="I76" i="3"/>
  <c r="J76" i="3" s="1"/>
  <c r="C3" i="3"/>
  <c r="C2" i="3"/>
  <c r="K1" i="3"/>
  <c r="C1" i="3"/>
  <c r="B5" i="2"/>
  <c r="D5" i="2"/>
  <c r="Q5" i="2"/>
  <c r="R5" i="2"/>
  <c r="U5" i="2"/>
  <c r="T5" i="2" s="1"/>
  <c r="X5" i="2"/>
  <c r="B6" i="2"/>
  <c r="D6" i="2"/>
  <c r="Q6" i="2"/>
  <c r="R6" i="2"/>
  <c r="U6" i="2"/>
  <c r="T6" i="2" s="1"/>
  <c r="X6" i="2"/>
  <c r="B7" i="2"/>
  <c r="D7" i="2"/>
  <c r="Q7" i="2"/>
  <c r="R7" i="2"/>
  <c r="U7" i="2"/>
  <c r="T7" i="2" s="1"/>
  <c r="X7" i="2"/>
  <c r="B8" i="2"/>
  <c r="D8" i="2"/>
  <c r="Q8" i="2"/>
  <c r="R8" i="2"/>
  <c r="U8" i="2"/>
  <c r="T8" i="2" s="1"/>
  <c r="X8" i="2"/>
  <c r="B9" i="2"/>
  <c r="D9" i="2"/>
  <c r="Q9" i="2"/>
  <c r="R9" i="2"/>
  <c r="U9" i="2"/>
  <c r="T9" i="2" s="1"/>
  <c r="X9" i="2"/>
  <c r="B10" i="2"/>
  <c r="D10" i="2"/>
  <c r="Q10" i="2"/>
  <c r="R10" i="2"/>
  <c r="U10" i="2"/>
  <c r="T10" i="2" s="1"/>
  <c r="X10" i="2"/>
  <c r="B11" i="2"/>
  <c r="D11" i="2"/>
  <c r="Q11" i="2"/>
  <c r="R11" i="2"/>
  <c r="U11" i="2"/>
  <c r="T11" i="2" s="1"/>
  <c r="X11" i="2"/>
  <c r="B12" i="2"/>
  <c r="D12" i="2"/>
  <c r="Q12" i="2"/>
  <c r="R12" i="2"/>
  <c r="U12" i="2"/>
  <c r="T12" i="2" s="1"/>
  <c r="X12" i="2"/>
  <c r="B13" i="2"/>
  <c r="D13" i="2"/>
  <c r="Q13" i="2"/>
  <c r="R13" i="2"/>
  <c r="U13" i="2"/>
  <c r="T13" i="2" s="1"/>
  <c r="X13" i="2"/>
  <c r="B14" i="2"/>
  <c r="D14" i="2"/>
  <c r="Q14" i="2"/>
  <c r="R14" i="2"/>
  <c r="U14" i="2"/>
  <c r="T14" i="2" s="1"/>
  <c r="X14" i="2"/>
  <c r="B15" i="2"/>
  <c r="D15" i="2"/>
  <c r="Q15" i="2"/>
  <c r="R15" i="2"/>
  <c r="U15" i="2"/>
  <c r="T15" i="2" s="1"/>
  <c r="X15" i="2"/>
  <c r="B16" i="2"/>
  <c r="D16" i="2"/>
  <c r="Q16" i="2"/>
  <c r="R16" i="2"/>
  <c r="U16" i="2"/>
  <c r="T16" i="2" s="1"/>
  <c r="X16" i="2"/>
  <c r="B17" i="2"/>
  <c r="D17" i="2"/>
  <c r="Q17" i="2"/>
  <c r="R17" i="2"/>
  <c r="U17" i="2"/>
  <c r="T17" i="2" s="1"/>
  <c r="X17" i="2"/>
  <c r="B18" i="2"/>
  <c r="D18" i="2"/>
  <c r="Q18" i="2"/>
  <c r="R18" i="2"/>
  <c r="U18" i="2"/>
  <c r="T18" i="2" s="1"/>
  <c r="X18" i="2"/>
  <c r="B19" i="2"/>
  <c r="D19" i="2"/>
  <c r="Q19" i="2"/>
  <c r="R19" i="2"/>
  <c r="U19" i="2"/>
  <c r="T19" i="2" s="1"/>
  <c r="X19" i="2"/>
  <c r="B20" i="2"/>
  <c r="D20" i="2"/>
  <c r="Q20" i="2"/>
  <c r="R20" i="2"/>
  <c r="U20" i="2"/>
  <c r="T20" i="2" s="1"/>
  <c r="X20" i="2"/>
  <c r="B21" i="2"/>
  <c r="D21" i="2"/>
  <c r="Q21" i="2"/>
  <c r="R21" i="2"/>
  <c r="U21" i="2"/>
  <c r="T21" i="2" s="1"/>
  <c r="X21" i="2"/>
  <c r="B22" i="2"/>
  <c r="D22" i="2"/>
  <c r="Q22" i="2"/>
  <c r="R22" i="2"/>
  <c r="U22" i="2"/>
  <c r="T22" i="2" s="1"/>
  <c r="X22" i="2"/>
  <c r="B23" i="2"/>
  <c r="D23" i="2"/>
  <c r="Q23" i="2"/>
  <c r="R23" i="2"/>
  <c r="U23" i="2"/>
  <c r="T23" i="2" s="1"/>
  <c r="X23" i="2"/>
  <c r="B24" i="2"/>
  <c r="D24" i="2"/>
  <c r="Q24" i="2"/>
  <c r="R24" i="2"/>
  <c r="U24" i="2"/>
  <c r="T24" i="2" s="1"/>
  <c r="X24" i="2"/>
  <c r="B25" i="2"/>
  <c r="D25" i="2"/>
  <c r="Q25" i="2"/>
  <c r="R25" i="2"/>
  <c r="U25" i="2"/>
  <c r="T25" i="2" s="1"/>
  <c r="X25" i="2"/>
  <c r="B26" i="2"/>
  <c r="D26" i="2"/>
  <c r="Q26" i="2"/>
  <c r="R26" i="2"/>
  <c r="U26" i="2"/>
  <c r="T26" i="2" s="1"/>
  <c r="X26" i="2"/>
  <c r="B27" i="2"/>
  <c r="D27" i="2"/>
  <c r="Q27" i="2"/>
  <c r="R27" i="2"/>
  <c r="U27" i="2"/>
  <c r="T27" i="2" s="1"/>
  <c r="X27" i="2"/>
  <c r="B28" i="2"/>
  <c r="D28" i="2"/>
  <c r="Q28" i="2"/>
  <c r="R28" i="2"/>
  <c r="U28" i="2"/>
  <c r="T28" i="2" s="1"/>
  <c r="X28" i="2"/>
  <c r="B29" i="2"/>
  <c r="D29" i="2"/>
  <c r="Q29" i="2"/>
  <c r="R29" i="2"/>
  <c r="U29" i="2"/>
  <c r="T29" i="2" s="1"/>
  <c r="X29" i="2"/>
  <c r="B30" i="2"/>
  <c r="D30" i="2"/>
  <c r="Q30" i="2"/>
  <c r="R30" i="2"/>
  <c r="U30" i="2"/>
  <c r="T30" i="2" s="1"/>
  <c r="X30" i="2"/>
  <c r="B31" i="2"/>
  <c r="D31" i="2"/>
  <c r="Q31" i="2"/>
  <c r="R31" i="2"/>
  <c r="U31" i="2"/>
  <c r="T31" i="2" s="1"/>
  <c r="X31" i="2"/>
  <c r="B32" i="2"/>
  <c r="D32" i="2"/>
  <c r="Q32" i="2"/>
  <c r="R32" i="2"/>
  <c r="U32" i="2"/>
  <c r="T32" i="2" s="1"/>
  <c r="X32" i="2"/>
  <c r="B33" i="2"/>
  <c r="D33" i="2"/>
  <c r="Q33" i="2"/>
  <c r="R33" i="2"/>
  <c r="U33" i="2"/>
  <c r="T33" i="2" s="1"/>
  <c r="X33" i="2"/>
  <c r="B34" i="2"/>
  <c r="D34" i="2"/>
  <c r="Q34" i="2"/>
  <c r="R34" i="2"/>
  <c r="U34" i="2"/>
  <c r="T34" i="2" s="1"/>
  <c r="X34" i="2"/>
  <c r="B35" i="2"/>
  <c r="D35" i="2"/>
  <c r="Q35" i="2"/>
  <c r="R35" i="2"/>
  <c r="U35" i="2"/>
  <c r="T35" i="2" s="1"/>
  <c r="X35" i="2"/>
  <c r="B36" i="2"/>
  <c r="D36" i="2"/>
  <c r="Q36" i="2"/>
  <c r="R36" i="2"/>
  <c r="U36" i="2"/>
  <c r="T36" i="2" s="1"/>
  <c r="X36" i="2"/>
  <c r="B37" i="2"/>
  <c r="D37" i="2"/>
  <c r="Q37" i="2"/>
  <c r="R37" i="2"/>
  <c r="U37" i="2"/>
  <c r="T37" i="2" s="1"/>
  <c r="X37" i="2"/>
  <c r="B38" i="2"/>
  <c r="D38" i="2"/>
  <c r="Q38" i="2"/>
  <c r="R38" i="2"/>
  <c r="U38" i="2"/>
  <c r="T38" i="2" s="1"/>
  <c r="X38" i="2"/>
  <c r="B39" i="2"/>
  <c r="D39" i="2"/>
  <c r="Q39" i="2"/>
  <c r="R39" i="2"/>
  <c r="U39" i="2"/>
  <c r="T39" i="2" s="1"/>
  <c r="X39" i="2"/>
  <c r="B40" i="2"/>
  <c r="D40" i="2"/>
  <c r="Q40" i="2"/>
  <c r="R40" i="2"/>
  <c r="U40" i="2"/>
  <c r="T40" i="2" s="1"/>
  <c r="X40" i="2"/>
  <c r="B41" i="2"/>
  <c r="D41" i="2"/>
  <c r="Q41" i="2"/>
  <c r="R41" i="2"/>
  <c r="U41" i="2"/>
  <c r="T41" i="2" s="1"/>
  <c r="X41" i="2"/>
  <c r="B42" i="2"/>
  <c r="D42" i="2"/>
  <c r="Q42" i="2"/>
  <c r="R42" i="2"/>
  <c r="U42" i="2"/>
  <c r="T42" i="2" s="1"/>
  <c r="X42" i="2"/>
  <c r="B43" i="2"/>
  <c r="D43" i="2"/>
  <c r="Q43" i="2"/>
  <c r="R43" i="2"/>
  <c r="U43" i="2"/>
  <c r="T43" i="2" s="1"/>
  <c r="X43" i="2"/>
  <c r="B44" i="2"/>
  <c r="D44" i="2"/>
  <c r="Q44" i="2"/>
  <c r="R44" i="2"/>
  <c r="U44" i="2"/>
  <c r="T44" i="2" s="1"/>
  <c r="X44" i="2"/>
  <c r="B45" i="2"/>
  <c r="D45" i="2"/>
  <c r="Q45" i="2"/>
  <c r="R45" i="2"/>
  <c r="U45" i="2"/>
  <c r="T45" i="2" s="1"/>
  <c r="X45" i="2"/>
  <c r="B46" i="2"/>
  <c r="D46" i="2"/>
  <c r="Q46" i="2"/>
  <c r="R46" i="2"/>
  <c r="U46" i="2"/>
  <c r="T46" i="2" s="1"/>
  <c r="X46" i="2"/>
  <c r="B47" i="2"/>
  <c r="D47" i="2"/>
  <c r="Q47" i="2"/>
  <c r="R47" i="2"/>
  <c r="U47" i="2"/>
  <c r="T47" i="2" s="1"/>
  <c r="X47" i="2"/>
  <c r="B48" i="2"/>
  <c r="D48" i="2"/>
  <c r="Q48" i="2"/>
  <c r="R48" i="2"/>
  <c r="U48" i="2"/>
  <c r="T48" i="2" s="1"/>
  <c r="X48" i="2"/>
  <c r="B49" i="2"/>
  <c r="D49" i="2"/>
  <c r="Q49" i="2"/>
  <c r="R49" i="2"/>
  <c r="U49" i="2"/>
  <c r="T49" i="2" s="1"/>
  <c r="X49" i="2"/>
  <c r="B50" i="2"/>
  <c r="D50" i="2"/>
  <c r="Q50" i="2"/>
  <c r="R50" i="2"/>
  <c r="U50" i="2"/>
  <c r="T50" i="2" s="1"/>
  <c r="X50" i="2"/>
  <c r="B51" i="2"/>
  <c r="D51" i="2"/>
  <c r="Q51" i="2"/>
  <c r="R51" i="2"/>
  <c r="U51" i="2"/>
  <c r="T51" i="2" s="1"/>
  <c r="X51" i="2"/>
  <c r="B52" i="2"/>
  <c r="D52" i="2"/>
  <c r="Q52" i="2"/>
  <c r="R52" i="2"/>
  <c r="U52" i="2"/>
  <c r="T52" i="2" s="1"/>
  <c r="X52" i="2"/>
  <c r="B53" i="2"/>
  <c r="D53" i="2"/>
  <c r="Q53" i="2"/>
  <c r="R53" i="2"/>
  <c r="U53" i="2"/>
  <c r="T53" i="2" s="1"/>
  <c r="X53" i="2"/>
  <c r="B54" i="2"/>
  <c r="D54" i="2"/>
  <c r="Q54" i="2"/>
  <c r="R54" i="2"/>
  <c r="U54" i="2"/>
  <c r="T54" i="2" s="1"/>
  <c r="X54" i="2"/>
  <c r="B55" i="2"/>
  <c r="D55" i="2"/>
  <c r="Q55" i="2"/>
  <c r="R55" i="2"/>
  <c r="U55" i="2"/>
  <c r="T55" i="2" s="1"/>
  <c r="X55" i="2"/>
  <c r="B56" i="2"/>
  <c r="D56" i="2"/>
  <c r="Q56" i="2"/>
  <c r="R56" i="2"/>
  <c r="U56" i="2"/>
  <c r="T56" i="2" s="1"/>
  <c r="X56" i="2"/>
  <c r="B57" i="2"/>
  <c r="D57" i="2"/>
  <c r="Q57" i="2"/>
  <c r="R57" i="2"/>
  <c r="U57" i="2"/>
  <c r="T57" i="2" s="1"/>
  <c r="X57" i="2"/>
  <c r="B58" i="2"/>
  <c r="D58" i="2"/>
  <c r="Q58" i="2"/>
  <c r="R58" i="2"/>
  <c r="U58" i="2"/>
  <c r="T58" i="2" s="1"/>
  <c r="X58" i="2"/>
  <c r="B59" i="2"/>
  <c r="D59" i="2"/>
  <c r="Q59" i="2"/>
  <c r="R59" i="2"/>
  <c r="U59" i="2"/>
  <c r="T59" i="2" s="1"/>
  <c r="X59" i="2"/>
  <c r="B60" i="2"/>
  <c r="D60" i="2"/>
  <c r="Q60" i="2"/>
  <c r="R60" i="2"/>
  <c r="U60" i="2"/>
  <c r="T60" i="2" s="1"/>
  <c r="X60" i="2"/>
  <c r="B61" i="2"/>
  <c r="D61" i="2"/>
  <c r="Q61" i="2"/>
  <c r="R61" i="2"/>
  <c r="U61" i="2"/>
  <c r="T61" i="2" s="1"/>
  <c r="X61" i="2"/>
  <c r="B62" i="2"/>
  <c r="D62" i="2"/>
  <c r="Q62" i="2"/>
  <c r="R62" i="2"/>
  <c r="U62" i="2"/>
  <c r="T62" i="2" s="1"/>
  <c r="X62" i="2"/>
  <c r="B63" i="2"/>
  <c r="D63" i="2"/>
  <c r="Q63" i="2"/>
  <c r="R63" i="2"/>
  <c r="U63" i="2"/>
  <c r="T63" i="2" s="1"/>
  <c r="X63" i="2"/>
  <c r="B64" i="2"/>
  <c r="D64" i="2"/>
  <c r="Q64" i="2"/>
  <c r="R64" i="2"/>
  <c r="U64" i="2"/>
  <c r="T64" i="2" s="1"/>
  <c r="X64" i="2"/>
  <c r="B65" i="2"/>
  <c r="D65" i="2"/>
  <c r="Q65" i="2"/>
  <c r="R65" i="2"/>
  <c r="U65" i="2"/>
  <c r="T65" i="2" s="1"/>
  <c r="X65" i="2"/>
  <c r="B66" i="2"/>
  <c r="D66" i="2"/>
  <c r="Q66" i="2"/>
  <c r="R66" i="2"/>
  <c r="U66" i="2"/>
  <c r="T66" i="2" s="1"/>
  <c r="X66" i="2"/>
  <c r="B67" i="2"/>
  <c r="D67" i="2"/>
  <c r="Q67" i="2"/>
  <c r="R67" i="2"/>
  <c r="U67" i="2"/>
  <c r="T67" i="2" s="1"/>
  <c r="X67" i="2"/>
  <c r="B68" i="2"/>
  <c r="D68" i="2"/>
  <c r="Q68" i="2"/>
  <c r="R68" i="2"/>
  <c r="U68" i="2"/>
  <c r="T68" i="2" s="1"/>
  <c r="X68" i="2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K9" i="3" l="1"/>
  <c r="K10" i="3"/>
  <c r="K6" i="3"/>
  <c r="L58" i="3"/>
  <c r="K58" i="3"/>
  <c r="L60" i="3"/>
  <c r="K60" i="3"/>
  <c r="K23" i="3"/>
  <c r="L23" i="3"/>
  <c r="L61" i="3"/>
  <c r="K61" i="3"/>
  <c r="J13" i="3"/>
  <c r="K14" i="3"/>
  <c r="L14" i="3"/>
  <c r="L16" i="3"/>
  <c r="K16" i="3"/>
  <c r="K18" i="3"/>
  <c r="L18" i="3"/>
  <c r="K19" i="3"/>
  <c r="L19" i="3"/>
  <c r="K21" i="3"/>
  <c r="L21" i="3"/>
  <c r="L25" i="3"/>
  <c r="K25" i="3"/>
  <c r="L26" i="3"/>
  <c r="K26" i="3"/>
  <c r="L28" i="3"/>
  <c r="K28" i="3"/>
  <c r="K30" i="3"/>
  <c r="L30" i="3"/>
  <c r="L32" i="3"/>
  <c r="K32" i="3"/>
  <c r="K33" i="3"/>
  <c r="L33" i="3"/>
  <c r="K35" i="3"/>
  <c r="L35" i="3"/>
  <c r="L37" i="3"/>
  <c r="K37" i="3"/>
  <c r="L39" i="3"/>
  <c r="K39" i="3"/>
  <c r="L40" i="3"/>
  <c r="K40" i="3"/>
  <c r="K42" i="3"/>
  <c r="L42" i="3"/>
  <c r="L44" i="3"/>
  <c r="K44" i="3"/>
  <c r="K46" i="3"/>
  <c r="L46" i="3"/>
  <c r="K47" i="3"/>
  <c r="L47" i="3"/>
  <c r="K49" i="3"/>
  <c r="L49" i="3"/>
  <c r="L51" i="3"/>
  <c r="K51" i="3"/>
  <c r="K53" i="3"/>
  <c r="L53" i="3"/>
  <c r="K54" i="3"/>
  <c r="L54" i="3"/>
  <c r="L56" i="3"/>
  <c r="K56" i="3"/>
  <c r="K63" i="3"/>
  <c r="L63" i="3"/>
  <c r="L65" i="3"/>
  <c r="K65" i="3"/>
  <c r="L67" i="3"/>
  <c r="K67" i="3"/>
  <c r="L68" i="3"/>
  <c r="K68" i="3"/>
  <c r="K70" i="3"/>
  <c r="L70" i="3"/>
  <c r="K72" i="3"/>
  <c r="L72" i="3"/>
  <c r="L74" i="3"/>
  <c r="K74" i="3"/>
  <c r="L75" i="3"/>
  <c r="K75" i="3"/>
  <c r="K27" i="3"/>
  <c r="L27" i="3"/>
  <c r="K55" i="3"/>
  <c r="L55" i="3"/>
  <c r="K36" i="3"/>
  <c r="L36" i="3"/>
  <c r="K43" i="3"/>
  <c r="L43" i="3"/>
  <c r="K50" i="3"/>
  <c r="L50" i="3"/>
  <c r="K15" i="3"/>
  <c r="L15" i="3"/>
  <c r="K20" i="3"/>
  <c r="L20" i="3"/>
  <c r="L34" i="3"/>
  <c r="K34" i="3"/>
  <c r="K57" i="3"/>
  <c r="L57" i="3"/>
  <c r="L76" i="3"/>
  <c r="K76" i="3"/>
  <c r="K41" i="3"/>
  <c r="L41" i="3"/>
  <c r="K29" i="3"/>
  <c r="L29" i="3"/>
  <c r="L48" i="3"/>
  <c r="K48" i="3"/>
  <c r="K69" i="3"/>
  <c r="L69" i="3"/>
  <c r="K71" i="3"/>
  <c r="L71" i="3"/>
  <c r="K22" i="3"/>
  <c r="L22" i="3"/>
  <c r="K64" i="3"/>
  <c r="L64" i="3"/>
  <c r="L62" i="3"/>
  <c r="K62" i="3"/>
  <c r="K73" i="3"/>
  <c r="K66" i="3"/>
  <c r="K59" i="3"/>
  <c r="K52" i="3"/>
  <c r="K45" i="3"/>
  <c r="K38" i="3"/>
  <c r="K31" i="3"/>
  <c r="K24" i="3"/>
  <c r="K17" i="3"/>
  <c r="L13" i="3" l="1"/>
  <c r="K13" i="3"/>
</calcChain>
</file>

<file path=xl/sharedStrings.xml><?xml version="1.0" encoding="utf-8"?>
<sst xmlns="http://schemas.openxmlformats.org/spreadsheetml/2006/main" count="74880" uniqueCount="1570">
  <si>
    <t>LIST CHI TIẾT CẤU KIỆN</t>
  </si>
  <si>
    <t>Tên Công Trình:</t>
  </si>
  <si>
    <t>Mã Dự Án:</t>
  </si>
  <si>
    <t>Building No. :</t>
  </si>
  <si>
    <t>STT</t>
  </si>
  <si>
    <t>Tên chi tiết</t>
  </si>
  <si>
    <t>Mác thép</t>
  </si>
  <si>
    <t>Quy.Cách.Part</t>
  </si>
  <si>
    <t>Dày</t>
  </si>
  <si>
    <t>Rộng</t>
  </si>
  <si>
    <t>Dài</t>
  </si>
  <si>
    <t>Qty</t>
  </si>
  <si>
    <t>KL chi tiết</t>
  </si>
  <si>
    <t>KL Tổng</t>
  </si>
  <si>
    <t>Quy Cách Vật Tư</t>
  </si>
  <si>
    <t>Số Nesting</t>
  </si>
  <si>
    <t>Cutting</t>
  </si>
  <si>
    <t>Khoan</t>
  </si>
  <si>
    <t>Chấn</t>
  </si>
  <si>
    <t>Vát mép</t>
  </si>
  <si>
    <t>Lần-BH</t>
  </si>
  <si>
    <t>Ngày B.Hành</t>
  </si>
  <si>
    <t>Note</t>
  </si>
  <si>
    <t>REV01</t>
  </si>
  <si>
    <t>REV02</t>
  </si>
  <si>
    <t>Mã Dự Án</t>
  </si>
  <si>
    <t>TC</t>
  </si>
  <si>
    <t>BM</t>
  </si>
  <si>
    <t>CB</t>
  </si>
  <si>
    <t>Hạng Mục</t>
  </si>
  <si>
    <t>Nguồn Gốc Vật Tư</t>
  </si>
  <si>
    <t>NEST PAGE NO</t>
  </si>
  <si>
    <t>CB1-4-PR2</t>
  </si>
  <si>
    <t>SS400</t>
  </si>
  <si>
    <t>PL2x1200x1800</t>
  </si>
  <si>
    <t>PL2x1300x4000</t>
  </si>
  <si>
    <t>VT-CTV-TT-001-BAI1_BO2-SS400-SP2-001</t>
  </si>
  <si>
    <t>26/09/2026</t>
  </si>
  <si>
    <t>REV0</t>
  </si>
  <si>
    <t>NEWPLATE</t>
  </si>
  <si>
    <t>VT-TCTN.DNS-26004-Z01-001</t>
  </si>
  <si>
    <t>CB4-4-PR2</t>
  </si>
  <si>
    <t>CB6-4-PR1_1A</t>
  </si>
  <si>
    <t>VT-CTV-TT-001-BAI1_BO2-SS400-SP2-002</t>
  </si>
  <si>
    <t>VT-TCTN.DNS-26004-Z01-002</t>
  </si>
  <si>
    <t>CB3-4-PR1_1A</t>
  </si>
  <si>
    <t>VT-CTV-TT-001-BAI1_BO2-SS400-SP2-003</t>
  </si>
  <si>
    <t>VT-TCTN.DNS-26004-Z01-003</t>
  </si>
  <si>
    <t>CB5-4-PR3_1A</t>
  </si>
  <si>
    <t>PL2x1060x4000</t>
  </si>
  <si>
    <t>VT-CTV-TT-001-BAI1_BO2-SS400-SP2-004</t>
  </si>
  <si>
    <t>VT-TCTN.DNS-26004-Z01-004</t>
  </si>
  <si>
    <t>CB5-4-PR3_1B</t>
  </si>
  <si>
    <t>VT-CTV-TT-001-BAI1_BO2-SS400-SP2-005</t>
  </si>
  <si>
    <t>VT-TCTN.DNS-26004-Z01-005</t>
  </si>
  <si>
    <t>CB2-4-PR3_1A</t>
  </si>
  <si>
    <t>VT-CTV-TT-001-BAI1_BO2-SS400-SP2-006</t>
  </si>
  <si>
    <t>VT-TCTN.DNS-26004-Z01-006</t>
  </si>
  <si>
    <t>CB2-4-PR3_1B</t>
  </si>
  <si>
    <t>VT-CTV-TT-001-BAI1_BO2-SS400-SP2-007</t>
  </si>
  <si>
    <t>VT-TCTN.DNS-26004-Z01-007</t>
  </si>
  <si>
    <t>CB3-4-PR1_1B</t>
  </si>
  <si>
    <t>PL2x500x4000</t>
  </si>
  <si>
    <t>VT-CTV-TT-001-BAI1_BO2-SS400-SP2-008</t>
  </si>
  <si>
    <t>VT-TCTN.DNS-26004-Z01-008</t>
  </si>
  <si>
    <t>CB6-4-PR1_1B</t>
  </si>
  <si>
    <t>CB2-4-PR3_1C</t>
  </si>
  <si>
    <t>PL2x1060x1200</t>
  </si>
  <si>
    <t>VT-CTV-TT-001-BAI1_BO2-SS400-SP2-009</t>
  </si>
  <si>
    <t>VT-TCTN.DNS-26004-Z01-009</t>
  </si>
  <si>
    <t>CB3-4-PR1_1C</t>
  </si>
  <si>
    <t>PL2x500x1800</t>
  </si>
  <si>
    <t>VT-CTV-TT-001-BAI1_BO2-SS400-SP2-010</t>
  </si>
  <si>
    <t>VT-TCTN.DNS-26004-Z01-010</t>
  </si>
  <si>
    <t>CB5-4-PR3_1C</t>
  </si>
  <si>
    <t>CB6-4-PR1_1C</t>
  </si>
  <si>
    <t>CB1-1-PL1</t>
  </si>
  <si>
    <t>Q355B</t>
  </si>
  <si>
    <t>PL5x63x186</t>
  </si>
  <si>
    <t>PL5x1500x6000</t>
  </si>
  <si>
    <t>VT-CTV-TT-001-BAI1_BO2-Q355B-SP5-001</t>
  </si>
  <si>
    <t>X</t>
  </si>
  <si>
    <t>VT-TCTN.DNS-26004-Z01-011</t>
  </si>
  <si>
    <t>CB1-1-PL2</t>
  </si>
  <si>
    <t>PL5x43x86</t>
  </si>
  <si>
    <t>CB2-1-PL1</t>
  </si>
  <si>
    <t>CB2-1-PL2</t>
  </si>
  <si>
    <t>CB3-1-PL1</t>
  </si>
  <si>
    <t>CB3-1-PL2</t>
  </si>
  <si>
    <t>CB4-1-PL1</t>
  </si>
  <si>
    <t>CB4-1-PL2</t>
  </si>
  <si>
    <t>CB5-1-PL1</t>
  </si>
  <si>
    <t>CB5-1-PL2</t>
  </si>
  <si>
    <t>CB6-1-PL1</t>
  </si>
  <si>
    <t>CB6-1-PL2</t>
  </si>
  <si>
    <t>CB1-CL10-V-C</t>
  </si>
  <si>
    <t>PL6x328x1752</t>
  </si>
  <si>
    <t>PL6x1500x12000</t>
  </si>
  <si>
    <t>VT-CTV-TT-001-BAI1_BO2-Q355B-SP6-001</t>
  </si>
  <si>
    <t>VT-TCTN.DNS-26004-Z01-012</t>
  </si>
  <si>
    <t>CB1-CL11-V-C</t>
  </si>
  <si>
    <t>CB1-CL12-V-C</t>
  </si>
  <si>
    <t>CB1-CL13-V-C</t>
  </si>
  <si>
    <t>PL6x328x1753</t>
  </si>
  <si>
    <t>CB1-CL9-V-C</t>
  </si>
  <si>
    <t>CB4-CL10-V-C</t>
  </si>
  <si>
    <t>CB4-CL11-V-C</t>
  </si>
  <si>
    <t>CB4-CL12-V-C</t>
  </si>
  <si>
    <t>CB4-CL13-V-C</t>
  </si>
  <si>
    <t>CB4-CL9-V-C</t>
  </si>
  <si>
    <t>CB5-CL25-V-C</t>
  </si>
  <si>
    <t>PL6x328x1672</t>
  </si>
  <si>
    <t>CB5-CL26-V-C</t>
  </si>
  <si>
    <t>PL6x328x1718</t>
  </si>
  <si>
    <t>CB6-CL18-V-C</t>
  </si>
  <si>
    <t>PL6x328x1729</t>
  </si>
  <si>
    <t>CO1-PL9</t>
  </si>
  <si>
    <t>PL6x298x378</t>
  </si>
  <si>
    <t>CB3-CL18-V-C</t>
  </si>
  <si>
    <t>VT-CTV-TT-001-BAI1_BO2-Q355B-SP6-002</t>
  </si>
  <si>
    <t>VT-TCTN.DNS-26004-Z01-013</t>
  </si>
  <si>
    <t>CB6-CL8-C</t>
  </si>
  <si>
    <t>PL6x328x934</t>
  </si>
  <si>
    <t>CO2-PL9</t>
  </si>
  <si>
    <t>CB2-CL25-V-C</t>
  </si>
  <si>
    <t>VT-CTV-TT-001-BAI1_BO2-Q355B-SP6-003</t>
  </si>
  <si>
    <t>VT-TCTN.DNS-26004-Z01-014</t>
  </si>
  <si>
    <t>CB2-CL26-V-C</t>
  </si>
  <si>
    <t>CB1-CL23-V-C</t>
  </si>
  <si>
    <t>PL6x188x2493</t>
  </si>
  <si>
    <t>VT-CTV-TT-001-BAI1_BO2-Q355B-SP6-004</t>
  </si>
  <si>
    <t>VT-TCTN.DNS-26004-Z01-015</t>
  </si>
  <si>
    <t>CB1-CL24-V-C</t>
  </si>
  <si>
    <t>PL6x188x2494</t>
  </si>
  <si>
    <t>CB4-CL21-V-C</t>
  </si>
  <si>
    <t>PL6x188x2491</t>
  </si>
  <si>
    <t>CB4-CL23-V-C</t>
  </si>
  <si>
    <t>CB4-CL24-V-C</t>
  </si>
  <si>
    <t>CB5-CL7-C</t>
  </si>
  <si>
    <t>CB6-CL7-C</t>
  </si>
  <si>
    <t>CB1-CL21-V-C</t>
  </si>
  <si>
    <t>VT-CTV-TT-001-BAI1_BO2-Q355B-SP6-005</t>
  </si>
  <si>
    <t>VT-TCTN.DNS-26004-Z01-016</t>
  </si>
  <si>
    <t>CB4-CL22-V-C</t>
  </si>
  <si>
    <t>CB4-CL8-C</t>
  </si>
  <si>
    <t>CB1-CL22-V-C</t>
  </si>
  <si>
    <t>VT-CTV-TT-001-BAI1_BO2-Q355B-SP6-006</t>
  </si>
  <si>
    <t>VT-TCTN.DNS-26004-Z01-017</t>
  </si>
  <si>
    <t>CB3-CL8-C</t>
  </si>
  <si>
    <t>CB4-CL7-C</t>
  </si>
  <si>
    <t>VT-CTV-TT-001-BAI1_BO2-Q355B-SP6-007</t>
  </si>
  <si>
    <t>VT-TCTN.DNS-26004-Z01-018</t>
  </si>
  <si>
    <t>CB2-CL3-V-C</t>
  </si>
  <si>
    <t>CB5-CL3-V-C</t>
  </si>
  <si>
    <t>CB5-CL8-C</t>
  </si>
  <si>
    <t>VT-CTV-TT-001-BAI1_BO2-Q355B-SP6-008</t>
  </si>
  <si>
    <t>VT-TCTN.DNS-26004-Z01-019</t>
  </si>
  <si>
    <t>CB5-CL4-V-C</t>
  </si>
  <si>
    <t>CB1-CL5-C</t>
  </si>
  <si>
    <t>PL6x328x894</t>
  </si>
  <si>
    <t>VT-CTV-TT-001-BAI1_BO2-Q355B-SP6-009</t>
  </si>
  <si>
    <t>VT-TCTN.DNS-26004-Z01-020</t>
  </si>
  <si>
    <t>CB2-CL4-V-C</t>
  </si>
  <si>
    <t>CB3-CL5-C</t>
  </si>
  <si>
    <t>CB3-CL6-C</t>
  </si>
  <si>
    <t>CB4-CL6-C</t>
  </si>
  <si>
    <t>CB6-CL27-V-C</t>
  </si>
  <si>
    <t>PL6x188x2483</t>
  </si>
  <si>
    <t>CB6-CL5-C</t>
  </si>
  <si>
    <t>VT-CTV-TT-001-BAI1_BO2-Q355B-SP6-010</t>
  </si>
  <si>
    <t>VT-TCTN.DNS-26004-Z01-021</t>
  </si>
  <si>
    <t>CO3-PL9</t>
  </si>
  <si>
    <t>CB3-CL27-V-C</t>
  </si>
  <si>
    <t>VT-CTV-TT-001-BAI1_BO2-Q355B-SP6-011</t>
  </si>
  <si>
    <t>VT-TCTN.DNS-26004-Z01-022</t>
  </si>
  <si>
    <t>CB1-CL7-C</t>
  </si>
  <si>
    <t>VT-CTV-TT-001-BAI1_BO2-Q355B-SP6-012</t>
  </si>
  <si>
    <t>VT-TCTN.DNS-26004-Z01-023</t>
  </si>
  <si>
    <t>CB1-CL8-C</t>
  </si>
  <si>
    <t>CB2-CL7-C</t>
  </si>
  <si>
    <t>CB6-CL28-V-C</t>
  </si>
  <si>
    <t>VT-CTV-TT-001-BAI1_BO2-Q355B-SP6-013</t>
  </si>
  <si>
    <t>VT-TCTN.DNS-26004-Z01-024</t>
  </si>
  <si>
    <t>VT-CTV-TT-001-BAI1_BO2-Q355B-SP6-014</t>
  </si>
  <si>
    <t>VT-TCTN.DNS-26004-Z01-025</t>
  </si>
  <si>
    <t>CB3-CL28-V-C</t>
  </si>
  <si>
    <t>CB1-CL6-C</t>
  </si>
  <si>
    <t>VT-CTV-TT-001-BAI1_BO2-Q355B-SP6-015</t>
  </si>
  <si>
    <t>VT-TCTN.DNS-26004-Z01-026</t>
  </si>
  <si>
    <t>CB2-CL14-V-C</t>
  </si>
  <si>
    <t>PL6x188x2481</t>
  </si>
  <si>
    <t>CB2-CL15-V-C</t>
  </si>
  <si>
    <t>CB2-CL16-V-C</t>
  </si>
  <si>
    <t>PL6x188x2480</t>
  </si>
  <si>
    <t>CB2-CL17-V-C</t>
  </si>
  <si>
    <t>CB2-CL8-C</t>
  </si>
  <si>
    <t>CB4-CL5-C</t>
  </si>
  <si>
    <t>CB5-CL14-V-C</t>
  </si>
  <si>
    <t>CB5-CL15-V-C</t>
  </si>
  <si>
    <t>CB5-CL16-V-C</t>
  </si>
  <si>
    <t>CB5-CL17-V-C</t>
  </si>
  <si>
    <t>CB6-CL6-C</t>
  </si>
  <si>
    <t>CB2-CL1-V-C</t>
  </si>
  <si>
    <t>PL6x188x2348</t>
  </si>
  <si>
    <t>VT-CTV-TT-001-BAI1_BO2-Q355B-SP6-016</t>
  </si>
  <si>
    <t>VT-TCTN.DNS-26004-Z01-027</t>
  </si>
  <si>
    <t>CB3-CL1-V-C</t>
  </si>
  <si>
    <t>CB3-CL2-V-C</t>
  </si>
  <si>
    <t>CB4-CL19-V-C</t>
  </si>
  <si>
    <t>CB4-CL20-V-C</t>
  </si>
  <si>
    <t>CB5-CL2-V-C</t>
  </si>
  <si>
    <t>CB6-CL2-V-C</t>
  </si>
  <si>
    <t>CB1-CL19-V-C</t>
  </si>
  <si>
    <t>VT-CTV-TT-001-BAI1_BO2-Q355B-SP6-017</t>
  </si>
  <si>
    <t>VT-TCTN.DNS-26004-Z01-028</t>
  </si>
  <si>
    <t>CB1-CL20-V-C</t>
  </si>
  <si>
    <t>CB2-CL2-V-C</t>
  </si>
  <si>
    <t>CB3-CL7-C</t>
  </si>
  <si>
    <t>VT-CTV-TT-001-BAI1_BO2-Q355B-SP6-018</t>
  </si>
  <si>
    <t>VT-TCTN.DNS-26004-Z01-029</t>
  </si>
  <si>
    <t>CB5-CL1-V-C</t>
  </si>
  <si>
    <t>CB5-W15</t>
  </si>
  <si>
    <t>PL8x334x11992</t>
  </si>
  <si>
    <t>PL8x2000x12000</t>
  </si>
  <si>
    <t>VT-CTV-TT-001-BAI1_BO2-Q355B-SP8-001</t>
  </si>
  <si>
    <t>VT-TCTN.DNS-26004-Z01-030</t>
  </si>
  <si>
    <t>CB6-W14-K_1A</t>
  </si>
  <si>
    <t>PL8x334x11998</t>
  </si>
  <si>
    <t>K</t>
  </si>
  <si>
    <t>CO2-PL6</t>
  </si>
  <si>
    <t>PL8x90x150</t>
  </si>
  <si>
    <t>HB1-FL4</t>
  </si>
  <si>
    <t>PL8x150x4252</t>
  </si>
  <si>
    <t>HB8-FL10</t>
  </si>
  <si>
    <t>PL8x150x6824</t>
  </si>
  <si>
    <t>HB9-FL23</t>
  </si>
  <si>
    <t>PL8x150x792</t>
  </si>
  <si>
    <t>CB1-3-PL5</t>
  </si>
  <si>
    <t>PL8x148x441</t>
  </si>
  <si>
    <t>VT-CTV-TT-001-BAI1_BO2-Q355B-SP8-002</t>
  </si>
  <si>
    <t>VT-TCTN.DNS-26004-Z01-031</t>
  </si>
  <si>
    <t>CB2-3-PL1</t>
  </si>
  <si>
    <t>PL8x156x465</t>
  </si>
  <si>
    <t>CB3-W13-K_1A</t>
  </si>
  <si>
    <t>PL8x464x12000</t>
  </si>
  <si>
    <t>CB4-W12-K</t>
  </si>
  <si>
    <t>PL8x342x11990</t>
  </si>
  <si>
    <t>VT-CTV-TT-001-BAI1_BO2-Q355B-SP8-003</t>
  </si>
  <si>
    <t>VT-TCTN.DNS-26004-Z01-032</t>
  </si>
  <si>
    <t>CB3-W14-K_1A</t>
  </si>
  <si>
    <t>PL8x347x12000</t>
  </si>
  <si>
    <t>CB1-W11-K</t>
  </si>
  <si>
    <t>PL8x459x11977</t>
  </si>
  <si>
    <t>VT-CTV-TT-001-BAI1_BO2-Q355B-SP8-004</t>
  </si>
  <si>
    <t>VT-TCTN.DNS-26004-Z01-033</t>
  </si>
  <si>
    <t>CB1-W12-K</t>
  </si>
  <si>
    <t>CB4-W11-K</t>
  </si>
  <si>
    <t>PL8x458x11977</t>
  </si>
  <si>
    <t>VT-CTV-TT-001-BAI1_BO2-Q355B-SP8-005</t>
  </si>
  <si>
    <t>VT-TCTN.DNS-26004-Z01-034</t>
  </si>
  <si>
    <t>CB6-W13-K_1A</t>
  </si>
  <si>
    <t>PL8x451x12000</t>
  </si>
  <si>
    <t>CB2-W15</t>
  </si>
  <si>
    <t>VT-CTV-TT-001-BAI1_BO2-Q355B-SP8-006</t>
  </si>
  <si>
    <t>VT-TCTN.DNS-26004-Z01-035</t>
  </si>
  <si>
    <t>HB1-W3</t>
  </si>
  <si>
    <t>PL8x124x4252</t>
  </si>
  <si>
    <t>HB8-W9</t>
  </si>
  <si>
    <t>PL8x124x6824</t>
  </si>
  <si>
    <t>HB9-W16</t>
  </si>
  <si>
    <t>PL8x124x792</t>
  </si>
  <si>
    <t>VT-CTV-TT-001-BAI1_BO2-Q355B-SP8-007</t>
  </si>
  <si>
    <t>VT-TCTN.DNS-26004-Z01-036</t>
  </si>
  <si>
    <t>CB6-W13-K_1B</t>
  </si>
  <si>
    <t>PL8x448x7587</t>
  </si>
  <si>
    <t>HB2-FL5</t>
  </si>
  <si>
    <t>PL8x150x2972</t>
  </si>
  <si>
    <t>HB2-W4</t>
  </si>
  <si>
    <t>PL8x124x2972</t>
  </si>
  <si>
    <t>HB3-W4</t>
  </si>
  <si>
    <t>HB6-W7</t>
  </si>
  <si>
    <t>PL8x124x601</t>
  </si>
  <si>
    <t>HB7-FL9</t>
  </si>
  <si>
    <t>PL8x150x1381</t>
  </si>
  <si>
    <t>HB7-W8</t>
  </si>
  <si>
    <t>PL8x124x1381</t>
  </si>
  <si>
    <t>CB2-W10</t>
  </si>
  <si>
    <t>PL8x450x12007</t>
  </si>
  <si>
    <t>VT-CTV-TT-001-BAI1_BO2-Q355B-SP8-008</t>
  </si>
  <si>
    <t>VT-TCTN.DNS-26004-Z01-037</t>
  </si>
  <si>
    <t>CB5-W10</t>
  </si>
  <si>
    <t>HB3-FL5</t>
  </si>
  <si>
    <t>CB3-W13-K_1B</t>
  </si>
  <si>
    <t>PL8x446x7588</t>
  </si>
  <si>
    <t>VT-CTV-TT-001-BAI1_BO2-Q355B-SP8-009</t>
  </si>
  <si>
    <t>VT-TCTN.DNS-26004-Z01-038</t>
  </si>
  <si>
    <t>CB3-W14-K_1B</t>
  </si>
  <si>
    <t>PL8x329x7565</t>
  </si>
  <si>
    <t>CB6-W14-K_1B</t>
  </si>
  <si>
    <t>PL8x329x7566</t>
  </si>
  <si>
    <t>CO1-PL5</t>
  </si>
  <si>
    <t>PL8x66x150</t>
  </si>
  <si>
    <t>CO2-PL5</t>
  </si>
  <si>
    <t>CO3-PL5</t>
  </si>
  <si>
    <t>HB10-FL24</t>
  </si>
  <si>
    <t>PL8x150x1882</t>
  </si>
  <si>
    <t>HB10-W17</t>
  </si>
  <si>
    <t>PL8x124x1882</t>
  </si>
  <si>
    <t>HB4-FL6</t>
  </si>
  <si>
    <t>PL8x150x2523</t>
  </si>
  <si>
    <t>HB4-W5</t>
  </si>
  <si>
    <t>PL8x124x2523</t>
  </si>
  <si>
    <t>HB5-FL6</t>
  </si>
  <si>
    <t>BE1-PL11</t>
  </si>
  <si>
    <t>PL8x158x228</t>
  </si>
  <si>
    <t>VT-CTV-TT-001-BAI1_BO2-Q355B-SP8-010</t>
  </si>
  <si>
    <t>VT-TCTN.DNS-26004-Z01-039</t>
  </si>
  <si>
    <t>CB1-3-PL3</t>
  </si>
  <si>
    <t>PL8x206x465</t>
  </si>
  <si>
    <t>CB1-3-PL4</t>
  </si>
  <si>
    <t>PL8x196x340</t>
  </si>
  <si>
    <t>CB1-3-PL6</t>
  </si>
  <si>
    <t>PL8x148x324</t>
  </si>
  <si>
    <t>CB2-3-PL2</t>
  </si>
  <si>
    <t>PL8x160x340</t>
  </si>
  <si>
    <t>CB2-3-PL5</t>
  </si>
  <si>
    <t>CB2-3-PL6</t>
  </si>
  <si>
    <t>CB3-3-PL5</t>
  </si>
  <si>
    <t>CB3-3-PL6</t>
  </si>
  <si>
    <t>CB4-3-PL3</t>
  </si>
  <si>
    <t>CB4-3-PL4</t>
  </si>
  <si>
    <t>CB4-3-PL5</t>
  </si>
  <si>
    <t>CB4-3-PL6</t>
  </si>
  <si>
    <t>CB5-3-PL1</t>
  </si>
  <si>
    <t>CB5-3-PL2</t>
  </si>
  <si>
    <t>CB5-3-PL5</t>
  </si>
  <si>
    <t>CB5-3-PL6</t>
  </si>
  <si>
    <t>CB6-3-PL5</t>
  </si>
  <si>
    <t>CB6-3-PL6</t>
  </si>
  <si>
    <t>CO1-CL29-C</t>
  </si>
  <si>
    <t>PL8x142x1799</t>
  </si>
  <si>
    <t>CO1-PL4</t>
  </si>
  <si>
    <t>PL8x74x172</t>
  </si>
  <si>
    <t>CO1-PL6</t>
  </si>
  <si>
    <t>CO2-CL29-C</t>
  </si>
  <si>
    <t>CO3-CL29-C</t>
  </si>
  <si>
    <t>CO3-PL4</t>
  </si>
  <si>
    <t>CO3-PL6</t>
  </si>
  <si>
    <t>CO4-PL21</t>
  </si>
  <si>
    <t>HB5-W5</t>
  </si>
  <si>
    <t>HB6-FL8</t>
  </si>
  <si>
    <t>PL8x150x601</t>
  </si>
  <si>
    <t>LP1-CL29-C</t>
  </si>
  <si>
    <t>PL8x322x696</t>
  </si>
  <si>
    <t>VT-CTV-TT-001-BAI1_BO2-Q355B-SP8-011</t>
  </si>
  <si>
    <t>TAN DUNG</t>
  </si>
  <si>
    <t>VT-TCTN.DNS-26004-Z01-040</t>
  </si>
  <si>
    <t>CO2-PL4</t>
  </si>
  <si>
    <t>CO1-FL1-V_1A</t>
  </si>
  <si>
    <t>PL10x350x12000</t>
  </si>
  <si>
    <t>PL10x1500x12000</t>
  </si>
  <si>
    <t>VT-CTV-TT-001-BAI1_BO2-Q355B-SP10-001</t>
  </si>
  <si>
    <t>VT-TCTN.DNS-26004-Z01-041</t>
  </si>
  <si>
    <t>CO1-FL2-V_1A</t>
  </si>
  <si>
    <t>CO1-W1_1A</t>
  </si>
  <si>
    <t>PL10x380x12000</t>
  </si>
  <si>
    <t>CO2-W1_1A</t>
  </si>
  <si>
    <t>VT-CTV-TT-001-BAI1_BO2-Q355B-SP10-002</t>
  </si>
  <si>
    <t>VT-TCTN.DNS-26004-Z01-042</t>
  </si>
  <si>
    <t>CO3-FL1-V_1A</t>
  </si>
  <si>
    <t>CO3-FL2-V_1A</t>
  </si>
  <si>
    <t>CO2-FL1-V_1A</t>
  </si>
  <si>
    <t>VT-CTV-TT-001-BAI1_BO2-Q355B-SP10-003</t>
  </si>
  <si>
    <t>VT-TCTN.DNS-26004-Z01-043</t>
  </si>
  <si>
    <t>CO3-W1_1A</t>
  </si>
  <si>
    <t>VT-CTV-TT-001-BAI1_BO2-Q355B-SP10-004</t>
  </si>
  <si>
    <t>VT-TCTN.DNS-26004-Z01-044</t>
  </si>
  <si>
    <t>CO4-W6_1A</t>
  </si>
  <si>
    <t>PL10x230x12000</t>
  </si>
  <si>
    <t>BE1-W2</t>
  </si>
  <si>
    <t>PL10x230x9518</t>
  </si>
  <si>
    <t>VT-CTV-TT-001-BAI1_BO2-Q355B-SP10-005</t>
  </si>
  <si>
    <t>VT-TCTN.DNS-26004-Z01-045</t>
  </si>
  <si>
    <t>BE2-PL30</t>
  </si>
  <si>
    <t>PL10x375x500</t>
  </si>
  <si>
    <t>BE3-PL30</t>
  </si>
  <si>
    <t>CB1-PL34</t>
  </si>
  <si>
    <t>PL10x148x441</t>
  </si>
  <si>
    <t>CO2-FL2-V_1A</t>
  </si>
  <si>
    <t>BE1-FL3</t>
  </si>
  <si>
    <t>PL10x200x9518</t>
  </si>
  <si>
    <t>VT-CTV-TT-001-BAI1_BO2-Q355B-SP10-006</t>
  </si>
  <si>
    <t>VT-TCTN.DNS-26004-Z01-046</t>
  </si>
  <si>
    <t>BE2-PL29</t>
  </si>
  <si>
    <t>PL10x240x375</t>
  </si>
  <si>
    <t>BE3-PL29</t>
  </si>
  <si>
    <t>BE3-PL31</t>
  </si>
  <si>
    <t>PL10x86x338</t>
  </si>
  <si>
    <t>CB2-1-PL21</t>
  </si>
  <si>
    <t>PL10x200x250</t>
  </si>
  <si>
    <t>CB5-PL34</t>
  </si>
  <si>
    <t>CB6-1-PL17-K</t>
  </si>
  <si>
    <t>PL10x80x120</t>
  </si>
  <si>
    <t>CB6-PL43</t>
  </si>
  <si>
    <t>CO3-1-PL9-K</t>
  </si>
  <si>
    <t>PL10x120x220</t>
  </si>
  <si>
    <t>CO3-W1_1B</t>
  </si>
  <si>
    <t>PL10x380x4577</t>
  </si>
  <si>
    <t>BE2-PL31</t>
  </si>
  <si>
    <t>VT-CTV-TT-001-BAI1_BO2-Q355B-SP10-007</t>
  </si>
  <si>
    <t>VT-TCTN.DNS-26004-Z01-047</t>
  </si>
  <si>
    <t>BE3-CL30-V-C</t>
  </si>
  <si>
    <t>PL10x532x4080</t>
  </si>
  <si>
    <t>CO1-PH3-K</t>
  </si>
  <si>
    <t>PL10x100x100</t>
  </si>
  <si>
    <t>CO2-PH3-K</t>
  </si>
  <si>
    <t>CO3-PH3-K</t>
  </si>
  <si>
    <t>CO4-FL7_1A</t>
  </si>
  <si>
    <t>PL10x200x12000</t>
  </si>
  <si>
    <t>CO4-FL7_1B</t>
  </si>
  <si>
    <t>PL10x200x3586</t>
  </si>
  <si>
    <t>CO4-W6_1B</t>
  </si>
  <si>
    <t>PL10x230x3586</t>
  </si>
  <si>
    <t>LP1-PH3-K</t>
  </si>
  <si>
    <t>VT-CTV-TT-001-BAI1_BO2-Q355B-SP10-008</t>
  </si>
  <si>
    <t>VT-TCTN.DNS-26004-Z01-048</t>
  </si>
  <si>
    <t>BE2-CL30-V-C</t>
  </si>
  <si>
    <t>BE2-PL32</t>
  </si>
  <si>
    <t>PL10x280x349</t>
  </si>
  <si>
    <t>CB1-1-PL17-K</t>
  </si>
  <si>
    <t>CB2-1-PL20</t>
  </si>
  <si>
    <t>PL10x120x250</t>
  </si>
  <si>
    <t>CB2-1-PL22</t>
  </si>
  <si>
    <t>PL10x105x195</t>
  </si>
  <si>
    <t>CB2-PL41</t>
  </si>
  <si>
    <t>PL10x148x324</t>
  </si>
  <si>
    <t>CB3-PL43</t>
  </si>
  <si>
    <t>CB4-PL34</t>
  </si>
  <si>
    <t>CB6-1-PL9-K</t>
  </si>
  <si>
    <t>CO2-FL1-V_1B</t>
  </si>
  <si>
    <t>PL10x350x4580</t>
  </si>
  <si>
    <t>CO2-W1_1B</t>
  </si>
  <si>
    <t>CO3-FL1-V_1B</t>
  </si>
  <si>
    <t>VT-CTV-TT-001-BAI1_BO2-Q355B-SP10-009</t>
  </si>
  <si>
    <t>VT-TCTN.DNS-26004-Z01-049</t>
  </si>
  <si>
    <t>CB1-PL40</t>
  </si>
  <si>
    <t>CB2-PL34</t>
  </si>
  <si>
    <t>CB6-PL40</t>
  </si>
  <si>
    <t>CO1-W1_1B</t>
  </si>
  <si>
    <t>CO2-FL2-V_1B</t>
  </si>
  <si>
    <t>PL10x350x4480</t>
  </si>
  <si>
    <t>CO3-1-PL10-K</t>
  </si>
  <si>
    <t>PL10x127x220</t>
  </si>
  <si>
    <t>CO3-FL2-V_1B</t>
  </si>
  <si>
    <t>VT-CTV-TT-001-BAI1_BO2-Q355B-SP10-010</t>
  </si>
  <si>
    <t>VT-TCTN.DNS-26004-Z01-050</t>
  </si>
  <si>
    <t>CB1-1-PL11-K</t>
  </si>
  <si>
    <t>PL10x70x120</t>
  </si>
  <si>
    <t>CB1-1-PL9-K</t>
  </si>
  <si>
    <t>CB2-1-PL17-K</t>
  </si>
  <si>
    <t>CB3-PL40</t>
  </si>
  <si>
    <t>CB4-PL40</t>
  </si>
  <si>
    <t>CB5-PL41</t>
  </si>
  <si>
    <t>CO1-FL1-V_1B</t>
  </si>
  <si>
    <t>CO1-FL2-V_1B</t>
  </si>
  <si>
    <t>VT-CTV-TT-001-BAI1_BO2-Q355B-SP10-011</t>
  </si>
  <si>
    <t>VT-TCTN.DNS-26004-Z01-051</t>
  </si>
  <si>
    <t>CB2-1-PL9-K</t>
  </si>
  <si>
    <t>CO1-PH2-K</t>
  </si>
  <si>
    <t>PL10x160x160</t>
  </si>
  <si>
    <t>CO2-PH2-K</t>
  </si>
  <si>
    <t>CO3-PH2-K</t>
  </si>
  <si>
    <t>LP1-PH2-K</t>
  </si>
  <si>
    <t>CB6-FL20-C_1A</t>
  </si>
  <si>
    <t>PL12x220x12000</t>
  </si>
  <si>
    <t>PL12x1500x12000</t>
  </si>
  <si>
    <t>VT-CTV-TT-001-BAI1_BO2-Q355B-SP12-001</t>
  </si>
  <si>
    <t>VT-TCTN.DNS-26004-Z01-052</t>
  </si>
  <si>
    <t>CB6-FL19-C_1A</t>
  </si>
  <si>
    <t>CB3-FL19-C_1A</t>
  </si>
  <si>
    <t>CB1-FL15-C</t>
  </si>
  <si>
    <t>PL12x220x11989</t>
  </si>
  <si>
    <t>VT-CTV-TT-001-BAI1_BO2-Q355B-SP12-002</t>
  </si>
  <si>
    <t>VT-TCTN.DNS-26004-Z01-053</t>
  </si>
  <si>
    <t>CB3-FL20-C_1A</t>
  </si>
  <si>
    <t>CB4-FL15-C</t>
  </si>
  <si>
    <t>CB3-FL19-C_1B</t>
  </si>
  <si>
    <t>PL12x220x7562</t>
  </si>
  <si>
    <t>VT-CTV-TT-001-BAI1_BO2-Q355B-SP12-003</t>
  </si>
  <si>
    <t>VT-TCTN.DNS-26004-Z01-054</t>
  </si>
  <si>
    <t>CB3-FL20-C_1B</t>
  </si>
  <si>
    <t>PL12x220x7565</t>
  </si>
  <si>
    <t>CB6-FL19-C_1B</t>
  </si>
  <si>
    <t>PL12x220x7561</t>
  </si>
  <si>
    <t>CB2-FL22-C</t>
  </si>
  <si>
    <t>PL12x220x11993</t>
  </si>
  <si>
    <t>VT-CTV-TT-001-BAI1_BO2-Q355B-SP12-004</t>
  </si>
  <si>
    <t>VT-TCTN.DNS-26004-Z01-055</t>
  </si>
  <si>
    <t>CB5-FL21-C</t>
  </si>
  <si>
    <t>PL12x220x11991</t>
  </si>
  <si>
    <t>CB5-FL22-C</t>
  </si>
  <si>
    <t>CB1-FL16-C</t>
  </si>
  <si>
    <t>VT-CTV-TT-001-BAI1_BO2-Q355B-SP12-005</t>
  </si>
  <si>
    <t>VT-TCTN.DNS-26004-Z01-056</t>
  </si>
  <si>
    <t>CB2-FL21-C</t>
  </si>
  <si>
    <t>CB4-FL16-C</t>
  </si>
  <si>
    <t>CB6-FL20-C_1B</t>
  </si>
  <si>
    <t>PL12x220x7564</t>
  </si>
  <si>
    <t>VT-CTV-TT-001-BAI1_BO2-Q355B-SP12-006</t>
  </si>
  <si>
    <t>VT-TCTN.DNS-26004-Z01-057</t>
  </si>
  <si>
    <t>2-LP1-2-PH1-K</t>
  </si>
  <si>
    <t>PL16x50x120</t>
  </si>
  <si>
    <t>PL16x2000x12000</t>
  </si>
  <si>
    <t>VT-CTV-TT-001-BAI1_BO2-Q355B-SP16-001</t>
  </si>
  <si>
    <t>VT-TCTN.DNS-26004-Z01-058</t>
  </si>
  <si>
    <t>BE1-PL10</t>
  </si>
  <si>
    <t>PL16x220x280</t>
  </si>
  <si>
    <t>CB1-PL36</t>
  </si>
  <si>
    <t>PL16x200x300</t>
  </si>
  <si>
    <t>CB2-PL20</t>
  </si>
  <si>
    <t>CB3-FL17-C_1A</t>
  </si>
  <si>
    <t>PL16x275x12000</t>
  </si>
  <si>
    <t>CB3-FL18-C_1A</t>
  </si>
  <si>
    <t>CB4-FL13-C</t>
  </si>
  <si>
    <t>PL16x275x11976</t>
  </si>
  <si>
    <t>CB4-PL36</t>
  </si>
  <si>
    <t>CB5-PL20</t>
  </si>
  <si>
    <t>CB6-FL17-C_1A</t>
  </si>
  <si>
    <t>CB6-FL17-C_1B</t>
  </si>
  <si>
    <t>PL16x275x7587</t>
  </si>
  <si>
    <t>CB6-FL18-C_1A</t>
  </si>
  <si>
    <t>CB6-FL18-C_1B</t>
  </si>
  <si>
    <t>PL16x275x7583</t>
  </si>
  <si>
    <t>CO3-PH25-K</t>
  </si>
  <si>
    <t>PL16x240x240</t>
  </si>
  <si>
    <t>CO4-PL10</t>
  </si>
  <si>
    <t>HB10-PL12</t>
  </si>
  <si>
    <t>PL16x170x170</t>
  </si>
  <si>
    <t>HB1-PL12</t>
  </si>
  <si>
    <t>HB2-PL12</t>
  </si>
  <si>
    <t>HB3-PL12</t>
  </si>
  <si>
    <t>HB4-PL12</t>
  </si>
  <si>
    <t>HB5-PL12</t>
  </si>
  <si>
    <t>HB6-PL12</t>
  </si>
  <si>
    <t>HB7-PL12</t>
  </si>
  <si>
    <t>HB8-PL12</t>
  </si>
  <si>
    <t>HB9-PL12</t>
  </si>
  <si>
    <t>CB1-FL13-C</t>
  </si>
  <si>
    <t>VT-CTV-TT-001-BAI1_BO2-Q355B-SP16-002</t>
  </si>
  <si>
    <t>VT-TCTN.DNS-26004-Z01-059</t>
  </si>
  <si>
    <t>CB1-FL14-C</t>
  </si>
  <si>
    <t>PL16x275x11978</t>
  </si>
  <si>
    <t>CB2-FL11-C</t>
  </si>
  <si>
    <t>PL16x275x12007</t>
  </si>
  <si>
    <t>CB2-FL12-C</t>
  </si>
  <si>
    <t>PL16x275x12005</t>
  </si>
  <si>
    <t>CB4-FL14-C</t>
  </si>
  <si>
    <t>CB5-FL11-C</t>
  </si>
  <si>
    <t>CB5-FL12-C</t>
  </si>
  <si>
    <t>CB3-FL17-C_1B</t>
  </si>
  <si>
    <t>PL16x275x7588</t>
  </si>
  <si>
    <t>VT-CTV-TT-001-BAI1_BO2-Q355B-SP16-003</t>
  </si>
  <si>
    <t>VT-TCTN.DNS-26004-Z01-060</t>
  </si>
  <si>
    <t>CB3-FL18-C_1B</t>
  </si>
  <si>
    <t>CO1-PH25-K</t>
  </si>
  <si>
    <t>CO2-PH25-K</t>
  </si>
  <si>
    <t>BE1-PH6-K</t>
  </si>
  <si>
    <t>PL20x240x250</t>
  </si>
  <si>
    <t>PL20x2000x12000</t>
  </si>
  <si>
    <t>VT-CTV-TT-001-BAI1_BO2-Q355B-SP20-001</t>
  </si>
  <si>
    <t>VT-TCTN.DNS-26004-Z01-061</t>
  </si>
  <si>
    <t>BE2-PH10-K</t>
  </si>
  <si>
    <t>PL20x400x780</t>
  </si>
  <si>
    <t>BE3-PH10-K</t>
  </si>
  <si>
    <t>CB1-PH10-K</t>
  </si>
  <si>
    <t>CB1-PH16-K</t>
  </si>
  <si>
    <t>PL20x326x525</t>
  </si>
  <si>
    <t>CB1-PH23-K</t>
  </si>
  <si>
    <t>PL20x175x180</t>
  </si>
  <si>
    <t>CB1-PL35</t>
  </si>
  <si>
    <t>PL20x180x300</t>
  </si>
  <si>
    <t>CB1-PL42</t>
  </si>
  <si>
    <t>CB1-PL47</t>
  </si>
  <si>
    <t>PL20x200x200</t>
  </si>
  <si>
    <t>CB2-PH10-K</t>
  </si>
  <si>
    <t>CB2-PH23-K</t>
  </si>
  <si>
    <t>CB2-PL19</t>
  </si>
  <si>
    <t>CB2-PL25</t>
  </si>
  <si>
    <t>PL20x326x500</t>
  </si>
  <si>
    <t>CB2-PL27</t>
  </si>
  <si>
    <t>CB2-PL28</t>
  </si>
  <si>
    <t>CB3-PH18-K</t>
  </si>
  <si>
    <t>PL20x326x550</t>
  </si>
  <si>
    <t>CB3-PL45</t>
  </si>
  <si>
    <t>CB4-PH10-K</t>
  </si>
  <si>
    <t>CB4-PH16-K</t>
  </si>
  <si>
    <t>CB4-PH23-K</t>
  </si>
  <si>
    <t>CB4-PL35</t>
  </si>
  <si>
    <t>CB4-PL42</t>
  </si>
  <si>
    <t>CB4-PL47</t>
  </si>
  <si>
    <t>CB5-PH10-K</t>
  </si>
  <si>
    <t>CB5-PH23-K</t>
  </si>
  <si>
    <t>CB5-PL19</t>
  </si>
  <si>
    <t>CB5-PL25</t>
  </si>
  <si>
    <t>CB5-PL27</t>
  </si>
  <si>
    <t>CB5-PL28</t>
  </si>
  <si>
    <t>CB6-PH18-K</t>
  </si>
  <si>
    <t>CB6-PL45</t>
  </si>
  <si>
    <t>CO1-PH5-K</t>
  </si>
  <si>
    <t>PL20x348x350</t>
  </si>
  <si>
    <t>CO1-PH6-K</t>
  </si>
  <si>
    <t>CO2-PH5-K</t>
  </si>
  <si>
    <t>CO2-PH6-K</t>
  </si>
  <si>
    <t>CO3-PH5-K</t>
  </si>
  <si>
    <t>CO3-PH6-K</t>
  </si>
  <si>
    <t>CO4-PH6-K</t>
  </si>
  <si>
    <t>HB10-PH7-K</t>
  </si>
  <si>
    <t>PL20x140x200</t>
  </si>
  <si>
    <t>HB1-PH7-K</t>
  </si>
  <si>
    <t>HB2-PH7-K</t>
  </si>
  <si>
    <t>HB3-PH7-K</t>
  </si>
  <si>
    <t>HB4-PH7-K</t>
  </si>
  <si>
    <t>HB5-PH7-K</t>
  </si>
  <si>
    <t>HB6-PH7-K</t>
  </si>
  <si>
    <t>HB7-PH7-K</t>
  </si>
  <si>
    <t>HB8-PH7-K</t>
  </si>
  <si>
    <t>HB9-PH7-K</t>
  </si>
  <si>
    <t>LP1-PH1-K</t>
  </si>
  <si>
    <t>PL25x486x770</t>
  </si>
  <si>
    <t>PL25x2000x12000</t>
  </si>
  <si>
    <t>VT-CTV-TT-001-BAI1_BO2-Q355B-SP25-001</t>
  </si>
  <si>
    <t>VT-TCTN.DNS-26004-Z01-062</t>
  </si>
  <si>
    <t>CO3-PL1</t>
  </si>
  <si>
    <t>PL25x500x550</t>
  </si>
  <si>
    <t>BE2-PH14</t>
  </si>
  <si>
    <t>PL25x120x240</t>
  </si>
  <si>
    <t>CO2-PL1</t>
  </si>
  <si>
    <t>BE3-PH14</t>
  </si>
  <si>
    <t>CO2-PH1-K</t>
  </si>
  <si>
    <t>CB4-PL37</t>
  </si>
  <si>
    <t>PL25x443x525</t>
  </si>
  <si>
    <t>CO3-PH1-K</t>
  </si>
  <si>
    <t>CB3-PL44</t>
  </si>
  <si>
    <t>PL25x443x550</t>
  </si>
  <si>
    <t>CB6-PH17-K</t>
  </si>
  <si>
    <t>CB6-PL44</t>
  </si>
  <si>
    <t>CO1-PH1-K</t>
  </si>
  <si>
    <t>CB1-PL37</t>
  </si>
  <si>
    <t>CO1-PL1</t>
  </si>
  <si>
    <t>CB3-PH17-K</t>
  </si>
  <si>
    <t>CB1-PL38</t>
  </si>
  <si>
    <t>PL25x200x200</t>
  </si>
  <si>
    <t>CB1-PH15-K</t>
  </si>
  <si>
    <t>CB4-PH15-K</t>
  </si>
  <si>
    <t>CB2-PL23</t>
  </si>
  <si>
    <t>CB4-PL38</t>
  </si>
  <si>
    <t>CB2-PL24</t>
  </si>
  <si>
    <t>PL25x443x500</t>
  </si>
  <si>
    <t>CB5-PL24</t>
  </si>
  <si>
    <t>LP1-PL16</t>
  </si>
  <si>
    <t>PL25x375x500</t>
  </si>
  <si>
    <t>CO3-PL7</t>
  </si>
  <si>
    <t>CO2-PL7</t>
  </si>
  <si>
    <t>BE1-PH4-K</t>
  </si>
  <si>
    <t>PL25x250x300</t>
  </si>
  <si>
    <t>CO1-PL7</t>
  </si>
  <si>
    <t>CO4-PH9-K</t>
  </si>
  <si>
    <t>BE2-PH12-K</t>
  </si>
  <si>
    <t>PL25x240x300</t>
  </si>
  <si>
    <t>BE2-PH11-K</t>
  </si>
  <si>
    <t>BE3-PH12-K</t>
  </si>
  <si>
    <t>CB5-PL23</t>
  </si>
  <si>
    <t>BE3-PH11-K</t>
  </si>
  <si>
    <t>CB2-PH19-K</t>
  </si>
  <si>
    <t>PL30x390x670</t>
  </si>
  <si>
    <t>PL30x2000x12000</t>
  </si>
  <si>
    <t>VT-CTV-TT-001-BAI1_BO2-Q355B-SP30-001</t>
  </si>
  <si>
    <t>VT-TCTN.DNS-26004-Z01-063</t>
  </si>
  <si>
    <t>CB2-PH22-K</t>
  </si>
  <si>
    <t>PL30x290x670</t>
  </si>
  <si>
    <t>CB3-PH20-K</t>
  </si>
  <si>
    <t>CB3-PH21-K</t>
  </si>
  <si>
    <t>CB5-PH19-K</t>
  </si>
  <si>
    <t>CB5-PH22-K</t>
  </si>
  <si>
    <t>CB6-PH20-K</t>
  </si>
  <si>
    <t>CB6-PH21-K</t>
  </si>
  <si>
    <t>CO1-PH24-K</t>
  </si>
  <si>
    <t>PL30x315x460</t>
  </si>
  <si>
    <t>CO1-PH28-K</t>
  </si>
  <si>
    <t>PL30x260x400</t>
  </si>
  <si>
    <t>CO1-PL15</t>
  </si>
  <si>
    <t>PL30x69x100</t>
  </si>
  <si>
    <t>CO2-PH24-K</t>
  </si>
  <si>
    <t>CO2-PL15</t>
  </si>
  <si>
    <t>CO3-PH24-K</t>
  </si>
  <si>
    <t>CO3-PH28-K</t>
  </si>
  <si>
    <t>CO3-PL15</t>
  </si>
  <si>
    <t>LP1-PH8-K</t>
  </si>
  <si>
    <t>PL30x275x300</t>
  </si>
  <si>
    <t>CB1-PL33-C</t>
  </si>
  <si>
    <t>Q355</t>
  </si>
  <si>
    <t>PL60x70x8980</t>
  </si>
  <si>
    <t>PL60x594x12000</t>
  </si>
  <si>
    <t>VT-CTV-TT-001-BAI1_BO2-Q355-SP60-001</t>
  </si>
  <si>
    <t>VT-HV-TT-064-SUPTRUSS -X01-Q355-SP60-003</t>
  </si>
  <si>
    <t>VT-TCTN.DNS-26004-Z01-064</t>
  </si>
  <si>
    <t>CB2-PL22-C</t>
  </si>
  <si>
    <t>PL60x70x11303</t>
  </si>
  <si>
    <t>CB3-PL39-C_1A</t>
  </si>
  <si>
    <t>PL60x68x12000</t>
  </si>
  <si>
    <t>CB3-PL39-C_1B</t>
  </si>
  <si>
    <t>PL60x63x7588</t>
  </si>
  <si>
    <t>CB4-PL33-C</t>
  </si>
  <si>
    <t>CB5-PL22-C</t>
  </si>
  <si>
    <t>CB6-PL39-C_1A</t>
  </si>
  <si>
    <t>PL60x70x12000</t>
  </si>
  <si>
    <t>CB6-PL39-C_1B</t>
  </si>
  <si>
    <t>PL60x70x7587</t>
  </si>
  <si>
    <t>Phiếu Yêu Cầu Vật Tư - VT-CTV-TT-001</t>
  </si>
  <si>
    <t>No
STT</t>
  </si>
  <si>
    <t>Project name
Dự Án</t>
  </si>
  <si>
    <t>NESTING NO</t>
  </si>
  <si>
    <t>Phase
Hạng Mục</t>
  </si>
  <si>
    <t>Type
PCS</t>
  </si>
  <si>
    <t>Material
Mác Thép</t>
  </si>
  <si>
    <t>Size
Quy Cách</t>
  </si>
  <si>
    <t>Thickness
(mm)</t>
  </si>
  <si>
    <t>Width
(mm)</t>
  </si>
  <si>
    <t>Length
(mm)</t>
  </si>
  <si>
    <t>Unit
ĐVT</t>
  </si>
  <si>
    <t>KLR
(Kg/m3)</t>
  </si>
  <si>
    <t>Qty
S.Lượng</t>
  </si>
  <si>
    <t>Weight
(kg)</t>
  </si>
  <si>
    <t>Nguồn Gốc
Vật Tư</t>
  </si>
  <si>
    <t>Khối Lượng
Thành Phẩm</t>
  </si>
  <si>
    <t>Lệnh Xuất Vật Tư
Nguyên Khổ (kg)</t>
  </si>
  <si>
    <t>Lệnh Xuất 
Remain (kg)</t>
  </si>
  <si>
    <t>Lệnh Thu
Remain (kg)</t>
  </si>
  <si>
    <t>Lệnh Thu
Phế Liệu (kg)</t>
  </si>
  <si>
    <t>Phế Liệu Tiêu Hao
(Không Thu Hồi) (kg)</t>
  </si>
  <si>
    <t>Lần
Ban
Hành</t>
  </si>
  <si>
    <t>Lệnh Sản Xuất</t>
  </si>
  <si>
    <t>REV</t>
  </si>
  <si>
    <t>NGƯỜI BAN HÀNH</t>
  </si>
  <si>
    <t>PLATE</t>
  </si>
  <si>
    <t>2x1300x4000</t>
  </si>
  <si>
    <t>Pcs</t>
  </si>
  <si>
    <t>VT-CTV-TT-001</t>
  </si>
  <si>
    <t>PHAN THANH TRUNG</t>
  </si>
  <si>
    <t>5x1500x6000</t>
  </si>
  <si>
    <t>6x1500x12000</t>
  </si>
  <si>
    <t>8x2000x12000</t>
  </si>
  <si>
    <t>8x322x696</t>
  </si>
  <si>
    <t>10x1500x12000</t>
  </si>
  <si>
    <t>12x1500x12000</t>
  </si>
  <si>
    <t>16x2000x12000</t>
  </si>
  <si>
    <t>20x2000x12000</t>
  </si>
  <si>
    <t>25x2000x12000</t>
  </si>
  <si>
    <t>30x2000x12000</t>
  </si>
  <si>
    <t>60x594x12000</t>
  </si>
  <si>
    <t>Thông Tin Dự Án</t>
  </si>
  <si>
    <t>Số Liệu Trung Bình Cho Dự Án</t>
  </si>
  <si>
    <t>ĐVT</t>
  </si>
  <si>
    <t>Project:</t>
  </si>
  <si>
    <t>Phase:</t>
  </si>
  <si>
    <t>OMS:</t>
  </si>
  <si>
    <t>Nesting:</t>
  </si>
  <si>
    <t>LSX:</t>
  </si>
  <si>
    <t>Rev:</t>
  </si>
  <si>
    <t>Date:</t>
  </si>
  <si>
    <t>I. Số Liệu Chi Tiết Thép Tấm (Plate)</t>
  </si>
  <si>
    <t>DÀY</t>
  </si>
  <si>
    <t>Nesting No</t>
  </si>
  <si>
    <t>Tấm mới (New Plate)</t>
  </si>
  <si>
    <t>Remain Sử Dụng(In)</t>
  </si>
  <si>
    <t>Thành Phẩm</t>
  </si>
  <si>
    <t>Remain Sinh Ra(Out)</t>
  </si>
  <si>
    <t>%Remain</t>
  </si>
  <si>
    <t>Tiêu Hao (kg)</t>
  </si>
  <si>
    <t>Phế Liệu(Waste)</t>
  </si>
  <si>
    <t>%Phế Liệu</t>
  </si>
  <si>
    <t>%Hao Hụt</t>
  </si>
  <si>
    <t>LSX</t>
  </si>
  <si>
    <t>Lần B.Hành</t>
  </si>
  <si>
    <t>TỔNG CHIỀU DÀI ĐƯỜNG CẮT</t>
  </si>
  <si>
    <t>PL2</t>
  </si>
  <si>
    <t>PL5</t>
  </si>
  <si>
    <t>PL6</t>
  </si>
  <si>
    <t>PL8</t>
  </si>
  <si>
    <t>PL10</t>
  </si>
  <si>
    <t>PL12</t>
  </si>
  <si>
    <t>PL16</t>
  </si>
  <si>
    <t>PL20</t>
  </si>
  <si>
    <t>PL25</t>
  </si>
  <si>
    <t>PL30</t>
  </si>
  <si>
    <t>PL60</t>
  </si>
  <si>
    <t>Tổng Thành Phẩm (Total Nesting) :</t>
  </si>
  <si>
    <t>kg</t>
  </si>
  <si>
    <t>Tổng Tấm Mới Cấp Vào (New Plate) :</t>
  </si>
  <si>
    <t>Tổng Remain Cấp Vào (Remain In) :</t>
  </si>
  <si>
    <t>Tổng Remain Sinh Ra (Remain Out):</t>
  </si>
  <si>
    <t>% Remain:</t>
  </si>
  <si>
    <t>%</t>
  </si>
  <si>
    <t>Tổng tiêu hao:</t>
  </si>
  <si>
    <t>Tổng Phế Liệu (Waste) :</t>
  </si>
  <si>
    <t>% Phế Liệu (% Waste) :</t>
  </si>
  <si>
    <t>Hao Hụt:</t>
  </si>
  <si>
    <t>LỆNH SẢN XUẤT/ PRODUCTION ORDER</t>
  </si>
  <si>
    <t>CÔNG TRÌNH/ CONSTRUCTION:</t>
  </si>
  <si>
    <t>LSX/ PRODUCTION ORDER :</t>
  </si>
  <si>
    <t>Hạng mục/ Items:</t>
  </si>
  <si>
    <t>Đơn vị gia công/ Processing unit:</t>
  </si>
  <si>
    <t>SC-VT1</t>
  </si>
  <si>
    <t>Lệnh xuất:</t>
  </si>
  <si>
    <t>Lệnh thu lỡ cỡ:</t>
  </si>
  <si>
    <t>Lệnh Thu phế liệu:</t>
  </si>
  <si>
    <t>STT/
No.</t>
  </si>
  <si>
    <t>Tên/ mã số
Name/code</t>
  </si>
  <si>
    <t>Dày/
Thickness</t>
  </si>
  <si>
    <t>Rộng/
Width</t>
  </si>
  <si>
    <t>Dài/
Length</t>
  </si>
  <si>
    <t>Mác thép/ Steel mark</t>
  </si>
  <si>
    <t>ĐVT/ Unit</t>
  </si>
  <si>
    <t>SL / Qty</t>
  </si>
  <si>
    <t>Khối lượng/
Weight (kg)</t>
  </si>
  <si>
    <t>ĐV CẮT</t>
  </si>
  <si>
    <t>Đơn Vị
Gia Công</t>
  </si>
  <si>
    <t>Đơn Vị Nhận</t>
  </si>
  <si>
    <t>Lưu ý</t>
  </si>
  <si>
    <t>Có Lỗ</t>
  </si>
  <si>
    <t>Cánh Bụng
bản mã</t>
  </si>
  <si>
    <t>Nguyên Khổ</t>
  </si>
  <si>
    <t>Lỡ Cỡ</t>
  </si>
  <si>
    <t>Tận Dụng</t>
  </si>
  <si>
    <t>Chấn
Bend</t>
  </si>
  <si>
    <t>Vát
Mép</t>
  </si>
  <si>
    <t>Lần Ban
Hành</t>
  </si>
  <si>
    <t>Ngày B.hành</t>
  </si>
  <si>
    <t>NESTING</t>
  </si>
  <si>
    <t>SC</t>
  </si>
  <si>
    <t>Lệnh cấp phát và thu hồi VT  Prd Order ZP02 (*)</t>
  </si>
  <si>
    <t>Mã vật tư (*)</t>
  </si>
  <si>
    <t>Tên vật tư</t>
  </si>
  <si>
    <t>Lô</t>
  </si>
  <si>
    <t>KL yêu cầu xuất kho/ thu hồi (*)</t>
  </si>
  <si>
    <t>Nhà máy xuất (*)</t>
  </si>
  <si>
    <t>Kho xuất (*)</t>
  </si>
  <si>
    <t>Đã hoàn thành cấp/ thu hồi  (Chỉ khai báo nếu chọn phương án thu thập KL đã xuất/ thu hồi)</t>
  </si>
  <si>
    <t>Xưởng nhận (*)</t>
  </si>
  <si>
    <t>"Mã sơ đồ cắt  Cutting Plan (*)"</t>
  </si>
  <si>
    <t>Lệnh sản xuất</t>
  </si>
  <si>
    <t>Dự án</t>
  </si>
  <si>
    <t>Ngày Up SDC</t>
  </si>
  <si>
    <t>Người Up SDC</t>
  </si>
  <si>
    <t>Tồn Thép</t>
  </si>
  <si>
    <t>Mác Thép</t>
  </si>
  <si>
    <t>Hao hụt đường cắt  Scrap</t>
  </si>
  <si>
    <t>KL phế liệu thu hồi  By - Product</t>
  </si>
  <si>
    <t>Khối lượng lỡ cỡ phải thu hồi  Off - cut GI</t>
  </si>
  <si>
    <t>GHI CHÚ</t>
  </si>
  <si>
    <t>Tình Trạng</t>
  </si>
  <si>
    <t>Bom item</t>
  </si>
  <si>
    <t>SCVT1</t>
  </si>
  <si>
    <t>Thép tấm 2MM SS400</t>
  </si>
  <si>
    <t>1.3x4</t>
  </si>
  <si>
    <t>TAM</t>
  </si>
  <si>
    <t>Thép tấm lỡ cỡ cường độ Thường</t>
  </si>
  <si>
    <t>KG</t>
  </si>
  <si>
    <t>VT-TCTN.DNS-26004-Z01-001.1</t>
  </si>
  <si>
    <t>VT-TCTN.DNS-26004-Z01-004.1</t>
  </si>
  <si>
    <t>VT-TCTN.DNS-26004-Z01-005.1</t>
  </si>
  <si>
    <t>VT-TCTN.DNS-26004-Z01-006.1</t>
  </si>
  <si>
    <t>VT-TCTN.DNS-26004-Z01-007.1</t>
  </si>
  <si>
    <t>VT-TCTN.DNS-26004-Z01-008.1</t>
  </si>
  <si>
    <t>VT-TCTN.DNS-26004-Z01-009.1</t>
  </si>
  <si>
    <t>VT-TCTN.DNS-26004-Z01-010.1</t>
  </si>
  <si>
    <t>Thép tấm 5MM Q355B</t>
  </si>
  <si>
    <t>1.5x6</t>
  </si>
  <si>
    <t>Thép tấm lỡ cỡ cường độ Cao</t>
  </si>
  <si>
    <t>VT-TCTN.DNS-26004-Z01-011.1</t>
  </si>
  <si>
    <t>Thép tấm 6MM Q355B</t>
  </si>
  <si>
    <t>1.5x12</t>
  </si>
  <si>
    <t>VT-TCTN.DNS-26004-Z01-012.1</t>
  </si>
  <si>
    <t>VT-TCTN.DNS-26004-Z01-013.1</t>
  </si>
  <si>
    <t>VT-TCTN.DNS-26004-Z01-014.1</t>
  </si>
  <si>
    <t>VT-TCTN.DNS-26004-Z01-015.1</t>
  </si>
  <si>
    <t>VT-TCTN.DNS-26004-Z01-016.1</t>
  </si>
  <si>
    <t>VT-TCTN.DNS-26004-Z01-017.1</t>
  </si>
  <si>
    <t>VT-TCTN.DNS-26004-Z01-018.1</t>
  </si>
  <si>
    <t>VT-TCTN.DNS-26004-Z01-019.1</t>
  </si>
  <si>
    <t>VT-TCTN.DNS-26004-Z01-020.1</t>
  </si>
  <si>
    <t>VT-TCTN.DNS-26004-Z01-021.1</t>
  </si>
  <si>
    <t>VT-TCTN.DNS-26004-Z01-022.1</t>
  </si>
  <si>
    <t>VT-TCTN.DNS-26004-Z01-023.1</t>
  </si>
  <si>
    <t>VT-TCTN.DNS-26004-Z01-024.1</t>
  </si>
  <si>
    <t>VT-TCTN.DNS-26004-Z01-025.1</t>
  </si>
  <si>
    <t>VT-TCTN.DNS-26004-Z01-026.1</t>
  </si>
  <si>
    <t>VT-TCTN.DNS-26004-Z01-027.1</t>
  </si>
  <si>
    <t>VT-TCTN.DNS-26004-Z01-029.1</t>
  </si>
  <si>
    <t>Thép tấm 8MM Q355B</t>
  </si>
  <si>
    <t>2x12</t>
  </si>
  <si>
    <t>Thép tấm 10MM Q355B</t>
  </si>
  <si>
    <t>VT-TCTN.DNS-26004-Z01-051.1</t>
  </si>
  <si>
    <t>Thép tấm 12MM Q355B</t>
  </si>
  <si>
    <t>VT-TCTN.DNS-26004-Z01-052.1</t>
  </si>
  <si>
    <t>VT-TCTN.DNS-26004-Z01-053.1</t>
  </si>
  <si>
    <t>VT-TCTN.DNS-26004-Z01-054.1</t>
  </si>
  <si>
    <t>VT-TCTN.DNS-26004-Z01-055.1</t>
  </si>
  <si>
    <t>VT-TCTN.DNS-26004-Z01-056.1</t>
  </si>
  <si>
    <t>VT-TCTN.DNS-26004-Z01-057.1</t>
  </si>
  <si>
    <t>Thép tấm 16MM Q355B</t>
  </si>
  <si>
    <t>VT-TCTN.DNS-26004-Z01-060.1</t>
  </si>
  <si>
    <t>Thép tấm 20MM Q355B</t>
  </si>
  <si>
    <t>VT-TCTN.DNS-26004-Z01-061.1</t>
  </si>
  <si>
    <t>Thép tấm 25MM Q355B</t>
  </si>
  <si>
    <t>VT-TCTN.DNS-26004-Z01-062.1</t>
  </si>
  <si>
    <t>Thép tấm 30MM Q355B</t>
  </si>
  <si>
    <t>VT-TCTN.DNS-26004-Z01-063.1</t>
  </si>
  <si>
    <t>Thép tấm lỡ cỡ</t>
  </si>
  <si>
    <t>VT-TCTN.DNS-26004-Z01-064.1</t>
  </si>
  <si>
    <t>TCTN.DNS.26.004 ĐƯỜNG CAO TỐC VIN</t>
  </si>
  <si>
    <t>TCTN.DNS-26004</t>
  </si>
  <si>
    <t>CỔNG TRỤC 80 TẤN- BÃI 1 BỘ 2</t>
  </si>
  <si>
    <t>VT-CTV-TT-002-BAI1_BO1-SS400-SP2-001</t>
  </si>
  <si>
    <t>CỔNG TRỤC 80 TẤN- BÃI 1 BỘ 1</t>
  </si>
  <si>
    <t>VT-TCTN.DNS-26004-Z01-065</t>
  </si>
  <si>
    <t>VT-CTV-TT-002-BAI1_BO1-SS400-SP2-002</t>
  </si>
  <si>
    <t>VT-TCTN.DNS-26004-Z01-066</t>
  </si>
  <si>
    <t>VT-CTV-TT-002-BAI1_BO1-SS400-SP2-003</t>
  </si>
  <si>
    <t>VT-TCTN.DNS-26004-Z01-067</t>
  </si>
  <si>
    <t>VT-CTV-TT-002-BAI1_BO1-SS400-SP2-004</t>
  </si>
  <si>
    <t>VT-TCTN.DNS-26004-Z01-068</t>
  </si>
  <si>
    <t>VT-CTV-TT-002-BAI1_BO1-SS400-SP2-005</t>
  </si>
  <si>
    <t>VT-TCTN.DNS-26004-Z01-069</t>
  </si>
  <si>
    <t>VT-CTV-TT-002-BAI1_BO1-SS400-SP2-006</t>
  </si>
  <si>
    <t>VT-TCTN.DNS-26004-Z01-070</t>
  </si>
  <si>
    <t>VT-CTV-TT-002-BAI1_BO1-SS400-SP2-007</t>
  </si>
  <si>
    <t>VT-TCTN.DNS-26004-Z01-071</t>
  </si>
  <si>
    <t>VT-CTV-TT-002-BAI1_BO1-SS400-SP2-008</t>
  </si>
  <si>
    <t>VT-TCTN.DNS-26004-Z01-072</t>
  </si>
  <si>
    <t>VT-CTV-TT-002-BAI1_BO1-SS400-SP2-009</t>
  </si>
  <si>
    <t>VT-CTV-TT-001 -BAI1_BO2-SS400-SP2-009</t>
  </si>
  <si>
    <t>VT-TCTN.DNS-26004-Z01-073</t>
  </si>
  <si>
    <t>VT-CTV-TT-002-BAI1_BO1-SS400-SP2-010</t>
  </si>
  <si>
    <t>VT-TCTN.DNS-26004-Z01-074</t>
  </si>
  <si>
    <t>PL5x1500x1800</t>
  </si>
  <si>
    <t>VT-CTV-TT-002-BAI1_BO1-Q355B-SP5-001</t>
  </si>
  <si>
    <t>VT-CTV-TT-001 -BAI1_BO2-Q355B-SP5-001</t>
  </si>
  <si>
    <t>VT-TCTN.DNS-26004-Z01-075</t>
  </si>
  <si>
    <t>VT-CTV-TT-002-BAI1_BO1-Q355B-SP5-002</t>
  </si>
  <si>
    <t>VT-TCTN.DNS-26004-Z01-076</t>
  </si>
  <si>
    <t>VT-CTV-TT-002-BAI1_BO1-Q355B-SP6-001</t>
  </si>
  <si>
    <t>VT-TCTN.DNS-26004-Z01-077</t>
  </si>
  <si>
    <t>VT-CTV-TT-002-BAI1_BO1-Q355B-SP6-002</t>
  </si>
  <si>
    <t>VT-TCTN.DNS-26004-Z01-078</t>
  </si>
  <si>
    <t>VT-CTV-TT-002-BAI1_BO1-Q355B-SP6-003</t>
  </si>
  <si>
    <t>VT-TCTN.DNS-26004-Z01-079</t>
  </si>
  <si>
    <t>VT-CTV-TT-002-BAI1_BO1-Q355B-SP6-004</t>
  </si>
  <si>
    <t>VT-TCTN.DNS-26004-Z01-080</t>
  </si>
  <si>
    <t>VT-CTV-TT-002-BAI1_BO1-Q355B-SP6-005</t>
  </si>
  <si>
    <t>VT-TCTN.DNS-26004-Z01-081</t>
  </si>
  <si>
    <t>VT-CTV-TT-002-BAI1_BO1-Q355B-SP6-006</t>
  </si>
  <si>
    <t>VT-TCTN.DNS-26004-Z01-082</t>
  </si>
  <si>
    <t>VT-CTV-TT-002-BAI1_BO1-Q355B-SP6-007</t>
  </si>
  <si>
    <t>VT-TCTN.DNS-26004-Z01-083</t>
  </si>
  <si>
    <t>VT-CTV-TT-002-BAI1_BO1-Q355B-SP6-008</t>
  </si>
  <si>
    <t>VT-TCTN.DNS-26004-Z01-084</t>
  </si>
  <si>
    <t>VT-CTV-TT-002-BAI1_BO1-Q355B-SP6-009</t>
  </si>
  <si>
    <t>VT-TCTN.DNS-26004-Z01-085</t>
  </si>
  <si>
    <t>VT-CTV-TT-002-BAI1_BO1-Q355B-SP6-010</t>
  </si>
  <si>
    <t>VT-TCTN.DNS-26004-Z01-086</t>
  </si>
  <si>
    <t>VT-CTV-TT-002-BAI1_BO1-Q355B-SP6-011</t>
  </si>
  <si>
    <t>VT-TCTN.DNS-26004-Z01-087</t>
  </si>
  <si>
    <t>VT-CTV-TT-002-BAI1_BO1-Q355B-SP6-012</t>
  </si>
  <si>
    <t>VT-TCTN.DNS-26004-Z01-088</t>
  </si>
  <si>
    <t>VT-CTV-TT-002-BAI1_BO1-Q355B-SP6-013</t>
  </si>
  <si>
    <t>VT-TCTN.DNS-26004-Z01-089</t>
  </si>
  <si>
    <t>VT-CTV-TT-002-BAI1_BO1-Q355B-SP6-014</t>
  </si>
  <si>
    <t>VT-TCTN.DNS-26004-Z01-090</t>
  </si>
  <si>
    <t>VT-CTV-TT-002-BAI1_BO1-Q355B-SP6-015</t>
  </si>
  <si>
    <t>VT-TCTN.DNS-26004-Z01-091</t>
  </si>
  <si>
    <t>VT-CTV-TT-002-BAI1_BO1-Q355B-SP6-016</t>
  </si>
  <si>
    <t>VT-TCTN.DNS-26004-Z01-092</t>
  </si>
  <si>
    <t>VT-CTV-TT-002-BAI1_BO1-Q355B-SP6-017</t>
  </si>
  <si>
    <t>VT-TCTN.DNS-26004-Z01-093</t>
  </si>
  <si>
    <t>PL6x1500x6325</t>
  </si>
  <si>
    <t>VT-CTV-TT-002-BAI1_BO1-Q355B-SP6-018</t>
  </si>
  <si>
    <t>VT-CTV-TT-001 -BAI1_BO2-Q355B-SP6-018_2</t>
  </si>
  <si>
    <t>VT-TCTN.DNS-26004-Z01-094</t>
  </si>
  <si>
    <t>VT-CTV-TT-002-BAI1_BO1-Q355B-SP8-001</t>
  </si>
  <si>
    <t>VT-TCTN.DNS-26004-Z01-095</t>
  </si>
  <si>
    <t>VT-CTV-TT-002-BAI1_BO1-Q355B-SP8-002</t>
  </si>
  <si>
    <t>VT-TCTN.DNS-26004-Z01-096</t>
  </si>
  <si>
    <t>VT-CTV-TT-002-BAI1_BO1-Q355B-SP8-003</t>
  </si>
  <si>
    <t>VT-TCTN.DNS-26004-Z01-097</t>
  </si>
  <si>
    <t>VT-CTV-TT-002-BAI1_BO1-Q355B-SP8-004</t>
  </si>
  <si>
    <t>VT-TCTN.DNS-26004-Z01-098</t>
  </si>
  <si>
    <t>VT-CTV-TT-002-BAI1_BO1-Q355B-SP8-005</t>
  </si>
  <si>
    <t>VT-TCTN.DNS-26004-Z01-099</t>
  </si>
  <si>
    <t>VT-CTV-TT-002-BAI1_BO1-Q355B-SP8-006</t>
  </si>
  <si>
    <t>VT-TCTN.DNS-26004-Z01-100</t>
  </si>
  <si>
    <t>VT-CTV-TT-002-BAI1_BO1-Q355B-SP8-007</t>
  </si>
  <si>
    <t>VT-TCTN.DNS-26004-Z01-101</t>
  </si>
  <si>
    <t>VT-CTV-TT-002-BAI1_BO1-Q355B-SP8-008</t>
  </si>
  <si>
    <t>VT-TCTN.DNS-26004-Z01-102</t>
  </si>
  <si>
    <t>VT-CTV-TT-002-BAI1_BO1-Q355B-SP8-009</t>
  </si>
  <si>
    <t>VT-TCTN.DNS-26004-Z01-103</t>
  </si>
  <si>
    <t>VT-CTV-TT-002-BAI1_BO1-Q355B-SP8-010</t>
  </si>
  <si>
    <t>VT-TCTN.DNS-26004-Z01-104</t>
  </si>
  <si>
    <t>VT-CTV-TT-002-BAI1_BO1-Q355B-SP8-011</t>
  </si>
  <si>
    <t>VT-TCTN.DNS-26004-Z01-105</t>
  </si>
  <si>
    <t>VT-CTV-TT-002-BAI1_BO1-Q355B-SP10-001</t>
  </si>
  <si>
    <t>VT-TCTN.DNS-26004-Z01-106</t>
  </si>
  <si>
    <t>VT-CTV-TT-002-BAI1_BO1-Q355B-SP10-002</t>
  </si>
  <si>
    <t>VT-TCTN.DNS-26004-Z01-107</t>
  </si>
  <si>
    <t>VT-CTV-TT-002-BAI1_BO1-Q355B-SP10-003</t>
  </si>
  <si>
    <t>VT-TCTN.DNS-26004-Z01-108</t>
  </si>
  <si>
    <t>VT-CTV-TT-002-BAI1_BO1-Q355B-SP10-004</t>
  </si>
  <si>
    <t>VT-TCTN.DNS-26004-Z01-109</t>
  </si>
  <si>
    <t>VT-CTV-TT-002-BAI1_BO1-Q355B-SP10-005</t>
  </si>
  <si>
    <t>VT-TCTN.DNS-26004-Z01-110</t>
  </si>
  <si>
    <t>VT-CTV-TT-002-BAI1_BO1-Q355B-SP10-006</t>
  </si>
  <si>
    <t>VT-TCTN.DNS-26004-Z01-111</t>
  </si>
  <si>
    <t>VT-CTV-TT-002-BAI1_BO1-Q355B-SP10-007</t>
  </si>
  <si>
    <t>VT-TCTN.DNS-26004-Z01-112</t>
  </si>
  <si>
    <t>VT-CTV-TT-002-BAI1_BO1-Q355B-SP10-008</t>
  </si>
  <si>
    <t>VT-TCTN.DNS-26004-Z01-113</t>
  </si>
  <si>
    <t>VT-CTV-TT-002-BAI1_BO1-Q355B-SP10-009</t>
  </si>
  <si>
    <t>VT-TCTN.DNS-26004-Z01-114</t>
  </si>
  <si>
    <t>VT-CTV-TT-002-BAI1_BO1-Q355B-SP10-010</t>
  </si>
  <si>
    <t>VT-TCTN.DNS-26004-Z01-115</t>
  </si>
  <si>
    <t>PL10x1500x11542</t>
  </si>
  <si>
    <t>VT-CTV-TT-002-BAI1_BO1-Q355B-SP10-011</t>
  </si>
  <si>
    <t>VT-CTV-TT-001 -BAI1_BO2-Q355B-SP10-011</t>
  </si>
  <si>
    <t>VT-TCTN.DNS-26004-Z01-116</t>
  </si>
  <si>
    <t>VT-CTV-TT-002-BAI1_BO1-Q355B-SP12-001</t>
  </si>
  <si>
    <t>VT-TCTN.DNS-26004-Z01-117</t>
  </si>
  <si>
    <t>VT-CTV-TT-002-BAI1_BO1-Q355B-SP12-002</t>
  </si>
  <si>
    <t>VT-TCTN.DNS-26004-Z01-118</t>
  </si>
  <si>
    <t>VT-CTV-TT-002-BAI1_BO1-Q355B-SP12-003</t>
  </si>
  <si>
    <t>VT-TCTN.DNS-26004-Z01-119</t>
  </si>
  <si>
    <t>VT-CTV-TT-002-BAI1_BO1-Q355B-SP12-004</t>
  </si>
  <si>
    <t>VT-TCTN.DNS-26004-Z01-120</t>
  </si>
  <si>
    <t>VT-CTV-TT-002-BAI1_BO1-Q355B-SP12-005</t>
  </si>
  <si>
    <t>VT-TCTN.DNS-26004-Z01-121</t>
  </si>
  <si>
    <t>VT-CTV-TT-002-BAI1_BO1-Q355B-SP12-006</t>
  </si>
  <si>
    <t>VT-CTV-TT-001 -BAI1_BO2-Q355B-SP12-006</t>
  </si>
  <si>
    <t>VT-TCTN.DNS-26004-Z01-122</t>
  </si>
  <si>
    <t>VT-CTV-TT-002-BAI1_BO1-Q355B-SP16-001</t>
  </si>
  <si>
    <t>VT-TCTN.DNS-26004-Z01-123</t>
  </si>
  <si>
    <t>VT-CTV-TT-002-BAI1_BO1-Q355B-SP16-002</t>
  </si>
  <si>
    <t>VT-TCTN.DNS-26004-Z01-124</t>
  </si>
  <si>
    <t>PL16x2000x12020</t>
  </si>
  <si>
    <t>VT-CTV-TT-002-BAI1_BO1-Q355B-SP16-003</t>
  </si>
  <si>
    <t>VT-CTV-TT-001 -BAI1_BO2-Q355B-SP16-003</t>
  </si>
  <si>
    <t>VT-TCTN.DNS-26004-Z01-125</t>
  </si>
  <si>
    <t>VT-CTV-TT-002-BAI1_BO1-Q355B-SP20-001</t>
  </si>
  <si>
    <t>VT-TCTN.DNS-26004-Z01-126</t>
  </si>
  <si>
    <t>CB2-PL25-K</t>
  </si>
  <si>
    <t>CB5-PL25-K</t>
  </si>
  <si>
    <t>PL20x715x984</t>
  </si>
  <si>
    <t>VT-CTV-TT-002-BAI1_BO1-Q355B-SP20-002</t>
  </si>
  <si>
    <t>VT-CTV-TT-001 -BAI1_BO2-Q355B-SP20-001</t>
  </si>
  <si>
    <t>VT-TCTN.DNS-26004-Z01-127</t>
  </si>
  <si>
    <t>PL25x2000x4720</t>
  </si>
  <si>
    <t>VT-CTV-TT-002-BAI1_BO1-Q355B-SP25-001</t>
  </si>
  <si>
    <t>VT-CTV-TT-001 -BAI1_BO2-Q355B-SP25-001</t>
  </si>
  <si>
    <t>VT-TCTN.DNS-26004-Z01-128</t>
  </si>
  <si>
    <t>BE2-PH14-K</t>
  </si>
  <si>
    <t>PL25x501x744</t>
  </si>
  <si>
    <t>VT-CTV-TT-002-BAI1_BO1-Q355B-SP25-002</t>
  </si>
  <si>
    <t>VT-TCTN.DNS-26004-Z01-129</t>
  </si>
  <si>
    <t>BE3-PH14-K</t>
  </si>
  <si>
    <t>PL30x2000x8364</t>
  </si>
  <si>
    <t>VT-CTV-TT-002-BAI1_BO1-Q355B-SP30-001</t>
  </si>
  <si>
    <t>VT-CTV-TT-001 -BAI1_BO2-Q355B-SP30-001</t>
  </si>
  <si>
    <t>VT-TCTN.DNS-26004-Z01-130</t>
  </si>
  <si>
    <t>PL60x432x11364</t>
  </si>
  <si>
    <t>VT-CTV-TT-002-BAI1_BO1-Q355-SP60-001</t>
  </si>
  <si>
    <t>VT-HV-TT-057-SUPERTRUSS -X28-Q355-SP60-003</t>
  </si>
  <si>
    <t>VT-TCTN.DNS-26004-Z01-131</t>
  </si>
  <si>
    <t>PL60x432x12000</t>
  </si>
  <si>
    <t>VT-CTV-TT-002-BAI1_BO1-Q355-SP60-002</t>
  </si>
  <si>
    <t>VT-HV-TT-057-SUPERTRUSS -X28-Q355-SP60-002</t>
  </si>
  <si>
    <t>VT-TCTN.DNS-26004-Z01-132</t>
  </si>
  <si>
    <t>VT-CTV-TT-002</t>
  </si>
  <si>
    <t>5x1500x1800</t>
  </si>
  <si>
    <t>6x1500x6325</t>
  </si>
  <si>
    <t>10x1500x11542</t>
  </si>
  <si>
    <t>16x2000x12020</t>
  </si>
  <si>
    <t>20x715x984</t>
  </si>
  <si>
    <t>25x2000x4720</t>
  </si>
  <si>
    <t>30x2000x8364</t>
  </si>
  <si>
    <t>60x432x11364</t>
  </si>
  <si>
    <t>60x432x12000</t>
  </si>
  <si>
    <t>VT-TCTN.DNS-26004-Z01-065.1</t>
  </si>
  <si>
    <t>VT-TCTN.DNS-26004-Z01-068.1</t>
  </si>
  <si>
    <t>VT-TCTN.DNS-26004-Z01-069.1</t>
  </si>
  <si>
    <t>VT-TCTN.DNS-26004-Z01-070.1</t>
  </si>
  <si>
    <t>VT-TCTN.DNS-26004-Z01-071.1</t>
  </si>
  <si>
    <t>VT-TCTN.DNS-26004-Z01-072.1</t>
  </si>
  <si>
    <t>VT-TCTN.DNS-26004-Z01-073.1</t>
  </si>
  <si>
    <t>VT-TCTN.DNS-26004-Z01-074.1</t>
  </si>
  <si>
    <t>VT-TCTN.DNS-26004-Z01-076.1</t>
  </si>
  <si>
    <t>VT-TCTN.DNS-26004-Z01-077.1</t>
  </si>
  <si>
    <t>VT-TCTN.DNS-26004-Z01-078.1</t>
  </si>
  <si>
    <t>VT-TCTN.DNS-26004-Z01-079.1</t>
  </si>
  <si>
    <t>VT-TCTN.DNS-26004-Z01-080.1</t>
  </si>
  <si>
    <t>VT-TCTN.DNS-26004-Z01-081.1</t>
  </si>
  <si>
    <t>VT-TCTN.DNS-26004-Z01-082.1</t>
  </si>
  <si>
    <t>VT-TCTN.DNS-26004-Z01-083.1</t>
  </si>
  <si>
    <t>VT-TCTN.DNS-26004-Z01-084.1</t>
  </si>
  <si>
    <t>VT-TCTN.DNS-26004-Z01-085.1</t>
  </si>
  <si>
    <t>VT-TCTN.DNS-26004-Z01-086.1</t>
  </si>
  <si>
    <t>VT-TCTN.DNS-26004-Z01-087.1</t>
  </si>
  <si>
    <t>VT-TCTN.DNS-26004-Z01-088.1</t>
  </si>
  <si>
    <t>VT-TCTN.DNS-26004-Z01-089.1</t>
  </si>
  <si>
    <t>VT-TCTN.DNS-26004-Z01-090.1</t>
  </si>
  <si>
    <t>VT-TCTN.DNS-26004-Z01-091.1</t>
  </si>
  <si>
    <t>VT-TCTN.DNS-26004-Z01-092.1</t>
  </si>
  <si>
    <t>VT-TCTN.DNS-26004-Z01-094.1</t>
  </si>
  <si>
    <t>VT-TCTN.DNS-26004-Z01-116.1</t>
  </si>
  <si>
    <t>VT-TCTN.DNS-26004-Z01-117.1</t>
  </si>
  <si>
    <t>VT-TCTN.DNS-26004-Z01-118.1</t>
  </si>
  <si>
    <t>VT-TCTN.DNS-26004-Z01-119.1</t>
  </si>
  <si>
    <t>VT-TCTN.DNS-26004-Z01-120.1</t>
  </si>
  <si>
    <t>VT-TCTN.DNS-26004-Z01-121.1</t>
  </si>
  <si>
    <t>VT-TCTN.DNS-26004-Z01-122.1</t>
  </si>
  <si>
    <t>VT-TCTN.DNS-26004-Z01-125.1</t>
  </si>
  <si>
    <t>VT-TCTN.DNS-26004-Z01-126.1</t>
  </si>
  <si>
    <t>VT-TCTN.DNS-26004-Z01-129.1</t>
  </si>
  <si>
    <t>VT-TCTN.DNS-26004-Z01-130.1</t>
  </si>
  <si>
    <t>VT-TCTN.DNS-26004-Z01-131.1</t>
  </si>
  <si>
    <t>VT-TCTN.DNS-26004-Z01-132.1</t>
  </si>
  <si>
    <t>VT-CTV-TT-003-BAI2-BO1-SS400-SP2-001</t>
  </si>
  <si>
    <t>28/09/2026</t>
  </si>
  <si>
    <t>CỔNG TRỤC 80 TẤN- BÃI 2 BỘ 1</t>
  </si>
  <si>
    <t>VT-TCTN.DNS.26004-Z01-132</t>
  </si>
  <si>
    <t>VT-CTV-TT-003-BAI2-BO1-SS400-SP2-002</t>
  </si>
  <si>
    <t>VT-TCTN.DNS.26004-Z01-133</t>
  </si>
  <si>
    <t>VT-CTV-TT-003-BAI2-BO1-SS400-SP2-003</t>
  </si>
  <si>
    <t>VT-TCTN.DNS.26004-Z01-134</t>
  </si>
  <si>
    <t>VT-CTV-TT-003-BAI2-BO1-SS400-SP2-004</t>
  </si>
  <si>
    <t>VT-TCTN.DNS.26004-Z01-135</t>
  </si>
  <si>
    <t>VT-CTV-TT-003-BAI2-BO1-SS400-SP2-005</t>
  </si>
  <si>
    <t>VT-TCTN.DNS.26004-Z01-136</t>
  </si>
  <si>
    <t>VT-CTV-TT-003-BAI2-BO1-SS400-SP2-006</t>
  </si>
  <si>
    <t>VT-TCTN.DNS.26004-Z01-137</t>
  </si>
  <si>
    <t>VT-CTV-TT-003-BAI2-BO1-SS400-SP2-007</t>
  </si>
  <si>
    <t>VT-TCTN.DNS.26004-Z01-138</t>
  </si>
  <si>
    <t>VT-CTV-TT-003-BAI2-BO1-SS400-SP2-008</t>
  </si>
  <si>
    <t>VT-TCTN.DNS.26004-Z01-139</t>
  </si>
  <si>
    <t>VT-CTV-TT-003-BAI2-BO1-SS400-SP2-009</t>
  </si>
  <si>
    <t>VT-CTV-TT-002 -BAI1_BO1-SS400-SP2-009</t>
  </si>
  <si>
    <t>VT-TCTN.DNS.26004-Z01-140</t>
  </si>
  <si>
    <t>TMH-2MM</t>
  </si>
  <si>
    <t>PL2x300x450</t>
  </si>
  <si>
    <t>VT-CTV-TT-003-BAI2-BO1-SS400-SP2-010</t>
  </si>
  <si>
    <t>VT-TCTN.DNS.26004-Z01-141</t>
  </si>
  <si>
    <t>PL5x1500x3572</t>
  </si>
  <si>
    <t>VT-CTV-TT-003-BAI2-BO1-Q355B-SP5-001</t>
  </si>
  <si>
    <t>VT-CTV-TT-002 -BAI1_BO1-Q355B-SP5-002</t>
  </si>
  <si>
    <t>VT-TCTN.DNS.26004-Z01-142</t>
  </si>
  <si>
    <t>VT-CTV-TT-003-BAI2-BO1-Q355B-SP5-002</t>
  </si>
  <si>
    <t>VT-TCTN.DNS.26004-Z01-143</t>
  </si>
  <si>
    <t>TMH-5MM</t>
  </si>
  <si>
    <t>PL5x300x450</t>
  </si>
  <si>
    <t>VT-CTV-TT-003-BAI2-BO1-Q355B-SP6-001</t>
  </si>
  <si>
    <t>VT-TCTN.DNS.26004-Z01-144</t>
  </si>
  <si>
    <t>TMH-6MM</t>
  </si>
  <si>
    <t>PL6x300x450</t>
  </si>
  <si>
    <t>VT-CTV-TT-003-BAI2-BO1-Q355B-SP6-002</t>
  </si>
  <si>
    <t>VT-TCTN.DNS.26004-Z01-145</t>
  </si>
  <si>
    <t>VT-CTV-TT-003-BAI2-BO1-Q355B-SP6-003</t>
  </si>
  <si>
    <t>VT-TCTN.DNS.26004-Z01-146</t>
  </si>
  <si>
    <t>VT-CTV-TT-003-BAI2-BO1-Q355B-SP6-004</t>
  </si>
  <si>
    <t>VT-TCTN.DNS.26004-Z01-147</t>
  </si>
  <si>
    <t>VT-CTV-TT-003-BAI2-BO1-Q355B-SP6-005</t>
  </si>
  <si>
    <t>VT-TCTN.DNS.26004-Z01-148</t>
  </si>
  <si>
    <t>VT-CTV-TT-003-BAI2-BO1-Q355B-SP6-006</t>
  </si>
  <si>
    <t>VT-TCTN.DNS.26004-Z01-149</t>
  </si>
  <si>
    <t>VT-CTV-TT-003-BAI2-BO1-Q355B-SP6-007</t>
  </si>
  <si>
    <t>VT-TCTN.DNS.26004-Z01-150</t>
  </si>
  <si>
    <t>VT-CTV-TT-003-BAI2-BO1-Q355B-SP6-008</t>
  </si>
  <si>
    <t>VT-TCTN.DNS.26004-Z01-151</t>
  </si>
  <si>
    <t>VT-CTV-TT-003-BAI2-BO1-Q355B-SP6-009</t>
  </si>
  <si>
    <t>VT-TCTN.DNS.26004-Z01-152</t>
  </si>
  <si>
    <t>VT-CTV-TT-003-BAI2-BO1-Q355B-SP6-010</t>
  </si>
  <si>
    <t>VT-TCTN.DNS.26004-Z01-153</t>
  </si>
  <si>
    <t>VT-CTV-TT-003-BAI2-BO1-Q355B-SP6-011</t>
  </si>
  <si>
    <t>VT-TCTN.DNS.26004-Z01-154</t>
  </si>
  <si>
    <t>VT-CTV-TT-003-BAI2-BO1-Q355B-SP6-012</t>
  </si>
  <si>
    <t>VT-TCTN.DNS.26004-Z01-155</t>
  </si>
  <si>
    <t>VT-CTV-TT-003-BAI2-BO1-Q355B-SP6-013</t>
  </si>
  <si>
    <t>VT-TCTN.DNS.26004-Z01-156</t>
  </si>
  <si>
    <t>VT-CTV-TT-003-BAI2-BO1-Q355B-SP6-014</t>
  </si>
  <si>
    <t>VT-TCTN.DNS.26004-Z01-157</t>
  </si>
  <si>
    <t>VT-CTV-TT-003-BAI2-BO1-Q355B-SP6-015</t>
  </si>
  <si>
    <t>VT-TCTN.DNS.26004-Z01-158</t>
  </si>
  <si>
    <t>VT-CTV-TT-003-BAI2-BO1-Q355B-SP6-016</t>
  </si>
  <si>
    <t>VT-TCTN.DNS.26004-Z01-159</t>
  </si>
  <si>
    <t>VT-CTV-TT-003-BAI2-BO1-Q355B-SP6-017</t>
  </si>
  <si>
    <t>VT-TCTN.DNS.26004-Z01-160</t>
  </si>
  <si>
    <t>VT-CTV-TT-003-BAI2-BO1-Q355B-SP6-018</t>
  </si>
  <si>
    <t>VT-TCTN.DNS.26004-Z01-161</t>
  </si>
  <si>
    <t>VT-CTV-TT-003-BAI2-BO1-Q355B-SP8-001</t>
  </si>
  <si>
    <t>VT-TCTN.DNS.26004-Z01-162</t>
  </si>
  <si>
    <t>VT-CTV-TT-003-BAI2-BO1-Q355B-SP8-002</t>
  </si>
  <si>
    <t>VT-TCTN.DNS.26004-Z01-163</t>
  </si>
  <si>
    <t>VT-CTV-TT-003-BAI2-BO1-Q355B-SP8-003</t>
  </si>
  <si>
    <t>VT-TCTN.DNS.26004-Z01-164</t>
  </si>
  <si>
    <t>VT-CTV-TT-003-BAI2-BO1-Q355B-SP8-004</t>
  </si>
  <si>
    <t>VT-TCTN.DNS.26004-Z01-165</t>
  </si>
  <si>
    <t>VT-CTV-TT-003-BAI2-BO1-Q355B-SP8-005</t>
  </si>
  <si>
    <t>VT-TCTN.DNS.26004-Z01-166</t>
  </si>
  <si>
    <t>VT-CTV-TT-003-BAI2-BO1-Q355B-SP8-006</t>
  </si>
  <si>
    <t>VT-TCTN.DNS.26004-Z01-167</t>
  </si>
  <si>
    <t>VT-CTV-TT-003-BAI2-BO1-Q355B-SP8-007</t>
  </si>
  <si>
    <t>VT-TCTN.DNS.26004-Z01-168</t>
  </si>
  <si>
    <t>VT-CTV-TT-003-BAI2-BO1-Q355B-SP8-008</t>
  </si>
  <si>
    <t>VT-TCTN.DNS.26004-Z01-169</t>
  </si>
  <si>
    <t>VT-CTV-TT-003-BAI2-BO1-Q355B-SP8-009</t>
  </si>
  <si>
    <t>VT-TCTN.DNS.26004-Z01-170</t>
  </si>
  <si>
    <t>VT-CTV-TT-003-BAI2-BO1-Q355B-SP8-010</t>
  </si>
  <si>
    <t>VT-TCTN.DNS.26004-Z01-171</t>
  </si>
  <si>
    <t>TMH-8MM</t>
  </si>
  <si>
    <t>PL8x300x450</t>
  </si>
  <si>
    <t>VT-CTV-TT-003-BAI2-BO1-Q355B-SP10-001</t>
  </si>
  <si>
    <t>VT-TCTN.DNS.26004-Z01-173</t>
  </si>
  <si>
    <t>VT-CTV-TT-003-BAI2-BO1-Q355B-SP10-002</t>
  </si>
  <si>
    <t>VT-TCTN.DNS.26004-Z01-174</t>
  </si>
  <si>
    <t>VT-CTV-TT-003-BAI2-BO1-Q355B-SP10-003</t>
  </si>
  <si>
    <t>VT-TCTN.DNS.26004-Z01-175</t>
  </si>
  <si>
    <t>VT-CTV-TT-003-BAI2-BO1-Q355B-SP10-004</t>
  </si>
  <si>
    <t>VT-TCTN.DNS.26004-Z01-176</t>
  </si>
  <si>
    <t>VT-CTV-TT-003-BAI2-BO1-Q355B-SP10-005</t>
  </si>
  <si>
    <t>VT-TCTN.DNS.26004-Z01-177</t>
  </si>
  <si>
    <t>VT-CTV-TT-003-BAI2-BO1-Q355B-SP10-006</t>
  </si>
  <si>
    <t>VT-TCTN.DNS.26004-Z01-178</t>
  </si>
  <si>
    <t>VT-CTV-TT-003-BAI2-BO1-Q355B-SP10-007</t>
  </si>
  <si>
    <t>VT-TCTN.DNS.26004-Z01-179</t>
  </si>
  <si>
    <t>VT-CTV-TT-003-BAI2-BO1-Q355B-SP10-008</t>
  </si>
  <si>
    <t>VT-TCTN.DNS.26004-Z01-180</t>
  </si>
  <si>
    <t>VT-CTV-TT-003-BAI2-BO1-Q355B-SP10-009</t>
  </si>
  <si>
    <t>VT-TCTN.DNS.26004-Z01-181</t>
  </si>
  <si>
    <t>VT-CTV-TT-003-BAI2-BO1-Q355B-SP10-010</t>
  </si>
  <si>
    <t>VT-TCTN.DNS.26004-Z01-182</t>
  </si>
  <si>
    <t>PL10x1500x11084</t>
  </si>
  <si>
    <t>VT-CTV-TT-003-BAI2-BO1-Q355B-SP10-011</t>
  </si>
  <si>
    <t>VT-CTV-TT-002 -BAI1_BO1-Q355B-SP10-011</t>
  </si>
  <si>
    <t>VT-TCTN.DNS.26004-Z01-183</t>
  </si>
  <si>
    <t>TMH-10MM</t>
  </si>
  <si>
    <t>PL10x300x450</t>
  </si>
  <si>
    <t>VT-CTV-TT-003-BAI2-BO1-Q355B-SP12-001</t>
  </si>
  <si>
    <t>VT-TCTN.DNS.26004-Z01-184</t>
  </si>
  <si>
    <t>VT-CTV-TT-003-BAI2-BO1-Q355B-SP12-002</t>
  </si>
  <si>
    <t>VT-TCTN.DNS.26004-Z01-185</t>
  </si>
  <si>
    <t>VT-CTV-TT-003-BAI2-BO1-Q355B-SP12-003</t>
  </si>
  <si>
    <t>VT-TCTN.DNS.26004-Z01-186</t>
  </si>
  <si>
    <t>VT-CTV-TT-003-BAI2-BO1-Q355B-SP12-004</t>
  </si>
  <si>
    <t>VT-TCTN.DNS.26004-Z01-187</t>
  </si>
  <si>
    <t>VT-CTV-TT-003-BAI2-BO1-Q355B-SP12-005</t>
  </si>
  <si>
    <t>VT-TCTN.DNS.26004-Z01-188</t>
  </si>
  <si>
    <t>VT-CTV-TT-003-BAI2-BO1-Q355B-SP12-006</t>
  </si>
  <si>
    <t>VT-CTV-TT-002 -BAI1_BO1-Q355B-SP12-006</t>
  </si>
  <si>
    <t>VT-TCTN.DNS.26004-Z01-189</t>
  </si>
  <si>
    <t>TMH-12MM</t>
  </si>
  <si>
    <t>PL12x300x450</t>
  </si>
  <si>
    <t>VT-CTV-TT-003-BAI2-BO1-Q355B-SP16-001</t>
  </si>
  <si>
    <t>VT-TCTN.DNS.26004-Z01-190</t>
  </si>
  <si>
    <t>VT-CTV-TT-003-BAI2-BO1-Q355B-SP16-002</t>
  </si>
  <si>
    <t>VT-TCTN.DNS.26004-Z01-191</t>
  </si>
  <si>
    <t>VT-CTV-TT-003-BAI2-BO1-Q355B-SP16-003</t>
  </si>
  <si>
    <t>VT-CTV-TT-002 -BAI1_BO1-Q355B-SP16-003</t>
  </si>
  <si>
    <t>VT-TCTN.DNS.26004-Z01-192</t>
  </si>
  <si>
    <t>TMH-16MM</t>
  </si>
  <si>
    <t>PL16x300x450</t>
  </si>
  <si>
    <t>VT-CTV-TT-003-BAI2-BO1-Q355B-SP20-001</t>
  </si>
  <si>
    <t>VT-TCTN.DNS.26004-Z01-193</t>
  </si>
  <si>
    <t>TMH-20MM</t>
  </si>
  <si>
    <t>PL20x300x450</t>
  </si>
  <si>
    <t>PL25x2000x9411</t>
  </si>
  <si>
    <t>VT-CTV-TT-003-BAI2-BO1-Q355B-SP25-001</t>
  </si>
  <si>
    <t>VT-CTV-TT-002 -BAI1_BO1-Q355B-SP25-002</t>
  </si>
  <si>
    <t>VT-TCTN.DNS.26004-Z01-194</t>
  </si>
  <si>
    <t>TMH-25MM</t>
  </si>
  <si>
    <t>PL25x300x450</t>
  </si>
  <si>
    <t>PL30x2000x4728</t>
  </si>
  <si>
    <t>VT-CTV-TT-003-BAI2-BO1-Q355B-SP30-001</t>
  </si>
  <si>
    <t>VT-CTV-TT-002 -BAI1_BO1-Q355B-SP30-001</t>
  </si>
  <si>
    <t>VT-TCTN.DNS.26004-Z01-195</t>
  </si>
  <si>
    <t>TMH-30MM</t>
  </si>
  <si>
    <t>PL30x300x450</t>
  </si>
  <si>
    <t>PL60x286x11364</t>
  </si>
  <si>
    <t>VT-CTV-TT-003-BAI2-BO1-Q355-SP60-001</t>
  </si>
  <si>
    <t>VT-CTV-TT-002 -BAI1_BO1-Q355-SP60-001</t>
  </si>
  <si>
    <t>VT-TCTN.DNS.26004-Z01-196</t>
  </si>
  <si>
    <t>PL60x295x12000</t>
  </si>
  <si>
    <t>VT-CTV-TT-003-BAI2-BO1-Q355-SP60-002</t>
  </si>
  <si>
    <t>VT-CTV-TT-002 -BAI1_BO1-Q355-SP60-002</t>
  </si>
  <si>
    <t>VT-TCTN.DNS.26004-Z01-197</t>
  </si>
  <si>
    <t>PL60x494x12000</t>
  </si>
  <si>
    <t>VT-CTV-TT-003-BAI2-BO1-Q355-SP60-003</t>
  </si>
  <si>
    <t>VT-HV-TT-014 -GNCOS53-Q355-SP60-005</t>
  </si>
  <si>
    <t>VT-TCTN.DNS.26004-Z01-198</t>
  </si>
  <si>
    <t>TMH-60MM</t>
  </si>
  <si>
    <t>PL60x300x450</t>
  </si>
  <si>
    <t>VT-CTV-TT-003</t>
  </si>
  <si>
    <t>5x1500x3572</t>
  </si>
  <si>
    <t>10x1500x11084</t>
  </si>
  <si>
    <t>25x2000x9411</t>
  </si>
  <si>
    <t>30x2000x4728</t>
  </si>
  <si>
    <t>60x286x11364</t>
  </si>
  <si>
    <t>60x295x12000</t>
  </si>
  <si>
    <t>60x494x12000</t>
  </si>
  <si>
    <t>VT-TCTN.DNS.26004-Z01-132.1</t>
  </si>
  <si>
    <t>VT-TCTN.DNS.26004-Z01-135.1</t>
  </si>
  <si>
    <t>VT-TCTN.DNS.26004-Z01-136.1</t>
  </si>
  <si>
    <t>VT-TCTN.DNS.26004-Z01-137.1</t>
  </si>
  <si>
    <t>VT-TCTN.DNS.26004-Z01-138.1</t>
  </si>
  <si>
    <t>VT-TCTN.DNS.26004-Z01-139.1</t>
  </si>
  <si>
    <t>VT-TCTN.DNS.26004-Z01-140.1</t>
  </si>
  <si>
    <t>VT-TCTN.DNS.26004-Z01-141.1</t>
  </si>
  <si>
    <t>VT-TCTN.DNS.26004-Z01-143.1</t>
  </si>
  <si>
    <t>VT-TCTN.DNS.26004-Z01-144.1</t>
  </si>
  <si>
    <t>VT-TCTN.DNS.26004-Z01-145.1</t>
  </si>
  <si>
    <t>VT-TCTN.DNS.26004-Z01-146.1</t>
  </si>
  <si>
    <t>VT-TCTN.DNS.26004-Z01-147.1</t>
  </si>
  <si>
    <t>VT-TCTN.DNS.26004-Z01-148.1</t>
  </si>
  <si>
    <t>VT-TCTN.DNS.26004-Z01-149.1</t>
  </si>
  <si>
    <t>VT-TCTN.DNS.26004-Z01-150.1</t>
  </si>
  <si>
    <t>VT-TCTN.DNS.26004-Z01-151.1</t>
  </si>
  <si>
    <t>VT-TCTN.DNS.26004-Z01-152.1</t>
  </si>
  <si>
    <t>VT-TCTN.DNS.26004-Z01-153.1</t>
  </si>
  <si>
    <t>VT-TCTN.DNS.26004-Z01-154.1</t>
  </si>
  <si>
    <t>VT-TCTN.DNS.26004-Z01-155.1</t>
  </si>
  <si>
    <t>VT-TCTN.DNS.26004-Z01-156.1</t>
  </si>
  <si>
    <t>VT-TCTN.DNS.26004-Z01-157.1</t>
  </si>
  <si>
    <t>VT-TCTN.DNS.26004-Z01-158.1</t>
  </si>
  <si>
    <t>VT-TCTN.DNS.26004-Z01-159.1</t>
  </si>
  <si>
    <t>VT-TCTN.DNS.26004-Z01-161.1</t>
  </si>
  <si>
    <t>VT-TCTN.DNS.26004-Z01-171.1</t>
  </si>
  <si>
    <t>VT-TCTN.DNS.26004-Z01-183.1</t>
  </si>
  <si>
    <t>VT-TCTN.DNS.26004-Z01-184.1</t>
  </si>
  <si>
    <t>VT-TCTN.DNS.26004-Z01-185.1</t>
  </si>
  <si>
    <t>VT-TCTN.DNS.26004-Z01-186.1</t>
  </si>
  <si>
    <t>VT-TCTN.DNS.26004-Z01-187.1</t>
  </si>
  <si>
    <t>VT-TCTN.DNS.26004-Z01-188.1</t>
  </si>
  <si>
    <t>VT-TCTN.DNS.26004-Z01-189.1</t>
  </si>
  <si>
    <t>VT-TCTN.DNS.26004-Z01-192.1</t>
  </si>
  <si>
    <t>VT-TCTN.DNS.26004-Z01-193.1</t>
  </si>
  <si>
    <t>VT-TCTN.DNS.26004-Z01-194.1</t>
  </si>
  <si>
    <t>VT-TCTN.DNS.26004-Z01-195.1</t>
  </si>
  <si>
    <t>VT-TCTN.DNS.26004-Z01-196.1</t>
  </si>
  <si>
    <t>VT-TCTN.DNS.26004-Z01-197.1</t>
  </si>
  <si>
    <t>VT-TCTN.DNS.26004-Z01-198.1</t>
  </si>
  <si>
    <t>VT-CTV-TT-004-BAI2_BO2-SS400-SP2-001</t>
  </si>
  <si>
    <t>CỔNG TRỤC 80 TẤN- BÃI 2 BỘ 2</t>
  </si>
  <si>
    <t>VT-TCTN.DNS.26004-Z01-199</t>
  </si>
  <si>
    <t>VT-CTV-TT-004-BAI2_BO2-SS400-SP2-002</t>
  </si>
  <si>
    <t>VT-TCTN.DNS.26004-Z01-200</t>
  </si>
  <si>
    <t>VT-CTV-TT-004-BAI2_BO2-SS400-SP2-003</t>
  </si>
  <si>
    <t>VT-TCTN.DNS.26004-Z01-201</t>
  </si>
  <si>
    <t>VT-CTV-TT-004-BAI2_BO2-SS400-SP2-004</t>
  </si>
  <si>
    <t>VT-TCTN.DNS.26004-Z01-202</t>
  </si>
  <si>
    <t>VT-CTV-TT-004-BAI2_BO2-SS400-SP2-005</t>
  </si>
  <si>
    <t>VT-TCTN.DNS.26004-Z01-203</t>
  </si>
  <si>
    <t>VT-CTV-TT-004-BAI2_BO2-SS400-SP2-006</t>
  </si>
  <si>
    <t>VT-TCTN.DNS.26004-Z01-204</t>
  </si>
  <si>
    <t>VT-CTV-TT-004-BAI2_BO2-SS400-SP2-007</t>
  </si>
  <si>
    <t>VT-TCTN.DNS.26004-Z01-205</t>
  </si>
  <si>
    <t>VT-CTV-TT-004-BAI2_BO2-SS400-SP2-008</t>
  </si>
  <si>
    <t>VT-TCTN.DNS.26004-Z01-206</t>
  </si>
  <si>
    <t>VT-CTV-TT-004-BAI2_BO2-SS400-SP2-009</t>
  </si>
  <si>
    <t>VT-TCTN.DNS.26004-Z01-207</t>
  </si>
  <si>
    <t>VT-CTV-TT-004-BAI2_BO2-SS400-SP2-010</t>
  </si>
  <si>
    <t>VT-TCTN.DNS.26004-Z01-208</t>
  </si>
  <si>
    <t>PL5x1500x5349</t>
  </si>
  <si>
    <t>VT-CTV-TT-004-BAI2_BO2-Q355B-SP5-001</t>
  </si>
  <si>
    <t>VT-CTV-TT-003-BAI2-BO1 -Q355B-SP5-002</t>
  </si>
  <si>
    <t>VT-TCTN.DNS.26004-Z01-209</t>
  </si>
  <si>
    <t>VT-CTV-TT-004-BAI2_BO2-Q355B-SP6-001</t>
  </si>
  <si>
    <t>VT-TCTN.DNS.26004-Z01-210</t>
  </si>
  <si>
    <t>VT-CTV-TT-004-BAI2_BO2-Q355B-SP6-002</t>
  </si>
  <si>
    <t>VT-TCTN.DNS.26004-Z01-211</t>
  </si>
  <si>
    <t>VT-CTV-TT-004-BAI2_BO2-Q355B-SP6-003</t>
  </si>
  <si>
    <t>VT-TCTN.DNS.26004-Z01-212</t>
  </si>
  <si>
    <t>VT-CTV-TT-004-BAI2_BO2-Q355B-SP6-004</t>
  </si>
  <si>
    <t>VT-TCTN.DNS.26004-Z01-213</t>
  </si>
  <si>
    <t>VT-CTV-TT-004-BAI2_BO2-Q355B-SP6-005</t>
  </si>
  <si>
    <t>VT-TCTN.DNS.26004-Z01-214</t>
  </si>
  <si>
    <t>VT-CTV-TT-004-BAI2_BO2-Q355B-SP6-006</t>
  </si>
  <si>
    <t>VT-TCTN.DNS.26004-Z01-215</t>
  </si>
  <si>
    <t>VT-CTV-TT-004-BAI2_BO2-Q355B-SP6-007</t>
  </si>
  <si>
    <t>VT-TCTN.DNS.26004-Z01-216</t>
  </si>
  <si>
    <t>VT-CTV-TT-004-BAI2_BO2-Q355B-SP6-008</t>
  </si>
  <si>
    <t>VT-TCTN.DNS.26004-Z01-217</t>
  </si>
  <si>
    <t>VT-CTV-TT-004-BAI2_BO2-Q355B-SP6-009</t>
  </si>
  <si>
    <t>VT-TCTN.DNS.26004-Z01-218</t>
  </si>
  <si>
    <t>VT-CTV-TT-004-BAI2_BO2-Q355B-SP6-010</t>
  </si>
  <si>
    <t>VT-TCTN.DNS.26004-Z01-219</t>
  </si>
  <si>
    <t>VT-CTV-TT-004-BAI2_BO2-Q355B-SP6-011</t>
  </si>
  <si>
    <t>VT-TCTN.DNS.26004-Z01-220</t>
  </si>
  <si>
    <t>VT-CTV-TT-004-BAI2_BO2-Q355B-SP6-012</t>
  </si>
  <si>
    <t>VT-TCTN.DNS.26004-Z01-221</t>
  </si>
  <si>
    <t>VT-CTV-TT-004-BAI2_BO2-Q355B-SP6-013</t>
  </si>
  <si>
    <t>VT-TCTN.DNS.26004-Z01-222</t>
  </si>
  <si>
    <t>VT-CTV-TT-004-BAI2_BO2-Q355B-SP6-014</t>
  </si>
  <si>
    <t>VT-TCTN.DNS.26004-Z01-223</t>
  </si>
  <si>
    <t>VT-CTV-TT-004-BAI2_BO2-Q355B-SP6-015</t>
  </si>
  <si>
    <t>VT-TCTN.DNS.26004-Z01-224</t>
  </si>
  <si>
    <t>VT-CTV-TT-004-BAI2_BO2-Q355B-SP6-016</t>
  </si>
  <si>
    <t>VT-TCTN.DNS.26004-Z01-225</t>
  </si>
  <si>
    <t>VT-CTV-TT-004-BAI2_BO2-Q355B-SP6-017</t>
  </si>
  <si>
    <t>VT-TCTN.DNS.26004-Z01-226</t>
  </si>
  <si>
    <t>VT-CTV-TT-004-BAI2_BO2-Q355B-SP6-018</t>
  </si>
  <si>
    <t>VT-TCTN.DNS.26004-Z01-227</t>
  </si>
  <si>
    <t>VT-CTV-TT-004-BAI2_BO2-Q355B-SP8-001</t>
  </si>
  <si>
    <t>VT-TCTN.DNS.26004-Z01-228</t>
  </si>
  <si>
    <t>VT-CTV-TT-004-BAI2_BO2-Q355B-SP8-002</t>
  </si>
  <si>
    <t>VT-TCTN.DNS.26004-Z01-229</t>
  </si>
  <si>
    <t>VT-CTV-TT-004-BAI2_BO2-Q355B-SP8-003</t>
  </si>
  <si>
    <t>VT-TCTN.DNS.26004-Z01-230</t>
  </si>
  <si>
    <t>VT-CTV-TT-004-BAI2_BO2-Q355B-SP8-004</t>
  </si>
  <si>
    <t>VT-TCTN.DNS.26004-Z01-231</t>
  </si>
  <si>
    <t>VT-CTV-TT-004-BAI2_BO2-Q355B-SP8-005</t>
  </si>
  <si>
    <t>VT-TCTN.DNS.26004-Z01-232</t>
  </si>
  <si>
    <t>VT-CTV-TT-004-BAI2_BO2-Q355B-SP8-006</t>
  </si>
  <si>
    <t>VT-TCTN.DNS.26004-Z01-233</t>
  </si>
  <si>
    <t>VT-CTV-TT-004-BAI2_BO2-Q355B-SP8-007</t>
  </si>
  <si>
    <t>VT-TCTN.DNS.26004-Z01-234</t>
  </si>
  <si>
    <t>VT-CTV-TT-004-BAI2_BO2-Q355B-SP8-008</t>
  </si>
  <si>
    <t>VT-TCTN.DNS.26004-Z01-235</t>
  </si>
  <si>
    <t>VT-CTV-TT-004-BAI2_BO2-Q355B-SP8-009</t>
  </si>
  <si>
    <t>VT-TCTN.DNS.26004-Z01-236</t>
  </si>
  <si>
    <t>VT-CTV-TT-004-BAI2_BO2-Q355B-SP8-010</t>
  </si>
  <si>
    <t>VT-TCTN.DNS.26004-Z01-237</t>
  </si>
  <si>
    <t>PL8x2000x11550</t>
  </si>
  <si>
    <t>VT-CTV-TT-004-BAI2_BO2-Q355B-SP8-011</t>
  </si>
  <si>
    <t>VT-CTV-TT-003-BAI2-BO1 -Q355B-SP8-010</t>
  </si>
  <si>
    <t>VT-TCTN.DNS.26004-Z01-238</t>
  </si>
  <si>
    <t>VT-CTV-TT-004-BAI2_BO2-Q355B-SP10-001</t>
  </si>
  <si>
    <t>VT-TCTN.DNS.26004-Z01-239</t>
  </si>
  <si>
    <t>VT-CTV-TT-004-BAI2_BO2-Q355B-SP10-002</t>
  </si>
  <si>
    <t>VT-TCTN.DNS.26004-Z01-240</t>
  </si>
  <si>
    <t>VT-CTV-TT-004-BAI2_BO2-Q355B-SP10-003</t>
  </si>
  <si>
    <t>VT-TCTN.DNS.26004-Z01-241</t>
  </si>
  <si>
    <t>VT-CTV-TT-004-BAI2_BO2-Q355B-SP10-004</t>
  </si>
  <si>
    <t>VT-TCTN.DNS.26004-Z01-242</t>
  </si>
  <si>
    <t>VT-CTV-TT-004-BAI2_BO2-Q355B-SP10-005</t>
  </si>
  <si>
    <t>VT-TCTN.DNS.26004-Z01-243</t>
  </si>
  <si>
    <t>VT-CTV-TT-004-BAI2_BO2-Q355B-SP10-006</t>
  </si>
  <si>
    <t>VT-TCTN.DNS.26004-Z01-244</t>
  </si>
  <si>
    <t>VT-CTV-TT-004-BAI2_BO2-Q355B-SP10-007</t>
  </si>
  <si>
    <t>VT-TCTN.DNS.26004-Z01-245</t>
  </si>
  <si>
    <t>VT-CTV-TT-004-BAI2_BO2-Q355B-SP10-008</t>
  </si>
  <si>
    <t>VT-TCTN.DNS.26004-Z01-246</t>
  </si>
  <si>
    <t>VT-CTV-TT-004-BAI2_BO2-Q355B-SP10-009</t>
  </si>
  <si>
    <t>VT-TCTN.DNS.26004-Z01-247</t>
  </si>
  <si>
    <t>VT-CTV-TT-004-BAI2_BO2-Q355B-SP10-010</t>
  </si>
  <si>
    <t>VT-TCTN.DNS.26004-Z01-248</t>
  </si>
  <si>
    <t>PL10x1500x10626</t>
  </si>
  <si>
    <t>VT-CTV-TT-004-BAI2_BO2-Q355B-SP10-011</t>
  </si>
  <si>
    <t>VT-CTV-TT-003-BAI2-BO1 -Q355B-SP10-011</t>
  </si>
  <si>
    <t>VT-TCTN.DNS.26004-Z01-249</t>
  </si>
  <si>
    <t>VT-CTV-TT-004-BAI2_BO2-Q355B-SP12-001</t>
  </si>
  <si>
    <t>VT-TCTN.DNS.26004-Z01-250</t>
  </si>
  <si>
    <t>VT-CTV-TT-004-BAI2_BO2-Q355B-SP12-002</t>
  </si>
  <si>
    <t>VT-TCTN.DNS.26004-Z01-251</t>
  </si>
  <si>
    <t>VT-CTV-TT-004-BAI2_BO2-Q355B-SP12-003</t>
  </si>
  <si>
    <t>VT-TCTN.DNS.26004-Z01-252</t>
  </si>
  <si>
    <t>VT-CTV-TT-004-BAI2_BO2-Q355B-SP12-004</t>
  </si>
  <si>
    <t>VT-TCTN.DNS.26004-Z01-253</t>
  </si>
  <si>
    <t>VT-CTV-TT-004-BAI2_BO2-Q355B-SP12-005</t>
  </si>
  <si>
    <t>VT-TCTN.DNS.26004-Z01-254</t>
  </si>
  <si>
    <t>VT-CTV-TT-004-BAI2_BO2-Q355B-SP12-006</t>
  </si>
  <si>
    <t>VT-TCTN.DNS.26004-Z01-255</t>
  </si>
  <si>
    <t>VT-CTV-TT-004-BAI2_BO2-Q355B-SP16-001</t>
  </si>
  <si>
    <t>VT-TCTN.DNS.26004-Z01-256</t>
  </si>
  <si>
    <t>VT-CTV-TT-004-BAI2_BO2-Q355B-SP16-002</t>
  </si>
  <si>
    <t>VT-TCTN.DNS.26004-Z01-257</t>
  </si>
  <si>
    <t>VT-CTV-TT-004-BAI2_BO2-Q355B-SP16-003</t>
  </si>
  <si>
    <t>VT-CTV-TT-003-BAI2-BO1 -Q355B-SP16-003</t>
  </si>
  <si>
    <t>VT-TCTN.DNS.26004-Z01-258</t>
  </si>
  <si>
    <t>VT-CTV-TT-004-BAI2_BO2-Q355B-SP16-004</t>
  </si>
  <si>
    <t>VT-TCTN.DNS.26004-Z01-259</t>
  </si>
  <si>
    <t>VT-CTV-TT-004-BAI2_BO2-Q355B-SP20-001</t>
  </si>
  <si>
    <t>VT-TCTN.DNS.26004-Z01-260</t>
  </si>
  <si>
    <t>PL20x607x2000</t>
  </si>
  <si>
    <t>VT-CTV-TT-004-BAI2_BO2-Q355B-SP20-002</t>
  </si>
  <si>
    <t>VT-CTV-TT-002-BAI1_BO1 -Q355B-SP20-001</t>
  </si>
  <si>
    <t>VT-TCTN.DNS.26004-Z01-261</t>
  </si>
  <si>
    <t>PL20x348x1544</t>
  </si>
  <si>
    <t>VT-CTV-TT-004-BAI2_BO2-Q355B-SP20-003</t>
  </si>
  <si>
    <t>VT-CTV-TT-003-BAI2-BO1 -Q355B-SP20-001</t>
  </si>
  <si>
    <t>VT-TCTN.DNS.26004-Z01-262</t>
  </si>
  <si>
    <t>VT-CTV-TT-004-BAI2_BO2-Q355B-SP25-001</t>
  </si>
  <si>
    <t>VT-TCTN.DNS.26004-Z01-263</t>
  </si>
  <si>
    <t>PL25x2000x2139</t>
  </si>
  <si>
    <t>VT-CTV-TT-004-BAI2_BO2-Q355B-SP25-002</t>
  </si>
  <si>
    <t>VT-CTV-TT-003-BAI2-BO1 -Q355B-SP25-001</t>
  </si>
  <si>
    <t>VT-TCTN.DNS.26004-Z01-264</t>
  </si>
  <si>
    <t>PL30x1092x2000</t>
  </si>
  <si>
    <t>VT-CTV-TT-004-BAI2_BO2-Q355B-SP30-001</t>
  </si>
  <si>
    <t>VT-CTV-TT-003-BAI2-BO1 -Q355B-SP30-001</t>
  </si>
  <si>
    <t>VT-TCTN.DNS.26004-Z01-265</t>
  </si>
  <si>
    <t>VT-CTV-TT-004-BAI2_BO2-Q355B-SP30-002</t>
  </si>
  <si>
    <t>VT-TCTN.DNS.26004-Z01-266</t>
  </si>
  <si>
    <t>PL60x357x11550</t>
  </si>
  <si>
    <t>VT-CTV-TT-004-BAI2_BO2-Q355-SP60-001</t>
  </si>
  <si>
    <t>VT-CTV-TT-003-BAI2-BO1 -Q355-SP60-003</t>
  </si>
  <si>
    <t>VT-TCTN.DNS.26004-Z01-267</t>
  </si>
  <si>
    <t>VT-CTV-TT-004-BAI2_BO2-Q355-SP60-002</t>
  </si>
  <si>
    <t>VT-HV-TT-034-GIANNANG -Q355-SP60-001_1</t>
  </si>
  <si>
    <t>VT-TCTN.DNS.26004-Z01-268</t>
  </si>
  <si>
    <t>PL60x232x12000</t>
  </si>
  <si>
    <t>VT-CTV-TT-004-BAI2_BO2-Q355-SP60-003</t>
  </si>
  <si>
    <t>VT-HV-TT-004-GN -Q355-SP60-002</t>
  </si>
  <si>
    <t>VT-TCTN.DNS.26004-Z01-269</t>
  </si>
  <si>
    <t>VT-CTV-TT-004</t>
  </si>
  <si>
    <t>5x1500x5349</t>
  </si>
  <si>
    <t>8x2000x11550</t>
  </si>
  <si>
    <t>10x1500x10626</t>
  </si>
  <si>
    <t>20x607x2000</t>
  </si>
  <si>
    <t>20x348x1544</t>
  </si>
  <si>
    <t>25x2000x2139</t>
  </si>
  <si>
    <t>30x1092x2000</t>
  </si>
  <si>
    <t>60x357x11550</t>
  </si>
  <si>
    <t>60x232x12000</t>
  </si>
  <si>
    <t>VT-TCTN.DNS.26004-Z01-199.1</t>
  </si>
  <si>
    <t>VT-TCTN.DNS.26004-Z01-202.1</t>
  </si>
  <si>
    <t>VT-TCTN.DNS.26004-Z01-203.1</t>
  </si>
  <si>
    <t>VT-TCTN.DNS.26004-Z01-204.1</t>
  </si>
  <si>
    <t>VT-TCTN.DNS.26004-Z01-205.1</t>
  </si>
  <si>
    <t>VT-TCTN.DNS.26004-Z01-206.1</t>
  </si>
  <si>
    <t>VT-TCTN.DNS.26004-Z01-207.1</t>
  </si>
  <si>
    <t>VT-TCTN.DNS.26004-Z01-208.1</t>
  </si>
  <si>
    <t>VT-TCTN.DNS.26004-Z01-209.1</t>
  </si>
  <si>
    <t>VT-TCTN.DNS.26004-Z01-210.1</t>
  </si>
  <si>
    <t>VT-TCTN.DNS.26004-Z01-211.1</t>
  </si>
  <si>
    <t>VT-TCTN.DNS.26004-Z01-212.1</t>
  </si>
  <si>
    <t>VT-TCTN.DNS.26004-Z01-213.1</t>
  </si>
  <si>
    <t>VT-TCTN.DNS.26004-Z01-214.1</t>
  </si>
  <si>
    <t>VT-TCTN.DNS.26004-Z01-215.1</t>
  </si>
  <si>
    <t>VT-TCTN.DNS.26004-Z01-216.1</t>
  </si>
  <si>
    <t>VT-TCTN.DNS.26004-Z01-217.1</t>
  </si>
  <si>
    <t>VT-TCTN.DNS.26004-Z01-218.1</t>
  </si>
  <si>
    <t>VT-TCTN.DNS.26004-Z01-219.1</t>
  </si>
  <si>
    <t>VT-TCTN.DNS.26004-Z01-220.1</t>
  </si>
  <si>
    <t>VT-TCTN.DNS.26004-Z01-221.1</t>
  </si>
  <si>
    <t>VT-TCTN.DNS.26004-Z01-222.1</t>
  </si>
  <si>
    <t>VT-TCTN.DNS.26004-Z01-223.1</t>
  </si>
  <si>
    <t>VT-TCTN.DNS.26004-Z01-224.1</t>
  </si>
  <si>
    <t>VT-TCTN.DNS.26004-Z01-225.1</t>
  </si>
  <si>
    <t>VT-TCTN.DNS.26004-Z01-227.1</t>
  </si>
  <si>
    <t>VT-TCTN.DNS.26004-Z01-238.1</t>
  </si>
  <si>
    <t>VT-TCTN.DNS.26004-Z01-249.1</t>
  </si>
  <si>
    <t>VT-TCTN.DNS.26004-Z01-250.1</t>
  </si>
  <si>
    <t>VT-TCTN.DNS.26004-Z01-251.1</t>
  </si>
  <si>
    <t>VT-TCTN.DNS.26004-Z01-252.1</t>
  </si>
  <si>
    <t>VT-TCTN.DNS.26004-Z01-253.1</t>
  </si>
  <si>
    <t>VT-TCTN.DNS.26004-Z01-254.1</t>
  </si>
  <si>
    <t>VT-TCTN.DNS.26004-Z01-255.1</t>
  </si>
  <si>
    <t>VT-TCTN.DNS.26004-Z01-258.1</t>
  </si>
  <si>
    <t>VT-TCTN.DNS.26004-Z01-259.1</t>
  </si>
  <si>
    <t>VT-TCTN.DNS.26004-Z01-260.1</t>
  </si>
  <si>
    <t>VT-TCTN.DNS.26004-Z01-263.1</t>
  </si>
  <si>
    <t>VT-TCTN.DNS.26004-Z01-266.1</t>
  </si>
  <si>
    <t>VT-TCTN.DNS.26004-Z01-267.1</t>
  </si>
  <si>
    <t>VT-TCTN.DNS.26004-Z01-269.1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</si>
</sst>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\-0.00;&quot;-&quot;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indexed="10"/>
      <name val="Calibri"/>
      <family val="2"/>
      <scheme val="minor"/>
    </font>
    <font>
      <sz val="11"/>
      <color indexed="10"/>
      <name val="Calibri"/>
      <family val="2"/>
      <scheme val="minor"/>
    </font>
    <font>
      <b/>
      <i/>
      <sz val="16"/>
      <color indexed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centerContinuous" vertical="center"/>
    </xf>
    <xf numFmtId="0" fontId="1" fillId="0" borderId="0" xfId="0" applyFont="1"/>
    <xf numFmtId="0" fontId="1" fillId="3" borderId="1" xfId="0" applyFont="1" applyFill="1" applyBorder="1"/>
    <xf numFmtId="0" fontId="0" fillId="0" borderId="0" xfId="0" quotePrefix="1"/>
    <xf numFmtId="0" fontId="0" fillId="0" borderId="1" xfId="0" applyBorder="1"/>
    <xf numFmtId="0" fontId="0" fillId="0" borderId="1" xfId="0" quotePrefix="1" applyBorder="1"/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1" fillId="4" borderId="0" xfId="0" applyFont="1" applyFill="1"/>
    <xf numFmtId="0" fontId="1" fillId="5" borderId="1" xfId="0" applyFont="1" applyFill="1" applyBorder="1" applyAlignment="1">
      <alignment horizontal="center" vertical="center" wrapText="1"/>
    </xf>
    <xf numFmtId="0" fontId="3" fillId="0" borderId="0" xfId="0" applyFont="1"/>
    <xf numFmtId="0" fontId="1" fillId="6" borderId="1" xfId="0" applyFont="1" applyFill="1" applyBorder="1"/>
    <xf numFmtId="164" fontId="0" fillId="0" borderId="1" xfId="0" applyNumberFormat="1" applyBorder="1"/>
    <xf numFmtId="10" fontId="0" fillId="0" borderId="1" xfId="0" applyNumberFormat="1" applyBorder="1"/>
    <xf numFmtId="0" fontId="4" fillId="0" borderId="0" xfId="0" applyFont="1"/>
    <xf numFmtId="10" fontId="1" fillId="0" borderId="0" xfId="0" applyNumberFormat="1" applyFont="1"/>
    <xf numFmtId="10" fontId="3" fillId="0" borderId="0" xfId="0" applyNumberFormat="1" applyFont="1"/>
    <xf numFmtId="0" fontId="5" fillId="0" borderId="0" xfId="0" applyFont="1" applyAlignment="1">
      <alignment horizontal="centerContinuous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1" fillId="3" borderId="1" xfId="0" applyFont="1" applyFill="1" applyBorder="1" applyAlignment="1">
      <alignment wrapText="1"/>
    </xf>
    <xf numFmtId="0" fontId="0" fillId="2" borderId="0" xfId="0" applyFill="1"/>
    <xf numFmtId="1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951CA-E50B-40AE-9B74-BE0AB27AE642}">
  <sheetPr filterMode="1">
    <pageSetUpPr fitToPage="1"/>
  </sheetPr>
  <dimension ref="A1:AC2576"/>
  <sheetViews>
    <sheetView tabSelected="1" workbookViewId="0">
      <pane ySplit="5" topLeftCell="A198" activePane="bottomLeft" state="frozenSplit"/>
      <selection pane="bottomLeft" activeCell="K2064" sqref="K2064"/>
    </sheetView>
  </sheetViews>
  <sheetFormatPr defaultRowHeight="15" x14ac:dyDescent="0.25"/>
  <cols>
    <col min="1" max="1" width="14.7109375" bestFit="1" customWidth="1"/>
    <col min="2" max="2" width="14.28515625" bestFit="1" customWidth="1"/>
    <col min="3" max="3" width="9.28515625" bestFit="1" customWidth="1"/>
    <col min="4" max="4" width="15.140625" bestFit="1" customWidth="1"/>
    <col min="5" max="5" width="4.28515625" bestFit="1" customWidth="1"/>
    <col min="6" max="6" width="5.42578125" bestFit="1" customWidth="1"/>
    <col min="7" max="7" width="8" bestFit="1" customWidth="1"/>
    <col min="8" max="8" width="5" bestFit="1" customWidth="1"/>
    <col min="9" max="9" width="9.5703125" bestFit="1" customWidth="1"/>
    <col min="10" max="10" width="9" bestFit="1" customWidth="1"/>
    <col min="11" max="11" width="16.140625" bestFit="1" customWidth="1"/>
    <col min="12" max="12" width="39" bestFit="1" customWidth="1"/>
    <col min="13" max="13" width="7.42578125" bestFit="1" customWidth="1"/>
    <col min="14" max="14" width="6.5703125" bestFit="1" customWidth="1"/>
    <col min="15" max="15" width="5.42578125" bestFit="1" customWidth="1"/>
    <col min="16" max="16" width="8.42578125" bestFit="1" customWidth="1"/>
    <col min="17" max="17" width="7.140625" bestFit="1" customWidth="1"/>
    <col min="18" max="18" width="12.140625" bestFit="1" customWidth="1"/>
    <col min="19" max="19" width="5.42578125" bestFit="1" customWidth="1"/>
    <col min="20" max="21" width="6.42578125" bestFit="1" customWidth="1"/>
    <col min="22" max="22" width="9.85546875" bestFit="1" customWidth="1"/>
    <col min="23" max="23" width="3.140625" bestFit="1" customWidth="1"/>
    <col min="24" max="24" width="4" bestFit="1" customWidth="1"/>
    <col min="25" max="25" width="3.28515625" bestFit="1" customWidth="1"/>
    <col min="26" max="26" width="9.7109375" bestFit="1" customWidth="1"/>
    <col min="27" max="27" width="41.5703125" bestFit="1" customWidth="1"/>
    <col min="29" max="29" width="26.5703125" bestFit="1" customWidth="1"/>
  </cols>
  <sheetData>
    <row r="1" spans="1:29" ht="23.25" x14ac:dyDescent="0.25">
      <c r="L1" s="1" t="s">
        <v>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9" ht="23.25" x14ac:dyDescent="0.25">
      <c r="A2" t="s">
        <v>1</v>
      </c>
      <c r="B2" s="23" t="s">
        <v>920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9" x14ac:dyDescent="0.25">
      <c r="A3" t="s">
        <v>2</v>
      </c>
      <c r="B3" s="23" t="s">
        <v>921</v>
      </c>
    </row>
    <row r="4" spans="1:29" x14ac:dyDescent="0.25">
      <c r="A4" t="s">
        <v>3</v>
      </c>
      <c r="B4" s="23" t="str">
        <f ca="1">INDEX(Z6:Z99999, MATCH(1, INDEX(SUBTOTAL(3, OFFSET(Z6, ROW(Z6:Z99999)-ROW(Z6), 0)), 0), 0))</f>
        <v>CỔNG TRỤC 80 TẤN- BÃI 2 BỘ 2</v>
      </c>
      <c r="G4">
        <f ca="1">SUMPRODUCT(G6:G99999, H6:H99999, SUBTOTAL(103, OFFSET(G6, ROW(G6:G99999)-ROW(G6), 0)))</f>
        <v>3598509</v>
      </c>
      <c r="H4" s="9">
        <f ca="1">SUMPRODUCT(SUBTOTAL(109, OFFSET(H6, ROW(H6:H99995)-ROW(H6), 0)), (B6:B99995&lt;&gt;"") * (B6:B99995&lt;&gt;0))</f>
        <v>2986</v>
      </c>
      <c r="J4" s="9">
        <f ca="1">SUMPRODUCT(SUBTOTAL(109, OFFSET(J6, ROW(J6:J99995)-ROW(J6), 0)), (B6:B99995&lt;&gt;"") * (B6:B99995&lt;&gt;0))</f>
        <v>64604.880000000048</v>
      </c>
      <c r="L4" s="9">
        <f ca="1">SUMPRODUCT(SUBTOTAL(103, OFFSET(B6, ROW(B6:B99996)-ROW(B6), 0)))</f>
        <v>518</v>
      </c>
    </row>
    <row r="5" spans="1:29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" t="s">
        <v>21</v>
      </c>
      <c r="S5" s="3" t="s">
        <v>22</v>
      </c>
      <c r="T5" s="3" t="s">
        <v>23</v>
      </c>
      <c r="U5" s="3" t="s">
        <v>24</v>
      </c>
      <c r="V5" s="3" t="s">
        <v>25</v>
      </c>
      <c r="W5" s="3" t="s">
        <v>26</v>
      </c>
      <c r="X5" s="3" t="s">
        <v>27</v>
      </c>
      <c r="Y5" s="3" t="s">
        <v>28</v>
      </c>
      <c r="Z5" s="3" t="s">
        <v>29</v>
      </c>
      <c r="AA5" s="3" t="s">
        <v>30</v>
      </c>
      <c r="AB5" s="3"/>
      <c r="AC5" s="3" t="s">
        <v>31</v>
      </c>
    </row>
    <row r="6" spans="1:29" hidden="1" x14ac:dyDescent="0.25">
      <c r="A6" s="5">
        <v>1</v>
      </c>
      <c r="B6" s="5" t="s">
        <v>32</v>
      </c>
      <c r="C6" s="5" t="s">
        <v>33</v>
      </c>
      <c r="D6" s="5" t="s">
        <v>34</v>
      </c>
      <c r="E6" s="5">
        <v>2</v>
      </c>
      <c r="F6" s="5">
        <v>1200</v>
      </c>
      <c r="G6" s="5">
        <v>1800</v>
      </c>
      <c r="H6" s="5">
        <v>1</v>
      </c>
      <c r="I6" s="5">
        <v>33.909999999999997</v>
      </c>
      <c r="J6" s="5">
        <v>33.909999999999997</v>
      </c>
      <c r="K6" s="5" t="s">
        <v>35</v>
      </c>
      <c r="L6" s="5" t="s">
        <v>36</v>
      </c>
      <c r="M6" s="7"/>
      <c r="N6" s="7"/>
      <c r="O6" s="7"/>
      <c r="P6" s="7"/>
      <c r="Q6" s="7">
        <v>1</v>
      </c>
      <c r="R6" s="8" t="s">
        <v>37</v>
      </c>
      <c r="S6" s="7"/>
      <c r="T6" s="7" t="s">
        <v>38</v>
      </c>
      <c r="U6" s="7"/>
      <c r="V6" s="7" t="str">
        <f t="shared" ref="V6:V69" si="0">IF(LEN($B$3)=0,"",$B$3)</f>
        <v>TCTN.DNS-26004</v>
      </c>
      <c r="W6" s="7"/>
      <c r="X6" s="7"/>
      <c r="Y6" s="7"/>
      <c r="Z6" s="7" t="s">
        <v>922</v>
      </c>
      <c r="AA6" s="7" t="s">
        <v>39</v>
      </c>
      <c r="AB6" s="7"/>
      <c r="AC6" s="7" t="s">
        <v>40</v>
      </c>
    </row>
    <row r="7" spans="1:29" hidden="1" x14ac:dyDescent="0.25">
      <c r="A7" s="5">
        <v>2</v>
      </c>
      <c r="B7" s="5" t="s">
        <v>41</v>
      </c>
      <c r="C7" s="5" t="s">
        <v>33</v>
      </c>
      <c r="D7" s="5" t="s">
        <v>34</v>
      </c>
      <c r="E7" s="5">
        <v>2</v>
      </c>
      <c r="F7" s="5">
        <v>1200</v>
      </c>
      <c r="G7" s="5">
        <v>1800</v>
      </c>
      <c r="H7" s="5">
        <v>1</v>
      </c>
      <c r="I7" s="5">
        <v>33.909999999999997</v>
      </c>
      <c r="J7" s="5">
        <v>33.909999999999997</v>
      </c>
      <c r="K7" s="5" t="s">
        <v>35</v>
      </c>
      <c r="L7" s="5" t="s">
        <v>36</v>
      </c>
      <c r="M7" s="7"/>
      <c r="N7" s="7"/>
      <c r="O7" s="7"/>
      <c r="P7" s="7"/>
      <c r="Q7" s="7">
        <v>1</v>
      </c>
      <c r="R7" s="8" t="s">
        <v>37</v>
      </c>
      <c r="S7" s="7"/>
      <c r="T7" s="7" t="s">
        <v>38</v>
      </c>
      <c r="U7" s="7"/>
      <c r="V7" s="7" t="str">
        <f t="shared" si="0"/>
        <v>TCTN.DNS-26004</v>
      </c>
      <c r="W7" s="7"/>
      <c r="X7" s="7"/>
      <c r="Y7" s="7"/>
      <c r="Z7" s="7" t="s">
        <v>922</v>
      </c>
      <c r="AA7" s="7" t="s">
        <v>39</v>
      </c>
      <c r="AB7" s="7"/>
      <c r="AC7" s="7" t="s">
        <v>40</v>
      </c>
    </row>
    <row r="8" spans="1:29" hidden="1" x14ac:dyDescent="0.25">
      <c r="A8" s="5">
        <v>3</v>
      </c>
      <c r="B8" s="5" t="s">
        <v>42</v>
      </c>
      <c r="C8" s="5" t="s">
        <v>33</v>
      </c>
      <c r="D8" s="5" t="s">
        <v>35</v>
      </c>
      <c r="E8" s="5">
        <v>2</v>
      </c>
      <c r="F8" s="5">
        <v>1300</v>
      </c>
      <c r="G8" s="5">
        <v>4000</v>
      </c>
      <c r="H8" s="5">
        <v>1</v>
      </c>
      <c r="I8" s="5">
        <v>81.64</v>
      </c>
      <c r="J8" s="5">
        <v>81.64</v>
      </c>
      <c r="K8" s="5" t="s">
        <v>35</v>
      </c>
      <c r="L8" s="5" t="s">
        <v>43</v>
      </c>
      <c r="M8" s="7"/>
      <c r="N8" s="7"/>
      <c r="O8" s="7"/>
      <c r="P8" s="7"/>
      <c r="Q8" s="7">
        <v>1</v>
      </c>
      <c r="R8" s="8" t="s">
        <v>37</v>
      </c>
      <c r="S8" s="7"/>
      <c r="T8" s="7" t="s">
        <v>38</v>
      </c>
      <c r="U8" s="7"/>
      <c r="V8" s="7" t="str">
        <f t="shared" si="0"/>
        <v>TCTN.DNS-26004</v>
      </c>
      <c r="W8" s="7"/>
      <c r="X8" s="7"/>
      <c r="Y8" s="7"/>
      <c r="Z8" s="7" t="s">
        <v>922</v>
      </c>
      <c r="AA8" s="7" t="s">
        <v>39</v>
      </c>
      <c r="AB8" s="7"/>
      <c r="AC8" s="7" t="s">
        <v>44</v>
      </c>
    </row>
    <row r="9" spans="1:29" hidden="1" x14ac:dyDescent="0.25">
      <c r="A9" s="5">
        <v>4</v>
      </c>
      <c r="B9" s="5" t="s">
        <v>45</v>
      </c>
      <c r="C9" s="5" t="s">
        <v>33</v>
      </c>
      <c r="D9" s="5" t="s">
        <v>35</v>
      </c>
      <c r="E9" s="5">
        <v>2</v>
      </c>
      <c r="F9" s="5">
        <v>1300</v>
      </c>
      <c r="G9" s="5">
        <v>4000</v>
      </c>
      <c r="H9" s="5">
        <v>1</v>
      </c>
      <c r="I9" s="5">
        <v>81.64</v>
      </c>
      <c r="J9" s="5">
        <v>81.64</v>
      </c>
      <c r="K9" s="5" t="s">
        <v>35</v>
      </c>
      <c r="L9" s="5" t="s">
        <v>46</v>
      </c>
      <c r="M9" s="7"/>
      <c r="N9" s="7"/>
      <c r="O9" s="7"/>
      <c r="P9" s="7"/>
      <c r="Q9" s="7">
        <v>1</v>
      </c>
      <c r="R9" s="8" t="s">
        <v>37</v>
      </c>
      <c r="S9" s="7"/>
      <c r="T9" s="7" t="s">
        <v>38</v>
      </c>
      <c r="U9" s="7"/>
      <c r="V9" s="7" t="str">
        <f t="shared" si="0"/>
        <v>TCTN.DNS-26004</v>
      </c>
      <c r="W9" s="7"/>
      <c r="X9" s="7"/>
      <c r="Y9" s="7"/>
      <c r="Z9" s="7" t="s">
        <v>922</v>
      </c>
      <c r="AA9" s="7" t="s">
        <v>39</v>
      </c>
      <c r="AB9" s="7"/>
      <c r="AC9" s="7" t="s">
        <v>47</v>
      </c>
    </row>
    <row r="10" spans="1:29" hidden="1" x14ac:dyDescent="0.25">
      <c r="A10" s="5">
        <v>5</v>
      </c>
      <c r="B10" s="5" t="s">
        <v>48</v>
      </c>
      <c r="C10" s="5" t="s">
        <v>33</v>
      </c>
      <c r="D10" s="5" t="s">
        <v>49</v>
      </c>
      <c r="E10" s="5">
        <v>2</v>
      </c>
      <c r="F10" s="5">
        <v>1060</v>
      </c>
      <c r="G10" s="5">
        <v>4000</v>
      </c>
      <c r="H10" s="5">
        <v>1</v>
      </c>
      <c r="I10" s="5">
        <v>66.569999999999993</v>
      </c>
      <c r="J10" s="5">
        <v>66.569999999999993</v>
      </c>
      <c r="K10" s="5" t="s">
        <v>35</v>
      </c>
      <c r="L10" s="5" t="s">
        <v>50</v>
      </c>
      <c r="M10" s="7"/>
      <c r="N10" s="7"/>
      <c r="O10" s="7"/>
      <c r="P10" s="7"/>
      <c r="Q10" s="7">
        <v>1</v>
      </c>
      <c r="R10" s="8" t="s">
        <v>37</v>
      </c>
      <c r="S10" s="7"/>
      <c r="T10" s="7" t="s">
        <v>38</v>
      </c>
      <c r="U10" s="7"/>
      <c r="V10" s="7" t="str">
        <f t="shared" si="0"/>
        <v>TCTN.DNS-26004</v>
      </c>
      <c r="W10" s="7"/>
      <c r="X10" s="7"/>
      <c r="Y10" s="7"/>
      <c r="Z10" s="7" t="s">
        <v>922</v>
      </c>
      <c r="AA10" s="7" t="s">
        <v>39</v>
      </c>
      <c r="AB10" s="7"/>
      <c r="AC10" s="7" t="s">
        <v>51</v>
      </c>
    </row>
    <row r="11" spans="1:29" hidden="1" x14ac:dyDescent="0.25">
      <c r="A11" s="5">
        <v>6</v>
      </c>
      <c r="B11" s="5" t="s">
        <v>52</v>
      </c>
      <c r="C11" s="5" t="s">
        <v>33</v>
      </c>
      <c r="D11" s="5" t="s">
        <v>49</v>
      </c>
      <c r="E11" s="5">
        <v>2</v>
      </c>
      <c r="F11" s="5">
        <v>1060</v>
      </c>
      <c r="G11" s="5">
        <v>4000</v>
      </c>
      <c r="H11" s="5">
        <v>1</v>
      </c>
      <c r="I11" s="5">
        <v>66.569999999999993</v>
      </c>
      <c r="J11" s="5">
        <v>66.569999999999993</v>
      </c>
      <c r="K11" s="5" t="s">
        <v>35</v>
      </c>
      <c r="L11" s="5" t="s">
        <v>53</v>
      </c>
      <c r="M11" s="7"/>
      <c r="N11" s="7"/>
      <c r="O11" s="7"/>
      <c r="P11" s="7"/>
      <c r="Q11" s="7">
        <v>1</v>
      </c>
      <c r="R11" s="8" t="s">
        <v>37</v>
      </c>
      <c r="S11" s="7"/>
      <c r="T11" s="7" t="s">
        <v>38</v>
      </c>
      <c r="U11" s="7"/>
      <c r="V11" s="7" t="str">
        <f t="shared" si="0"/>
        <v>TCTN.DNS-26004</v>
      </c>
      <c r="W11" s="7"/>
      <c r="X11" s="7"/>
      <c r="Y11" s="7"/>
      <c r="Z11" s="7" t="s">
        <v>922</v>
      </c>
      <c r="AA11" s="7" t="s">
        <v>39</v>
      </c>
      <c r="AB11" s="7"/>
      <c r="AC11" s="7" t="s">
        <v>54</v>
      </c>
    </row>
    <row r="12" spans="1:29" hidden="1" x14ac:dyDescent="0.25">
      <c r="A12" s="5">
        <v>7</v>
      </c>
      <c r="B12" s="5" t="s">
        <v>55</v>
      </c>
      <c r="C12" s="5" t="s">
        <v>33</v>
      </c>
      <c r="D12" s="5" t="s">
        <v>49</v>
      </c>
      <c r="E12" s="5">
        <v>2</v>
      </c>
      <c r="F12" s="5">
        <v>1060</v>
      </c>
      <c r="G12" s="5">
        <v>4000</v>
      </c>
      <c r="H12" s="5">
        <v>1</v>
      </c>
      <c r="I12" s="5">
        <v>66.569999999999993</v>
      </c>
      <c r="J12" s="5">
        <v>66.569999999999993</v>
      </c>
      <c r="K12" s="5" t="s">
        <v>35</v>
      </c>
      <c r="L12" s="5" t="s">
        <v>56</v>
      </c>
      <c r="M12" s="7"/>
      <c r="N12" s="7"/>
      <c r="O12" s="7"/>
      <c r="P12" s="7"/>
      <c r="Q12" s="7">
        <v>1</v>
      </c>
      <c r="R12" s="8" t="s">
        <v>37</v>
      </c>
      <c r="S12" s="7"/>
      <c r="T12" s="7" t="s">
        <v>38</v>
      </c>
      <c r="U12" s="7"/>
      <c r="V12" s="7" t="str">
        <f t="shared" si="0"/>
        <v>TCTN.DNS-26004</v>
      </c>
      <c r="W12" s="7"/>
      <c r="X12" s="7"/>
      <c r="Y12" s="7"/>
      <c r="Z12" s="7" t="s">
        <v>922</v>
      </c>
      <c r="AA12" s="7" t="s">
        <v>39</v>
      </c>
      <c r="AB12" s="7"/>
      <c r="AC12" s="7" t="s">
        <v>57</v>
      </c>
    </row>
    <row r="13" spans="1:29" hidden="1" x14ac:dyDescent="0.25">
      <c r="A13" s="5">
        <v>8</v>
      </c>
      <c r="B13" s="5" t="s">
        <v>58</v>
      </c>
      <c r="C13" s="5" t="s">
        <v>33</v>
      </c>
      <c r="D13" s="5" t="s">
        <v>49</v>
      </c>
      <c r="E13" s="5">
        <v>2</v>
      </c>
      <c r="F13" s="5">
        <v>1060</v>
      </c>
      <c r="G13" s="5">
        <v>4000</v>
      </c>
      <c r="H13" s="5">
        <v>1</v>
      </c>
      <c r="I13" s="5">
        <v>66.569999999999993</v>
      </c>
      <c r="J13" s="5">
        <v>66.569999999999993</v>
      </c>
      <c r="K13" s="5" t="s">
        <v>35</v>
      </c>
      <c r="L13" s="5" t="s">
        <v>59</v>
      </c>
      <c r="M13" s="7"/>
      <c r="N13" s="7"/>
      <c r="O13" s="7"/>
      <c r="P13" s="7"/>
      <c r="Q13" s="7">
        <v>1</v>
      </c>
      <c r="R13" s="8" t="s">
        <v>37</v>
      </c>
      <c r="S13" s="7"/>
      <c r="T13" s="7" t="s">
        <v>38</v>
      </c>
      <c r="U13" s="7"/>
      <c r="V13" s="7" t="str">
        <f t="shared" si="0"/>
        <v>TCTN.DNS-26004</v>
      </c>
      <c r="W13" s="7"/>
      <c r="X13" s="7"/>
      <c r="Y13" s="7"/>
      <c r="Z13" s="7" t="s">
        <v>922</v>
      </c>
      <c r="AA13" s="7" t="s">
        <v>39</v>
      </c>
      <c r="AB13" s="7"/>
      <c r="AC13" s="7" t="s">
        <v>60</v>
      </c>
    </row>
    <row r="14" spans="1:29" hidden="1" x14ac:dyDescent="0.25">
      <c r="A14" s="5">
        <v>9</v>
      </c>
      <c r="B14" s="5" t="s">
        <v>61</v>
      </c>
      <c r="C14" s="5" t="s">
        <v>33</v>
      </c>
      <c r="D14" s="5" t="s">
        <v>62</v>
      </c>
      <c r="E14" s="5">
        <v>2</v>
      </c>
      <c r="F14" s="5">
        <v>500</v>
      </c>
      <c r="G14" s="5">
        <v>4000</v>
      </c>
      <c r="H14" s="5">
        <v>1</v>
      </c>
      <c r="I14" s="5">
        <v>31.4</v>
      </c>
      <c r="J14" s="5">
        <v>31.4</v>
      </c>
      <c r="K14" s="5" t="s">
        <v>35</v>
      </c>
      <c r="L14" s="5" t="s">
        <v>63</v>
      </c>
      <c r="M14" s="7"/>
      <c r="N14" s="7"/>
      <c r="O14" s="7"/>
      <c r="P14" s="7"/>
      <c r="Q14" s="7">
        <v>1</v>
      </c>
      <c r="R14" s="8" t="s">
        <v>37</v>
      </c>
      <c r="S14" s="7"/>
      <c r="T14" s="7" t="s">
        <v>38</v>
      </c>
      <c r="U14" s="7"/>
      <c r="V14" s="7" t="str">
        <f t="shared" si="0"/>
        <v>TCTN.DNS-26004</v>
      </c>
      <c r="W14" s="7"/>
      <c r="X14" s="7"/>
      <c r="Y14" s="7"/>
      <c r="Z14" s="7" t="s">
        <v>922</v>
      </c>
      <c r="AA14" s="7" t="s">
        <v>39</v>
      </c>
      <c r="AB14" s="7"/>
      <c r="AC14" s="7" t="s">
        <v>64</v>
      </c>
    </row>
    <row r="15" spans="1:29" hidden="1" x14ac:dyDescent="0.25">
      <c r="A15" s="5">
        <v>10</v>
      </c>
      <c r="B15" s="5" t="s">
        <v>65</v>
      </c>
      <c r="C15" s="5" t="s">
        <v>33</v>
      </c>
      <c r="D15" s="5" t="s">
        <v>62</v>
      </c>
      <c r="E15" s="5">
        <v>2</v>
      </c>
      <c r="F15" s="5">
        <v>500</v>
      </c>
      <c r="G15" s="5">
        <v>4000</v>
      </c>
      <c r="H15" s="5">
        <v>1</v>
      </c>
      <c r="I15" s="5">
        <v>31.4</v>
      </c>
      <c r="J15" s="5">
        <v>31.4</v>
      </c>
      <c r="K15" s="5" t="s">
        <v>35</v>
      </c>
      <c r="L15" s="5" t="s">
        <v>63</v>
      </c>
      <c r="M15" s="7"/>
      <c r="N15" s="7"/>
      <c r="O15" s="7"/>
      <c r="P15" s="7"/>
      <c r="Q15" s="7">
        <v>1</v>
      </c>
      <c r="R15" s="8" t="s">
        <v>37</v>
      </c>
      <c r="S15" s="7"/>
      <c r="T15" s="7" t="s">
        <v>38</v>
      </c>
      <c r="U15" s="7"/>
      <c r="V15" s="7" t="str">
        <f t="shared" si="0"/>
        <v>TCTN.DNS-26004</v>
      </c>
      <c r="W15" s="7"/>
      <c r="X15" s="7"/>
      <c r="Y15" s="7"/>
      <c r="Z15" s="7" t="s">
        <v>922</v>
      </c>
      <c r="AA15" s="7" t="s">
        <v>39</v>
      </c>
      <c r="AB15" s="7"/>
      <c r="AC15" s="7" t="s">
        <v>64</v>
      </c>
    </row>
    <row r="16" spans="1:29" hidden="1" x14ac:dyDescent="0.25">
      <c r="A16" s="5">
        <v>11</v>
      </c>
      <c r="B16" s="5" t="s">
        <v>66</v>
      </c>
      <c r="C16" s="5" t="s">
        <v>33</v>
      </c>
      <c r="D16" s="5" t="s">
        <v>67</v>
      </c>
      <c r="E16" s="5">
        <v>2</v>
      </c>
      <c r="F16" s="5">
        <v>1060</v>
      </c>
      <c r="G16" s="5">
        <v>1200</v>
      </c>
      <c r="H16" s="5">
        <v>1</v>
      </c>
      <c r="I16" s="5">
        <v>19.97</v>
      </c>
      <c r="J16" s="5">
        <v>19.97</v>
      </c>
      <c r="K16" s="5" t="s">
        <v>35</v>
      </c>
      <c r="L16" s="5" t="s">
        <v>68</v>
      </c>
      <c r="M16" s="7"/>
      <c r="N16" s="7"/>
      <c r="O16" s="7"/>
      <c r="P16" s="7"/>
      <c r="Q16" s="7">
        <v>1</v>
      </c>
      <c r="R16" s="8" t="s">
        <v>37</v>
      </c>
      <c r="S16" s="7"/>
      <c r="T16" s="7" t="s">
        <v>38</v>
      </c>
      <c r="U16" s="7"/>
      <c r="V16" s="7" t="str">
        <f t="shared" si="0"/>
        <v>TCTN.DNS-26004</v>
      </c>
      <c r="W16" s="7"/>
      <c r="X16" s="7"/>
      <c r="Y16" s="7"/>
      <c r="Z16" s="7" t="s">
        <v>922</v>
      </c>
      <c r="AA16" s="7" t="s">
        <v>39</v>
      </c>
      <c r="AB16" s="7"/>
      <c r="AC16" s="7" t="s">
        <v>69</v>
      </c>
    </row>
    <row r="17" spans="1:29" hidden="1" x14ac:dyDescent="0.25">
      <c r="A17" s="5">
        <v>12</v>
      </c>
      <c r="B17" s="5" t="s">
        <v>70</v>
      </c>
      <c r="C17" s="5" t="s">
        <v>33</v>
      </c>
      <c r="D17" s="5" t="s">
        <v>71</v>
      </c>
      <c r="E17" s="5">
        <v>2</v>
      </c>
      <c r="F17" s="5">
        <v>500</v>
      </c>
      <c r="G17" s="5">
        <v>1800</v>
      </c>
      <c r="H17" s="5">
        <v>1</v>
      </c>
      <c r="I17" s="5">
        <v>14.13</v>
      </c>
      <c r="J17" s="5">
        <v>14.13</v>
      </c>
      <c r="K17" s="5" t="s">
        <v>35</v>
      </c>
      <c r="L17" s="5" t="s">
        <v>72</v>
      </c>
      <c r="M17" s="7"/>
      <c r="N17" s="7"/>
      <c r="O17" s="7"/>
      <c r="P17" s="7"/>
      <c r="Q17" s="7">
        <v>1</v>
      </c>
      <c r="R17" s="8" t="s">
        <v>37</v>
      </c>
      <c r="S17" s="7"/>
      <c r="T17" s="7" t="s">
        <v>38</v>
      </c>
      <c r="U17" s="7"/>
      <c r="V17" s="7" t="str">
        <f t="shared" si="0"/>
        <v>TCTN.DNS-26004</v>
      </c>
      <c r="W17" s="7"/>
      <c r="X17" s="7"/>
      <c r="Y17" s="7"/>
      <c r="Z17" s="7" t="s">
        <v>922</v>
      </c>
      <c r="AA17" s="7" t="s">
        <v>39</v>
      </c>
      <c r="AB17" s="7"/>
      <c r="AC17" s="7" t="s">
        <v>73</v>
      </c>
    </row>
    <row r="18" spans="1:29" hidden="1" x14ac:dyDescent="0.25">
      <c r="A18" s="5">
        <v>13</v>
      </c>
      <c r="B18" s="5" t="s">
        <v>74</v>
      </c>
      <c r="C18" s="5" t="s">
        <v>33</v>
      </c>
      <c r="D18" s="5" t="s">
        <v>67</v>
      </c>
      <c r="E18" s="5">
        <v>2</v>
      </c>
      <c r="F18" s="5">
        <v>1060</v>
      </c>
      <c r="G18" s="5">
        <v>1200</v>
      </c>
      <c r="H18" s="5">
        <v>1</v>
      </c>
      <c r="I18" s="5">
        <v>19.97</v>
      </c>
      <c r="J18" s="5">
        <v>19.97</v>
      </c>
      <c r="K18" s="5" t="s">
        <v>35</v>
      </c>
      <c r="L18" s="5" t="s">
        <v>72</v>
      </c>
      <c r="M18" s="7"/>
      <c r="N18" s="7"/>
      <c r="O18" s="7"/>
      <c r="P18" s="7"/>
      <c r="Q18" s="7">
        <v>1</v>
      </c>
      <c r="R18" s="8" t="s">
        <v>37</v>
      </c>
      <c r="S18" s="7"/>
      <c r="T18" s="7" t="s">
        <v>38</v>
      </c>
      <c r="U18" s="7"/>
      <c r="V18" s="7" t="str">
        <f t="shared" si="0"/>
        <v>TCTN.DNS-26004</v>
      </c>
      <c r="W18" s="7"/>
      <c r="X18" s="7"/>
      <c r="Y18" s="7"/>
      <c r="Z18" s="7" t="s">
        <v>922</v>
      </c>
      <c r="AA18" s="7" t="s">
        <v>39</v>
      </c>
      <c r="AB18" s="7"/>
      <c r="AC18" s="7" t="s">
        <v>73</v>
      </c>
    </row>
    <row r="19" spans="1:29" hidden="1" x14ac:dyDescent="0.25">
      <c r="A19" s="5">
        <v>14</v>
      </c>
      <c r="B19" s="5" t="s">
        <v>75</v>
      </c>
      <c r="C19" s="5" t="s">
        <v>33</v>
      </c>
      <c r="D19" s="5" t="s">
        <v>71</v>
      </c>
      <c r="E19" s="5">
        <v>2</v>
      </c>
      <c r="F19" s="5">
        <v>500</v>
      </c>
      <c r="G19" s="5">
        <v>1800</v>
      </c>
      <c r="H19" s="5">
        <v>1</v>
      </c>
      <c r="I19" s="5">
        <v>14.13</v>
      </c>
      <c r="J19" s="5">
        <v>14.13</v>
      </c>
      <c r="K19" s="5" t="s">
        <v>35</v>
      </c>
      <c r="L19" s="5" t="s">
        <v>72</v>
      </c>
      <c r="M19" s="7"/>
      <c r="N19" s="7"/>
      <c r="O19" s="7"/>
      <c r="P19" s="7"/>
      <c r="Q19" s="7">
        <v>1</v>
      </c>
      <c r="R19" s="8" t="s">
        <v>37</v>
      </c>
      <c r="S19" s="7"/>
      <c r="T19" s="7" t="s">
        <v>38</v>
      </c>
      <c r="U19" s="7"/>
      <c r="V19" s="7" t="str">
        <f t="shared" si="0"/>
        <v>TCTN.DNS-26004</v>
      </c>
      <c r="W19" s="7"/>
      <c r="X19" s="7"/>
      <c r="Y19" s="7"/>
      <c r="Z19" s="7" t="s">
        <v>922</v>
      </c>
      <c r="AA19" s="7" t="s">
        <v>39</v>
      </c>
      <c r="AB19" s="7"/>
      <c r="AC19" s="7" t="s">
        <v>73</v>
      </c>
    </row>
    <row r="20" spans="1:29" hidden="1" x14ac:dyDescent="0.25">
      <c r="A20" s="5">
        <v>15</v>
      </c>
      <c r="B20" s="5" t="s">
        <v>76</v>
      </c>
      <c r="C20" s="5" t="s">
        <v>77</v>
      </c>
      <c r="D20" s="5" t="s">
        <v>78</v>
      </c>
      <c r="E20" s="5">
        <v>5</v>
      </c>
      <c r="F20" s="5">
        <v>63</v>
      </c>
      <c r="G20" s="5">
        <v>186</v>
      </c>
      <c r="H20" s="5">
        <v>26</v>
      </c>
      <c r="I20" s="5">
        <v>0.46</v>
      </c>
      <c r="J20" s="5">
        <v>11.86</v>
      </c>
      <c r="K20" s="5" t="s">
        <v>79</v>
      </c>
      <c r="L20" s="5" t="s">
        <v>80</v>
      </c>
      <c r="M20" s="7"/>
      <c r="N20" s="7"/>
      <c r="O20" s="7"/>
      <c r="P20" s="7"/>
      <c r="Q20" s="7">
        <v>1</v>
      </c>
      <c r="R20" s="8" t="s">
        <v>37</v>
      </c>
      <c r="S20" s="7"/>
      <c r="T20" s="7" t="s">
        <v>38</v>
      </c>
      <c r="U20" s="7"/>
      <c r="V20" s="7" t="str">
        <f t="shared" si="0"/>
        <v>TCTN.DNS-26004</v>
      </c>
      <c r="W20" s="7" t="s">
        <v>81</v>
      </c>
      <c r="X20" s="7"/>
      <c r="Y20" s="7"/>
      <c r="Z20" s="7" t="s">
        <v>922</v>
      </c>
      <c r="AA20" s="7" t="s">
        <v>39</v>
      </c>
      <c r="AB20" s="7"/>
      <c r="AC20" s="7" t="s">
        <v>82</v>
      </c>
    </row>
    <row r="21" spans="1:29" hidden="1" x14ac:dyDescent="0.25">
      <c r="A21" s="5">
        <v>16</v>
      </c>
      <c r="B21" s="5" t="s">
        <v>83</v>
      </c>
      <c r="C21" s="5" t="s">
        <v>77</v>
      </c>
      <c r="D21" s="5" t="s">
        <v>84</v>
      </c>
      <c r="E21" s="5">
        <v>5</v>
      </c>
      <c r="F21" s="5">
        <v>43</v>
      </c>
      <c r="G21" s="5">
        <v>86</v>
      </c>
      <c r="H21" s="5">
        <v>112</v>
      </c>
      <c r="I21" s="5">
        <v>0.14000000000000001</v>
      </c>
      <c r="J21" s="5">
        <v>15.82</v>
      </c>
      <c r="K21" s="5" t="s">
        <v>79</v>
      </c>
      <c r="L21" s="5" t="s">
        <v>80</v>
      </c>
      <c r="M21" s="7"/>
      <c r="N21" s="7"/>
      <c r="O21" s="7"/>
      <c r="P21" s="7"/>
      <c r="Q21" s="7">
        <v>1</v>
      </c>
      <c r="R21" s="8" t="s">
        <v>37</v>
      </c>
      <c r="S21" s="7"/>
      <c r="T21" s="7" t="s">
        <v>38</v>
      </c>
      <c r="U21" s="7"/>
      <c r="V21" s="7" t="str">
        <f t="shared" si="0"/>
        <v>TCTN.DNS-26004</v>
      </c>
      <c r="W21" s="7" t="s">
        <v>81</v>
      </c>
      <c r="X21" s="7"/>
      <c r="Y21" s="7"/>
      <c r="Z21" s="7" t="s">
        <v>922</v>
      </c>
      <c r="AA21" s="7" t="s">
        <v>39</v>
      </c>
      <c r="AB21" s="7"/>
      <c r="AC21" s="7" t="s">
        <v>82</v>
      </c>
    </row>
    <row r="22" spans="1:29" hidden="1" x14ac:dyDescent="0.25">
      <c r="A22" s="5">
        <v>17</v>
      </c>
      <c r="B22" s="5" t="s">
        <v>85</v>
      </c>
      <c r="C22" s="5" t="s">
        <v>77</v>
      </c>
      <c r="D22" s="5" t="s">
        <v>78</v>
      </c>
      <c r="E22" s="5">
        <v>5</v>
      </c>
      <c r="F22" s="5">
        <v>63</v>
      </c>
      <c r="G22" s="5">
        <v>186</v>
      </c>
      <c r="H22" s="5">
        <v>28</v>
      </c>
      <c r="I22" s="5">
        <v>0.46</v>
      </c>
      <c r="J22" s="5">
        <v>12.77</v>
      </c>
      <c r="K22" s="5" t="s">
        <v>79</v>
      </c>
      <c r="L22" s="5" t="s">
        <v>80</v>
      </c>
      <c r="M22" s="7"/>
      <c r="N22" s="7"/>
      <c r="O22" s="7"/>
      <c r="P22" s="7"/>
      <c r="Q22" s="7">
        <v>1</v>
      </c>
      <c r="R22" s="8" t="s">
        <v>37</v>
      </c>
      <c r="S22" s="7"/>
      <c r="T22" s="7" t="s">
        <v>38</v>
      </c>
      <c r="U22" s="7"/>
      <c r="V22" s="7" t="str">
        <f t="shared" si="0"/>
        <v>TCTN.DNS-26004</v>
      </c>
      <c r="W22" s="7" t="s">
        <v>81</v>
      </c>
      <c r="X22" s="7"/>
      <c r="Y22" s="7"/>
      <c r="Z22" s="7" t="s">
        <v>922</v>
      </c>
      <c r="AA22" s="7" t="s">
        <v>39</v>
      </c>
      <c r="AB22" s="7"/>
      <c r="AC22" s="7" t="s">
        <v>82</v>
      </c>
    </row>
    <row r="23" spans="1:29" hidden="1" x14ac:dyDescent="0.25">
      <c r="A23" s="5">
        <v>18</v>
      </c>
      <c r="B23" s="5" t="s">
        <v>86</v>
      </c>
      <c r="C23" s="5" t="s">
        <v>77</v>
      </c>
      <c r="D23" s="5" t="s">
        <v>84</v>
      </c>
      <c r="E23" s="5">
        <v>5</v>
      </c>
      <c r="F23" s="5">
        <v>43</v>
      </c>
      <c r="G23" s="5">
        <v>86</v>
      </c>
      <c r="H23" s="5">
        <v>120</v>
      </c>
      <c r="I23" s="5">
        <v>0.14000000000000001</v>
      </c>
      <c r="J23" s="5">
        <v>16.95</v>
      </c>
      <c r="K23" s="5" t="s">
        <v>79</v>
      </c>
      <c r="L23" s="5" t="s">
        <v>80</v>
      </c>
      <c r="M23" s="7"/>
      <c r="N23" s="7"/>
      <c r="O23" s="7"/>
      <c r="P23" s="7"/>
      <c r="Q23" s="7">
        <v>1</v>
      </c>
      <c r="R23" s="8" t="s">
        <v>37</v>
      </c>
      <c r="S23" s="7"/>
      <c r="T23" s="7" t="s">
        <v>38</v>
      </c>
      <c r="U23" s="7"/>
      <c r="V23" s="7" t="str">
        <f t="shared" si="0"/>
        <v>TCTN.DNS-26004</v>
      </c>
      <c r="W23" s="7" t="s">
        <v>81</v>
      </c>
      <c r="X23" s="7"/>
      <c r="Y23" s="7"/>
      <c r="Z23" s="7" t="s">
        <v>922</v>
      </c>
      <c r="AA23" s="7" t="s">
        <v>39</v>
      </c>
      <c r="AB23" s="7"/>
      <c r="AC23" s="7" t="s">
        <v>82</v>
      </c>
    </row>
    <row r="24" spans="1:29" hidden="1" x14ac:dyDescent="0.25">
      <c r="A24" s="5">
        <v>19</v>
      </c>
      <c r="B24" s="5" t="s">
        <v>87</v>
      </c>
      <c r="C24" s="5" t="s">
        <v>77</v>
      </c>
      <c r="D24" s="5" t="s">
        <v>78</v>
      </c>
      <c r="E24" s="5">
        <v>5</v>
      </c>
      <c r="F24" s="5">
        <v>63</v>
      </c>
      <c r="G24" s="5">
        <v>186</v>
      </c>
      <c r="H24" s="5">
        <v>42</v>
      </c>
      <c r="I24" s="5">
        <v>0.46</v>
      </c>
      <c r="J24" s="5">
        <v>19.149999999999999</v>
      </c>
      <c r="K24" s="5" t="s">
        <v>79</v>
      </c>
      <c r="L24" s="5" t="s">
        <v>80</v>
      </c>
      <c r="M24" s="7"/>
      <c r="N24" s="7"/>
      <c r="O24" s="7"/>
      <c r="P24" s="7"/>
      <c r="Q24" s="7">
        <v>1</v>
      </c>
      <c r="R24" s="8" t="s">
        <v>37</v>
      </c>
      <c r="S24" s="7"/>
      <c r="T24" s="7" t="s">
        <v>38</v>
      </c>
      <c r="U24" s="7"/>
      <c r="V24" s="7" t="str">
        <f t="shared" si="0"/>
        <v>TCTN.DNS-26004</v>
      </c>
      <c r="W24" s="7" t="s">
        <v>81</v>
      </c>
      <c r="X24" s="7"/>
      <c r="Y24" s="7"/>
      <c r="Z24" s="7" t="s">
        <v>922</v>
      </c>
      <c r="AA24" s="7" t="s">
        <v>39</v>
      </c>
      <c r="AB24" s="7"/>
      <c r="AC24" s="7" t="s">
        <v>82</v>
      </c>
    </row>
    <row r="25" spans="1:29" hidden="1" x14ac:dyDescent="0.25">
      <c r="A25" s="5">
        <v>20</v>
      </c>
      <c r="B25" s="5" t="s">
        <v>88</v>
      </c>
      <c r="C25" s="5" t="s">
        <v>77</v>
      </c>
      <c r="D25" s="5" t="s">
        <v>84</v>
      </c>
      <c r="E25" s="5">
        <v>5</v>
      </c>
      <c r="F25" s="5">
        <v>43</v>
      </c>
      <c r="G25" s="5">
        <v>86</v>
      </c>
      <c r="H25" s="5">
        <v>176</v>
      </c>
      <c r="I25" s="5">
        <v>0.14000000000000001</v>
      </c>
      <c r="J25" s="5">
        <v>24.85</v>
      </c>
      <c r="K25" s="5" t="s">
        <v>79</v>
      </c>
      <c r="L25" s="5" t="s">
        <v>80</v>
      </c>
      <c r="M25" s="7"/>
      <c r="N25" s="7"/>
      <c r="O25" s="7"/>
      <c r="P25" s="7"/>
      <c r="Q25" s="7">
        <v>1</v>
      </c>
      <c r="R25" s="8" t="s">
        <v>37</v>
      </c>
      <c r="S25" s="7"/>
      <c r="T25" s="7" t="s">
        <v>38</v>
      </c>
      <c r="U25" s="7"/>
      <c r="V25" s="7" t="str">
        <f t="shared" si="0"/>
        <v>TCTN.DNS-26004</v>
      </c>
      <c r="W25" s="7" t="s">
        <v>81</v>
      </c>
      <c r="X25" s="7"/>
      <c r="Y25" s="7"/>
      <c r="Z25" s="7" t="s">
        <v>922</v>
      </c>
      <c r="AA25" s="7" t="s">
        <v>39</v>
      </c>
      <c r="AB25" s="7"/>
      <c r="AC25" s="7" t="s">
        <v>82</v>
      </c>
    </row>
    <row r="26" spans="1:29" hidden="1" x14ac:dyDescent="0.25">
      <c r="A26" s="5">
        <v>21</v>
      </c>
      <c r="B26" s="5" t="s">
        <v>89</v>
      </c>
      <c r="C26" s="5" t="s">
        <v>77</v>
      </c>
      <c r="D26" s="5" t="s">
        <v>78</v>
      </c>
      <c r="E26" s="5">
        <v>5</v>
      </c>
      <c r="F26" s="5">
        <v>63</v>
      </c>
      <c r="G26" s="5">
        <v>186</v>
      </c>
      <c r="H26" s="5">
        <v>26</v>
      </c>
      <c r="I26" s="5">
        <v>0.46</v>
      </c>
      <c r="J26" s="5">
        <v>11.86</v>
      </c>
      <c r="K26" s="5" t="s">
        <v>79</v>
      </c>
      <c r="L26" s="5" t="s">
        <v>80</v>
      </c>
      <c r="M26" s="7"/>
      <c r="N26" s="7"/>
      <c r="O26" s="7"/>
      <c r="P26" s="7"/>
      <c r="Q26" s="7">
        <v>1</v>
      </c>
      <c r="R26" s="8" t="s">
        <v>37</v>
      </c>
      <c r="S26" s="7"/>
      <c r="T26" s="7" t="s">
        <v>38</v>
      </c>
      <c r="U26" s="7"/>
      <c r="V26" s="7" t="str">
        <f t="shared" si="0"/>
        <v>TCTN.DNS-26004</v>
      </c>
      <c r="W26" s="7" t="s">
        <v>81</v>
      </c>
      <c r="X26" s="7"/>
      <c r="Y26" s="7"/>
      <c r="Z26" s="7" t="s">
        <v>922</v>
      </c>
      <c r="AA26" s="7" t="s">
        <v>39</v>
      </c>
      <c r="AB26" s="7"/>
      <c r="AC26" s="7" t="s">
        <v>82</v>
      </c>
    </row>
    <row r="27" spans="1:29" hidden="1" x14ac:dyDescent="0.25">
      <c r="A27" s="5">
        <v>22</v>
      </c>
      <c r="B27" s="5" t="s">
        <v>90</v>
      </c>
      <c r="C27" s="5" t="s">
        <v>77</v>
      </c>
      <c r="D27" s="5" t="s">
        <v>84</v>
      </c>
      <c r="E27" s="5">
        <v>5</v>
      </c>
      <c r="F27" s="5">
        <v>43</v>
      </c>
      <c r="G27" s="5">
        <v>86</v>
      </c>
      <c r="H27" s="5">
        <v>112</v>
      </c>
      <c r="I27" s="5">
        <v>0.14000000000000001</v>
      </c>
      <c r="J27" s="5">
        <v>15.82</v>
      </c>
      <c r="K27" s="5" t="s">
        <v>79</v>
      </c>
      <c r="L27" s="5" t="s">
        <v>80</v>
      </c>
      <c r="M27" s="7"/>
      <c r="N27" s="7"/>
      <c r="O27" s="7"/>
      <c r="P27" s="7"/>
      <c r="Q27" s="7">
        <v>1</v>
      </c>
      <c r="R27" s="8" t="s">
        <v>37</v>
      </c>
      <c r="S27" s="7"/>
      <c r="T27" s="7" t="s">
        <v>38</v>
      </c>
      <c r="U27" s="7"/>
      <c r="V27" s="7" t="str">
        <f t="shared" si="0"/>
        <v>TCTN.DNS-26004</v>
      </c>
      <c r="W27" s="7" t="s">
        <v>81</v>
      </c>
      <c r="X27" s="7"/>
      <c r="Y27" s="7"/>
      <c r="Z27" s="7" t="s">
        <v>922</v>
      </c>
      <c r="AA27" s="7" t="s">
        <v>39</v>
      </c>
      <c r="AB27" s="7"/>
      <c r="AC27" s="7" t="s">
        <v>82</v>
      </c>
    </row>
    <row r="28" spans="1:29" hidden="1" x14ac:dyDescent="0.25">
      <c r="A28" s="5">
        <v>23</v>
      </c>
      <c r="B28" s="5" t="s">
        <v>91</v>
      </c>
      <c r="C28" s="5" t="s">
        <v>77</v>
      </c>
      <c r="D28" s="5" t="s">
        <v>78</v>
      </c>
      <c r="E28" s="5">
        <v>5</v>
      </c>
      <c r="F28" s="5">
        <v>63</v>
      </c>
      <c r="G28" s="5">
        <v>186</v>
      </c>
      <c r="H28" s="5">
        <v>28</v>
      </c>
      <c r="I28" s="5">
        <v>0.46</v>
      </c>
      <c r="J28" s="5">
        <v>12.77</v>
      </c>
      <c r="K28" s="5" t="s">
        <v>79</v>
      </c>
      <c r="L28" s="5" t="s">
        <v>80</v>
      </c>
      <c r="M28" s="7"/>
      <c r="N28" s="7"/>
      <c r="O28" s="7"/>
      <c r="P28" s="7"/>
      <c r="Q28" s="7">
        <v>1</v>
      </c>
      <c r="R28" s="8" t="s">
        <v>37</v>
      </c>
      <c r="S28" s="7"/>
      <c r="T28" s="7" t="s">
        <v>38</v>
      </c>
      <c r="U28" s="7"/>
      <c r="V28" s="7" t="str">
        <f t="shared" si="0"/>
        <v>TCTN.DNS-26004</v>
      </c>
      <c r="W28" s="7" t="s">
        <v>81</v>
      </c>
      <c r="X28" s="7"/>
      <c r="Y28" s="7"/>
      <c r="Z28" s="7" t="s">
        <v>922</v>
      </c>
      <c r="AA28" s="7" t="s">
        <v>39</v>
      </c>
      <c r="AB28" s="7"/>
      <c r="AC28" s="7" t="s">
        <v>82</v>
      </c>
    </row>
    <row r="29" spans="1:29" hidden="1" x14ac:dyDescent="0.25">
      <c r="A29" s="5">
        <v>24</v>
      </c>
      <c r="B29" s="5" t="s">
        <v>92</v>
      </c>
      <c r="C29" s="5" t="s">
        <v>77</v>
      </c>
      <c r="D29" s="5" t="s">
        <v>84</v>
      </c>
      <c r="E29" s="5">
        <v>5</v>
      </c>
      <c r="F29" s="5">
        <v>43</v>
      </c>
      <c r="G29" s="5">
        <v>86</v>
      </c>
      <c r="H29" s="5">
        <v>120</v>
      </c>
      <c r="I29" s="5">
        <v>0.14000000000000001</v>
      </c>
      <c r="J29" s="5">
        <v>16.95</v>
      </c>
      <c r="K29" s="5" t="s">
        <v>79</v>
      </c>
      <c r="L29" s="5" t="s">
        <v>80</v>
      </c>
      <c r="M29" s="7"/>
      <c r="N29" s="7"/>
      <c r="O29" s="7"/>
      <c r="P29" s="7"/>
      <c r="Q29" s="7">
        <v>1</v>
      </c>
      <c r="R29" s="8" t="s">
        <v>37</v>
      </c>
      <c r="S29" s="7"/>
      <c r="T29" s="7" t="s">
        <v>38</v>
      </c>
      <c r="U29" s="7"/>
      <c r="V29" s="7" t="str">
        <f t="shared" si="0"/>
        <v>TCTN.DNS-26004</v>
      </c>
      <c r="W29" s="7" t="s">
        <v>81</v>
      </c>
      <c r="X29" s="7"/>
      <c r="Y29" s="7"/>
      <c r="Z29" s="7" t="s">
        <v>922</v>
      </c>
      <c r="AA29" s="7" t="s">
        <v>39</v>
      </c>
      <c r="AB29" s="7"/>
      <c r="AC29" s="7" t="s">
        <v>82</v>
      </c>
    </row>
    <row r="30" spans="1:29" hidden="1" x14ac:dyDescent="0.25">
      <c r="A30" s="5">
        <v>25</v>
      </c>
      <c r="B30" s="5" t="s">
        <v>93</v>
      </c>
      <c r="C30" s="5" t="s">
        <v>77</v>
      </c>
      <c r="D30" s="5" t="s">
        <v>78</v>
      </c>
      <c r="E30" s="5">
        <v>5</v>
      </c>
      <c r="F30" s="5">
        <v>63</v>
      </c>
      <c r="G30" s="5">
        <v>186</v>
      </c>
      <c r="H30" s="5">
        <v>42</v>
      </c>
      <c r="I30" s="5">
        <v>0.46</v>
      </c>
      <c r="J30" s="5">
        <v>19.149999999999999</v>
      </c>
      <c r="K30" s="5" t="s">
        <v>79</v>
      </c>
      <c r="L30" s="5" t="s">
        <v>80</v>
      </c>
      <c r="M30" s="7"/>
      <c r="N30" s="7"/>
      <c r="O30" s="7"/>
      <c r="P30" s="7"/>
      <c r="Q30" s="7">
        <v>1</v>
      </c>
      <c r="R30" s="8" t="s">
        <v>37</v>
      </c>
      <c r="S30" s="7"/>
      <c r="T30" s="7" t="s">
        <v>38</v>
      </c>
      <c r="U30" s="7"/>
      <c r="V30" s="7" t="str">
        <f t="shared" si="0"/>
        <v>TCTN.DNS-26004</v>
      </c>
      <c r="W30" s="7" t="s">
        <v>81</v>
      </c>
      <c r="X30" s="7"/>
      <c r="Y30" s="7"/>
      <c r="Z30" s="7" t="s">
        <v>922</v>
      </c>
      <c r="AA30" s="7" t="s">
        <v>39</v>
      </c>
      <c r="AB30" s="7"/>
      <c r="AC30" s="7" t="s">
        <v>82</v>
      </c>
    </row>
    <row r="31" spans="1:29" hidden="1" x14ac:dyDescent="0.25">
      <c r="A31" s="5">
        <v>26</v>
      </c>
      <c r="B31" s="5" t="s">
        <v>94</v>
      </c>
      <c r="C31" s="5" t="s">
        <v>77</v>
      </c>
      <c r="D31" s="5" t="s">
        <v>84</v>
      </c>
      <c r="E31" s="5">
        <v>5</v>
      </c>
      <c r="F31" s="5">
        <v>43</v>
      </c>
      <c r="G31" s="5">
        <v>86</v>
      </c>
      <c r="H31" s="5">
        <v>176</v>
      </c>
      <c r="I31" s="5">
        <v>0.14000000000000001</v>
      </c>
      <c r="J31" s="5">
        <v>24.85</v>
      </c>
      <c r="K31" s="5" t="s">
        <v>79</v>
      </c>
      <c r="L31" s="5" t="s">
        <v>80</v>
      </c>
      <c r="M31" s="7"/>
      <c r="N31" s="7"/>
      <c r="O31" s="7"/>
      <c r="P31" s="7"/>
      <c r="Q31" s="7">
        <v>1</v>
      </c>
      <c r="R31" s="8" t="s">
        <v>37</v>
      </c>
      <c r="S31" s="7"/>
      <c r="T31" s="7" t="s">
        <v>38</v>
      </c>
      <c r="U31" s="7"/>
      <c r="V31" s="7" t="str">
        <f t="shared" si="0"/>
        <v>TCTN.DNS-26004</v>
      </c>
      <c r="W31" s="7" t="s">
        <v>81</v>
      </c>
      <c r="X31" s="7"/>
      <c r="Y31" s="7"/>
      <c r="Z31" s="7" t="s">
        <v>922</v>
      </c>
      <c r="AA31" s="7" t="s">
        <v>39</v>
      </c>
      <c r="AB31" s="7"/>
      <c r="AC31" s="7" t="s">
        <v>82</v>
      </c>
    </row>
    <row r="32" spans="1:29" hidden="1" x14ac:dyDescent="0.25">
      <c r="A32" s="5">
        <v>27</v>
      </c>
      <c r="B32" s="5" t="s">
        <v>95</v>
      </c>
      <c r="C32" s="5" t="s">
        <v>77</v>
      </c>
      <c r="D32" s="5" t="s">
        <v>96</v>
      </c>
      <c r="E32" s="5">
        <v>6</v>
      </c>
      <c r="F32" s="5">
        <v>328</v>
      </c>
      <c r="G32" s="5">
        <v>1752</v>
      </c>
      <c r="H32" s="5">
        <v>1</v>
      </c>
      <c r="I32" s="5">
        <v>25.59</v>
      </c>
      <c r="J32" s="5">
        <v>25.59</v>
      </c>
      <c r="K32" s="5" t="s">
        <v>97</v>
      </c>
      <c r="L32" s="5" t="s">
        <v>98</v>
      </c>
      <c r="M32" s="7"/>
      <c r="N32" s="7"/>
      <c r="O32" s="7" t="s">
        <v>81</v>
      </c>
      <c r="P32" s="7" t="s">
        <v>81</v>
      </c>
      <c r="Q32" s="7">
        <v>1</v>
      </c>
      <c r="R32" s="8" t="s">
        <v>37</v>
      </c>
      <c r="S32" s="7"/>
      <c r="T32" s="7" t="s">
        <v>38</v>
      </c>
      <c r="U32" s="7"/>
      <c r="V32" s="7" t="str">
        <f t="shared" si="0"/>
        <v>TCTN.DNS-26004</v>
      </c>
      <c r="W32" s="7"/>
      <c r="X32" s="7"/>
      <c r="Y32" s="7"/>
      <c r="Z32" s="7" t="s">
        <v>922</v>
      </c>
      <c r="AA32" s="7" t="s">
        <v>39</v>
      </c>
      <c r="AB32" s="7"/>
      <c r="AC32" s="7" t="s">
        <v>99</v>
      </c>
    </row>
    <row r="33" spans="1:29" hidden="1" x14ac:dyDescent="0.25">
      <c r="A33" s="5">
        <v>28</v>
      </c>
      <c r="B33" s="5" t="s">
        <v>100</v>
      </c>
      <c r="C33" s="5" t="s">
        <v>77</v>
      </c>
      <c r="D33" s="5" t="s">
        <v>96</v>
      </c>
      <c r="E33" s="5">
        <v>6</v>
      </c>
      <c r="F33" s="5">
        <v>328</v>
      </c>
      <c r="G33" s="5">
        <v>1752</v>
      </c>
      <c r="H33" s="5">
        <v>1</v>
      </c>
      <c r="I33" s="5">
        <v>25.59</v>
      </c>
      <c r="J33" s="5">
        <v>25.59</v>
      </c>
      <c r="K33" s="5" t="s">
        <v>97</v>
      </c>
      <c r="L33" s="5" t="s">
        <v>98</v>
      </c>
      <c r="M33" s="7"/>
      <c r="N33" s="7"/>
      <c r="O33" s="7" t="s">
        <v>81</v>
      </c>
      <c r="P33" s="7" t="s">
        <v>81</v>
      </c>
      <c r="Q33" s="7">
        <v>1</v>
      </c>
      <c r="R33" s="8" t="s">
        <v>37</v>
      </c>
      <c r="S33" s="7"/>
      <c r="T33" s="7" t="s">
        <v>38</v>
      </c>
      <c r="U33" s="7"/>
      <c r="V33" s="7" t="str">
        <f t="shared" si="0"/>
        <v>TCTN.DNS-26004</v>
      </c>
      <c r="W33" s="7"/>
      <c r="X33" s="7"/>
      <c r="Y33" s="7"/>
      <c r="Z33" s="7" t="s">
        <v>922</v>
      </c>
      <c r="AA33" s="7" t="s">
        <v>39</v>
      </c>
      <c r="AB33" s="7"/>
      <c r="AC33" s="7" t="s">
        <v>99</v>
      </c>
    </row>
    <row r="34" spans="1:29" hidden="1" x14ac:dyDescent="0.25">
      <c r="A34" s="5">
        <v>29</v>
      </c>
      <c r="B34" s="5" t="s">
        <v>101</v>
      </c>
      <c r="C34" s="5" t="s">
        <v>77</v>
      </c>
      <c r="D34" s="5" t="s">
        <v>96</v>
      </c>
      <c r="E34" s="5">
        <v>6</v>
      </c>
      <c r="F34" s="5">
        <v>328</v>
      </c>
      <c r="G34" s="5">
        <v>1752</v>
      </c>
      <c r="H34" s="5">
        <v>3</v>
      </c>
      <c r="I34" s="5">
        <v>25.6</v>
      </c>
      <c r="J34" s="5">
        <v>76.790000000000006</v>
      </c>
      <c r="K34" s="5" t="s">
        <v>97</v>
      </c>
      <c r="L34" s="5" t="s">
        <v>98</v>
      </c>
      <c r="M34" s="7"/>
      <c r="N34" s="7"/>
      <c r="O34" s="7" t="s">
        <v>81</v>
      </c>
      <c r="P34" s="7" t="s">
        <v>81</v>
      </c>
      <c r="Q34" s="7">
        <v>1</v>
      </c>
      <c r="R34" s="8" t="s">
        <v>37</v>
      </c>
      <c r="S34" s="7"/>
      <c r="T34" s="7" t="s">
        <v>38</v>
      </c>
      <c r="U34" s="7"/>
      <c r="V34" s="7" t="str">
        <f t="shared" si="0"/>
        <v>TCTN.DNS-26004</v>
      </c>
      <c r="W34" s="7"/>
      <c r="X34" s="7"/>
      <c r="Y34" s="7"/>
      <c r="Z34" s="7" t="s">
        <v>922</v>
      </c>
      <c r="AA34" s="7" t="s">
        <v>39</v>
      </c>
      <c r="AB34" s="7"/>
      <c r="AC34" s="7" t="s">
        <v>99</v>
      </c>
    </row>
    <row r="35" spans="1:29" hidden="1" x14ac:dyDescent="0.25">
      <c r="A35" s="5">
        <v>30</v>
      </c>
      <c r="B35" s="5" t="s">
        <v>102</v>
      </c>
      <c r="C35" s="5" t="s">
        <v>77</v>
      </c>
      <c r="D35" s="5" t="s">
        <v>103</v>
      </c>
      <c r="E35" s="5">
        <v>6</v>
      </c>
      <c r="F35" s="5">
        <v>328</v>
      </c>
      <c r="G35" s="5">
        <v>1753</v>
      </c>
      <c r="H35" s="5">
        <v>3</v>
      </c>
      <c r="I35" s="5">
        <v>25.61</v>
      </c>
      <c r="J35" s="5">
        <v>76.83</v>
      </c>
      <c r="K35" s="5" t="s">
        <v>97</v>
      </c>
      <c r="L35" s="5" t="s">
        <v>98</v>
      </c>
      <c r="M35" s="7"/>
      <c r="N35" s="7"/>
      <c r="O35" s="7" t="s">
        <v>81</v>
      </c>
      <c r="P35" s="7" t="s">
        <v>81</v>
      </c>
      <c r="Q35" s="7">
        <v>1</v>
      </c>
      <c r="R35" s="8" t="s">
        <v>37</v>
      </c>
      <c r="S35" s="7"/>
      <c r="T35" s="7" t="s">
        <v>38</v>
      </c>
      <c r="U35" s="7"/>
      <c r="V35" s="7" t="str">
        <f t="shared" si="0"/>
        <v>TCTN.DNS-26004</v>
      </c>
      <c r="W35" s="7"/>
      <c r="X35" s="7"/>
      <c r="Y35" s="7"/>
      <c r="Z35" s="7" t="s">
        <v>922</v>
      </c>
      <c r="AA35" s="7" t="s">
        <v>39</v>
      </c>
      <c r="AB35" s="7"/>
      <c r="AC35" s="7" t="s">
        <v>99</v>
      </c>
    </row>
    <row r="36" spans="1:29" hidden="1" x14ac:dyDescent="0.25">
      <c r="A36" s="5">
        <v>31</v>
      </c>
      <c r="B36" s="5" t="s">
        <v>104</v>
      </c>
      <c r="C36" s="5" t="s">
        <v>77</v>
      </c>
      <c r="D36" s="5" t="s">
        <v>96</v>
      </c>
      <c r="E36" s="5">
        <v>6</v>
      </c>
      <c r="F36" s="5">
        <v>328</v>
      </c>
      <c r="G36" s="5">
        <v>1752</v>
      </c>
      <c r="H36" s="5">
        <v>2</v>
      </c>
      <c r="I36" s="5">
        <v>25.59</v>
      </c>
      <c r="J36" s="5">
        <v>51.18</v>
      </c>
      <c r="K36" s="5" t="s">
        <v>97</v>
      </c>
      <c r="L36" s="5" t="s">
        <v>98</v>
      </c>
      <c r="M36" s="7"/>
      <c r="N36" s="7"/>
      <c r="O36" s="7" t="s">
        <v>81</v>
      </c>
      <c r="P36" s="7" t="s">
        <v>81</v>
      </c>
      <c r="Q36" s="7">
        <v>1</v>
      </c>
      <c r="R36" s="8" t="s">
        <v>37</v>
      </c>
      <c r="S36" s="7"/>
      <c r="T36" s="7" t="s">
        <v>38</v>
      </c>
      <c r="U36" s="7"/>
      <c r="V36" s="7" t="str">
        <f t="shared" si="0"/>
        <v>TCTN.DNS-26004</v>
      </c>
      <c r="W36" s="7"/>
      <c r="X36" s="7"/>
      <c r="Y36" s="7"/>
      <c r="Z36" s="7" t="s">
        <v>922</v>
      </c>
      <c r="AA36" s="7" t="s">
        <v>39</v>
      </c>
      <c r="AB36" s="7"/>
      <c r="AC36" s="7" t="s">
        <v>99</v>
      </c>
    </row>
    <row r="37" spans="1:29" hidden="1" x14ac:dyDescent="0.25">
      <c r="A37" s="5">
        <v>32</v>
      </c>
      <c r="B37" s="5" t="s">
        <v>105</v>
      </c>
      <c r="C37" s="5" t="s">
        <v>77</v>
      </c>
      <c r="D37" s="5" t="s">
        <v>96</v>
      </c>
      <c r="E37" s="5">
        <v>6</v>
      </c>
      <c r="F37" s="5">
        <v>328</v>
      </c>
      <c r="G37" s="5">
        <v>1752</v>
      </c>
      <c r="H37" s="5">
        <v>1</v>
      </c>
      <c r="I37" s="5">
        <v>25.59</v>
      </c>
      <c r="J37" s="5">
        <v>25.59</v>
      </c>
      <c r="K37" s="5" t="s">
        <v>97</v>
      </c>
      <c r="L37" s="5" t="s">
        <v>98</v>
      </c>
      <c r="M37" s="7"/>
      <c r="N37" s="7"/>
      <c r="O37" s="7" t="s">
        <v>81</v>
      </c>
      <c r="P37" s="7" t="s">
        <v>81</v>
      </c>
      <c r="Q37" s="7">
        <v>1</v>
      </c>
      <c r="R37" s="8" t="s">
        <v>37</v>
      </c>
      <c r="S37" s="7"/>
      <c r="T37" s="7" t="s">
        <v>38</v>
      </c>
      <c r="U37" s="7"/>
      <c r="V37" s="7" t="str">
        <f t="shared" si="0"/>
        <v>TCTN.DNS-26004</v>
      </c>
      <c r="W37" s="7"/>
      <c r="X37" s="7"/>
      <c r="Y37" s="7"/>
      <c r="Z37" s="7" t="s">
        <v>922</v>
      </c>
      <c r="AA37" s="7" t="s">
        <v>39</v>
      </c>
      <c r="AB37" s="7"/>
      <c r="AC37" s="7" t="s">
        <v>99</v>
      </c>
    </row>
    <row r="38" spans="1:29" hidden="1" x14ac:dyDescent="0.25">
      <c r="A38" s="5">
        <v>33</v>
      </c>
      <c r="B38" s="5" t="s">
        <v>106</v>
      </c>
      <c r="C38" s="5" t="s">
        <v>77</v>
      </c>
      <c r="D38" s="5" t="s">
        <v>96</v>
      </c>
      <c r="E38" s="5">
        <v>6</v>
      </c>
      <c r="F38" s="5">
        <v>328</v>
      </c>
      <c r="G38" s="5">
        <v>1752</v>
      </c>
      <c r="H38" s="5">
        <v>1</v>
      </c>
      <c r="I38" s="5">
        <v>25.59</v>
      </c>
      <c r="J38" s="5">
        <v>25.59</v>
      </c>
      <c r="K38" s="5" t="s">
        <v>97</v>
      </c>
      <c r="L38" s="5" t="s">
        <v>98</v>
      </c>
      <c r="M38" s="7"/>
      <c r="N38" s="7"/>
      <c r="O38" s="7" t="s">
        <v>81</v>
      </c>
      <c r="P38" s="7" t="s">
        <v>81</v>
      </c>
      <c r="Q38" s="7">
        <v>1</v>
      </c>
      <c r="R38" s="8" t="s">
        <v>37</v>
      </c>
      <c r="S38" s="7"/>
      <c r="T38" s="7" t="s">
        <v>38</v>
      </c>
      <c r="U38" s="7"/>
      <c r="V38" s="7" t="str">
        <f t="shared" si="0"/>
        <v>TCTN.DNS-26004</v>
      </c>
      <c r="W38" s="7"/>
      <c r="X38" s="7"/>
      <c r="Y38" s="7"/>
      <c r="Z38" s="7" t="s">
        <v>922</v>
      </c>
      <c r="AA38" s="7" t="s">
        <v>39</v>
      </c>
      <c r="AB38" s="7"/>
      <c r="AC38" s="7" t="s">
        <v>99</v>
      </c>
    </row>
    <row r="39" spans="1:29" hidden="1" x14ac:dyDescent="0.25">
      <c r="A39" s="5">
        <v>34</v>
      </c>
      <c r="B39" s="5" t="s">
        <v>107</v>
      </c>
      <c r="C39" s="5" t="s">
        <v>77</v>
      </c>
      <c r="D39" s="5" t="s">
        <v>96</v>
      </c>
      <c r="E39" s="5">
        <v>6</v>
      </c>
      <c r="F39" s="5">
        <v>328</v>
      </c>
      <c r="G39" s="5">
        <v>1752</v>
      </c>
      <c r="H39" s="5">
        <v>3</v>
      </c>
      <c r="I39" s="5">
        <v>25.6</v>
      </c>
      <c r="J39" s="5">
        <v>76.790000000000006</v>
      </c>
      <c r="K39" s="5" t="s">
        <v>97</v>
      </c>
      <c r="L39" s="5" t="s">
        <v>98</v>
      </c>
      <c r="M39" s="7"/>
      <c r="N39" s="7"/>
      <c r="O39" s="7" t="s">
        <v>81</v>
      </c>
      <c r="P39" s="7" t="s">
        <v>81</v>
      </c>
      <c r="Q39" s="7">
        <v>1</v>
      </c>
      <c r="R39" s="8" t="s">
        <v>37</v>
      </c>
      <c r="S39" s="7"/>
      <c r="T39" s="7" t="s">
        <v>38</v>
      </c>
      <c r="U39" s="7"/>
      <c r="V39" s="7" t="str">
        <f t="shared" si="0"/>
        <v>TCTN.DNS-26004</v>
      </c>
      <c r="W39" s="7"/>
      <c r="X39" s="7"/>
      <c r="Y39" s="7"/>
      <c r="Z39" s="7" t="s">
        <v>922</v>
      </c>
      <c r="AA39" s="7" t="s">
        <v>39</v>
      </c>
      <c r="AB39" s="7"/>
      <c r="AC39" s="7" t="s">
        <v>99</v>
      </c>
    </row>
    <row r="40" spans="1:29" hidden="1" x14ac:dyDescent="0.25">
      <c r="A40" s="5">
        <v>35</v>
      </c>
      <c r="B40" s="5" t="s">
        <v>108</v>
      </c>
      <c r="C40" s="5" t="s">
        <v>77</v>
      </c>
      <c r="D40" s="5" t="s">
        <v>103</v>
      </c>
      <c r="E40" s="5">
        <v>6</v>
      </c>
      <c r="F40" s="5">
        <v>328</v>
      </c>
      <c r="G40" s="5">
        <v>1753</v>
      </c>
      <c r="H40" s="5">
        <v>3</v>
      </c>
      <c r="I40" s="5">
        <v>25.61</v>
      </c>
      <c r="J40" s="5">
        <v>76.83</v>
      </c>
      <c r="K40" s="5" t="s">
        <v>97</v>
      </c>
      <c r="L40" s="5" t="s">
        <v>98</v>
      </c>
      <c r="M40" s="7"/>
      <c r="N40" s="7"/>
      <c r="O40" s="7" t="s">
        <v>81</v>
      </c>
      <c r="P40" s="7" t="s">
        <v>81</v>
      </c>
      <c r="Q40" s="7">
        <v>1</v>
      </c>
      <c r="R40" s="8" t="s">
        <v>37</v>
      </c>
      <c r="S40" s="7"/>
      <c r="T40" s="7" t="s">
        <v>38</v>
      </c>
      <c r="U40" s="7"/>
      <c r="V40" s="7" t="str">
        <f t="shared" si="0"/>
        <v>TCTN.DNS-26004</v>
      </c>
      <c r="W40" s="7"/>
      <c r="X40" s="7"/>
      <c r="Y40" s="7"/>
      <c r="Z40" s="7" t="s">
        <v>922</v>
      </c>
      <c r="AA40" s="7" t="s">
        <v>39</v>
      </c>
      <c r="AB40" s="7"/>
      <c r="AC40" s="7" t="s">
        <v>99</v>
      </c>
    </row>
    <row r="41" spans="1:29" hidden="1" x14ac:dyDescent="0.25">
      <c r="A41" s="5">
        <v>36</v>
      </c>
      <c r="B41" s="5" t="s">
        <v>109</v>
      </c>
      <c r="C41" s="5" t="s">
        <v>77</v>
      </c>
      <c r="D41" s="5" t="s">
        <v>96</v>
      </c>
      <c r="E41" s="5">
        <v>6</v>
      </c>
      <c r="F41" s="5">
        <v>328</v>
      </c>
      <c r="G41" s="5">
        <v>1752</v>
      </c>
      <c r="H41" s="5">
        <v>2</v>
      </c>
      <c r="I41" s="5">
        <v>25.59</v>
      </c>
      <c r="J41" s="5">
        <v>51.18</v>
      </c>
      <c r="K41" s="5" t="s">
        <v>97</v>
      </c>
      <c r="L41" s="5" t="s">
        <v>98</v>
      </c>
      <c r="M41" s="7"/>
      <c r="N41" s="7"/>
      <c r="O41" s="7" t="s">
        <v>81</v>
      </c>
      <c r="P41" s="7" t="s">
        <v>81</v>
      </c>
      <c r="Q41" s="7">
        <v>1</v>
      </c>
      <c r="R41" s="8" t="s">
        <v>37</v>
      </c>
      <c r="S41" s="7"/>
      <c r="T41" s="7" t="s">
        <v>38</v>
      </c>
      <c r="U41" s="7"/>
      <c r="V41" s="7" t="str">
        <f t="shared" si="0"/>
        <v>TCTN.DNS-26004</v>
      </c>
      <c r="W41" s="7"/>
      <c r="X41" s="7"/>
      <c r="Y41" s="7"/>
      <c r="Z41" s="7" t="s">
        <v>922</v>
      </c>
      <c r="AA41" s="7" t="s">
        <v>39</v>
      </c>
      <c r="AB41" s="7"/>
      <c r="AC41" s="7" t="s">
        <v>99</v>
      </c>
    </row>
    <row r="42" spans="1:29" hidden="1" x14ac:dyDescent="0.25">
      <c r="A42" s="5">
        <v>37</v>
      </c>
      <c r="B42" s="5" t="s">
        <v>110</v>
      </c>
      <c r="C42" s="5" t="s">
        <v>77</v>
      </c>
      <c r="D42" s="5" t="s">
        <v>111</v>
      </c>
      <c r="E42" s="5">
        <v>6</v>
      </c>
      <c r="F42" s="5">
        <v>328</v>
      </c>
      <c r="G42" s="5">
        <v>1672</v>
      </c>
      <c r="H42" s="5">
        <v>2</v>
      </c>
      <c r="I42" s="5">
        <v>24.46</v>
      </c>
      <c r="J42" s="5">
        <v>48.91</v>
      </c>
      <c r="K42" s="5" t="s">
        <v>97</v>
      </c>
      <c r="L42" s="5" t="s">
        <v>98</v>
      </c>
      <c r="M42" s="7"/>
      <c r="N42" s="7"/>
      <c r="O42" s="7" t="s">
        <v>81</v>
      </c>
      <c r="P42" s="7" t="s">
        <v>81</v>
      </c>
      <c r="Q42" s="7">
        <v>1</v>
      </c>
      <c r="R42" s="8" t="s">
        <v>37</v>
      </c>
      <c r="S42" s="7"/>
      <c r="T42" s="7" t="s">
        <v>38</v>
      </c>
      <c r="U42" s="7"/>
      <c r="V42" s="7" t="str">
        <f t="shared" si="0"/>
        <v>TCTN.DNS-26004</v>
      </c>
      <c r="W42" s="7"/>
      <c r="X42" s="7"/>
      <c r="Y42" s="7"/>
      <c r="Z42" s="7" t="s">
        <v>922</v>
      </c>
      <c r="AA42" s="7" t="s">
        <v>39</v>
      </c>
      <c r="AB42" s="7"/>
      <c r="AC42" s="7" t="s">
        <v>99</v>
      </c>
    </row>
    <row r="43" spans="1:29" hidden="1" x14ac:dyDescent="0.25">
      <c r="A43" s="5">
        <v>38</v>
      </c>
      <c r="B43" s="5" t="s">
        <v>112</v>
      </c>
      <c r="C43" s="5" t="s">
        <v>77</v>
      </c>
      <c r="D43" s="5" t="s">
        <v>113</v>
      </c>
      <c r="E43" s="5">
        <v>6</v>
      </c>
      <c r="F43" s="5">
        <v>328</v>
      </c>
      <c r="G43" s="5">
        <v>1718</v>
      </c>
      <c r="H43" s="5">
        <v>1</v>
      </c>
      <c r="I43" s="5">
        <v>25.11</v>
      </c>
      <c r="J43" s="5">
        <v>25.11</v>
      </c>
      <c r="K43" s="5" t="s">
        <v>97</v>
      </c>
      <c r="L43" s="5" t="s">
        <v>98</v>
      </c>
      <c r="M43" s="7"/>
      <c r="N43" s="7"/>
      <c r="O43" s="7" t="s">
        <v>81</v>
      </c>
      <c r="P43" s="7" t="s">
        <v>81</v>
      </c>
      <c r="Q43" s="7">
        <v>1</v>
      </c>
      <c r="R43" s="8" t="s">
        <v>37</v>
      </c>
      <c r="S43" s="7"/>
      <c r="T43" s="7" t="s">
        <v>38</v>
      </c>
      <c r="U43" s="7"/>
      <c r="V43" s="7" t="str">
        <f t="shared" si="0"/>
        <v>TCTN.DNS-26004</v>
      </c>
      <c r="W43" s="7"/>
      <c r="X43" s="7"/>
      <c r="Y43" s="7"/>
      <c r="Z43" s="7" t="s">
        <v>922</v>
      </c>
      <c r="AA43" s="7" t="s">
        <v>39</v>
      </c>
      <c r="AB43" s="7"/>
      <c r="AC43" s="7" t="s">
        <v>99</v>
      </c>
    </row>
    <row r="44" spans="1:29" hidden="1" x14ac:dyDescent="0.25">
      <c r="A44" s="5">
        <v>39</v>
      </c>
      <c r="B44" s="5" t="s">
        <v>114</v>
      </c>
      <c r="C44" s="5" t="s">
        <v>77</v>
      </c>
      <c r="D44" s="5" t="s">
        <v>115</v>
      </c>
      <c r="E44" s="5">
        <v>6</v>
      </c>
      <c r="F44" s="5">
        <v>328</v>
      </c>
      <c r="G44" s="5">
        <v>1729</v>
      </c>
      <c r="H44" s="5">
        <v>5</v>
      </c>
      <c r="I44" s="5">
        <v>25.27</v>
      </c>
      <c r="J44" s="5">
        <v>126.35</v>
      </c>
      <c r="K44" s="5" t="s">
        <v>97</v>
      </c>
      <c r="L44" s="5" t="s">
        <v>98</v>
      </c>
      <c r="M44" s="7"/>
      <c r="N44" s="7"/>
      <c r="O44" s="7" t="s">
        <v>81</v>
      </c>
      <c r="P44" s="7" t="s">
        <v>81</v>
      </c>
      <c r="Q44" s="7">
        <v>1</v>
      </c>
      <c r="R44" s="8" t="s">
        <v>37</v>
      </c>
      <c r="S44" s="7"/>
      <c r="T44" s="7" t="s">
        <v>38</v>
      </c>
      <c r="U44" s="7"/>
      <c r="V44" s="7" t="str">
        <f t="shared" si="0"/>
        <v>TCTN.DNS-26004</v>
      </c>
      <c r="W44" s="7"/>
      <c r="X44" s="7"/>
      <c r="Y44" s="7"/>
      <c r="Z44" s="7" t="s">
        <v>922</v>
      </c>
      <c r="AA44" s="7" t="s">
        <v>39</v>
      </c>
      <c r="AB44" s="7"/>
      <c r="AC44" s="7" t="s">
        <v>99</v>
      </c>
    </row>
    <row r="45" spans="1:29" hidden="1" x14ac:dyDescent="0.25">
      <c r="A45" s="5">
        <v>40</v>
      </c>
      <c r="B45" s="5" t="s">
        <v>116</v>
      </c>
      <c r="C45" s="5" t="s">
        <v>77</v>
      </c>
      <c r="D45" s="5" t="s">
        <v>117</v>
      </c>
      <c r="E45" s="5">
        <v>6</v>
      </c>
      <c r="F45" s="5">
        <v>298</v>
      </c>
      <c r="G45" s="5">
        <v>378</v>
      </c>
      <c r="H45" s="5">
        <v>1</v>
      </c>
      <c r="I45" s="5">
        <v>5.27</v>
      </c>
      <c r="J45" s="5">
        <v>5.27</v>
      </c>
      <c r="K45" s="5" t="s">
        <v>97</v>
      </c>
      <c r="L45" s="5" t="s">
        <v>98</v>
      </c>
      <c r="M45" s="7"/>
      <c r="N45" s="7"/>
      <c r="O45" s="7"/>
      <c r="P45" s="7"/>
      <c r="Q45" s="7">
        <v>1</v>
      </c>
      <c r="R45" s="8" t="s">
        <v>37</v>
      </c>
      <c r="S45" s="7"/>
      <c r="T45" s="7" t="s">
        <v>38</v>
      </c>
      <c r="U45" s="7"/>
      <c r="V45" s="7" t="str">
        <f t="shared" si="0"/>
        <v>TCTN.DNS-26004</v>
      </c>
      <c r="W45" s="7" t="s">
        <v>81</v>
      </c>
      <c r="X45" s="7"/>
      <c r="Y45" s="7"/>
      <c r="Z45" s="7" t="s">
        <v>922</v>
      </c>
      <c r="AA45" s="7" t="s">
        <v>39</v>
      </c>
      <c r="AB45" s="7"/>
      <c r="AC45" s="7" t="s">
        <v>99</v>
      </c>
    </row>
    <row r="46" spans="1:29" hidden="1" x14ac:dyDescent="0.25">
      <c r="A46" s="5">
        <v>41</v>
      </c>
      <c r="B46" s="5" t="s">
        <v>118</v>
      </c>
      <c r="C46" s="5" t="s">
        <v>77</v>
      </c>
      <c r="D46" s="5" t="s">
        <v>115</v>
      </c>
      <c r="E46" s="5">
        <v>6</v>
      </c>
      <c r="F46" s="5">
        <v>328</v>
      </c>
      <c r="G46" s="5">
        <v>1729</v>
      </c>
      <c r="H46" s="5">
        <v>13</v>
      </c>
      <c r="I46" s="5">
        <v>25.27</v>
      </c>
      <c r="J46" s="5">
        <v>328.51</v>
      </c>
      <c r="K46" s="5" t="s">
        <v>97</v>
      </c>
      <c r="L46" s="5" t="s">
        <v>119</v>
      </c>
      <c r="M46" s="7"/>
      <c r="N46" s="7"/>
      <c r="O46" s="7" t="s">
        <v>81</v>
      </c>
      <c r="P46" s="7" t="s">
        <v>81</v>
      </c>
      <c r="Q46" s="7">
        <v>1</v>
      </c>
      <c r="R46" s="8" t="s">
        <v>37</v>
      </c>
      <c r="S46" s="7"/>
      <c r="T46" s="7" t="s">
        <v>38</v>
      </c>
      <c r="U46" s="7"/>
      <c r="V46" s="7" t="str">
        <f t="shared" si="0"/>
        <v>TCTN.DNS-26004</v>
      </c>
      <c r="W46" s="7"/>
      <c r="X46" s="7"/>
      <c r="Y46" s="7"/>
      <c r="Z46" s="7" t="s">
        <v>922</v>
      </c>
      <c r="AA46" s="7" t="s">
        <v>39</v>
      </c>
      <c r="AB46" s="7"/>
      <c r="AC46" s="7" t="s">
        <v>120</v>
      </c>
    </row>
    <row r="47" spans="1:29" hidden="1" x14ac:dyDescent="0.25">
      <c r="A47" s="5">
        <v>42</v>
      </c>
      <c r="B47" s="5" t="s">
        <v>114</v>
      </c>
      <c r="C47" s="5" t="s">
        <v>77</v>
      </c>
      <c r="D47" s="5" t="s">
        <v>115</v>
      </c>
      <c r="E47" s="5">
        <v>6</v>
      </c>
      <c r="F47" s="5">
        <v>328</v>
      </c>
      <c r="G47" s="5">
        <v>1729</v>
      </c>
      <c r="H47" s="5">
        <v>15</v>
      </c>
      <c r="I47" s="5">
        <v>25.27</v>
      </c>
      <c r="J47" s="5">
        <v>379.05</v>
      </c>
      <c r="K47" s="5" t="s">
        <v>97</v>
      </c>
      <c r="L47" s="5" t="s">
        <v>119</v>
      </c>
      <c r="M47" s="7"/>
      <c r="N47" s="7"/>
      <c r="O47" s="7" t="s">
        <v>81</v>
      </c>
      <c r="P47" s="7" t="s">
        <v>81</v>
      </c>
      <c r="Q47" s="7">
        <v>1</v>
      </c>
      <c r="R47" s="8" t="s">
        <v>37</v>
      </c>
      <c r="S47" s="7"/>
      <c r="T47" s="7" t="s">
        <v>38</v>
      </c>
      <c r="U47" s="7"/>
      <c r="V47" s="7" t="str">
        <f t="shared" si="0"/>
        <v>TCTN.DNS-26004</v>
      </c>
      <c r="W47" s="7"/>
      <c r="X47" s="7"/>
      <c r="Y47" s="7"/>
      <c r="Z47" s="7" t="s">
        <v>922</v>
      </c>
      <c r="AA47" s="7" t="s">
        <v>39</v>
      </c>
      <c r="AB47" s="7"/>
      <c r="AC47" s="7" t="s">
        <v>120</v>
      </c>
    </row>
    <row r="48" spans="1:29" hidden="1" x14ac:dyDescent="0.25">
      <c r="A48" s="5">
        <v>43</v>
      </c>
      <c r="B48" s="5" t="s">
        <v>121</v>
      </c>
      <c r="C48" s="5" t="s">
        <v>77</v>
      </c>
      <c r="D48" s="5" t="s">
        <v>122</v>
      </c>
      <c r="E48" s="5">
        <v>6</v>
      </c>
      <c r="F48" s="5">
        <v>328</v>
      </c>
      <c r="G48" s="5">
        <v>934</v>
      </c>
      <c r="H48" s="5">
        <v>1</v>
      </c>
      <c r="I48" s="5">
        <v>14.43</v>
      </c>
      <c r="J48" s="5">
        <v>14.43</v>
      </c>
      <c r="K48" s="5" t="s">
        <v>97</v>
      </c>
      <c r="L48" s="5" t="s">
        <v>119</v>
      </c>
      <c r="M48" s="7"/>
      <c r="N48" s="7"/>
      <c r="O48" s="7" t="s">
        <v>81</v>
      </c>
      <c r="P48" s="7"/>
      <c r="Q48" s="7">
        <v>1</v>
      </c>
      <c r="R48" s="8" t="s">
        <v>37</v>
      </c>
      <c r="S48" s="7"/>
      <c r="T48" s="7" t="s">
        <v>38</v>
      </c>
      <c r="U48" s="7"/>
      <c r="V48" s="7" t="str">
        <f t="shared" si="0"/>
        <v>TCTN.DNS-26004</v>
      </c>
      <c r="W48" s="7"/>
      <c r="X48" s="7"/>
      <c r="Y48" s="7"/>
      <c r="Z48" s="7" t="s">
        <v>922</v>
      </c>
      <c r="AA48" s="7" t="s">
        <v>39</v>
      </c>
      <c r="AB48" s="7"/>
      <c r="AC48" s="7" t="s">
        <v>120</v>
      </c>
    </row>
    <row r="49" spans="1:29" hidden="1" x14ac:dyDescent="0.25">
      <c r="A49" s="5">
        <v>44</v>
      </c>
      <c r="B49" s="5" t="s">
        <v>123</v>
      </c>
      <c r="C49" s="5" t="s">
        <v>77</v>
      </c>
      <c r="D49" s="5" t="s">
        <v>117</v>
      </c>
      <c r="E49" s="5">
        <v>6</v>
      </c>
      <c r="F49" s="5">
        <v>298</v>
      </c>
      <c r="G49" s="5">
        <v>378</v>
      </c>
      <c r="H49" s="5">
        <v>1</v>
      </c>
      <c r="I49" s="5">
        <v>5.27</v>
      </c>
      <c r="J49" s="5">
        <v>5.27</v>
      </c>
      <c r="K49" s="5" t="s">
        <v>97</v>
      </c>
      <c r="L49" s="5" t="s">
        <v>119</v>
      </c>
      <c r="M49" s="7"/>
      <c r="N49" s="7"/>
      <c r="O49" s="7"/>
      <c r="P49" s="7"/>
      <c r="Q49" s="7">
        <v>1</v>
      </c>
      <c r="R49" s="8" t="s">
        <v>37</v>
      </c>
      <c r="S49" s="7"/>
      <c r="T49" s="7" t="s">
        <v>38</v>
      </c>
      <c r="U49" s="7"/>
      <c r="V49" s="7" t="str">
        <f t="shared" si="0"/>
        <v>TCTN.DNS-26004</v>
      </c>
      <c r="W49" s="7" t="s">
        <v>81</v>
      </c>
      <c r="X49" s="7"/>
      <c r="Y49" s="7"/>
      <c r="Z49" s="7" t="s">
        <v>922</v>
      </c>
      <c r="AA49" s="7" t="s">
        <v>39</v>
      </c>
      <c r="AB49" s="7"/>
      <c r="AC49" s="7" t="s">
        <v>120</v>
      </c>
    </row>
    <row r="50" spans="1:29" hidden="1" x14ac:dyDescent="0.25">
      <c r="A50" s="5">
        <v>45</v>
      </c>
      <c r="B50" s="5" t="s">
        <v>124</v>
      </c>
      <c r="C50" s="5" t="s">
        <v>77</v>
      </c>
      <c r="D50" s="5" t="s">
        <v>111</v>
      </c>
      <c r="E50" s="5">
        <v>6</v>
      </c>
      <c r="F50" s="5">
        <v>328</v>
      </c>
      <c r="G50" s="5">
        <v>1672</v>
      </c>
      <c r="H50" s="5">
        <v>2</v>
      </c>
      <c r="I50" s="5">
        <v>24.46</v>
      </c>
      <c r="J50" s="5">
        <v>48.91</v>
      </c>
      <c r="K50" s="5" t="s">
        <v>97</v>
      </c>
      <c r="L50" s="5" t="s">
        <v>125</v>
      </c>
      <c r="M50" s="7"/>
      <c r="N50" s="7"/>
      <c r="O50" s="7" t="s">
        <v>81</v>
      </c>
      <c r="P50" s="7" t="s">
        <v>81</v>
      </c>
      <c r="Q50" s="7">
        <v>1</v>
      </c>
      <c r="R50" s="8" t="s">
        <v>37</v>
      </c>
      <c r="S50" s="7"/>
      <c r="T50" s="7" t="s">
        <v>38</v>
      </c>
      <c r="U50" s="7"/>
      <c r="V50" s="7" t="str">
        <f t="shared" si="0"/>
        <v>TCTN.DNS-26004</v>
      </c>
      <c r="W50" s="7"/>
      <c r="X50" s="7"/>
      <c r="Y50" s="7"/>
      <c r="Z50" s="7" t="s">
        <v>922</v>
      </c>
      <c r="AA50" s="7" t="s">
        <v>39</v>
      </c>
      <c r="AB50" s="7"/>
      <c r="AC50" s="7" t="s">
        <v>126</v>
      </c>
    </row>
    <row r="51" spans="1:29" hidden="1" x14ac:dyDescent="0.25">
      <c r="A51" s="5">
        <v>46</v>
      </c>
      <c r="B51" s="5" t="s">
        <v>127</v>
      </c>
      <c r="C51" s="5" t="s">
        <v>77</v>
      </c>
      <c r="D51" s="5" t="s">
        <v>113</v>
      </c>
      <c r="E51" s="5">
        <v>6</v>
      </c>
      <c r="F51" s="5">
        <v>328</v>
      </c>
      <c r="G51" s="5">
        <v>1718</v>
      </c>
      <c r="H51" s="5">
        <v>8</v>
      </c>
      <c r="I51" s="5">
        <v>25.11</v>
      </c>
      <c r="J51" s="5">
        <v>200.91</v>
      </c>
      <c r="K51" s="5" t="s">
        <v>97</v>
      </c>
      <c r="L51" s="5" t="s">
        <v>125</v>
      </c>
      <c r="M51" s="7"/>
      <c r="N51" s="7"/>
      <c r="O51" s="7" t="s">
        <v>81</v>
      </c>
      <c r="P51" s="7" t="s">
        <v>81</v>
      </c>
      <c r="Q51" s="7">
        <v>1</v>
      </c>
      <c r="R51" s="8" t="s">
        <v>37</v>
      </c>
      <c r="S51" s="7"/>
      <c r="T51" s="7" t="s">
        <v>38</v>
      </c>
      <c r="U51" s="7"/>
      <c r="V51" s="7" t="str">
        <f t="shared" si="0"/>
        <v>TCTN.DNS-26004</v>
      </c>
      <c r="W51" s="7"/>
      <c r="X51" s="7"/>
      <c r="Y51" s="7"/>
      <c r="Z51" s="7" t="s">
        <v>922</v>
      </c>
      <c r="AA51" s="7" t="s">
        <v>39</v>
      </c>
      <c r="AB51" s="7"/>
      <c r="AC51" s="7" t="s">
        <v>126</v>
      </c>
    </row>
    <row r="52" spans="1:29" hidden="1" x14ac:dyDescent="0.25">
      <c r="A52" s="5">
        <v>47</v>
      </c>
      <c r="B52" s="5" t="s">
        <v>118</v>
      </c>
      <c r="C52" s="5" t="s">
        <v>77</v>
      </c>
      <c r="D52" s="5" t="s">
        <v>115</v>
      </c>
      <c r="E52" s="5">
        <v>6</v>
      </c>
      <c r="F52" s="5">
        <v>328</v>
      </c>
      <c r="G52" s="5">
        <v>1729</v>
      </c>
      <c r="H52" s="5">
        <v>7</v>
      </c>
      <c r="I52" s="5">
        <v>25.27</v>
      </c>
      <c r="J52" s="5">
        <v>176.89</v>
      </c>
      <c r="K52" s="5" t="s">
        <v>97</v>
      </c>
      <c r="L52" s="5" t="s">
        <v>125</v>
      </c>
      <c r="M52" s="7"/>
      <c r="N52" s="7"/>
      <c r="O52" s="7" t="s">
        <v>81</v>
      </c>
      <c r="P52" s="7" t="s">
        <v>81</v>
      </c>
      <c r="Q52" s="7">
        <v>1</v>
      </c>
      <c r="R52" s="8" t="s">
        <v>37</v>
      </c>
      <c r="S52" s="7"/>
      <c r="T52" s="7" t="s">
        <v>38</v>
      </c>
      <c r="U52" s="7"/>
      <c r="V52" s="7" t="str">
        <f t="shared" si="0"/>
        <v>TCTN.DNS-26004</v>
      </c>
      <c r="W52" s="7"/>
      <c r="X52" s="7"/>
      <c r="Y52" s="7"/>
      <c r="Z52" s="7" t="s">
        <v>922</v>
      </c>
      <c r="AA52" s="7" t="s">
        <v>39</v>
      </c>
      <c r="AB52" s="7"/>
      <c r="AC52" s="7" t="s">
        <v>126</v>
      </c>
    </row>
    <row r="53" spans="1:29" hidden="1" x14ac:dyDescent="0.25">
      <c r="A53" s="5">
        <v>48</v>
      </c>
      <c r="B53" s="5" t="s">
        <v>112</v>
      </c>
      <c r="C53" s="5" t="s">
        <v>77</v>
      </c>
      <c r="D53" s="5" t="s">
        <v>113</v>
      </c>
      <c r="E53" s="5">
        <v>6</v>
      </c>
      <c r="F53" s="5">
        <v>328</v>
      </c>
      <c r="G53" s="5">
        <v>1718</v>
      </c>
      <c r="H53" s="5">
        <v>7</v>
      </c>
      <c r="I53" s="5">
        <v>25.11</v>
      </c>
      <c r="J53" s="5">
        <v>175.79</v>
      </c>
      <c r="K53" s="5" t="s">
        <v>97</v>
      </c>
      <c r="L53" s="5" t="s">
        <v>125</v>
      </c>
      <c r="M53" s="7"/>
      <c r="N53" s="7"/>
      <c r="O53" s="7" t="s">
        <v>81</v>
      </c>
      <c r="P53" s="7" t="s">
        <v>81</v>
      </c>
      <c r="Q53" s="7">
        <v>1</v>
      </c>
      <c r="R53" s="8" t="s">
        <v>37</v>
      </c>
      <c r="S53" s="7"/>
      <c r="T53" s="7" t="s">
        <v>38</v>
      </c>
      <c r="U53" s="7"/>
      <c r="V53" s="7" t="str">
        <f t="shared" si="0"/>
        <v>TCTN.DNS-26004</v>
      </c>
      <c r="W53" s="7"/>
      <c r="X53" s="7"/>
      <c r="Y53" s="7"/>
      <c r="Z53" s="7" t="s">
        <v>922</v>
      </c>
      <c r="AA53" s="7" t="s">
        <v>39</v>
      </c>
      <c r="AB53" s="7"/>
      <c r="AC53" s="7" t="s">
        <v>126</v>
      </c>
    </row>
    <row r="54" spans="1:29" hidden="1" x14ac:dyDescent="0.25">
      <c r="A54" s="5">
        <v>49</v>
      </c>
      <c r="B54" s="5" t="s">
        <v>121</v>
      </c>
      <c r="C54" s="5" t="s">
        <v>77</v>
      </c>
      <c r="D54" s="5" t="s">
        <v>122</v>
      </c>
      <c r="E54" s="5">
        <v>6</v>
      </c>
      <c r="F54" s="5">
        <v>328</v>
      </c>
      <c r="G54" s="5">
        <v>934</v>
      </c>
      <c r="H54" s="5">
        <v>8</v>
      </c>
      <c r="I54" s="5">
        <v>14.43</v>
      </c>
      <c r="J54" s="5">
        <v>115.43</v>
      </c>
      <c r="K54" s="5" t="s">
        <v>97</v>
      </c>
      <c r="L54" s="5" t="s">
        <v>125</v>
      </c>
      <c r="M54" s="7"/>
      <c r="N54" s="7"/>
      <c r="O54" s="7" t="s">
        <v>81</v>
      </c>
      <c r="P54" s="7"/>
      <c r="Q54" s="7">
        <v>1</v>
      </c>
      <c r="R54" s="8" t="s">
        <v>37</v>
      </c>
      <c r="S54" s="7"/>
      <c r="T54" s="7" t="s">
        <v>38</v>
      </c>
      <c r="U54" s="7"/>
      <c r="V54" s="7" t="str">
        <f t="shared" si="0"/>
        <v>TCTN.DNS-26004</v>
      </c>
      <c r="W54" s="7"/>
      <c r="X54" s="7"/>
      <c r="Y54" s="7"/>
      <c r="Z54" s="7" t="s">
        <v>922</v>
      </c>
      <c r="AA54" s="7" t="s">
        <v>39</v>
      </c>
      <c r="AB54" s="7"/>
      <c r="AC54" s="7" t="s">
        <v>126</v>
      </c>
    </row>
    <row r="55" spans="1:29" hidden="1" x14ac:dyDescent="0.25">
      <c r="A55" s="5">
        <v>50</v>
      </c>
      <c r="B55" s="5" t="s">
        <v>116</v>
      </c>
      <c r="C55" s="5" t="s">
        <v>77</v>
      </c>
      <c r="D55" s="5" t="s">
        <v>117</v>
      </c>
      <c r="E55" s="5">
        <v>6</v>
      </c>
      <c r="F55" s="5">
        <v>298</v>
      </c>
      <c r="G55" s="5">
        <v>378</v>
      </c>
      <c r="H55" s="5">
        <v>1</v>
      </c>
      <c r="I55" s="5">
        <v>5.27</v>
      </c>
      <c r="J55" s="5">
        <v>5.27</v>
      </c>
      <c r="K55" s="5" t="s">
        <v>97</v>
      </c>
      <c r="L55" s="5" t="s">
        <v>125</v>
      </c>
      <c r="M55" s="7"/>
      <c r="N55" s="7"/>
      <c r="O55" s="7"/>
      <c r="P55" s="7"/>
      <c r="Q55" s="7">
        <v>1</v>
      </c>
      <c r="R55" s="8" t="s">
        <v>37</v>
      </c>
      <c r="S55" s="7"/>
      <c r="T55" s="7" t="s">
        <v>38</v>
      </c>
      <c r="U55" s="7"/>
      <c r="V55" s="7" t="str">
        <f t="shared" si="0"/>
        <v>TCTN.DNS-26004</v>
      </c>
      <c r="W55" s="7" t="s">
        <v>81</v>
      </c>
      <c r="X55" s="7"/>
      <c r="Y55" s="7"/>
      <c r="Z55" s="7" t="s">
        <v>922</v>
      </c>
      <c r="AA55" s="7" t="s">
        <v>39</v>
      </c>
      <c r="AB55" s="7"/>
      <c r="AC55" s="7" t="s">
        <v>126</v>
      </c>
    </row>
    <row r="56" spans="1:29" hidden="1" x14ac:dyDescent="0.25">
      <c r="A56" s="5">
        <v>51</v>
      </c>
      <c r="B56" s="5" t="s">
        <v>128</v>
      </c>
      <c r="C56" s="5" t="s">
        <v>77</v>
      </c>
      <c r="D56" s="5" t="s">
        <v>129</v>
      </c>
      <c r="E56" s="5">
        <v>6</v>
      </c>
      <c r="F56" s="5">
        <v>188</v>
      </c>
      <c r="G56" s="5">
        <v>2493</v>
      </c>
      <c r="H56" s="5">
        <v>4</v>
      </c>
      <c r="I56" s="5">
        <v>21.71</v>
      </c>
      <c r="J56" s="5">
        <v>86.83</v>
      </c>
      <c r="K56" s="5" t="s">
        <v>97</v>
      </c>
      <c r="L56" s="5" t="s">
        <v>130</v>
      </c>
      <c r="M56" s="7"/>
      <c r="N56" s="7"/>
      <c r="O56" s="7" t="s">
        <v>81</v>
      </c>
      <c r="P56" s="7" t="s">
        <v>81</v>
      </c>
      <c r="Q56" s="7">
        <v>1</v>
      </c>
      <c r="R56" s="8" t="s">
        <v>37</v>
      </c>
      <c r="S56" s="7"/>
      <c r="T56" s="7" t="s">
        <v>38</v>
      </c>
      <c r="U56" s="7"/>
      <c r="V56" s="7" t="str">
        <f t="shared" si="0"/>
        <v>TCTN.DNS-26004</v>
      </c>
      <c r="W56" s="7"/>
      <c r="X56" s="7"/>
      <c r="Y56" s="7"/>
      <c r="Z56" s="7" t="s">
        <v>922</v>
      </c>
      <c r="AA56" s="7" t="s">
        <v>39</v>
      </c>
      <c r="AB56" s="7"/>
      <c r="AC56" s="7" t="s">
        <v>131</v>
      </c>
    </row>
    <row r="57" spans="1:29" hidden="1" x14ac:dyDescent="0.25">
      <c r="A57" s="5">
        <v>52</v>
      </c>
      <c r="B57" s="5" t="s">
        <v>132</v>
      </c>
      <c r="C57" s="5" t="s">
        <v>77</v>
      </c>
      <c r="D57" s="5" t="s">
        <v>133</v>
      </c>
      <c r="E57" s="5">
        <v>6</v>
      </c>
      <c r="F57" s="5">
        <v>188</v>
      </c>
      <c r="G57" s="5">
        <v>2494</v>
      </c>
      <c r="H57" s="5">
        <v>4</v>
      </c>
      <c r="I57" s="5">
        <v>21.71</v>
      </c>
      <c r="J57" s="5">
        <v>86.84</v>
      </c>
      <c r="K57" s="5" t="s">
        <v>97</v>
      </c>
      <c r="L57" s="5" t="s">
        <v>130</v>
      </c>
      <c r="M57" s="7"/>
      <c r="N57" s="7"/>
      <c r="O57" s="7" t="s">
        <v>81</v>
      </c>
      <c r="P57" s="7" t="s">
        <v>81</v>
      </c>
      <c r="Q57" s="7">
        <v>1</v>
      </c>
      <c r="R57" s="8" t="s">
        <v>37</v>
      </c>
      <c r="S57" s="7"/>
      <c r="T57" s="7" t="s">
        <v>38</v>
      </c>
      <c r="U57" s="7"/>
      <c r="V57" s="7" t="str">
        <f t="shared" si="0"/>
        <v>TCTN.DNS-26004</v>
      </c>
      <c r="W57" s="7"/>
      <c r="X57" s="7"/>
      <c r="Y57" s="7"/>
      <c r="Z57" s="7" t="s">
        <v>922</v>
      </c>
      <c r="AA57" s="7" t="s">
        <v>39</v>
      </c>
      <c r="AB57" s="7"/>
      <c r="AC57" s="7" t="s">
        <v>131</v>
      </c>
    </row>
    <row r="58" spans="1:29" hidden="1" x14ac:dyDescent="0.25">
      <c r="A58" s="5">
        <v>53</v>
      </c>
      <c r="B58" s="5" t="s">
        <v>134</v>
      </c>
      <c r="C58" s="5" t="s">
        <v>77</v>
      </c>
      <c r="D58" s="5" t="s">
        <v>135</v>
      </c>
      <c r="E58" s="5">
        <v>6</v>
      </c>
      <c r="F58" s="5">
        <v>188</v>
      </c>
      <c r="G58" s="5">
        <v>2491</v>
      </c>
      <c r="H58" s="5">
        <v>12</v>
      </c>
      <c r="I58" s="5">
        <v>21.69</v>
      </c>
      <c r="J58" s="5">
        <v>260.32</v>
      </c>
      <c r="K58" s="5" t="s">
        <v>97</v>
      </c>
      <c r="L58" s="5" t="s">
        <v>130</v>
      </c>
      <c r="M58" s="7"/>
      <c r="N58" s="7"/>
      <c r="O58" s="7" t="s">
        <v>81</v>
      </c>
      <c r="P58" s="7" t="s">
        <v>81</v>
      </c>
      <c r="Q58" s="7">
        <v>1</v>
      </c>
      <c r="R58" s="8" t="s">
        <v>37</v>
      </c>
      <c r="S58" s="7"/>
      <c r="T58" s="7" t="s">
        <v>38</v>
      </c>
      <c r="U58" s="7"/>
      <c r="V58" s="7" t="str">
        <f t="shared" si="0"/>
        <v>TCTN.DNS-26004</v>
      </c>
      <c r="W58" s="7"/>
      <c r="X58" s="7"/>
      <c r="Y58" s="7"/>
      <c r="Z58" s="7" t="s">
        <v>922</v>
      </c>
      <c r="AA58" s="7" t="s">
        <v>39</v>
      </c>
      <c r="AB58" s="7"/>
      <c r="AC58" s="7" t="s">
        <v>131</v>
      </c>
    </row>
    <row r="59" spans="1:29" hidden="1" x14ac:dyDescent="0.25">
      <c r="A59" s="5">
        <v>54</v>
      </c>
      <c r="B59" s="5" t="s">
        <v>136</v>
      </c>
      <c r="C59" s="5" t="s">
        <v>77</v>
      </c>
      <c r="D59" s="5" t="s">
        <v>129</v>
      </c>
      <c r="E59" s="5">
        <v>6</v>
      </c>
      <c r="F59" s="5">
        <v>188</v>
      </c>
      <c r="G59" s="5">
        <v>2493</v>
      </c>
      <c r="H59" s="5">
        <v>4</v>
      </c>
      <c r="I59" s="5">
        <v>21.71</v>
      </c>
      <c r="J59" s="5">
        <v>86.83</v>
      </c>
      <c r="K59" s="5" t="s">
        <v>97</v>
      </c>
      <c r="L59" s="5" t="s">
        <v>130</v>
      </c>
      <c r="M59" s="7"/>
      <c r="N59" s="7"/>
      <c r="O59" s="7" t="s">
        <v>81</v>
      </c>
      <c r="P59" s="7" t="s">
        <v>81</v>
      </c>
      <c r="Q59" s="7">
        <v>1</v>
      </c>
      <c r="R59" s="8" t="s">
        <v>37</v>
      </c>
      <c r="S59" s="7"/>
      <c r="T59" s="7" t="s">
        <v>38</v>
      </c>
      <c r="U59" s="7"/>
      <c r="V59" s="7" t="str">
        <f t="shared" si="0"/>
        <v>TCTN.DNS-26004</v>
      </c>
      <c r="W59" s="7"/>
      <c r="X59" s="7"/>
      <c r="Y59" s="7"/>
      <c r="Z59" s="7" t="s">
        <v>922</v>
      </c>
      <c r="AA59" s="7" t="s">
        <v>39</v>
      </c>
      <c r="AB59" s="7"/>
      <c r="AC59" s="7" t="s">
        <v>131</v>
      </c>
    </row>
    <row r="60" spans="1:29" hidden="1" x14ac:dyDescent="0.25">
      <c r="A60" s="5">
        <v>55</v>
      </c>
      <c r="B60" s="5" t="s">
        <v>137</v>
      </c>
      <c r="C60" s="5" t="s">
        <v>77</v>
      </c>
      <c r="D60" s="5" t="s">
        <v>133</v>
      </c>
      <c r="E60" s="5">
        <v>6</v>
      </c>
      <c r="F60" s="5">
        <v>188</v>
      </c>
      <c r="G60" s="5">
        <v>2494</v>
      </c>
      <c r="H60" s="5">
        <v>4</v>
      </c>
      <c r="I60" s="5">
        <v>21.71</v>
      </c>
      <c r="J60" s="5">
        <v>86.84</v>
      </c>
      <c r="K60" s="5" t="s">
        <v>97</v>
      </c>
      <c r="L60" s="5" t="s">
        <v>130</v>
      </c>
      <c r="M60" s="7"/>
      <c r="N60" s="7"/>
      <c r="O60" s="7" t="s">
        <v>81</v>
      </c>
      <c r="P60" s="7" t="s">
        <v>81</v>
      </c>
      <c r="Q60" s="7">
        <v>1</v>
      </c>
      <c r="R60" s="8" t="s">
        <v>37</v>
      </c>
      <c r="S60" s="7"/>
      <c r="T60" s="7" t="s">
        <v>38</v>
      </c>
      <c r="U60" s="7"/>
      <c r="V60" s="7" t="str">
        <f t="shared" si="0"/>
        <v>TCTN.DNS-26004</v>
      </c>
      <c r="W60" s="7"/>
      <c r="X60" s="7"/>
      <c r="Y60" s="7"/>
      <c r="Z60" s="7" t="s">
        <v>922</v>
      </c>
      <c r="AA60" s="7" t="s">
        <v>39</v>
      </c>
      <c r="AB60" s="7"/>
      <c r="AC60" s="7" t="s">
        <v>131</v>
      </c>
    </row>
    <row r="61" spans="1:29" hidden="1" x14ac:dyDescent="0.25">
      <c r="A61" s="5">
        <v>56</v>
      </c>
      <c r="B61" s="5" t="s">
        <v>138</v>
      </c>
      <c r="C61" s="5" t="s">
        <v>77</v>
      </c>
      <c r="D61" s="5" t="s">
        <v>122</v>
      </c>
      <c r="E61" s="5">
        <v>6</v>
      </c>
      <c r="F61" s="5">
        <v>328</v>
      </c>
      <c r="G61" s="5">
        <v>934</v>
      </c>
      <c r="H61" s="5">
        <v>4</v>
      </c>
      <c r="I61" s="5">
        <v>14.43</v>
      </c>
      <c r="J61" s="5">
        <v>57.72</v>
      </c>
      <c r="K61" s="5" t="s">
        <v>97</v>
      </c>
      <c r="L61" s="5" t="s">
        <v>130</v>
      </c>
      <c r="M61" s="7"/>
      <c r="N61" s="7"/>
      <c r="O61" s="7" t="s">
        <v>81</v>
      </c>
      <c r="P61" s="7"/>
      <c r="Q61" s="7">
        <v>1</v>
      </c>
      <c r="R61" s="8" t="s">
        <v>37</v>
      </c>
      <c r="S61" s="7"/>
      <c r="T61" s="7" t="s">
        <v>38</v>
      </c>
      <c r="U61" s="7"/>
      <c r="V61" s="7" t="str">
        <f t="shared" si="0"/>
        <v>TCTN.DNS-26004</v>
      </c>
      <c r="W61" s="7"/>
      <c r="X61" s="7"/>
      <c r="Y61" s="7"/>
      <c r="Z61" s="7" t="s">
        <v>922</v>
      </c>
      <c r="AA61" s="7" t="s">
        <v>39</v>
      </c>
      <c r="AB61" s="7"/>
      <c r="AC61" s="7" t="s">
        <v>131</v>
      </c>
    </row>
    <row r="62" spans="1:29" hidden="1" x14ac:dyDescent="0.25">
      <c r="A62" s="5">
        <v>57</v>
      </c>
      <c r="B62" s="5" t="s">
        <v>139</v>
      </c>
      <c r="C62" s="5" t="s">
        <v>77</v>
      </c>
      <c r="D62" s="5" t="s">
        <v>122</v>
      </c>
      <c r="E62" s="5">
        <v>6</v>
      </c>
      <c r="F62" s="5">
        <v>328</v>
      </c>
      <c r="G62" s="5">
        <v>934</v>
      </c>
      <c r="H62" s="5">
        <v>4</v>
      </c>
      <c r="I62" s="5">
        <v>14.43</v>
      </c>
      <c r="J62" s="5">
        <v>57.72</v>
      </c>
      <c r="K62" s="5" t="s">
        <v>97</v>
      </c>
      <c r="L62" s="5" t="s">
        <v>130</v>
      </c>
      <c r="M62" s="7"/>
      <c r="N62" s="7"/>
      <c r="O62" s="7" t="s">
        <v>81</v>
      </c>
      <c r="P62" s="7"/>
      <c r="Q62" s="7">
        <v>1</v>
      </c>
      <c r="R62" s="8" t="s">
        <v>37</v>
      </c>
      <c r="S62" s="7"/>
      <c r="T62" s="7" t="s">
        <v>38</v>
      </c>
      <c r="U62" s="7"/>
      <c r="V62" s="7" t="str">
        <f t="shared" si="0"/>
        <v>TCTN.DNS-26004</v>
      </c>
      <c r="W62" s="7"/>
      <c r="X62" s="7"/>
      <c r="Y62" s="7"/>
      <c r="Z62" s="7" t="s">
        <v>922</v>
      </c>
      <c r="AA62" s="7" t="s">
        <v>39</v>
      </c>
      <c r="AB62" s="7"/>
      <c r="AC62" s="7" t="s">
        <v>131</v>
      </c>
    </row>
    <row r="63" spans="1:29" hidden="1" x14ac:dyDescent="0.25">
      <c r="A63" s="5">
        <v>58</v>
      </c>
      <c r="B63" s="5" t="s">
        <v>140</v>
      </c>
      <c r="C63" s="5" t="s">
        <v>77</v>
      </c>
      <c r="D63" s="5" t="s">
        <v>135</v>
      </c>
      <c r="E63" s="5">
        <v>6</v>
      </c>
      <c r="F63" s="5">
        <v>188</v>
      </c>
      <c r="G63" s="5">
        <v>2491</v>
      </c>
      <c r="H63" s="5">
        <v>18</v>
      </c>
      <c r="I63" s="5">
        <v>21.69</v>
      </c>
      <c r="J63" s="5">
        <v>390.49</v>
      </c>
      <c r="K63" s="5" t="s">
        <v>97</v>
      </c>
      <c r="L63" s="5" t="s">
        <v>141</v>
      </c>
      <c r="M63" s="7"/>
      <c r="N63" s="7"/>
      <c r="O63" s="7" t="s">
        <v>81</v>
      </c>
      <c r="P63" s="7" t="s">
        <v>81</v>
      </c>
      <c r="Q63" s="7">
        <v>1</v>
      </c>
      <c r="R63" s="8" t="s">
        <v>37</v>
      </c>
      <c r="S63" s="7"/>
      <c r="T63" s="7" t="s">
        <v>38</v>
      </c>
      <c r="U63" s="7"/>
      <c r="V63" s="7" t="str">
        <f t="shared" si="0"/>
        <v>TCTN.DNS-26004</v>
      </c>
      <c r="W63" s="7"/>
      <c r="X63" s="7"/>
      <c r="Y63" s="7"/>
      <c r="Z63" s="7" t="s">
        <v>922</v>
      </c>
      <c r="AA63" s="7" t="s">
        <v>39</v>
      </c>
      <c r="AB63" s="7"/>
      <c r="AC63" s="7" t="s">
        <v>142</v>
      </c>
    </row>
    <row r="64" spans="1:29" hidden="1" x14ac:dyDescent="0.25">
      <c r="A64" s="5">
        <v>59</v>
      </c>
      <c r="B64" s="5" t="s">
        <v>134</v>
      </c>
      <c r="C64" s="5" t="s">
        <v>77</v>
      </c>
      <c r="D64" s="5" t="s">
        <v>135</v>
      </c>
      <c r="E64" s="5">
        <v>6</v>
      </c>
      <c r="F64" s="5">
        <v>188</v>
      </c>
      <c r="G64" s="5">
        <v>2491</v>
      </c>
      <c r="H64" s="5">
        <v>6</v>
      </c>
      <c r="I64" s="5">
        <v>21.69</v>
      </c>
      <c r="J64" s="5">
        <v>130.16</v>
      </c>
      <c r="K64" s="5" t="s">
        <v>97</v>
      </c>
      <c r="L64" s="5" t="s">
        <v>141</v>
      </c>
      <c r="M64" s="7"/>
      <c r="N64" s="7"/>
      <c r="O64" s="7" t="s">
        <v>81</v>
      </c>
      <c r="P64" s="7" t="s">
        <v>81</v>
      </c>
      <c r="Q64" s="7">
        <v>1</v>
      </c>
      <c r="R64" s="8" t="s">
        <v>37</v>
      </c>
      <c r="S64" s="7"/>
      <c r="T64" s="7" t="s">
        <v>38</v>
      </c>
      <c r="U64" s="7"/>
      <c r="V64" s="7" t="str">
        <f t="shared" si="0"/>
        <v>TCTN.DNS-26004</v>
      </c>
      <c r="W64" s="7"/>
      <c r="X64" s="7"/>
      <c r="Y64" s="7"/>
      <c r="Z64" s="7" t="s">
        <v>922</v>
      </c>
      <c r="AA64" s="7" t="s">
        <v>39</v>
      </c>
      <c r="AB64" s="7"/>
      <c r="AC64" s="7" t="s">
        <v>142</v>
      </c>
    </row>
    <row r="65" spans="1:29" hidden="1" x14ac:dyDescent="0.25">
      <c r="A65" s="5">
        <v>60</v>
      </c>
      <c r="B65" s="5" t="s">
        <v>143</v>
      </c>
      <c r="C65" s="5" t="s">
        <v>77</v>
      </c>
      <c r="D65" s="5" t="s">
        <v>135</v>
      </c>
      <c r="E65" s="5">
        <v>6</v>
      </c>
      <c r="F65" s="5">
        <v>188</v>
      </c>
      <c r="G65" s="5">
        <v>2491</v>
      </c>
      <c r="H65" s="5">
        <v>4</v>
      </c>
      <c r="I65" s="5">
        <v>21.69</v>
      </c>
      <c r="J65" s="5">
        <v>86.77</v>
      </c>
      <c r="K65" s="5" t="s">
        <v>97</v>
      </c>
      <c r="L65" s="5" t="s">
        <v>141</v>
      </c>
      <c r="M65" s="7"/>
      <c r="N65" s="7"/>
      <c r="O65" s="7" t="s">
        <v>81</v>
      </c>
      <c r="P65" s="7" t="s">
        <v>81</v>
      </c>
      <c r="Q65" s="7">
        <v>1</v>
      </c>
      <c r="R65" s="8" t="s">
        <v>37</v>
      </c>
      <c r="S65" s="7"/>
      <c r="T65" s="7" t="s">
        <v>38</v>
      </c>
      <c r="U65" s="7"/>
      <c r="V65" s="7" t="str">
        <f t="shared" si="0"/>
        <v>TCTN.DNS-26004</v>
      </c>
      <c r="W65" s="7"/>
      <c r="X65" s="7"/>
      <c r="Y65" s="7"/>
      <c r="Z65" s="7" t="s">
        <v>922</v>
      </c>
      <c r="AA65" s="7" t="s">
        <v>39</v>
      </c>
      <c r="AB65" s="7"/>
      <c r="AC65" s="7" t="s">
        <v>142</v>
      </c>
    </row>
    <row r="66" spans="1:29" hidden="1" x14ac:dyDescent="0.25">
      <c r="A66" s="5">
        <v>61</v>
      </c>
      <c r="B66" s="5" t="s">
        <v>144</v>
      </c>
      <c r="C66" s="5" t="s">
        <v>77</v>
      </c>
      <c r="D66" s="5" t="s">
        <v>122</v>
      </c>
      <c r="E66" s="5">
        <v>6</v>
      </c>
      <c r="F66" s="5">
        <v>328</v>
      </c>
      <c r="G66" s="5">
        <v>934</v>
      </c>
      <c r="H66" s="5">
        <v>5</v>
      </c>
      <c r="I66" s="5">
        <v>14.43</v>
      </c>
      <c r="J66" s="5">
        <v>72.150000000000006</v>
      </c>
      <c r="K66" s="5" t="s">
        <v>97</v>
      </c>
      <c r="L66" s="5" t="s">
        <v>141</v>
      </c>
      <c r="M66" s="7"/>
      <c r="N66" s="7"/>
      <c r="O66" s="7" t="s">
        <v>81</v>
      </c>
      <c r="P66" s="7"/>
      <c r="Q66" s="7">
        <v>1</v>
      </c>
      <c r="R66" s="8" t="s">
        <v>37</v>
      </c>
      <c r="S66" s="7"/>
      <c r="T66" s="7" t="s">
        <v>38</v>
      </c>
      <c r="U66" s="7"/>
      <c r="V66" s="7" t="str">
        <f t="shared" si="0"/>
        <v>TCTN.DNS-26004</v>
      </c>
      <c r="W66" s="7"/>
      <c r="X66" s="7"/>
      <c r="Y66" s="7"/>
      <c r="Z66" s="7" t="s">
        <v>922</v>
      </c>
      <c r="AA66" s="7" t="s">
        <v>39</v>
      </c>
      <c r="AB66" s="7"/>
      <c r="AC66" s="7" t="s">
        <v>142</v>
      </c>
    </row>
    <row r="67" spans="1:29" hidden="1" x14ac:dyDescent="0.25">
      <c r="A67" s="5">
        <v>62</v>
      </c>
      <c r="B67" s="5" t="s">
        <v>138</v>
      </c>
      <c r="C67" s="5" t="s">
        <v>77</v>
      </c>
      <c r="D67" s="5" t="s">
        <v>122</v>
      </c>
      <c r="E67" s="5">
        <v>6</v>
      </c>
      <c r="F67" s="5">
        <v>328</v>
      </c>
      <c r="G67" s="5">
        <v>934</v>
      </c>
      <c r="H67" s="5">
        <v>3</v>
      </c>
      <c r="I67" s="5">
        <v>14.43</v>
      </c>
      <c r="J67" s="5">
        <v>43.29</v>
      </c>
      <c r="K67" s="5" t="s">
        <v>97</v>
      </c>
      <c r="L67" s="5" t="s">
        <v>141</v>
      </c>
      <c r="M67" s="7"/>
      <c r="N67" s="7"/>
      <c r="O67" s="7" t="s">
        <v>81</v>
      </c>
      <c r="P67" s="7"/>
      <c r="Q67" s="7">
        <v>1</v>
      </c>
      <c r="R67" s="8" t="s">
        <v>37</v>
      </c>
      <c r="S67" s="7"/>
      <c r="T67" s="7" t="s">
        <v>38</v>
      </c>
      <c r="U67" s="7"/>
      <c r="V67" s="7" t="str">
        <f t="shared" si="0"/>
        <v>TCTN.DNS-26004</v>
      </c>
      <c r="W67" s="7"/>
      <c r="X67" s="7"/>
      <c r="Y67" s="7"/>
      <c r="Z67" s="7" t="s">
        <v>922</v>
      </c>
      <c r="AA67" s="7" t="s">
        <v>39</v>
      </c>
      <c r="AB67" s="7"/>
      <c r="AC67" s="7" t="s">
        <v>142</v>
      </c>
    </row>
    <row r="68" spans="1:29" hidden="1" x14ac:dyDescent="0.25">
      <c r="A68" s="5">
        <v>63</v>
      </c>
      <c r="B68" s="5" t="s">
        <v>145</v>
      </c>
      <c r="C68" s="5" t="s">
        <v>77</v>
      </c>
      <c r="D68" s="5" t="s">
        <v>135</v>
      </c>
      <c r="E68" s="5">
        <v>6</v>
      </c>
      <c r="F68" s="5">
        <v>188</v>
      </c>
      <c r="G68" s="5">
        <v>2491</v>
      </c>
      <c r="H68" s="5">
        <v>14</v>
      </c>
      <c r="I68" s="5">
        <v>21.69</v>
      </c>
      <c r="J68" s="5">
        <v>303.7</v>
      </c>
      <c r="K68" s="5" t="s">
        <v>97</v>
      </c>
      <c r="L68" s="5" t="s">
        <v>146</v>
      </c>
      <c r="M68" s="7"/>
      <c r="N68" s="7"/>
      <c r="O68" s="7" t="s">
        <v>81</v>
      </c>
      <c r="P68" s="7" t="s">
        <v>81</v>
      </c>
      <c r="Q68" s="7">
        <v>1</v>
      </c>
      <c r="R68" s="8" t="s">
        <v>37</v>
      </c>
      <c r="S68" s="7"/>
      <c r="T68" s="7" t="s">
        <v>38</v>
      </c>
      <c r="U68" s="7"/>
      <c r="V68" s="7" t="str">
        <f t="shared" si="0"/>
        <v>TCTN.DNS-26004</v>
      </c>
      <c r="W68" s="7"/>
      <c r="X68" s="7"/>
      <c r="Y68" s="7"/>
      <c r="Z68" s="7" t="s">
        <v>922</v>
      </c>
      <c r="AA68" s="7" t="s">
        <v>39</v>
      </c>
      <c r="AB68" s="7"/>
      <c r="AC68" s="7" t="s">
        <v>147</v>
      </c>
    </row>
    <row r="69" spans="1:29" hidden="1" x14ac:dyDescent="0.25">
      <c r="A69" s="5">
        <v>64</v>
      </c>
      <c r="B69" s="5" t="s">
        <v>148</v>
      </c>
      <c r="C69" s="5" t="s">
        <v>77</v>
      </c>
      <c r="D69" s="5" t="s">
        <v>122</v>
      </c>
      <c r="E69" s="5">
        <v>6</v>
      </c>
      <c r="F69" s="5">
        <v>328</v>
      </c>
      <c r="G69" s="5">
        <v>934</v>
      </c>
      <c r="H69" s="5">
        <v>4</v>
      </c>
      <c r="I69" s="5">
        <v>14.43</v>
      </c>
      <c r="J69" s="5">
        <v>57.72</v>
      </c>
      <c r="K69" s="5" t="s">
        <v>97</v>
      </c>
      <c r="L69" s="5" t="s">
        <v>146</v>
      </c>
      <c r="M69" s="7"/>
      <c r="N69" s="7"/>
      <c r="O69" s="7" t="s">
        <v>81</v>
      </c>
      <c r="P69" s="7"/>
      <c r="Q69" s="7">
        <v>1</v>
      </c>
      <c r="R69" s="8" t="s">
        <v>37</v>
      </c>
      <c r="S69" s="7"/>
      <c r="T69" s="7" t="s">
        <v>38</v>
      </c>
      <c r="U69" s="7"/>
      <c r="V69" s="7" t="str">
        <f t="shared" si="0"/>
        <v>TCTN.DNS-26004</v>
      </c>
      <c r="W69" s="7"/>
      <c r="X69" s="7"/>
      <c r="Y69" s="7"/>
      <c r="Z69" s="7" t="s">
        <v>922</v>
      </c>
      <c r="AA69" s="7" t="s">
        <v>39</v>
      </c>
      <c r="AB69" s="7"/>
      <c r="AC69" s="7" t="s">
        <v>147</v>
      </c>
    </row>
    <row r="70" spans="1:29" hidden="1" x14ac:dyDescent="0.25">
      <c r="A70" s="5">
        <v>65</v>
      </c>
      <c r="B70" s="5" t="s">
        <v>143</v>
      </c>
      <c r="C70" s="5" t="s">
        <v>77</v>
      </c>
      <c r="D70" s="5" t="s">
        <v>135</v>
      </c>
      <c r="E70" s="5">
        <v>6</v>
      </c>
      <c r="F70" s="5">
        <v>188</v>
      </c>
      <c r="G70" s="5">
        <v>2491</v>
      </c>
      <c r="H70" s="5">
        <v>14</v>
      </c>
      <c r="I70" s="5">
        <v>21.69</v>
      </c>
      <c r="J70" s="5">
        <v>303.7</v>
      </c>
      <c r="K70" s="5" t="s">
        <v>97</v>
      </c>
      <c r="L70" s="5" t="s">
        <v>146</v>
      </c>
      <c r="M70" s="7"/>
      <c r="N70" s="7"/>
      <c r="O70" s="7" t="s">
        <v>81</v>
      </c>
      <c r="P70" s="7" t="s">
        <v>81</v>
      </c>
      <c r="Q70" s="7">
        <v>1</v>
      </c>
      <c r="R70" s="8" t="s">
        <v>37</v>
      </c>
      <c r="S70" s="7"/>
      <c r="T70" s="7" t="s">
        <v>38</v>
      </c>
      <c r="U70" s="7"/>
      <c r="V70" s="7" t="str">
        <f t="shared" ref="V70:V133" si="1">IF(LEN($B$3)=0,"",$B$3)</f>
        <v>TCTN.DNS-26004</v>
      </c>
      <c r="W70" s="7"/>
      <c r="X70" s="7"/>
      <c r="Y70" s="7"/>
      <c r="Z70" s="7" t="s">
        <v>922</v>
      </c>
      <c r="AA70" s="7" t="s">
        <v>39</v>
      </c>
      <c r="AB70" s="7"/>
      <c r="AC70" s="7" t="s">
        <v>147</v>
      </c>
    </row>
    <row r="71" spans="1:29" hidden="1" x14ac:dyDescent="0.25">
      <c r="A71" s="5">
        <v>66</v>
      </c>
      <c r="B71" s="5" t="s">
        <v>149</v>
      </c>
      <c r="C71" s="5" t="s">
        <v>77</v>
      </c>
      <c r="D71" s="5" t="s">
        <v>122</v>
      </c>
      <c r="E71" s="5">
        <v>6</v>
      </c>
      <c r="F71" s="5">
        <v>328</v>
      </c>
      <c r="G71" s="5">
        <v>934</v>
      </c>
      <c r="H71" s="5">
        <v>3</v>
      </c>
      <c r="I71" s="5">
        <v>14.43</v>
      </c>
      <c r="J71" s="5">
        <v>43.29</v>
      </c>
      <c r="K71" s="5" t="s">
        <v>97</v>
      </c>
      <c r="L71" s="5" t="s">
        <v>146</v>
      </c>
      <c r="M71" s="7"/>
      <c r="N71" s="7"/>
      <c r="O71" s="7" t="s">
        <v>81</v>
      </c>
      <c r="P71" s="7"/>
      <c r="Q71" s="7">
        <v>1</v>
      </c>
      <c r="R71" s="8" t="s">
        <v>37</v>
      </c>
      <c r="S71" s="7"/>
      <c r="T71" s="7" t="s">
        <v>38</v>
      </c>
      <c r="U71" s="7"/>
      <c r="V71" s="7" t="str">
        <f t="shared" si="1"/>
        <v>TCTN.DNS-26004</v>
      </c>
      <c r="W71" s="7"/>
      <c r="X71" s="7"/>
      <c r="Y71" s="7"/>
      <c r="Z71" s="7" t="s">
        <v>922</v>
      </c>
      <c r="AA71" s="7" t="s">
        <v>39</v>
      </c>
      <c r="AB71" s="7"/>
      <c r="AC71" s="7" t="s">
        <v>147</v>
      </c>
    </row>
    <row r="72" spans="1:29" hidden="1" x14ac:dyDescent="0.25">
      <c r="A72" s="5">
        <v>67</v>
      </c>
      <c r="B72" s="5" t="s">
        <v>144</v>
      </c>
      <c r="C72" s="5" t="s">
        <v>77</v>
      </c>
      <c r="D72" s="5" t="s">
        <v>122</v>
      </c>
      <c r="E72" s="5">
        <v>6</v>
      </c>
      <c r="F72" s="5">
        <v>328</v>
      </c>
      <c r="G72" s="5">
        <v>934</v>
      </c>
      <c r="H72" s="5">
        <v>1</v>
      </c>
      <c r="I72" s="5">
        <v>14.43</v>
      </c>
      <c r="J72" s="5">
        <v>14.43</v>
      </c>
      <c r="K72" s="5" t="s">
        <v>97</v>
      </c>
      <c r="L72" s="5" t="s">
        <v>146</v>
      </c>
      <c r="M72" s="7"/>
      <c r="N72" s="7"/>
      <c r="O72" s="7" t="s">
        <v>81</v>
      </c>
      <c r="P72" s="7"/>
      <c r="Q72" s="7">
        <v>1</v>
      </c>
      <c r="R72" s="8" t="s">
        <v>37</v>
      </c>
      <c r="S72" s="7"/>
      <c r="T72" s="7" t="s">
        <v>38</v>
      </c>
      <c r="U72" s="7"/>
      <c r="V72" s="7" t="str">
        <f t="shared" si="1"/>
        <v>TCTN.DNS-26004</v>
      </c>
      <c r="W72" s="7"/>
      <c r="X72" s="7"/>
      <c r="Y72" s="7"/>
      <c r="Z72" s="7" t="s">
        <v>922</v>
      </c>
      <c r="AA72" s="7" t="s">
        <v>39</v>
      </c>
      <c r="AB72" s="7"/>
      <c r="AC72" s="7" t="s">
        <v>147</v>
      </c>
    </row>
    <row r="73" spans="1:29" hidden="1" x14ac:dyDescent="0.25">
      <c r="A73" s="5">
        <v>68</v>
      </c>
      <c r="B73" s="5" t="s">
        <v>145</v>
      </c>
      <c r="C73" s="5" t="s">
        <v>77</v>
      </c>
      <c r="D73" s="5" t="s">
        <v>135</v>
      </c>
      <c r="E73" s="5">
        <v>6</v>
      </c>
      <c r="F73" s="5">
        <v>188</v>
      </c>
      <c r="G73" s="5">
        <v>2491</v>
      </c>
      <c r="H73" s="5">
        <v>4</v>
      </c>
      <c r="I73" s="5">
        <v>21.69</v>
      </c>
      <c r="J73" s="5">
        <v>86.77</v>
      </c>
      <c r="K73" s="5" t="s">
        <v>97</v>
      </c>
      <c r="L73" s="5" t="s">
        <v>150</v>
      </c>
      <c r="M73" s="7"/>
      <c r="N73" s="7"/>
      <c r="O73" s="7" t="s">
        <v>81</v>
      </c>
      <c r="P73" s="7" t="s">
        <v>81</v>
      </c>
      <c r="Q73" s="7">
        <v>1</v>
      </c>
      <c r="R73" s="8" t="s">
        <v>37</v>
      </c>
      <c r="S73" s="7"/>
      <c r="T73" s="7" t="s">
        <v>38</v>
      </c>
      <c r="U73" s="7"/>
      <c r="V73" s="7" t="str">
        <f t="shared" si="1"/>
        <v>TCTN.DNS-26004</v>
      </c>
      <c r="W73" s="7"/>
      <c r="X73" s="7"/>
      <c r="Y73" s="7"/>
      <c r="Z73" s="7" t="s">
        <v>922</v>
      </c>
      <c r="AA73" s="7" t="s">
        <v>39</v>
      </c>
      <c r="AB73" s="7"/>
      <c r="AC73" s="7" t="s">
        <v>151</v>
      </c>
    </row>
    <row r="74" spans="1:29" hidden="1" x14ac:dyDescent="0.25">
      <c r="A74" s="5">
        <v>69</v>
      </c>
      <c r="B74" s="5" t="s">
        <v>152</v>
      </c>
      <c r="C74" s="5" t="s">
        <v>77</v>
      </c>
      <c r="D74" s="5" t="s">
        <v>135</v>
      </c>
      <c r="E74" s="5">
        <v>6</v>
      </c>
      <c r="F74" s="5">
        <v>188</v>
      </c>
      <c r="G74" s="5">
        <v>2491</v>
      </c>
      <c r="H74" s="5">
        <v>6</v>
      </c>
      <c r="I74" s="5">
        <v>21.69</v>
      </c>
      <c r="J74" s="5">
        <v>130.12</v>
      </c>
      <c r="K74" s="5" t="s">
        <v>97</v>
      </c>
      <c r="L74" s="5" t="s">
        <v>150</v>
      </c>
      <c r="M74" s="7"/>
      <c r="N74" s="7"/>
      <c r="O74" s="7" t="s">
        <v>81</v>
      </c>
      <c r="P74" s="7" t="s">
        <v>81</v>
      </c>
      <c r="Q74" s="7">
        <v>1</v>
      </c>
      <c r="R74" s="8" t="s">
        <v>37</v>
      </c>
      <c r="S74" s="7"/>
      <c r="T74" s="7" t="s">
        <v>38</v>
      </c>
      <c r="U74" s="7"/>
      <c r="V74" s="7" t="str">
        <f t="shared" si="1"/>
        <v>TCTN.DNS-26004</v>
      </c>
      <c r="W74" s="7"/>
      <c r="X74" s="7"/>
      <c r="Y74" s="7"/>
      <c r="Z74" s="7" t="s">
        <v>922</v>
      </c>
      <c r="AA74" s="7" t="s">
        <v>39</v>
      </c>
      <c r="AB74" s="7"/>
      <c r="AC74" s="7" t="s">
        <v>151</v>
      </c>
    </row>
    <row r="75" spans="1:29" hidden="1" x14ac:dyDescent="0.25">
      <c r="A75" s="5">
        <v>70</v>
      </c>
      <c r="B75" s="5" t="s">
        <v>153</v>
      </c>
      <c r="C75" s="5" t="s">
        <v>77</v>
      </c>
      <c r="D75" s="5" t="s">
        <v>135</v>
      </c>
      <c r="E75" s="5">
        <v>6</v>
      </c>
      <c r="F75" s="5">
        <v>188</v>
      </c>
      <c r="G75" s="5">
        <v>2491</v>
      </c>
      <c r="H75" s="5">
        <v>18</v>
      </c>
      <c r="I75" s="5">
        <v>21.69</v>
      </c>
      <c r="J75" s="5">
        <v>390.36</v>
      </c>
      <c r="K75" s="5" t="s">
        <v>97</v>
      </c>
      <c r="L75" s="5" t="s">
        <v>150</v>
      </c>
      <c r="M75" s="7"/>
      <c r="N75" s="7"/>
      <c r="O75" s="7" t="s">
        <v>81</v>
      </c>
      <c r="P75" s="7" t="s">
        <v>81</v>
      </c>
      <c r="Q75" s="7">
        <v>1</v>
      </c>
      <c r="R75" s="8" t="s">
        <v>37</v>
      </c>
      <c r="S75" s="7"/>
      <c r="T75" s="7" t="s">
        <v>38</v>
      </c>
      <c r="U75" s="7"/>
      <c r="V75" s="7" t="str">
        <f t="shared" si="1"/>
        <v>TCTN.DNS-26004</v>
      </c>
      <c r="W75" s="7"/>
      <c r="X75" s="7"/>
      <c r="Y75" s="7"/>
      <c r="Z75" s="7" t="s">
        <v>922</v>
      </c>
      <c r="AA75" s="7" t="s">
        <v>39</v>
      </c>
      <c r="AB75" s="7"/>
      <c r="AC75" s="7" t="s">
        <v>151</v>
      </c>
    </row>
    <row r="76" spans="1:29" hidden="1" x14ac:dyDescent="0.25">
      <c r="A76" s="5">
        <v>71</v>
      </c>
      <c r="B76" s="5" t="s">
        <v>154</v>
      </c>
      <c r="C76" s="5" t="s">
        <v>77</v>
      </c>
      <c r="D76" s="5" t="s">
        <v>122</v>
      </c>
      <c r="E76" s="5">
        <v>6</v>
      </c>
      <c r="F76" s="5">
        <v>328</v>
      </c>
      <c r="G76" s="5">
        <v>934</v>
      </c>
      <c r="H76" s="5">
        <v>3</v>
      </c>
      <c r="I76" s="5">
        <v>14.43</v>
      </c>
      <c r="J76" s="5">
        <v>43.29</v>
      </c>
      <c r="K76" s="5" t="s">
        <v>97</v>
      </c>
      <c r="L76" s="5" t="s">
        <v>150</v>
      </c>
      <c r="M76" s="7"/>
      <c r="N76" s="7"/>
      <c r="O76" s="7" t="s">
        <v>81</v>
      </c>
      <c r="P76" s="7"/>
      <c r="Q76" s="7">
        <v>1</v>
      </c>
      <c r="R76" s="8" t="s">
        <v>37</v>
      </c>
      <c r="S76" s="7"/>
      <c r="T76" s="7" t="s">
        <v>38</v>
      </c>
      <c r="U76" s="7"/>
      <c r="V76" s="7" t="str">
        <f t="shared" si="1"/>
        <v>TCTN.DNS-26004</v>
      </c>
      <c r="W76" s="7"/>
      <c r="X76" s="7"/>
      <c r="Y76" s="7"/>
      <c r="Z76" s="7" t="s">
        <v>922</v>
      </c>
      <c r="AA76" s="7" t="s">
        <v>39</v>
      </c>
      <c r="AB76" s="7"/>
      <c r="AC76" s="7" t="s">
        <v>151</v>
      </c>
    </row>
    <row r="77" spans="1:29" hidden="1" x14ac:dyDescent="0.25">
      <c r="A77" s="5">
        <v>72</v>
      </c>
      <c r="B77" s="5" t="s">
        <v>139</v>
      </c>
      <c r="C77" s="5" t="s">
        <v>77</v>
      </c>
      <c r="D77" s="5" t="s">
        <v>122</v>
      </c>
      <c r="E77" s="5">
        <v>6</v>
      </c>
      <c r="F77" s="5">
        <v>328</v>
      </c>
      <c r="G77" s="5">
        <v>934</v>
      </c>
      <c r="H77" s="5">
        <v>5</v>
      </c>
      <c r="I77" s="5">
        <v>14.43</v>
      </c>
      <c r="J77" s="5">
        <v>72.150000000000006</v>
      </c>
      <c r="K77" s="5" t="s">
        <v>97</v>
      </c>
      <c r="L77" s="5" t="s">
        <v>150</v>
      </c>
      <c r="M77" s="7"/>
      <c r="N77" s="7"/>
      <c r="O77" s="7" t="s">
        <v>81</v>
      </c>
      <c r="P77" s="7"/>
      <c r="Q77" s="7">
        <v>1</v>
      </c>
      <c r="R77" s="8" t="s">
        <v>37</v>
      </c>
      <c r="S77" s="7"/>
      <c r="T77" s="7" t="s">
        <v>38</v>
      </c>
      <c r="U77" s="7"/>
      <c r="V77" s="7" t="str">
        <f t="shared" si="1"/>
        <v>TCTN.DNS-26004</v>
      </c>
      <c r="W77" s="7"/>
      <c r="X77" s="7"/>
      <c r="Y77" s="7"/>
      <c r="Z77" s="7" t="s">
        <v>922</v>
      </c>
      <c r="AA77" s="7" t="s">
        <v>39</v>
      </c>
      <c r="AB77" s="7"/>
      <c r="AC77" s="7" t="s">
        <v>151</v>
      </c>
    </row>
    <row r="78" spans="1:29" hidden="1" x14ac:dyDescent="0.25">
      <c r="A78" s="5">
        <v>73</v>
      </c>
      <c r="B78" s="5" t="s">
        <v>152</v>
      </c>
      <c r="C78" s="5" t="s">
        <v>77</v>
      </c>
      <c r="D78" s="5" t="s">
        <v>135</v>
      </c>
      <c r="E78" s="5">
        <v>6</v>
      </c>
      <c r="F78" s="5">
        <v>188</v>
      </c>
      <c r="G78" s="5">
        <v>2491</v>
      </c>
      <c r="H78" s="5">
        <v>12</v>
      </c>
      <c r="I78" s="5">
        <v>21.69</v>
      </c>
      <c r="J78" s="5">
        <v>260.24</v>
      </c>
      <c r="K78" s="5" t="s">
        <v>97</v>
      </c>
      <c r="L78" s="5" t="s">
        <v>155</v>
      </c>
      <c r="M78" s="7"/>
      <c r="N78" s="7"/>
      <c r="O78" s="7" t="s">
        <v>81</v>
      </c>
      <c r="P78" s="7" t="s">
        <v>81</v>
      </c>
      <c r="Q78" s="7">
        <v>1</v>
      </c>
      <c r="R78" s="8" t="s">
        <v>37</v>
      </c>
      <c r="S78" s="7"/>
      <c r="T78" s="7" t="s">
        <v>38</v>
      </c>
      <c r="U78" s="7"/>
      <c r="V78" s="7" t="str">
        <f t="shared" si="1"/>
        <v>TCTN.DNS-26004</v>
      </c>
      <c r="W78" s="7"/>
      <c r="X78" s="7"/>
      <c r="Y78" s="7"/>
      <c r="Z78" s="7" t="s">
        <v>922</v>
      </c>
      <c r="AA78" s="7" t="s">
        <v>39</v>
      </c>
      <c r="AB78" s="7"/>
      <c r="AC78" s="7" t="s">
        <v>156</v>
      </c>
    </row>
    <row r="79" spans="1:29" hidden="1" x14ac:dyDescent="0.25">
      <c r="A79" s="5">
        <v>74</v>
      </c>
      <c r="B79" s="5" t="s">
        <v>148</v>
      </c>
      <c r="C79" s="5" t="s">
        <v>77</v>
      </c>
      <c r="D79" s="5" t="s">
        <v>122</v>
      </c>
      <c r="E79" s="5">
        <v>6</v>
      </c>
      <c r="F79" s="5">
        <v>328</v>
      </c>
      <c r="G79" s="5">
        <v>934</v>
      </c>
      <c r="H79" s="5">
        <v>1</v>
      </c>
      <c r="I79" s="5">
        <v>14.43</v>
      </c>
      <c r="J79" s="5">
        <v>14.43</v>
      </c>
      <c r="K79" s="5" t="s">
        <v>97</v>
      </c>
      <c r="L79" s="5" t="s">
        <v>155</v>
      </c>
      <c r="M79" s="7"/>
      <c r="N79" s="7"/>
      <c r="O79" s="7" t="s">
        <v>81</v>
      </c>
      <c r="P79" s="7"/>
      <c r="Q79" s="7">
        <v>1</v>
      </c>
      <c r="R79" s="8" t="s">
        <v>37</v>
      </c>
      <c r="S79" s="7"/>
      <c r="T79" s="7" t="s">
        <v>38</v>
      </c>
      <c r="U79" s="7"/>
      <c r="V79" s="7" t="str">
        <f t="shared" si="1"/>
        <v>TCTN.DNS-26004</v>
      </c>
      <c r="W79" s="7"/>
      <c r="X79" s="7"/>
      <c r="Y79" s="7"/>
      <c r="Z79" s="7" t="s">
        <v>922</v>
      </c>
      <c r="AA79" s="7" t="s">
        <v>39</v>
      </c>
      <c r="AB79" s="7"/>
      <c r="AC79" s="7" t="s">
        <v>156</v>
      </c>
    </row>
    <row r="80" spans="1:29" hidden="1" x14ac:dyDescent="0.25">
      <c r="A80" s="5">
        <v>75</v>
      </c>
      <c r="B80" s="5" t="s">
        <v>149</v>
      </c>
      <c r="C80" s="5" t="s">
        <v>77</v>
      </c>
      <c r="D80" s="5" t="s">
        <v>122</v>
      </c>
      <c r="E80" s="5">
        <v>6</v>
      </c>
      <c r="F80" s="5">
        <v>328</v>
      </c>
      <c r="G80" s="5">
        <v>934</v>
      </c>
      <c r="H80" s="5">
        <v>3</v>
      </c>
      <c r="I80" s="5">
        <v>14.43</v>
      </c>
      <c r="J80" s="5">
        <v>43.29</v>
      </c>
      <c r="K80" s="5" t="s">
        <v>97</v>
      </c>
      <c r="L80" s="5" t="s">
        <v>155</v>
      </c>
      <c r="M80" s="7"/>
      <c r="N80" s="7"/>
      <c r="O80" s="7" t="s">
        <v>81</v>
      </c>
      <c r="P80" s="7"/>
      <c r="Q80" s="7">
        <v>1</v>
      </c>
      <c r="R80" s="8" t="s">
        <v>37</v>
      </c>
      <c r="S80" s="7"/>
      <c r="T80" s="7" t="s">
        <v>38</v>
      </c>
      <c r="U80" s="7"/>
      <c r="V80" s="7" t="str">
        <f t="shared" si="1"/>
        <v>TCTN.DNS-26004</v>
      </c>
      <c r="W80" s="7"/>
      <c r="X80" s="7"/>
      <c r="Y80" s="7"/>
      <c r="Z80" s="7" t="s">
        <v>922</v>
      </c>
      <c r="AA80" s="7" t="s">
        <v>39</v>
      </c>
      <c r="AB80" s="7"/>
      <c r="AC80" s="7" t="s">
        <v>156</v>
      </c>
    </row>
    <row r="81" spans="1:29" hidden="1" x14ac:dyDescent="0.25">
      <c r="A81" s="5">
        <v>76</v>
      </c>
      <c r="B81" s="5" t="s">
        <v>157</v>
      </c>
      <c r="C81" s="5" t="s">
        <v>77</v>
      </c>
      <c r="D81" s="5" t="s">
        <v>135</v>
      </c>
      <c r="E81" s="5">
        <v>6</v>
      </c>
      <c r="F81" s="5">
        <v>188</v>
      </c>
      <c r="G81" s="5">
        <v>2491</v>
      </c>
      <c r="H81" s="5">
        <v>16</v>
      </c>
      <c r="I81" s="5">
        <v>21.69</v>
      </c>
      <c r="J81" s="5">
        <v>346.99</v>
      </c>
      <c r="K81" s="5" t="s">
        <v>97</v>
      </c>
      <c r="L81" s="5" t="s">
        <v>155</v>
      </c>
      <c r="M81" s="7"/>
      <c r="N81" s="7"/>
      <c r="O81" s="7" t="s">
        <v>81</v>
      </c>
      <c r="P81" s="7" t="s">
        <v>81</v>
      </c>
      <c r="Q81" s="7">
        <v>1</v>
      </c>
      <c r="R81" s="8" t="s">
        <v>37</v>
      </c>
      <c r="S81" s="7"/>
      <c r="T81" s="7" t="s">
        <v>38</v>
      </c>
      <c r="U81" s="7"/>
      <c r="V81" s="7" t="str">
        <f t="shared" si="1"/>
        <v>TCTN.DNS-26004</v>
      </c>
      <c r="W81" s="7"/>
      <c r="X81" s="7"/>
      <c r="Y81" s="7"/>
      <c r="Z81" s="7" t="s">
        <v>922</v>
      </c>
      <c r="AA81" s="7" t="s">
        <v>39</v>
      </c>
      <c r="AB81" s="7"/>
      <c r="AC81" s="7" t="s">
        <v>156</v>
      </c>
    </row>
    <row r="82" spans="1:29" hidden="1" x14ac:dyDescent="0.25">
      <c r="A82" s="5">
        <v>77</v>
      </c>
      <c r="B82" s="5" t="s">
        <v>154</v>
      </c>
      <c r="C82" s="5" t="s">
        <v>77</v>
      </c>
      <c r="D82" s="5" t="s">
        <v>122</v>
      </c>
      <c r="E82" s="5">
        <v>6</v>
      </c>
      <c r="F82" s="5">
        <v>328</v>
      </c>
      <c r="G82" s="5">
        <v>934</v>
      </c>
      <c r="H82" s="5">
        <v>4</v>
      </c>
      <c r="I82" s="5">
        <v>14.43</v>
      </c>
      <c r="J82" s="5">
        <v>57.72</v>
      </c>
      <c r="K82" s="5" t="s">
        <v>97</v>
      </c>
      <c r="L82" s="5" t="s">
        <v>155</v>
      </c>
      <c r="M82" s="7"/>
      <c r="N82" s="7"/>
      <c r="O82" s="7" t="s">
        <v>81</v>
      </c>
      <c r="P82" s="7"/>
      <c r="Q82" s="7">
        <v>1</v>
      </c>
      <c r="R82" s="8" t="s">
        <v>37</v>
      </c>
      <c r="S82" s="7"/>
      <c r="T82" s="7" t="s">
        <v>38</v>
      </c>
      <c r="U82" s="7"/>
      <c r="V82" s="7" t="str">
        <f t="shared" si="1"/>
        <v>TCTN.DNS-26004</v>
      </c>
      <c r="W82" s="7"/>
      <c r="X82" s="7"/>
      <c r="Y82" s="7"/>
      <c r="Z82" s="7" t="s">
        <v>922</v>
      </c>
      <c r="AA82" s="7" t="s">
        <v>39</v>
      </c>
      <c r="AB82" s="7"/>
      <c r="AC82" s="7" t="s">
        <v>156</v>
      </c>
    </row>
    <row r="83" spans="1:29" hidden="1" x14ac:dyDescent="0.25">
      <c r="A83" s="5">
        <v>78</v>
      </c>
      <c r="B83" s="5" t="s">
        <v>158</v>
      </c>
      <c r="C83" s="5" t="s">
        <v>77</v>
      </c>
      <c r="D83" s="5" t="s">
        <v>159</v>
      </c>
      <c r="E83" s="5">
        <v>6</v>
      </c>
      <c r="F83" s="5">
        <v>328</v>
      </c>
      <c r="G83" s="5">
        <v>894</v>
      </c>
      <c r="H83" s="5">
        <v>2</v>
      </c>
      <c r="I83" s="5">
        <v>13.81</v>
      </c>
      <c r="J83" s="5">
        <v>27.62</v>
      </c>
      <c r="K83" s="5" t="s">
        <v>97</v>
      </c>
      <c r="L83" s="5" t="s">
        <v>160</v>
      </c>
      <c r="M83" s="7"/>
      <c r="N83" s="7"/>
      <c r="O83" s="7" t="s">
        <v>81</v>
      </c>
      <c r="P83" s="7"/>
      <c r="Q83" s="7">
        <v>1</v>
      </c>
      <c r="R83" s="8" t="s">
        <v>37</v>
      </c>
      <c r="S83" s="7"/>
      <c r="T83" s="7" t="s">
        <v>38</v>
      </c>
      <c r="U83" s="7"/>
      <c r="V83" s="7" t="str">
        <f t="shared" si="1"/>
        <v>TCTN.DNS-26004</v>
      </c>
      <c r="W83" s="7"/>
      <c r="X83" s="7"/>
      <c r="Y83" s="7"/>
      <c r="Z83" s="7" t="s">
        <v>922</v>
      </c>
      <c r="AA83" s="7" t="s">
        <v>39</v>
      </c>
      <c r="AB83" s="7"/>
      <c r="AC83" s="7" t="s">
        <v>161</v>
      </c>
    </row>
    <row r="84" spans="1:29" hidden="1" x14ac:dyDescent="0.25">
      <c r="A84" s="5">
        <v>79</v>
      </c>
      <c r="B84" s="5" t="s">
        <v>162</v>
      </c>
      <c r="C84" s="5" t="s">
        <v>77</v>
      </c>
      <c r="D84" s="5" t="s">
        <v>135</v>
      </c>
      <c r="E84" s="5">
        <v>6</v>
      </c>
      <c r="F84" s="5">
        <v>188</v>
      </c>
      <c r="G84" s="5">
        <v>2491</v>
      </c>
      <c r="H84" s="5">
        <v>18</v>
      </c>
      <c r="I84" s="5">
        <v>21.69</v>
      </c>
      <c r="J84" s="5">
        <v>390.36</v>
      </c>
      <c r="K84" s="5" t="s">
        <v>97</v>
      </c>
      <c r="L84" s="5" t="s">
        <v>160</v>
      </c>
      <c r="M84" s="7"/>
      <c r="N84" s="7"/>
      <c r="O84" s="7" t="s">
        <v>81</v>
      </c>
      <c r="P84" s="7" t="s">
        <v>81</v>
      </c>
      <c r="Q84" s="7">
        <v>1</v>
      </c>
      <c r="R84" s="8" t="s">
        <v>37</v>
      </c>
      <c r="S84" s="7"/>
      <c r="T84" s="7" t="s">
        <v>38</v>
      </c>
      <c r="U84" s="7"/>
      <c r="V84" s="7" t="str">
        <f t="shared" si="1"/>
        <v>TCTN.DNS-26004</v>
      </c>
      <c r="W84" s="7"/>
      <c r="X84" s="7"/>
      <c r="Y84" s="7"/>
      <c r="Z84" s="7" t="s">
        <v>922</v>
      </c>
      <c r="AA84" s="7" t="s">
        <v>39</v>
      </c>
      <c r="AB84" s="7"/>
      <c r="AC84" s="7" t="s">
        <v>161</v>
      </c>
    </row>
    <row r="85" spans="1:29" hidden="1" x14ac:dyDescent="0.25">
      <c r="A85" s="5">
        <v>80</v>
      </c>
      <c r="B85" s="5" t="s">
        <v>163</v>
      </c>
      <c r="C85" s="5" t="s">
        <v>77</v>
      </c>
      <c r="D85" s="5" t="s">
        <v>159</v>
      </c>
      <c r="E85" s="5">
        <v>6</v>
      </c>
      <c r="F85" s="5">
        <v>328</v>
      </c>
      <c r="G85" s="5">
        <v>894</v>
      </c>
      <c r="H85" s="5">
        <v>2</v>
      </c>
      <c r="I85" s="5">
        <v>13.81</v>
      </c>
      <c r="J85" s="5">
        <v>27.62</v>
      </c>
      <c r="K85" s="5" t="s">
        <v>97</v>
      </c>
      <c r="L85" s="5" t="s">
        <v>160</v>
      </c>
      <c r="M85" s="7"/>
      <c r="N85" s="7"/>
      <c r="O85" s="7" t="s">
        <v>81</v>
      </c>
      <c r="P85" s="7"/>
      <c r="Q85" s="7">
        <v>1</v>
      </c>
      <c r="R85" s="8" t="s">
        <v>37</v>
      </c>
      <c r="S85" s="7"/>
      <c r="T85" s="7" t="s">
        <v>38</v>
      </c>
      <c r="U85" s="7"/>
      <c r="V85" s="7" t="str">
        <f t="shared" si="1"/>
        <v>TCTN.DNS-26004</v>
      </c>
      <c r="W85" s="7"/>
      <c r="X85" s="7"/>
      <c r="Y85" s="7"/>
      <c r="Z85" s="7" t="s">
        <v>922</v>
      </c>
      <c r="AA85" s="7" t="s">
        <v>39</v>
      </c>
      <c r="AB85" s="7"/>
      <c r="AC85" s="7" t="s">
        <v>161</v>
      </c>
    </row>
    <row r="86" spans="1:29" hidden="1" x14ac:dyDescent="0.25">
      <c r="A86" s="5">
        <v>81</v>
      </c>
      <c r="B86" s="5" t="s">
        <v>164</v>
      </c>
      <c r="C86" s="5" t="s">
        <v>77</v>
      </c>
      <c r="D86" s="5" t="s">
        <v>159</v>
      </c>
      <c r="E86" s="5">
        <v>6</v>
      </c>
      <c r="F86" s="5">
        <v>328</v>
      </c>
      <c r="G86" s="5">
        <v>894</v>
      </c>
      <c r="H86" s="5">
        <v>1</v>
      </c>
      <c r="I86" s="5">
        <v>13.81</v>
      </c>
      <c r="J86" s="5">
        <v>13.81</v>
      </c>
      <c r="K86" s="5" t="s">
        <v>97</v>
      </c>
      <c r="L86" s="5" t="s">
        <v>160</v>
      </c>
      <c r="M86" s="7"/>
      <c r="N86" s="7"/>
      <c r="O86" s="7" t="s">
        <v>81</v>
      </c>
      <c r="P86" s="7"/>
      <c r="Q86" s="7">
        <v>1</v>
      </c>
      <c r="R86" s="8" t="s">
        <v>37</v>
      </c>
      <c r="S86" s="7"/>
      <c r="T86" s="7" t="s">
        <v>38</v>
      </c>
      <c r="U86" s="7"/>
      <c r="V86" s="7" t="str">
        <f t="shared" si="1"/>
        <v>TCTN.DNS-26004</v>
      </c>
      <c r="W86" s="7"/>
      <c r="X86" s="7"/>
      <c r="Y86" s="7"/>
      <c r="Z86" s="7" t="s">
        <v>922</v>
      </c>
      <c r="AA86" s="7" t="s">
        <v>39</v>
      </c>
      <c r="AB86" s="7"/>
      <c r="AC86" s="7" t="s">
        <v>161</v>
      </c>
    </row>
    <row r="87" spans="1:29" hidden="1" x14ac:dyDescent="0.25">
      <c r="A87" s="5">
        <v>82</v>
      </c>
      <c r="B87" s="5" t="s">
        <v>165</v>
      </c>
      <c r="C87" s="5" t="s">
        <v>77</v>
      </c>
      <c r="D87" s="5" t="s">
        <v>159</v>
      </c>
      <c r="E87" s="5">
        <v>6</v>
      </c>
      <c r="F87" s="5">
        <v>328</v>
      </c>
      <c r="G87" s="5">
        <v>894</v>
      </c>
      <c r="H87" s="5">
        <v>2</v>
      </c>
      <c r="I87" s="5">
        <v>13.81</v>
      </c>
      <c r="J87" s="5">
        <v>27.62</v>
      </c>
      <c r="K87" s="5" t="s">
        <v>97</v>
      </c>
      <c r="L87" s="5" t="s">
        <v>160</v>
      </c>
      <c r="M87" s="7"/>
      <c r="N87" s="7"/>
      <c r="O87" s="7" t="s">
        <v>81</v>
      </c>
      <c r="P87" s="7"/>
      <c r="Q87" s="7">
        <v>1</v>
      </c>
      <c r="R87" s="8" t="s">
        <v>37</v>
      </c>
      <c r="S87" s="7"/>
      <c r="T87" s="7" t="s">
        <v>38</v>
      </c>
      <c r="U87" s="7"/>
      <c r="V87" s="7" t="str">
        <f t="shared" si="1"/>
        <v>TCTN.DNS-26004</v>
      </c>
      <c r="W87" s="7"/>
      <c r="X87" s="7"/>
      <c r="Y87" s="7"/>
      <c r="Z87" s="7" t="s">
        <v>922</v>
      </c>
      <c r="AA87" s="7" t="s">
        <v>39</v>
      </c>
      <c r="AB87" s="7"/>
      <c r="AC87" s="7" t="s">
        <v>161</v>
      </c>
    </row>
    <row r="88" spans="1:29" hidden="1" x14ac:dyDescent="0.25">
      <c r="A88" s="5">
        <v>83</v>
      </c>
      <c r="B88" s="5" t="s">
        <v>157</v>
      </c>
      <c r="C88" s="5" t="s">
        <v>77</v>
      </c>
      <c r="D88" s="5" t="s">
        <v>135</v>
      </c>
      <c r="E88" s="5">
        <v>6</v>
      </c>
      <c r="F88" s="5">
        <v>188</v>
      </c>
      <c r="G88" s="5">
        <v>2491</v>
      </c>
      <c r="H88" s="5">
        <v>2</v>
      </c>
      <c r="I88" s="5">
        <v>21.68</v>
      </c>
      <c r="J88" s="5">
        <v>43.37</v>
      </c>
      <c r="K88" s="5" t="s">
        <v>97</v>
      </c>
      <c r="L88" s="5" t="s">
        <v>160</v>
      </c>
      <c r="M88" s="7"/>
      <c r="N88" s="7"/>
      <c r="O88" s="7" t="s">
        <v>81</v>
      </c>
      <c r="P88" s="7" t="s">
        <v>81</v>
      </c>
      <c r="Q88" s="7">
        <v>1</v>
      </c>
      <c r="R88" s="8" t="s">
        <v>37</v>
      </c>
      <c r="S88" s="7"/>
      <c r="T88" s="7" t="s">
        <v>38</v>
      </c>
      <c r="U88" s="7"/>
      <c r="V88" s="7" t="str">
        <f t="shared" si="1"/>
        <v>TCTN.DNS-26004</v>
      </c>
      <c r="W88" s="7"/>
      <c r="X88" s="7"/>
      <c r="Y88" s="7"/>
      <c r="Z88" s="7" t="s">
        <v>922</v>
      </c>
      <c r="AA88" s="7" t="s">
        <v>39</v>
      </c>
      <c r="AB88" s="7"/>
      <c r="AC88" s="7" t="s">
        <v>161</v>
      </c>
    </row>
    <row r="89" spans="1:29" hidden="1" x14ac:dyDescent="0.25">
      <c r="A89" s="5">
        <v>84</v>
      </c>
      <c r="B89" s="5" t="s">
        <v>166</v>
      </c>
      <c r="C89" s="5" t="s">
        <v>77</v>
      </c>
      <c r="D89" s="5" t="s">
        <v>167</v>
      </c>
      <c r="E89" s="5">
        <v>6</v>
      </c>
      <c r="F89" s="5">
        <v>188</v>
      </c>
      <c r="G89" s="5">
        <v>2483</v>
      </c>
      <c r="H89" s="5">
        <v>8</v>
      </c>
      <c r="I89" s="5">
        <v>21.62</v>
      </c>
      <c r="J89" s="5">
        <v>172.99</v>
      </c>
      <c r="K89" s="5" t="s">
        <v>97</v>
      </c>
      <c r="L89" s="5" t="s">
        <v>160</v>
      </c>
      <c r="M89" s="7"/>
      <c r="N89" s="7"/>
      <c r="O89" s="7" t="s">
        <v>81</v>
      </c>
      <c r="P89" s="7" t="s">
        <v>81</v>
      </c>
      <c r="Q89" s="7">
        <v>1</v>
      </c>
      <c r="R89" s="8" t="s">
        <v>37</v>
      </c>
      <c r="S89" s="7"/>
      <c r="T89" s="7" t="s">
        <v>38</v>
      </c>
      <c r="U89" s="7"/>
      <c r="V89" s="7" t="str">
        <f t="shared" si="1"/>
        <v>TCTN.DNS-26004</v>
      </c>
      <c r="W89" s="7"/>
      <c r="X89" s="7"/>
      <c r="Y89" s="7"/>
      <c r="Z89" s="7" t="s">
        <v>922</v>
      </c>
      <c r="AA89" s="7" t="s">
        <v>39</v>
      </c>
      <c r="AB89" s="7"/>
      <c r="AC89" s="7" t="s">
        <v>161</v>
      </c>
    </row>
    <row r="90" spans="1:29" hidden="1" x14ac:dyDescent="0.25">
      <c r="A90" s="5">
        <v>85</v>
      </c>
      <c r="B90" s="5" t="s">
        <v>168</v>
      </c>
      <c r="C90" s="5" t="s">
        <v>77</v>
      </c>
      <c r="D90" s="5" t="s">
        <v>159</v>
      </c>
      <c r="E90" s="5">
        <v>6</v>
      </c>
      <c r="F90" s="5">
        <v>328</v>
      </c>
      <c r="G90" s="5">
        <v>894</v>
      </c>
      <c r="H90" s="5">
        <v>2</v>
      </c>
      <c r="I90" s="5">
        <v>13.81</v>
      </c>
      <c r="J90" s="5">
        <v>27.62</v>
      </c>
      <c r="K90" s="5" t="s">
        <v>97</v>
      </c>
      <c r="L90" s="5" t="s">
        <v>160</v>
      </c>
      <c r="M90" s="7"/>
      <c r="N90" s="7"/>
      <c r="O90" s="7" t="s">
        <v>81</v>
      </c>
      <c r="P90" s="7"/>
      <c r="Q90" s="7">
        <v>1</v>
      </c>
      <c r="R90" s="8" t="s">
        <v>37</v>
      </c>
      <c r="S90" s="7"/>
      <c r="T90" s="7" t="s">
        <v>38</v>
      </c>
      <c r="U90" s="7"/>
      <c r="V90" s="7" t="str">
        <f t="shared" si="1"/>
        <v>TCTN.DNS-26004</v>
      </c>
      <c r="W90" s="7"/>
      <c r="X90" s="7"/>
      <c r="Y90" s="7"/>
      <c r="Z90" s="7" t="s">
        <v>922</v>
      </c>
      <c r="AA90" s="7" t="s">
        <v>39</v>
      </c>
      <c r="AB90" s="7"/>
      <c r="AC90" s="7" t="s">
        <v>161</v>
      </c>
    </row>
    <row r="91" spans="1:29" hidden="1" x14ac:dyDescent="0.25">
      <c r="A91" s="5">
        <v>86</v>
      </c>
      <c r="B91" s="5" t="s">
        <v>116</v>
      </c>
      <c r="C91" s="5" t="s">
        <v>77</v>
      </c>
      <c r="D91" s="5" t="s">
        <v>117</v>
      </c>
      <c r="E91" s="5">
        <v>6</v>
      </c>
      <c r="F91" s="5">
        <v>298</v>
      </c>
      <c r="G91" s="5">
        <v>378</v>
      </c>
      <c r="H91" s="5">
        <v>1</v>
      </c>
      <c r="I91" s="5">
        <v>5.27</v>
      </c>
      <c r="J91" s="5">
        <v>5.27</v>
      </c>
      <c r="K91" s="5" t="s">
        <v>97</v>
      </c>
      <c r="L91" s="5" t="s">
        <v>160</v>
      </c>
      <c r="M91" s="7"/>
      <c r="N91" s="7"/>
      <c r="O91" s="7"/>
      <c r="P91" s="7"/>
      <c r="Q91" s="7">
        <v>1</v>
      </c>
      <c r="R91" s="8" t="s">
        <v>37</v>
      </c>
      <c r="S91" s="7"/>
      <c r="T91" s="7" t="s">
        <v>38</v>
      </c>
      <c r="U91" s="7"/>
      <c r="V91" s="7" t="str">
        <f t="shared" si="1"/>
        <v>TCTN.DNS-26004</v>
      </c>
      <c r="W91" s="7" t="s">
        <v>81</v>
      </c>
      <c r="X91" s="7"/>
      <c r="Y91" s="7"/>
      <c r="Z91" s="7" t="s">
        <v>922</v>
      </c>
      <c r="AA91" s="7" t="s">
        <v>39</v>
      </c>
      <c r="AB91" s="7"/>
      <c r="AC91" s="7" t="s">
        <v>161</v>
      </c>
    </row>
    <row r="92" spans="1:29" hidden="1" x14ac:dyDescent="0.25">
      <c r="A92" s="5">
        <v>87</v>
      </c>
      <c r="B92" s="5" t="s">
        <v>166</v>
      </c>
      <c r="C92" s="5" t="s">
        <v>77</v>
      </c>
      <c r="D92" s="5" t="s">
        <v>167</v>
      </c>
      <c r="E92" s="5">
        <v>6</v>
      </c>
      <c r="F92" s="5">
        <v>188</v>
      </c>
      <c r="G92" s="5">
        <v>2483</v>
      </c>
      <c r="H92" s="5">
        <v>28</v>
      </c>
      <c r="I92" s="5">
        <v>21.62</v>
      </c>
      <c r="J92" s="5">
        <v>605.47</v>
      </c>
      <c r="K92" s="5" t="s">
        <v>97</v>
      </c>
      <c r="L92" s="5" t="s">
        <v>169</v>
      </c>
      <c r="M92" s="7"/>
      <c r="N92" s="7"/>
      <c r="O92" s="7" t="s">
        <v>81</v>
      </c>
      <c r="P92" s="7" t="s">
        <v>81</v>
      </c>
      <c r="Q92" s="7">
        <v>1</v>
      </c>
      <c r="R92" s="8" t="s">
        <v>37</v>
      </c>
      <c r="S92" s="7"/>
      <c r="T92" s="7" t="s">
        <v>38</v>
      </c>
      <c r="U92" s="7"/>
      <c r="V92" s="7" t="str">
        <f t="shared" si="1"/>
        <v>TCTN.DNS-26004</v>
      </c>
      <c r="W92" s="7"/>
      <c r="X92" s="7"/>
      <c r="Y92" s="7"/>
      <c r="Z92" s="7" t="s">
        <v>922</v>
      </c>
      <c r="AA92" s="7" t="s">
        <v>39</v>
      </c>
      <c r="AB92" s="7"/>
      <c r="AC92" s="7" t="s">
        <v>170</v>
      </c>
    </row>
    <row r="93" spans="1:29" hidden="1" x14ac:dyDescent="0.25">
      <c r="A93" s="5">
        <v>88</v>
      </c>
      <c r="B93" s="5" t="s">
        <v>116</v>
      </c>
      <c r="C93" s="5" t="s">
        <v>77</v>
      </c>
      <c r="D93" s="5" t="s">
        <v>117</v>
      </c>
      <c r="E93" s="5">
        <v>6</v>
      </c>
      <c r="F93" s="5">
        <v>298</v>
      </c>
      <c r="G93" s="5">
        <v>378</v>
      </c>
      <c r="H93" s="5">
        <v>5</v>
      </c>
      <c r="I93" s="5">
        <v>5.27</v>
      </c>
      <c r="J93" s="5">
        <v>26.34</v>
      </c>
      <c r="K93" s="5" t="s">
        <v>97</v>
      </c>
      <c r="L93" s="5" t="s">
        <v>169</v>
      </c>
      <c r="M93" s="7"/>
      <c r="N93" s="7"/>
      <c r="O93" s="7"/>
      <c r="P93" s="7"/>
      <c r="Q93" s="7">
        <v>1</v>
      </c>
      <c r="R93" s="8" t="s">
        <v>37</v>
      </c>
      <c r="S93" s="7"/>
      <c r="T93" s="7" t="s">
        <v>38</v>
      </c>
      <c r="U93" s="7"/>
      <c r="V93" s="7" t="str">
        <f t="shared" si="1"/>
        <v>TCTN.DNS-26004</v>
      </c>
      <c r="W93" s="7" t="s">
        <v>81</v>
      </c>
      <c r="X93" s="7"/>
      <c r="Y93" s="7"/>
      <c r="Z93" s="7" t="s">
        <v>922</v>
      </c>
      <c r="AA93" s="7" t="s">
        <v>39</v>
      </c>
      <c r="AB93" s="7"/>
      <c r="AC93" s="7" t="s">
        <v>170</v>
      </c>
    </row>
    <row r="94" spans="1:29" hidden="1" x14ac:dyDescent="0.25">
      <c r="A94" s="5">
        <v>89</v>
      </c>
      <c r="B94" s="5" t="s">
        <v>123</v>
      </c>
      <c r="C94" s="5" t="s">
        <v>77</v>
      </c>
      <c r="D94" s="5" t="s">
        <v>117</v>
      </c>
      <c r="E94" s="5">
        <v>6</v>
      </c>
      <c r="F94" s="5">
        <v>298</v>
      </c>
      <c r="G94" s="5">
        <v>378</v>
      </c>
      <c r="H94" s="5">
        <v>7</v>
      </c>
      <c r="I94" s="5">
        <v>5.27</v>
      </c>
      <c r="J94" s="5">
        <v>36.869999999999997</v>
      </c>
      <c r="K94" s="5" t="s">
        <v>97</v>
      </c>
      <c r="L94" s="5" t="s">
        <v>169</v>
      </c>
      <c r="M94" s="7"/>
      <c r="N94" s="7"/>
      <c r="O94" s="7"/>
      <c r="P94" s="7"/>
      <c r="Q94" s="7">
        <v>1</v>
      </c>
      <c r="R94" s="8" t="s">
        <v>37</v>
      </c>
      <c r="S94" s="7"/>
      <c r="T94" s="7" t="s">
        <v>38</v>
      </c>
      <c r="U94" s="7"/>
      <c r="V94" s="7" t="str">
        <f t="shared" si="1"/>
        <v>TCTN.DNS-26004</v>
      </c>
      <c r="W94" s="7" t="s">
        <v>81</v>
      </c>
      <c r="X94" s="7"/>
      <c r="Y94" s="7"/>
      <c r="Z94" s="7" t="s">
        <v>922</v>
      </c>
      <c r="AA94" s="7" t="s">
        <v>39</v>
      </c>
      <c r="AB94" s="7"/>
      <c r="AC94" s="7" t="s">
        <v>170</v>
      </c>
    </row>
    <row r="95" spans="1:29" hidden="1" x14ac:dyDescent="0.25">
      <c r="A95" s="5">
        <v>90</v>
      </c>
      <c r="B95" s="5" t="s">
        <v>171</v>
      </c>
      <c r="C95" s="5" t="s">
        <v>77</v>
      </c>
      <c r="D95" s="5" t="s">
        <v>117</v>
      </c>
      <c r="E95" s="5">
        <v>6</v>
      </c>
      <c r="F95" s="5">
        <v>298</v>
      </c>
      <c r="G95" s="5">
        <v>378</v>
      </c>
      <c r="H95" s="5">
        <v>14</v>
      </c>
      <c r="I95" s="5">
        <v>5.27</v>
      </c>
      <c r="J95" s="5">
        <v>73.75</v>
      </c>
      <c r="K95" s="5" t="s">
        <v>97</v>
      </c>
      <c r="L95" s="5" t="s">
        <v>169</v>
      </c>
      <c r="M95" s="7"/>
      <c r="N95" s="7"/>
      <c r="O95" s="7"/>
      <c r="P95" s="7"/>
      <c r="Q95" s="7">
        <v>1</v>
      </c>
      <c r="R95" s="8" t="s">
        <v>37</v>
      </c>
      <c r="S95" s="7"/>
      <c r="T95" s="7" t="s">
        <v>38</v>
      </c>
      <c r="U95" s="7"/>
      <c r="V95" s="7" t="str">
        <f t="shared" si="1"/>
        <v>TCTN.DNS-26004</v>
      </c>
      <c r="W95" s="7" t="s">
        <v>81</v>
      </c>
      <c r="X95" s="7"/>
      <c r="Y95" s="7"/>
      <c r="Z95" s="7" t="s">
        <v>922</v>
      </c>
      <c r="AA95" s="7" t="s">
        <v>39</v>
      </c>
      <c r="AB95" s="7"/>
      <c r="AC95" s="7" t="s">
        <v>170</v>
      </c>
    </row>
    <row r="96" spans="1:29" hidden="1" x14ac:dyDescent="0.25">
      <c r="A96" s="5">
        <v>91</v>
      </c>
      <c r="B96" s="5" t="s">
        <v>172</v>
      </c>
      <c r="C96" s="5" t="s">
        <v>77</v>
      </c>
      <c r="D96" s="5" t="s">
        <v>167</v>
      </c>
      <c r="E96" s="5">
        <v>6</v>
      </c>
      <c r="F96" s="5">
        <v>188</v>
      </c>
      <c r="G96" s="5">
        <v>2483</v>
      </c>
      <c r="H96" s="5">
        <v>24</v>
      </c>
      <c r="I96" s="5">
        <v>21.62</v>
      </c>
      <c r="J96" s="5">
        <v>518.97</v>
      </c>
      <c r="K96" s="5" t="s">
        <v>97</v>
      </c>
      <c r="L96" s="5" t="s">
        <v>173</v>
      </c>
      <c r="M96" s="7"/>
      <c r="N96" s="7"/>
      <c r="O96" s="7" t="s">
        <v>81</v>
      </c>
      <c r="P96" s="7" t="s">
        <v>81</v>
      </c>
      <c r="Q96" s="7">
        <v>1</v>
      </c>
      <c r="R96" s="8" t="s">
        <v>37</v>
      </c>
      <c r="S96" s="7"/>
      <c r="T96" s="7" t="s">
        <v>38</v>
      </c>
      <c r="U96" s="7"/>
      <c r="V96" s="7" t="str">
        <f t="shared" si="1"/>
        <v>TCTN.DNS-26004</v>
      </c>
      <c r="W96" s="7"/>
      <c r="X96" s="7"/>
      <c r="Y96" s="7"/>
      <c r="Z96" s="7" t="s">
        <v>922</v>
      </c>
      <c r="AA96" s="7" t="s">
        <v>39</v>
      </c>
      <c r="AB96" s="7"/>
      <c r="AC96" s="7" t="s">
        <v>174</v>
      </c>
    </row>
    <row r="97" spans="1:29" hidden="1" x14ac:dyDescent="0.25">
      <c r="A97" s="5">
        <v>92</v>
      </c>
      <c r="B97" s="5" t="s">
        <v>166</v>
      </c>
      <c r="C97" s="5" t="s">
        <v>77</v>
      </c>
      <c r="D97" s="5" t="s">
        <v>167</v>
      </c>
      <c r="E97" s="5">
        <v>6</v>
      </c>
      <c r="F97" s="5">
        <v>188</v>
      </c>
      <c r="G97" s="5">
        <v>2483</v>
      </c>
      <c r="H97" s="5">
        <v>4</v>
      </c>
      <c r="I97" s="5">
        <v>21.62</v>
      </c>
      <c r="J97" s="5">
        <v>86.5</v>
      </c>
      <c r="K97" s="5" t="s">
        <v>97</v>
      </c>
      <c r="L97" s="5" t="s">
        <v>173</v>
      </c>
      <c r="M97" s="7"/>
      <c r="N97" s="7"/>
      <c r="O97" s="7" t="s">
        <v>81</v>
      </c>
      <c r="P97" s="7" t="s">
        <v>81</v>
      </c>
      <c r="Q97" s="7">
        <v>1</v>
      </c>
      <c r="R97" s="8" t="s">
        <v>37</v>
      </c>
      <c r="S97" s="7"/>
      <c r="T97" s="7" t="s">
        <v>38</v>
      </c>
      <c r="U97" s="7"/>
      <c r="V97" s="7" t="str">
        <f t="shared" si="1"/>
        <v>TCTN.DNS-26004</v>
      </c>
      <c r="W97" s="7"/>
      <c r="X97" s="7"/>
      <c r="Y97" s="7"/>
      <c r="Z97" s="7" t="s">
        <v>922</v>
      </c>
      <c r="AA97" s="7" t="s">
        <v>39</v>
      </c>
      <c r="AB97" s="7"/>
      <c r="AC97" s="7" t="s">
        <v>174</v>
      </c>
    </row>
    <row r="98" spans="1:29" hidden="1" x14ac:dyDescent="0.25">
      <c r="A98" s="5">
        <v>93</v>
      </c>
      <c r="B98" s="5" t="s">
        <v>116</v>
      </c>
      <c r="C98" s="5" t="s">
        <v>77</v>
      </c>
      <c r="D98" s="5" t="s">
        <v>117</v>
      </c>
      <c r="E98" s="5">
        <v>6</v>
      </c>
      <c r="F98" s="5">
        <v>298</v>
      </c>
      <c r="G98" s="5">
        <v>378</v>
      </c>
      <c r="H98" s="5">
        <v>6</v>
      </c>
      <c r="I98" s="5">
        <v>5.27</v>
      </c>
      <c r="J98" s="5">
        <v>31.61</v>
      </c>
      <c r="K98" s="5" t="s">
        <v>97</v>
      </c>
      <c r="L98" s="5" t="s">
        <v>173</v>
      </c>
      <c r="M98" s="7"/>
      <c r="N98" s="7"/>
      <c r="O98" s="7"/>
      <c r="P98" s="7"/>
      <c r="Q98" s="7">
        <v>1</v>
      </c>
      <c r="R98" s="8" t="s">
        <v>37</v>
      </c>
      <c r="S98" s="7"/>
      <c r="T98" s="7" t="s">
        <v>38</v>
      </c>
      <c r="U98" s="7"/>
      <c r="V98" s="7" t="str">
        <f t="shared" si="1"/>
        <v>TCTN.DNS-26004</v>
      </c>
      <c r="W98" s="7" t="s">
        <v>81</v>
      </c>
      <c r="X98" s="7"/>
      <c r="Y98" s="7"/>
      <c r="Z98" s="7" t="s">
        <v>922</v>
      </c>
      <c r="AA98" s="7" t="s">
        <v>39</v>
      </c>
      <c r="AB98" s="7"/>
      <c r="AC98" s="7" t="s">
        <v>174</v>
      </c>
    </row>
    <row r="99" spans="1:29" hidden="1" x14ac:dyDescent="0.25">
      <c r="A99" s="5">
        <v>94</v>
      </c>
      <c r="B99" s="5" t="s">
        <v>123</v>
      </c>
      <c r="C99" s="5" t="s">
        <v>77</v>
      </c>
      <c r="D99" s="5" t="s">
        <v>117</v>
      </c>
      <c r="E99" s="5">
        <v>6</v>
      </c>
      <c r="F99" s="5">
        <v>298</v>
      </c>
      <c r="G99" s="5">
        <v>378</v>
      </c>
      <c r="H99" s="5">
        <v>20</v>
      </c>
      <c r="I99" s="5">
        <v>5.27</v>
      </c>
      <c r="J99" s="5">
        <v>105.36</v>
      </c>
      <c r="K99" s="5" t="s">
        <v>97</v>
      </c>
      <c r="L99" s="5" t="s">
        <v>173</v>
      </c>
      <c r="M99" s="7"/>
      <c r="N99" s="7"/>
      <c r="O99" s="7"/>
      <c r="P99" s="7"/>
      <c r="Q99" s="7">
        <v>1</v>
      </c>
      <c r="R99" s="8" t="s">
        <v>37</v>
      </c>
      <c r="S99" s="7"/>
      <c r="T99" s="7" t="s">
        <v>38</v>
      </c>
      <c r="U99" s="7"/>
      <c r="V99" s="7" t="str">
        <f t="shared" si="1"/>
        <v>TCTN.DNS-26004</v>
      </c>
      <c r="W99" s="7" t="s">
        <v>81</v>
      </c>
      <c r="X99" s="7"/>
      <c r="Y99" s="7"/>
      <c r="Z99" s="7" t="s">
        <v>922</v>
      </c>
      <c r="AA99" s="7" t="s">
        <v>39</v>
      </c>
      <c r="AB99" s="7"/>
      <c r="AC99" s="7" t="s">
        <v>174</v>
      </c>
    </row>
    <row r="100" spans="1:29" hidden="1" x14ac:dyDescent="0.25">
      <c r="A100" s="5">
        <v>95</v>
      </c>
      <c r="B100" s="5" t="s">
        <v>175</v>
      </c>
      <c r="C100" s="5" t="s">
        <v>77</v>
      </c>
      <c r="D100" s="5" t="s">
        <v>122</v>
      </c>
      <c r="E100" s="5">
        <v>6</v>
      </c>
      <c r="F100" s="5">
        <v>328</v>
      </c>
      <c r="G100" s="5">
        <v>934</v>
      </c>
      <c r="H100" s="5">
        <v>2</v>
      </c>
      <c r="I100" s="5">
        <v>14.43</v>
      </c>
      <c r="J100" s="5">
        <v>28.86</v>
      </c>
      <c r="K100" s="5" t="s">
        <v>97</v>
      </c>
      <c r="L100" s="5" t="s">
        <v>176</v>
      </c>
      <c r="M100" s="7"/>
      <c r="N100" s="7"/>
      <c r="O100" s="7" t="s">
        <v>81</v>
      </c>
      <c r="P100" s="7"/>
      <c r="Q100" s="7">
        <v>1</v>
      </c>
      <c r="R100" s="8" t="s">
        <v>37</v>
      </c>
      <c r="S100" s="7"/>
      <c r="T100" s="7" t="s">
        <v>38</v>
      </c>
      <c r="U100" s="7"/>
      <c r="V100" s="7" t="str">
        <f t="shared" si="1"/>
        <v>TCTN.DNS-26004</v>
      </c>
      <c r="W100" s="7"/>
      <c r="X100" s="7"/>
      <c r="Y100" s="7"/>
      <c r="Z100" s="7" t="s">
        <v>922</v>
      </c>
      <c r="AA100" s="7" t="s">
        <v>39</v>
      </c>
      <c r="AB100" s="7"/>
      <c r="AC100" s="7" t="s">
        <v>177</v>
      </c>
    </row>
    <row r="101" spans="1:29" hidden="1" x14ac:dyDescent="0.25">
      <c r="A101" s="5">
        <v>96</v>
      </c>
      <c r="B101" s="5" t="s">
        <v>178</v>
      </c>
      <c r="C101" s="5" t="s">
        <v>77</v>
      </c>
      <c r="D101" s="5" t="s">
        <v>122</v>
      </c>
      <c r="E101" s="5">
        <v>6</v>
      </c>
      <c r="F101" s="5">
        <v>328</v>
      </c>
      <c r="G101" s="5">
        <v>934</v>
      </c>
      <c r="H101" s="5">
        <v>4</v>
      </c>
      <c r="I101" s="5">
        <v>14.43</v>
      </c>
      <c r="J101" s="5">
        <v>57.72</v>
      </c>
      <c r="K101" s="5" t="s">
        <v>97</v>
      </c>
      <c r="L101" s="5" t="s">
        <v>176</v>
      </c>
      <c r="M101" s="7"/>
      <c r="N101" s="7"/>
      <c r="O101" s="7" t="s">
        <v>81</v>
      </c>
      <c r="P101" s="7"/>
      <c r="Q101" s="7">
        <v>1</v>
      </c>
      <c r="R101" s="8" t="s">
        <v>37</v>
      </c>
      <c r="S101" s="7"/>
      <c r="T101" s="7" t="s">
        <v>38</v>
      </c>
      <c r="U101" s="7"/>
      <c r="V101" s="7" t="str">
        <f t="shared" si="1"/>
        <v>TCTN.DNS-26004</v>
      </c>
      <c r="W101" s="7"/>
      <c r="X101" s="7"/>
      <c r="Y101" s="7"/>
      <c r="Z101" s="7" t="s">
        <v>922</v>
      </c>
      <c r="AA101" s="7" t="s">
        <v>39</v>
      </c>
      <c r="AB101" s="7"/>
      <c r="AC101" s="7" t="s">
        <v>177</v>
      </c>
    </row>
    <row r="102" spans="1:29" hidden="1" x14ac:dyDescent="0.25">
      <c r="A102" s="5">
        <v>97</v>
      </c>
      <c r="B102" s="5" t="s">
        <v>179</v>
      </c>
      <c r="C102" s="5" t="s">
        <v>77</v>
      </c>
      <c r="D102" s="5" t="s">
        <v>122</v>
      </c>
      <c r="E102" s="5">
        <v>6</v>
      </c>
      <c r="F102" s="5">
        <v>328</v>
      </c>
      <c r="G102" s="5">
        <v>934</v>
      </c>
      <c r="H102" s="5">
        <v>2</v>
      </c>
      <c r="I102" s="5">
        <v>14.43</v>
      </c>
      <c r="J102" s="5">
        <v>28.86</v>
      </c>
      <c r="K102" s="5" t="s">
        <v>97</v>
      </c>
      <c r="L102" s="5" t="s">
        <v>176</v>
      </c>
      <c r="M102" s="7"/>
      <c r="N102" s="7"/>
      <c r="O102" s="7" t="s">
        <v>81</v>
      </c>
      <c r="P102" s="7"/>
      <c r="Q102" s="7">
        <v>1</v>
      </c>
      <c r="R102" s="8" t="s">
        <v>37</v>
      </c>
      <c r="S102" s="7"/>
      <c r="T102" s="7" t="s">
        <v>38</v>
      </c>
      <c r="U102" s="7"/>
      <c r="V102" s="7" t="str">
        <f t="shared" si="1"/>
        <v>TCTN.DNS-26004</v>
      </c>
      <c r="W102" s="7"/>
      <c r="X102" s="7"/>
      <c r="Y102" s="7"/>
      <c r="Z102" s="7" t="s">
        <v>922</v>
      </c>
      <c r="AA102" s="7" t="s">
        <v>39</v>
      </c>
      <c r="AB102" s="7"/>
      <c r="AC102" s="7" t="s">
        <v>177</v>
      </c>
    </row>
    <row r="103" spans="1:29" hidden="1" x14ac:dyDescent="0.25">
      <c r="A103" s="5">
        <v>98</v>
      </c>
      <c r="B103" s="5" t="s">
        <v>172</v>
      </c>
      <c r="C103" s="5" t="s">
        <v>77</v>
      </c>
      <c r="D103" s="5" t="s">
        <v>167</v>
      </c>
      <c r="E103" s="5">
        <v>6</v>
      </c>
      <c r="F103" s="5">
        <v>188</v>
      </c>
      <c r="G103" s="5">
        <v>2483</v>
      </c>
      <c r="H103" s="5">
        <v>16</v>
      </c>
      <c r="I103" s="5">
        <v>21.62</v>
      </c>
      <c r="J103" s="5">
        <v>345.98</v>
      </c>
      <c r="K103" s="5" t="s">
        <v>97</v>
      </c>
      <c r="L103" s="5" t="s">
        <v>176</v>
      </c>
      <c r="M103" s="7"/>
      <c r="N103" s="7"/>
      <c r="O103" s="7" t="s">
        <v>81</v>
      </c>
      <c r="P103" s="7" t="s">
        <v>81</v>
      </c>
      <c r="Q103" s="7">
        <v>1</v>
      </c>
      <c r="R103" s="8" t="s">
        <v>37</v>
      </c>
      <c r="S103" s="7"/>
      <c r="T103" s="7" t="s">
        <v>38</v>
      </c>
      <c r="U103" s="7"/>
      <c r="V103" s="7" t="str">
        <f t="shared" si="1"/>
        <v>TCTN.DNS-26004</v>
      </c>
      <c r="W103" s="7"/>
      <c r="X103" s="7"/>
      <c r="Y103" s="7"/>
      <c r="Z103" s="7" t="s">
        <v>922</v>
      </c>
      <c r="AA103" s="7" t="s">
        <v>39</v>
      </c>
      <c r="AB103" s="7"/>
      <c r="AC103" s="7" t="s">
        <v>177</v>
      </c>
    </row>
    <row r="104" spans="1:29" hidden="1" x14ac:dyDescent="0.25">
      <c r="A104" s="5">
        <v>99</v>
      </c>
      <c r="B104" s="5" t="s">
        <v>180</v>
      </c>
      <c r="C104" s="5" t="s">
        <v>77</v>
      </c>
      <c r="D104" s="5" t="s">
        <v>167</v>
      </c>
      <c r="E104" s="5">
        <v>6</v>
      </c>
      <c r="F104" s="5">
        <v>188</v>
      </c>
      <c r="G104" s="5">
        <v>2483</v>
      </c>
      <c r="H104" s="5">
        <v>12</v>
      </c>
      <c r="I104" s="5">
        <v>21.62</v>
      </c>
      <c r="J104" s="5">
        <v>259.49</v>
      </c>
      <c r="K104" s="5" t="s">
        <v>97</v>
      </c>
      <c r="L104" s="5" t="s">
        <v>176</v>
      </c>
      <c r="M104" s="7"/>
      <c r="N104" s="7"/>
      <c r="O104" s="7" t="s">
        <v>81</v>
      </c>
      <c r="P104" s="7" t="s">
        <v>81</v>
      </c>
      <c r="Q104" s="7">
        <v>1</v>
      </c>
      <c r="R104" s="8" t="s">
        <v>37</v>
      </c>
      <c r="S104" s="7"/>
      <c r="T104" s="7" t="s">
        <v>38</v>
      </c>
      <c r="U104" s="7"/>
      <c r="V104" s="7" t="str">
        <f t="shared" si="1"/>
        <v>TCTN.DNS-26004</v>
      </c>
      <c r="W104" s="7"/>
      <c r="X104" s="7"/>
      <c r="Y104" s="7"/>
      <c r="Z104" s="7" t="s">
        <v>922</v>
      </c>
      <c r="AA104" s="7" t="s">
        <v>39</v>
      </c>
      <c r="AB104" s="7"/>
      <c r="AC104" s="7" t="s">
        <v>177</v>
      </c>
    </row>
    <row r="105" spans="1:29" hidden="1" x14ac:dyDescent="0.25">
      <c r="A105" s="5">
        <v>100</v>
      </c>
      <c r="B105" s="5" t="s">
        <v>175</v>
      </c>
      <c r="C105" s="5" t="s">
        <v>77</v>
      </c>
      <c r="D105" s="5" t="s">
        <v>122</v>
      </c>
      <c r="E105" s="5">
        <v>6</v>
      </c>
      <c r="F105" s="5">
        <v>328</v>
      </c>
      <c r="G105" s="5">
        <v>934</v>
      </c>
      <c r="H105" s="5">
        <v>2</v>
      </c>
      <c r="I105" s="5">
        <v>14.43</v>
      </c>
      <c r="J105" s="5">
        <v>28.86</v>
      </c>
      <c r="K105" s="5" t="s">
        <v>97</v>
      </c>
      <c r="L105" s="5" t="s">
        <v>181</v>
      </c>
      <c r="M105" s="7"/>
      <c r="N105" s="7"/>
      <c r="O105" s="7" t="s">
        <v>81</v>
      </c>
      <c r="P105" s="7"/>
      <c r="Q105" s="7">
        <v>1</v>
      </c>
      <c r="R105" s="8" t="s">
        <v>37</v>
      </c>
      <c r="S105" s="7"/>
      <c r="T105" s="7" t="s">
        <v>38</v>
      </c>
      <c r="U105" s="7"/>
      <c r="V105" s="7" t="str">
        <f t="shared" si="1"/>
        <v>TCTN.DNS-26004</v>
      </c>
      <c r="W105" s="7"/>
      <c r="X105" s="7"/>
      <c r="Y105" s="7"/>
      <c r="Z105" s="7" t="s">
        <v>922</v>
      </c>
      <c r="AA105" s="7" t="s">
        <v>39</v>
      </c>
      <c r="AB105" s="7"/>
      <c r="AC105" s="7" t="s">
        <v>182</v>
      </c>
    </row>
    <row r="106" spans="1:29" hidden="1" x14ac:dyDescent="0.25">
      <c r="A106" s="5">
        <v>101</v>
      </c>
      <c r="B106" s="5" t="s">
        <v>178</v>
      </c>
      <c r="C106" s="5" t="s">
        <v>77</v>
      </c>
      <c r="D106" s="5" t="s">
        <v>122</v>
      </c>
      <c r="E106" s="5">
        <v>6</v>
      </c>
      <c r="F106" s="5">
        <v>328</v>
      </c>
      <c r="G106" s="5">
        <v>934</v>
      </c>
      <c r="H106" s="5">
        <v>1</v>
      </c>
      <c r="I106" s="5">
        <v>14.43</v>
      </c>
      <c r="J106" s="5">
        <v>14.43</v>
      </c>
      <c r="K106" s="5" t="s">
        <v>97</v>
      </c>
      <c r="L106" s="5" t="s">
        <v>181</v>
      </c>
      <c r="M106" s="7"/>
      <c r="N106" s="7"/>
      <c r="O106" s="7" t="s">
        <v>81</v>
      </c>
      <c r="P106" s="7"/>
      <c r="Q106" s="7">
        <v>1</v>
      </c>
      <c r="R106" s="8" t="s">
        <v>37</v>
      </c>
      <c r="S106" s="7"/>
      <c r="T106" s="7" t="s">
        <v>38</v>
      </c>
      <c r="U106" s="7"/>
      <c r="V106" s="7" t="str">
        <f t="shared" si="1"/>
        <v>TCTN.DNS-26004</v>
      </c>
      <c r="W106" s="7"/>
      <c r="X106" s="7"/>
      <c r="Y106" s="7"/>
      <c r="Z106" s="7" t="s">
        <v>922</v>
      </c>
      <c r="AA106" s="7" t="s">
        <v>39</v>
      </c>
      <c r="AB106" s="7"/>
      <c r="AC106" s="7" t="s">
        <v>182</v>
      </c>
    </row>
    <row r="107" spans="1:29" hidden="1" x14ac:dyDescent="0.25">
      <c r="A107" s="5">
        <v>102</v>
      </c>
      <c r="B107" s="5" t="s">
        <v>179</v>
      </c>
      <c r="C107" s="5" t="s">
        <v>77</v>
      </c>
      <c r="D107" s="5" t="s">
        <v>122</v>
      </c>
      <c r="E107" s="5">
        <v>6</v>
      </c>
      <c r="F107" s="5">
        <v>328</v>
      </c>
      <c r="G107" s="5">
        <v>934</v>
      </c>
      <c r="H107" s="5">
        <v>5</v>
      </c>
      <c r="I107" s="5">
        <v>14.43</v>
      </c>
      <c r="J107" s="5">
        <v>72.150000000000006</v>
      </c>
      <c r="K107" s="5" t="s">
        <v>97</v>
      </c>
      <c r="L107" s="5" t="s">
        <v>181</v>
      </c>
      <c r="M107" s="7"/>
      <c r="N107" s="7"/>
      <c r="O107" s="7" t="s">
        <v>81</v>
      </c>
      <c r="P107" s="7"/>
      <c r="Q107" s="7">
        <v>1</v>
      </c>
      <c r="R107" s="8" t="s">
        <v>37</v>
      </c>
      <c r="S107" s="7"/>
      <c r="T107" s="7" t="s">
        <v>38</v>
      </c>
      <c r="U107" s="7"/>
      <c r="V107" s="7" t="str">
        <f t="shared" si="1"/>
        <v>TCTN.DNS-26004</v>
      </c>
      <c r="W107" s="7"/>
      <c r="X107" s="7"/>
      <c r="Y107" s="7"/>
      <c r="Z107" s="7" t="s">
        <v>922</v>
      </c>
      <c r="AA107" s="7" t="s">
        <v>39</v>
      </c>
      <c r="AB107" s="7"/>
      <c r="AC107" s="7" t="s">
        <v>182</v>
      </c>
    </row>
    <row r="108" spans="1:29" hidden="1" x14ac:dyDescent="0.25">
      <c r="A108" s="5">
        <v>103</v>
      </c>
      <c r="B108" s="5" t="s">
        <v>180</v>
      </c>
      <c r="C108" s="5" t="s">
        <v>77</v>
      </c>
      <c r="D108" s="5" t="s">
        <v>167</v>
      </c>
      <c r="E108" s="5">
        <v>6</v>
      </c>
      <c r="F108" s="5">
        <v>188</v>
      </c>
      <c r="G108" s="5">
        <v>2483</v>
      </c>
      <c r="H108" s="5">
        <v>28</v>
      </c>
      <c r="I108" s="5">
        <v>21.62</v>
      </c>
      <c r="J108" s="5">
        <v>605.47</v>
      </c>
      <c r="K108" s="5" t="s">
        <v>97</v>
      </c>
      <c r="L108" s="5" t="s">
        <v>181</v>
      </c>
      <c r="M108" s="7"/>
      <c r="N108" s="7"/>
      <c r="O108" s="7" t="s">
        <v>81</v>
      </c>
      <c r="P108" s="7" t="s">
        <v>81</v>
      </c>
      <c r="Q108" s="7">
        <v>1</v>
      </c>
      <c r="R108" s="8" t="s">
        <v>37</v>
      </c>
      <c r="S108" s="7"/>
      <c r="T108" s="7" t="s">
        <v>38</v>
      </c>
      <c r="U108" s="7"/>
      <c r="V108" s="7" t="str">
        <f t="shared" si="1"/>
        <v>TCTN.DNS-26004</v>
      </c>
      <c r="W108" s="7"/>
      <c r="X108" s="7"/>
      <c r="Y108" s="7"/>
      <c r="Z108" s="7" t="s">
        <v>922</v>
      </c>
      <c r="AA108" s="7" t="s">
        <v>39</v>
      </c>
      <c r="AB108" s="7"/>
      <c r="AC108" s="7" t="s">
        <v>182</v>
      </c>
    </row>
    <row r="109" spans="1:29" hidden="1" x14ac:dyDescent="0.25">
      <c r="A109" s="5">
        <v>104</v>
      </c>
      <c r="B109" s="5" t="s">
        <v>175</v>
      </c>
      <c r="C109" s="5" t="s">
        <v>77</v>
      </c>
      <c r="D109" s="5" t="s">
        <v>122</v>
      </c>
      <c r="E109" s="5">
        <v>6</v>
      </c>
      <c r="F109" s="5">
        <v>328</v>
      </c>
      <c r="G109" s="5">
        <v>934</v>
      </c>
      <c r="H109" s="5">
        <v>2</v>
      </c>
      <c r="I109" s="5">
        <v>14.43</v>
      </c>
      <c r="J109" s="5">
        <v>28.86</v>
      </c>
      <c r="K109" s="5" t="s">
        <v>97</v>
      </c>
      <c r="L109" s="5" t="s">
        <v>183</v>
      </c>
      <c r="M109" s="7"/>
      <c r="N109" s="7"/>
      <c r="O109" s="7" t="s">
        <v>81</v>
      </c>
      <c r="P109" s="7"/>
      <c r="Q109" s="7">
        <v>1</v>
      </c>
      <c r="R109" s="8" t="s">
        <v>37</v>
      </c>
      <c r="S109" s="7"/>
      <c r="T109" s="7" t="s">
        <v>38</v>
      </c>
      <c r="U109" s="7"/>
      <c r="V109" s="7" t="str">
        <f t="shared" si="1"/>
        <v>TCTN.DNS-26004</v>
      </c>
      <c r="W109" s="7"/>
      <c r="X109" s="7"/>
      <c r="Y109" s="7"/>
      <c r="Z109" s="7" t="s">
        <v>922</v>
      </c>
      <c r="AA109" s="7" t="s">
        <v>39</v>
      </c>
      <c r="AB109" s="7"/>
      <c r="AC109" s="7" t="s">
        <v>184</v>
      </c>
    </row>
    <row r="110" spans="1:29" hidden="1" x14ac:dyDescent="0.25">
      <c r="A110" s="5">
        <v>105</v>
      </c>
      <c r="B110" s="5" t="s">
        <v>178</v>
      </c>
      <c r="C110" s="5" t="s">
        <v>77</v>
      </c>
      <c r="D110" s="5" t="s">
        <v>122</v>
      </c>
      <c r="E110" s="5">
        <v>6</v>
      </c>
      <c r="F110" s="5">
        <v>328</v>
      </c>
      <c r="G110" s="5">
        <v>934</v>
      </c>
      <c r="H110" s="5">
        <v>1</v>
      </c>
      <c r="I110" s="5">
        <v>14.43</v>
      </c>
      <c r="J110" s="5">
        <v>14.43</v>
      </c>
      <c r="K110" s="5" t="s">
        <v>97</v>
      </c>
      <c r="L110" s="5" t="s">
        <v>183</v>
      </c>
      <c r="M110" s="7"/>
      <c r="N110" s="7"/>
      <c r="O110" s="7" t="s">
        <v>81</v>
      </c>
      <c r="P110" s="7"/>
      <c r="Q110" s="7">
        <v>1</v>
      </c>
      <c r="R110" s="8" t="s">
        <v>37</v>
      </c>
      <c r="S110" s="7"/>
      <c r="T110" s="7" t="s">
        <v>38</v>
      </c>
      <c r="U110" s="7"/>
      <c r="V110" s="7" t="str">
        <f t="shared" si="1"/>
        <v>TCTN.DNS-26004</v>
      </c>
      <c r="W110" s="7"/>
      <c r="X110" s="7"/>
      <c r="Y110" s="7"/>
      <c r="Z110" s="7" t="s">
        <v>922</v>
      </c>
      <c r="AA110" s="7" t="s">
        <v>39</v>
      </c>
      <c r="AB110" s="7"/>
      <c r="AC110" s="7" t="s">
        <v>184</v>
      </c>
    </row>
    <row r="111" spans="1:29" hidden="1" x14ac:dyDescent="0.25">
      <c r="A111" s="5">
        <v>106</v>
      </c>
      <c r="B111" s="5" t="s">
        <v>179</v>
      </c>
      <c r="C111" s="5" t="s">
        <v>77</v>
      </c>
      <c r="D111" s="5" t="s">
        <v>122</v>
      </c>
      <c r="E111" s="5">
        <v>6</v>
      </c>
      <c r="F111" s="5">
        <v>328</v>
      </c>
      <c r="G111" s="5">
        <v>934</v>
      </c>
      <c r="H111" s="5">
        <v>1</v>
      </c>
      <c r="I111" s="5">
        <v>14.43</v>
      </c>
      <c r="J111" s="5">
        <v>14.43</v>
      </c>
      <c r="K111" s="5" t="s">
        <v>97</v>
      </c>
      <c r="L111" s="5" t="s">
        <v>183</v>
      </c>
      <c r="M111" s="7"/>
      <c r="N111" s="7"/>
      <c r="O111" s="7" t="s">
        <v>81</v>
      </c>
      <c r="P111" s="7"/>
      <c r="Q111" s="7">
        <v>1</v>
      </c>
      <c r="R111" s="8" t="s">
        <v>37</v>
      </c>
      <c r="S111" s="7"/>
      <c r="T111" s="7" t="s">
        <v>38</v>
      </c>
      <c r="U111" s="7"/>
      <c r="V111" s="7" t="str">
        <f t="shared" si="1"/>
        <v>TCTN.DNS-26004</v>
      </c>
      <c r="W111" s="7"/>
      <c r="X111" s="7"/>
      <c r="Y111" s="7"/>
      <c r="Z111" s="7" t="s">
        <v>922</v>
      </c>
      <c r="AA111" s="7" t="s">
        <v>39</v>
      </c>
      <c r="AB111" s="7"/>
      <c r="AC111" s="7" t="s">
        <v>184</v>
      </c>
    </row>
    <row r="112" spans="1:29" hidden="1" x14ac:dyDescent="0.25">
      <c r="A112" s="5">
        <v>107</v>
      </c>
      <c r="B112" s="5" t="s">
        <v>185</v>
      </c>
      <c r="C112" s="5" t="s">
        <v>77</v>
      </c>
      <c r="D112" s="5" t="s">
        <v>167</v>
      </c>
      <c r="E112" s="5">
        <v>6</v>
      </c>
      <c r="F112" s="5">
        <v>188</v>
      </c>
      <c r="G112" s="5">
        <v>2483</v>
      </c>
      <c r="H112" s="5">
        <v>28</v>
      </c>
      <c r="I112" s="5">
        <v>21.62</v>
      </c>
      <c r="J112" s="5">
        <v>605.47</v>
      </c>
      <c r="K112" s="5" t="s">
        <v>97</v>
      </c>
      <c r="L112" s="5" t="s">
        <v>183</v>
      </c>
      <c r="M112" s="7"/>
      <c r="N112" s="7"/>
      <c r="O112" s="7" t="s">
        <v>81</v>
      </c>
      <c r="P112" s="7" t="s">
        <v>81</v>
      </c>
      <c r="Q112" s="7">
        <v>1</v>
      </c>
      <c r="R112" s="8" t="s">
        <v>37</v>
      </c>
      <c r="S112" s="7"/>
      <c r="T112" s="7" t="s">
        <v>38</v>
      </c>
      <c r="U112" s="7"/>
      <c r="V112" s="7" t="str">
        <f t="shared" si="1"/>
        <v>TCTN.DNS-26004</v>
      </c>
      <c r="W112" s="7"/>
      <c r="X112" s="7"/>
      <c r="Y112" s="7"/>
      <c r="Z112" s="7" t="s">
        <v>922</v>
      </c>
      <c r="AA112" s="7" t="s">
        <v>39</v>
      </c>
      <c r="AB112" s="7"/>
      <c r="AC112" s="7" t="s">
        <v>184</v>
      </c>
    </row>
    <row r="113" spans="1:29" hidden="1" x14ac:dyDescent="0.25">
      <c r="A113" s="5">
        <v>108</v>
      </c>
      <c r="B113" s="5" t="s">
        <v>138</v>
      </c>
      <c r="C113" s="5" t="s">
        <v>77</v>
      </c>
      <c r="D113" s="5" t="s">
        <v>122</v>
      </c>
      <c r="E113" s="5">
        <v>6</v>
      </c>
      <c r="F113" s="5">
        <v>328</v>
      </c>
      <c r="G113" s="5">
        <v>934</v>
      </c>
      <c r="H113" s="5">
        <v>2</v>
      </c>
      <c r="I113" s="5">
        <v>14.43</v>
      </c>
      <c r="J113" s="5">
        <v>28.86</v>
      </c>
      <c r="K113" s="5" t="s">
        <v>97</v>
      </c>
      <c r="L113" s="5" t="s">
        <v>183</v>
      </c>
      <c r="M113" s="7"/>
      <c r="N113" s="7"/>
      <c r="O113" s="7" t="s">
        <v>81</v>
      </c>
      <c r="P113" s="7"/>
      <c r="Q113" s="7">
        <v>1</v>
      </c>
      <c r="R113" s="8" t="s">
        <v>37</v>
      </c>
      <c r="S113" s="7"/>
      <c r="T113" s="7" t="s">
        <v>38</v>
      </c>
      <c r="U113" s="7"/>
      <c r="V113" s="7" t="str">
        <f t="shared" si="1"/>
        <v>TCTN.DNS-26004</v>
      </c>
      <c r="W113" s="7"/>
      <c r="X113" s="7"/>
      <c r="Y113" s="7"/>
      <c r="Z113" s="7" t="s">
        <v>922</v>
      </c>
      <c r="AA113" s="7" t="s">
        <v>39</v>
      </c>
      <c r="AB113" s="7"/>
      <c r="AC113" s="7" t="s">
        <v>184</v>
      </c>
    </row>
    <row r="114" spans="1:29" hidden="1" x14ac:dyDescent="0.25">
      <c r="A114" s="5">
        <v>109</v>
      </c>
      <c r="B114" s="5" t="s">
        <v>154</v>
      </c>
      <c r="C114" s="5" t="s">
        <v>77</v>
      </c>
      <c r="D114" s="5" t="s">
        <v>122</v>
      </c>
      <c r="E114" s="5">
        <v>6</v>
      </c>
      <c r="F114" s="5">
        <v>328</v>
      </c>
      <c r="G114" s="5">
        <v>934</v>
      </c>
      <c r="H114" s="5">
        <v>2</v>
      </c>
      <c r="I114" s="5">
        <v>14.43</v>
      </c>
      <c r="J114" s="5">
        <v>28.86</v>
      </c>
      <c r="K114" s="5" t="s">
        <v>97</v>
      </c>
      <c r="L114" s="5" t="s">
        <v>183</v>
      </c>
      <c r="M114" s="7"/>
      <c r="N114" s="7"/>
      <c r="O114" s="7" t="s">
        <v>81</v>
      </c>
      <c r="P114" s="7"/>
      <c r="Q114" s="7">
        <v>1</v>
      </c>
      <c r="R114" s="8" t="s">
        <v>37</v>
      </c>
      <c r="S114" s="7"/>
      <c r="T114" s="7" t="s">
        <v>38</v>
      </c>
      <c r="U114" s="7"/>
      <c r="V114" s="7" t="str">
        <f t="shared" si="1"/>
        <v>TCTN.DNS-26004</v>
      </c>
      <c r="W114" s="7"/>
      <c r="X114" s="7"/>
      <c r="Y114" s="7"/>
      <c r="Z114" s="7" t="s">
        <v>922</v>
      </c>
      <c r="AA114" s="7" t="s">
        <v>39</v>
      </c>
      <c r="AB114" s="7"/>
      <c r="AC114" s="7" t="s">
        <v>184</v>
      </c>
    </row>
    <row r="115" spans="1:29" hidden="1" x14ac:dyDescent="0.25">
      <c r="A115" s="5">
        <v>110</v>
      </c>
      <c r="B115" s="5" t="s">
        <v>186</v>
      </c>
      <c r="C115" s="5" t="s">
        <v>77</v>
      </c>
      <c r="D115" s="5" t="s">
        <v>159</v>
      </c>
      <c r="E115" s="5">
        <v>6</v>
      </c>
      <c r="F115" s="5">
        <v>328</v>
      </c>
      <c r="G115" s="5">
        <v>894</v>
      </c>
      <c r="H115" s="5">
        <v>2</v>
      </c>
      <c r="I115" s="5">
        <v>13.81</v>
      </c>
      <c r="J115" s="5">
        <v>27.62</v>
      </c>
      <c r="K115" s="5" t="s">
        <v>97</v>
      </c>
      <c r="L115" s="5" t="s">
        <v>187</v>
      </c>
      <c r="M115" s="7"/>
      <c r="N115" s="7"/>
      <c r="O115" s="7" t="s">
        <v>81</v>
      </c>
      <c r="P115" s="7"/>
      <c r="Q115" s="7">
        <v>1</v>
      </c>
      <c r="R115" s="8" t="s">
        <v>37</v>
      </c>
      <c r="S115" s="7"/>
      <c r="T115" s="7" t="s">
        <v>38</v>
      </c>
      <c r="U115" s="7"/>
      <c r="V115" s="7" t="str">
        <f t="shared" si="1"/>
        <v>TCTN.DNS-26004</v>
      </c>
      <c r="W115" s="7"/>
      <c r="X115" s="7"/>
      <c r="Y115" s="7"/>
      <c r="Z115" s="7" t="s">
        <v>922</v>
      </c>
      <c r="AA115" s="7" t="s">
        <v>39</v>
      </c>
      <c r="AB115" s="7"/>
      <c r="AC115" s="7" t="s">
        <v>188</v>
      </c>
    </row>
    <row r="116" spans="1:29" hidden="1" x14ac:dyDescent="0.25">
      <c r="A116" s="5">
        <v>111</v>
      </c>
      <c r="B116" s="5" t="s">
        <v>189</v>
      </c>
      <c r="C116" s="5" t="s">
        <v>77</v>
      </c>
      <c r="D116" s="5" t="s">
        <v>190</v>
      </c>
      <c r="E116" s="5">
        <v>6</v>
      </c>
      <c r="F116" s="5">
        <v>188</v>
      </c>
      <c r="G116" s="5">
        <v>2481</v>
      </c>
      <c r="H116" s="5">
        <v>2</v>
      </c>
      <c r="I116" s="5">
        <v>21.61</v>
      </c>
      <c r="J116" s="5">
        <v>43.22</v>
      </c>
      <c r="K116" s="5" t="s">
        <v>97</v>
      </c>
      <c r="L116" s="5" t="s">
        <v>187</v>
      </c>
      <c r="M116" s="7"/>
      <c r="N116" s="7"/>
      <c r="O116" s="7" t="s">
        <v>81</v>
      </c>
      <c r="P116" s="7" t="s">
        <v>81</v>
      </c>
      <c r="Q116" s="7">
        <v>1</v>
      </c>
      <c r="R116" s="8" t="s">
        <v>37</v>
      </c>
      <c r="S116" s="7"/>
      <c r="T116" s="7" t="s">
        <v>38</v>
      </c>
      <c r="U116" s="7"/>
      <c r="V116" s="7" t="str">
        <f t="shared" si="1"/>
        <v>TCTN.DNS-26004</v>
      </c>
      <c r="W116" s="7"/>
      <c r="X116" s="7"/>
      <c r="Y116" s="7"/>
      <c r="Z116" s="7" t="s">
        <v>922</v>
      </c>
      <c r="AA116" s="7" t="s">
        <v>39</v>
      </c>
      <c r="AB116" s="7"/>
      <c r="AC116" s="7" t="s">
        <v>188</v>
      </c>
    </row>
    <row r="117" spans="1:29" hidden="1" x14ac:dyDescent="0.25">
      <c r="A117" s="5">
        <v>112</v>
      </c>
      <c r="B117" s="5" t="s">
        <v>191</v>
      </c>
      <c r="C117" s="5" t="s">
        <v>77</v>
      </c>
      <c r="D117" s="5" t="s">
        <v>190</v>
      </c>
      <c r="E117" s="5">
        <v>6</v>
      </c>
      <c r="F117" s="5">
        <v>188</v>
      </c>
      <c r="G117" s="5">
        <v>2481</v>
      </c>
      <c r="H117" s="5">
        <v>2</v>
      </c>
      <c r="I117" s="5">
        <v>21.61</v>
      </c>
      <c r="J117" s="5">
        <v>43.22</v>
      </c>
      <c r="K117" s="5" t="s">
        <v>97</v>
      </c>
      <c r="L117" s="5" t="s">
        <v>187</v>
      </c>
      <c r="M117" s="7"/>
      <c r="N117" s="7"/>
      <c r="O117" s="7" t="s">
        <v>81</v>
      </c>
      <c r="P117" s="7" t="s">
        <v>81</v>
      </c>
      <c r="Q117" s="7">
        <v>1</v>
      </c>
      <c r="R117" s="8" t="s">
        <v>37</v>
      </c>
      <c r="S117" s="7"/>
      <c r="T117" s="7" t="s">
        <v>38</v>
      </c>
      <c r="U117" s="7"/>
      <c r="V117" s="7" t="str">
        <f t="shared" si="1"/>
        <v>TCTN.DNS-26004</v>
      </c>
      <c r="W117" s="7"/>
      <c r="X117" s="7"/>
      <c r="Y117" s="7"/>
      <c r="Z117" s="7" t="s">
        <v>922</v>
      </c>
      <c r="AA117" s="7" t="s">
        <v>39</v>
      </c>
      <c r="AB117" s="7"/>
      <c r="AC117" s="7" t="s">
        <v>188</v>
      </c>
    </row>
    <row r="118" spans="1:29" hidden="1" x14ac:dyDescent="0.25">
      <c r="A118" s="5">
        <v>113</v>
      </c>
      <c r="B118" s="5" t="s">
        <v>192</v>
      </c>
      <c r="C118" s="5" t="s">
        <v>77</v>
      </c>
      <c r="D118" s="5" t="s">
        <v>193</v>
      </c>
      <c r="E118" s="5">
        <v>6</v>
      </c>
      <c r="F118" s="5">
        <v>188</v>
      </c>
      <c r="G118" s="5">
        <v>2480</v>
      </c>
      <c r="H118" s="5">
        <v>2</v>
      </c>
      <c r="I118" s="5">
        <v>21.6</v>
      </c>
      <c r="J118" s="5">
        <v>43.2</v>
      </c>
      <c r="K118" s="5" t="s">
        <v>97</v>
      </c>
      <c r="L118" s="5" t="s">
        <v>187</v>
      </c>
      <c r="M118" s="7"/>
      <c r="N118" s="7"/>
      <c r="O118" s="7" t="s">
        <v>81</v>
      </c>
      <c r="P118" s="7" t="s">
        <v>81</v>
      </c>
      <c r="Q118" s="7">
        <v>1</v>
      </c>
      <c r="R118" s="8" t="s">
        <v>37</v>
      </c>
      <c r="S118" s="7"/>
      <c r="T118" s="7" t="s">
        <v>38</v>
      </c>
      <c r="U118" s="7"/>
      <c r="V118" s="7" t="str">
        <f t="shared" si="1"/>
        <v>TCTN.DNS-26004</v>
      </c>
      <c r="W118" s="7"/>
      <c r="X118" s="7"/>
      <c r="Y118" s="7"/>
      <c r="Z118" s="7" t="s">
        <v>922</v>
      </c>
      <c r="AA118" s="7" t="s">
        <v>39</v>
      </c>
      <c r="AB118" s="7"/>
      <c r="AC118" s="7" t="s">
        <v>188</v>
      </c>
    </row>
    <row r="119" spans="1:29" hidden="1" x14ac:dyDescent="0.25">
      <c r="A119" s="5">
        <v>114</v>
      </c>
      <c r="B119" s="5" t="s">
        <v>194</v>
      </c>
      <c r="C119" s="5" t="s">
        <v>77</v>
      </c>
      <c r="D119" s="5" t="s">
        <v>193</v>
      </c>
      <c r="E119" s="5">
        <v>6</v>
      </c>
      <c r="F119" s="5">
        <v>188</v>
      </c>
      <c r="G119" s="5">
        <v>2480</v>
      </c>
      <c r="H119" s="5">
        <v>2</v>
      </c>
      <c r="I119" s="5">
        <v>21.6</v>
      </c>
      <c r="J119" s="5">
        <v>43.21</v>
      </c>
      <c r="K119" s="5" t="s">
        <v>97</v>
      </c>
      <c r="L119" s="5" t="s">
        <v>187</v>
      </c>
      <c r="M119" s="7"/>
      <c r="N119" s="7"/>
      <c r="O119" s="7" t="s">
        <v>81</v>
      </c>
      <c r="P119" s="7" t="s">
        <v>81</v>
      </c>
      <c r="Q119" s="7">
        <v>1</v>
      </c>
      <c r="R119" s="8" t="s">
        <v>37</v>
      </c>
      <c r="S119" s="7"/>
      <c r="T119" s="7" t="s">
        <v>38</v>
      </c>
      <c r="U119" s="7"/>
      <c r="V119" s="7" t="str">
        <f t="shared" si="1"/>
        <v>TCTN.DNS-26004</v>
      </c>
      <c r="W119" s="7"/>
      <c r="X119" s="7"/>
      <c r="Y119" s="7"/>
      <c r="Z119" s="7" t="s">
        <v>922</v>
      </c>
      <c r="AA119" s="7" t="s">
        <v>39</v>
      </c>
      <c r="AB119" s="7"/>
      <c r="AC119" s="7" t="s">
        <v>188</v>
      </c>
    </row>
    <row r="120" spans="1:29" hidden="1" x14ac:dyDescent="0.25">
      <c r="A120" s="5">
        <v>115</v>
      </c>
      <c r="B120" s="5" t="s">
        <v>195</v>
      </c>
      <c r="C120" s="5" t="s">
        <v>77</v>
      </c>
      <c r="D120" s="5" t="s">
        <v>122</v>
      </c>
      <c r="E120" s="5">
        <v>6</v>
      </c>
      <c r="F120" s="5">
        <v>328</v>
      </c>
      <c r="G120" s="5">
        <v>934</v>
      </c>
      <c r="H120" s="5">
        <v>2</v>
      </c>
      <c r="I120" s="5">
        <v>14.43</v>
      </c>
      <c r="J120" s="5">
        <v>28.86</v>
      </c>
      <c r="K120" s="5" t="s">
        <v>97</v>
      </c>
      <c r="L120" s="5" t="s">
        <v>187</v>
      </c>
      <c r="M120" s="7"/>
      <c r="N120" s="7"/>
      <c r="O120" s="7" t="s">
        <v>81</v>
      </c>
      <c r="P120" s="7"/>
      <c r="Q120" s="7">
        <v>1</v>
      </c>
      <c r="R120" s="8" t="s">
        <v>37</v>
      </c>
      <c r="S120" s="7"/>
      <c r="T120" s="7" t="s">
        <v>38</v>
      </c>
      <c r="U120" s="7"/>
      <c r="V120" s="7" t="str">
        <f t="shared" si="1"/>
        <v>TCTN.DNS-26004</v>
      </c>
      <c r="W120" s="7"/>
      <c r="X120" s="7"/>
      <c r="Y120" s="7"/>
      <c r="Z120" s="7" t="s">
        <v>922</v>
      </c>
      <c r="AA120" s="7" t="s">
        <v>39</v>
      </c>
      <c r="AB120" s="7"/>
      <c r="AC120" s="7" t="s">
        <v>188</v>
      </c>
    </row>
    <row r="121" spans="1:29" hidden="1" x14ac:dyDescent="0.25">
      <c r="A121" s="5">
        <v>116</v>
      </c>
      <c r="B121" s="5" t="s">
        <v>185</v>
      </c>
      <c r="C121" s="5" t="s">
        <v>77</v>
      </c>
      <c r="D121" s="5" t="s">
        <v>167</v>
      </c>
      <c r="E121" s="5">
        <v>6</v>
      </c>
      <c r="F121" s="5">
        <v>188</v>
      </c>
      <c r="G121" s="5">
        <v>2483</v>
      </c>
      <c r="H121" s="5">
        <v>12</v>
      </c>
      <c r="I121" s="5">
        <v>21.62</v>
      </c>
      <c r="J121" s="5">
        <v>259.49</v>
      </c>
      <c r="K121" s="5" t="s">
        <v>97</v>
      </c>
      <c r="L121" s="5" t="s">
        <v>187</v>
      </c>
      <c r="M121" s="7"/>
      <c r="N121" s="7"/>
      <c r="O121" s="7" t="s">
        <v>81</v>
      </c>
      <c r="P121" s="7" t="s">
        <v>81</v>
      </c>
      <c r="Q121" s="7">
        <v>1</v>
      </c>
      <c r="R121" s="8" t="s">
        <v>37</v>
      </c>
      <c r="S121" s="7"/>
      <c r="T121" s="7" t="s">
        <v>38</v>
      </c>
      <c r="U121" s="7"/>
      <c r="V121" s="7" t="str">
        <f t="shared" si="1"/>
        <v>TCTN.DNS-26004</v>
      </c>
      <c r="W121" s="7"/>
      <c r="X121" s="7"/>
      <c r="Y121" s="7"/>
      <c r="Z121" s="7" t="s">
        <v>922</v>
      </c>
      <c r="AA121" s="7" t="s">
        <v>39</v>
      </c>
      <c r="AB121" s="7"/>
      <c r="AC121" s="7" t="s">
        <v>188</v>
      </c>
    </row>
    <row r="122" spans="1:29" hidden="1" x14ac:dyDescent="0.25">
      <c r="A122" s="5">
        <v>117</v>
      </c>
      <c r="B122" s="5" t="s">
        <v>164</v>
      </c>
      <c r="C122" s="5" t="s">
        <v>77</v>
      </c>
      <c r="D122" s="5" t="s">
        <v>159</v>
      </c>
      <c r="E122" s="5">
        <v>6</v>
      </c>
      <c r="F122" s="5">
        <v>328</v>
      </c>
      <c r="G122" s="5">
        <v>894</v>
      </c>
      <c r="H122" s="5">
        <v>1</v>
      </c>
      <c r="I122" s="5">
        <v>13.81</v>
      </c>
      <c r="J122" s="5">
        <v>13.81</v>
      </c>
      <c r="K122" s="5" t="s">
        <v>97</v>
      </c>
      <c r="L122" s="5" t="s">
        <v>187</v>
      </c>
      <c r="M122" s="7"/>
      <c r="N122" s="7"/>
      <c r="O122" s="7" t="s">
        <v>81</v>
      </c>
      <c r="P122" s="7"/>
      <c r="Q122" s="7">
        <v>1</v>
      </c>
      <c r="R122" s="8" t="s">
        <v>37</v>
      </c>
      <c r="S122" s="7"/>
      <c r="T122" s="7" t="s">
        <v>38</v>
      </c>
      <c r="U122" s="7"/>
      <c r="V122" s="7" t="str">
        <f t="shared" si="1"/>
        <v>TCTN.DNS-26004</v>
      </c>
      <c r="W122" s="7"/>
      <c r="X122" s="7"/>
      <c r="Y122" s="7"/>
      <c r="Z122" s="7" t="s">
        <v>922</v>
      </c>
      <c r="AA122" s="7" t="s">
        <v>39</v>
      </c>
      <c r="AB122" s="7"/>
      <c r="AC122" s="7" t="s">
        <v>188</v>
      </c>
    </row>
    <row r="123" spans="1:29" hidden="1" x14ac:dyDescent="0.25">
      <c r="A123" s="5">
        <v>118</v>
      </c>
      <c r="B123" s="5" t="s">
        <v>196</v>
      </c>
      <c r="C123" s="5" t="s">
        <v>77</v>
      </c>
      <c r="D123" s="5" t="s">
        <v>159</v>
      </c>
      <c r="E123" s="5">
        <v>6</v>
      </c>
      <c r="F123" s="5">
        <v>328</v>
      </c>
      <c r="G123" s="5">
        <v>894</v>
      </c>
      <c r="H123" s="5">
        <v>1</v>
      </c>
      <c r="I123" s="5">
        <v>13.81</v>
      </c>
      <c r="J123" s="5">
        <v>13.81</v>
      </c>
      <c r="K123" s="5" t="s">
        <v>97</v>
      </c>
      <c r="L123" s="5" t="s">
        <v>187</v>
      </c>
      <c r="M123" s="7"/>
      <c r="N123" s="7"/>
      <c r="O123" s="7" t="s">
        <v>81</v>
      </c>
      <c r="P123" s="7"/>
      <c r="Q123" s="7">
        <v>1</v>
      </c>
      <c r="R123" s="8" t="s">
        <v>37</v>
      </c>
      <c r="S123" s="7"/>
      <c r="T123" s="7" t="s">
        <v>38</v>
      </c>
      <c r="U123" s="7"/>
      <c r="V123" s="7" t="str">
        <f t="shared" si="1"/>
        <v>TCTN.DNS-26004</v>
      </c>
      <c r="W123" s="7"/>
      <c r="X123" s="7"/>
      <c r="Y123" s="7"/>
      <c r="Z123" s="7" t="s">
        <v>922</v>
      </c>
      <c r="AA123" s="7" t="s">
        <v>39</v>
      </c>
      <c r="AB123" s="7"/>
      <c r="AC123" s="7" t="s">
        <v>188</v>
      </c>
    </row>
    <row r="124" spans="1:29" hidden="1" x14ac:dyDescent="0.25">
      <c r="A124" s="5">
        <v>119</v>
      </c>
      <c r="B124" s="5" t="s">
        <v>197</v>
      </c>
      <c r="C124" s="5" t="s">
        <v>77</v>
      </c>
      <c r="D124" s="5" t="s">
        <v>190</v>
      </c>
      <c r="E124" s="5">
        <v>6</v>
      </c>
      <c r="F124" s="5">
        <v>188</v>
      </c>
      <c r="G124" s="5">
        <v>2481</v>
      </c>
      <c r="H124" s="5">
        <v>2</v>
      </c>
      <c r="I124" s="5">
        <v>21.61</v>
      </c>
      <c r="J124" s="5">
        <v>43.22</v>
      </c>
      <c r="K124" s="5" t="s">
        <v>97</v>
      </c>
      <c r="L124" s="5" t="s">
        <v>187</v>
      </c>
      <c r="M124" s="7"/>
      <c r="N124" s="7"/>
      <c r="O124" s="7" t="s">
        <v>81</v>
      </c>
      <c r="P124" s="7" t="s">
        <v>81</v>
      </c>
      <c r="Q124" s="7">
        <v>1</v>
      </c>
      <c r="R124" s="8" t="s">
        <v>37</v>
      </c>
      <c r="S124" s="7"/>
      <c r="T124" s="7" t="s">
        <v>38</v>
      </c>
      <c r="U124" s="7"/>
      <c r="V124" s="7" t="str">
        <f t="shared" si="1"/>
        <v>TCTN.DNS-26004</v>
      </c>
      <c r="W124" s="7"/>
      <c r="X124" s="7"/>
      <c r="Y124" s="7"/>
      <c r="Z124" s="7" t="s">
        <v>922</v>
      </c>
      <c r="AA124" s="7" t="s">
        <v>39</v>
      </c>
      <c r="AB124" s="7"/>
      <c r="AC124" s="7" t="s">
        <v>188</v>
      </c>
    </row>
    <row r="125" spans="1:29" hidden="1" x14ac:dyDescent="0.25">
      <c r="A125" s="5">
        <v>120</v>
      </c>
      <c r="B125" s="5" t="s">
        <v>198</v>
      </c>
      <c r="C125" s="5" t="s">
        <v>77</v>
      </c>
      <c r="D125" s="5" t="s">
        <v>190</v>
      </c>
      <c r="E125" s="5">
        <v>6</v>
      </c>
      <c r="F125" s="5">
        <v>188</v>
      </c>
      <c r="G125" s="5">
        <v>2481</v>
      </c>
      <c r="H125" s="5">
        <v>2</v>
      </c>
      <c r="I125" s="5">
        <v>21.61</v>
      </c>
      <c r="J125" s="5">
        <v>43.22</v>
      </c>
      <c r="K125" s="5" t="s">
        <v>97</v>
      </c>
      <c r="L125" s="5" t="s">
        <v>187</v>
      </c>
      <c r="M125" s="7"/>
      <c r="N125" s="7"/>
      <c r="O125" s="7" t="s">
        <v>81</v>
      </c>
      <c r="P125" s="7" t="s">
        <v>81</v>
      </c>
      <c r="Q125" s="7">
        <v>1</v>
      </c>
      <c r="R125" s="8" t="s">
        <v>37</v>
      </c>
      <c r="S125" s="7"/>
      <c r="T125" s="7" t="s">
        <v>38</v>
      </c>
      <c r="U125" s="7"/>
      <c r="V125" s="7" t="str">
        <f t="shared" si="1"/>
        <v>TCTN.DNS-26004</v>
      </c>
      <c r="W125" s="7"/>
      <c r="X125" s="7"/>
      <c r="Y125" s="7"/>
      <c r="Z125" s="7" t="s">
        <v>922</v>
      </c>
      <c r="AA125" s="7" t="s">
        <v>39</v>
      </c>
      <c r="AB125" s="7"/>
      <c r="AC125" s="7" t="s">
        <v>188</v>
      </c>
    </row>
    <row r="126" spans="1:29" hidden="1" x14ac:dyDescent="0.25">
      <c r="A126" s="5">
        <v>121</v>
      </c>
      <c r="B126" s="5" t="s">
        <v>199</v>
      </c>
      <c r="C126" s="5" t="s">
        <v>77</v>
      </c>
      <c r="D126" s="5" t="s">
        <v>193</v>
      </c>
      <c r="E126" s="5">
        <v>6</v>
      </c>
      <c r="F126" s="5">
        <v>188</v>
      </c>
      <c r="G126" s="5">
        <v>2480</v>
      </c>
      <c r="H126" s="5">
        <v>2</v>
      </c>
      <c r="I126" s="5">
        <v>21.6</v>
      </c>
      <c r="J126" s="5">
        <v>43.2</v>
      </c>
      <c r="K126" s="5" t="s">
        <v>97</v>
      </c>
      <c r="L126" s="5" t="s">
        <v>187</v>
      </c>
      <c r="M126" s="7"/>
      <c r="N126" s="7"/>
      <c r="O126" s="7" t="s">
        <v>81</v>
      </c>
      <c r="P126" s="7" t="s">
        <v>81</v>
      </c>
      <c r="Q126" s="7">
        <v>1</v>
      </c>
      <c r="R126" s="8" t="s">
        <v>37</v>
      </c>
      <c r="S126" s="7"/>
      <c r="T126" s="7" t="s">
        <v>38</v>
      </c>
      <c r="U126" s="7"/>
      <c r="V126" s="7" t="str">
        <f t="shared" si="1"/>
        <v>TCTN.DNS-26004</v>
      </c>
      <c r="W126" s="7"/>
      <c r="X126" s="7"/>
      <c r="Y126" s="7"/>
      <c r="Z126" s="7" t="s">
        <v>922</v>
      </c>
      <c r="AA126" s="7" t="s">
        <v>39</v>
      </c>
      <c r="AB126" s="7"/>
      <c r="AC126" s="7" t="s">
        <v>188</v>
      </c>
    </row>
    <row r="127" spans="1:29" hidden="1" x14ac:dyDescent="0.25">
      <c r="A127" s="5">
        <v>122</v>
      </c>
      <c r="B127" s="5" t="s">
        <v>200</v>
      </c>
      <c r="C127" s="5" t="s">
        <v>77</v>
      </c>
      <c r="D127" s="5" t="s">
        <v>193</v>
      </c>
      <c r="E127" s="5">
        <v>6</v>
      </c>
      <c r="F127" s="5">
        <v>188</v>
      </c>
      <c r="G127" s="5">
        <v>2480</v>
      </c>
      <c r="H127" s="5">
        <v>2</v>
      </c>
      <c r="I127" s="5">
        <v>21.6</v>
      </c>
      <c r="J127" s="5">
        <v>43.21</v>
      </c>
      <c r="K127" s="5" t="s">
        <v>97</v>
      </c>
      <c r="L127" s="5" t="s">
        <v>187</v>
      </c>
      <c r="M127" s="7"/>
      <c r="N127" s="7"/>
      <c r="O127" s="7" t="s">
        <v>81</v>
      </c>
      <c r="P127" s="7" t="s">
        <v>81</v>
      </c>
      <c r="Q127" s="7">
        <v>1</v>
      </c>
      <c r="R127" s="8" t="s">
        <v>37</v>
      </c>
      <c r="S127" s="7"/>
      <c r="T127" s="7" t="s">
        <v>38</v>
      </c>
      <c r="U127" s="7"/>
      <c r="V127" s="7" t="str">
        <f t="shared" si="1"/>
        <v>TCTN.DNS-26004</v>
      </c>
      <c r="W127" s="7"/>
      <c r="X127" s="7"/>
      <c r="Y127" s="7"/>
      <c r="Z127" s="7" t="s">
        <v>922</v>
      </c>
      <c r="AA127" s="7" t="s">
        <v>39</v>
      </c>
      <c r="AB127" s="7"/>
      <c r="AC127" s="7" t="s">
        <v>188</v>
      </c>
    </row>
    <row r="128" spans="1:29" hidden="1" x14ac:dyDescent="0.25">
      <c r="A128" s="5">
        <v>123</v>
      </c>
      <c r="B128" s="5" t="s">
        <v>201</v>
      </c>
      <c r="C128" s="5" t="s">
        <v>77</v>
      </c>
      <c r="D128" s="5" t="s">
        <v>159</v>
      </c>
      <c r="E128" s="5">
        <v>6</v>
      </c>
      <c r="F128" s="5">
        <v>328</v>
      </c>
      <c r="G128" s="5">
        <v>894</v>
      </c>
      <c r="H128" s="5">
        <v>2</v>
      </c>
      <c r="I128" s="5">
        <v>13.81</v>
      </c>
      <c r="J128" s="5">
        <v>27.62</v>
      </c>
      <c r="K128" s="5" t="s">
        <v>97</v>
      </c>
      <c r="L128" s="5" t="s">
        <v>187</v>
      </c>
      <c r="M128" s="7"/>
      <c r="N128" s="7"/>
      <c r="O128" s="7" t="s">
        <v>81</v>
      </c>
      <c r="P128" s="7"/>
      <c r="Q128" s="7">
        <v>1</v>
      </c>
      <c r="R128" s="8" t="s">
        <v>37</v>
      </c>
      <c r="S128" s="7"/>
      <c r="T128" s="7" t="s">
        <v>38</v>
      </c>
      <c r="U128" s="7"/>
      <c r="V128" s="7" t="str">
        <f t="shared" si="1"/>
        <v>TCTN.DNS-26004</v>
      </c>
      <c r="W128" s="7"/>
      <c r="X128" s="7"/>
      <c r="Y128" s="7"/>
      <c r="Z128" s="7" t="s">
        <v>922</v>
      </c>
      <c r="AA128" s="7" t="s">
        <v>39</v>
      </c>
      <c r="AB128" s="7"/>
      <c r="AC128" s="7" t="s">
        <v>188</v>
      </c>
    </row>
    <row r="129" spans="1:29" hidden="1" x14ac:dyDescent="0.25">
      <c r="A129" s="5">
        <v>124</v>
      </c>
      <c r="B129" s="5" t="s">
        <v>116</v>
      </c>
      <c r="C129" s="5" t="s">
        <v>77</v>
      </c>
      <c r="D129" s="5" t="s">
        <v>117</v>
      </c>
      <c r="E129" s="5">
        <v>6</v>
      </c>
      <c r="F129" s="5">
        <v>298</v>
      </c>
      <c r="G129" s="5">
        <v>378</v>
      </c>
      <c r="H129" s="5">
        <v>2</v>
      </c>
      <c r="I129" s="5">
        <v>5.27</v>
      </c>
      <c r="J129" s="5">
        <v>10.54</v>
      </c>
      <c r="K129" s="5" t="s">
        <v>97</v>
      </c>
      <c r="L129" s="5" t="s">
        <v>187</v>
      </c>
      <c r="M129" s="7"/>
      <c r="N129" s="7"/>
      <c r="O129" s="7"/>
      <c r="P129" s="7"/>
      <c r="Q129" s="7">
        <v>1</v>
      </c>
      <c r="R129" s="8" t="s">
        <v>37</v>
      </c>
      <c r="S129" s="7"/>
      <c r="T129" s="7" t="s">
        <v>38</v>
      </c>
      <c r="U129" s="7"/>
      <c r="V129" s="7" t="str">
        <f t="shared" si="1"/>
        <v>TCTN.DNS-26004</v>
      </c>
      <c r="W129" s="7" t="s">
        <v>81</v>
      </c>
      <c r="X129" s="7"/>
      <c r="Y129" s="7"/>
      <c r="Z129" s="7" t="s">
        <v>922</v>
      </c>
      <c r="AA129" s="7" t="s">
        <v>39</v>
      </c>
      <c r="AB129" s="7"/>
      <c r="AC129" s="7" t="s">
        <v>188</v>
      </c>
    </row>
    <row r="130" spans="1:29" hidden="1" x14ac:dyDescent="0.25">
      <c r="A130" s="5">
        <v>125</v>
      </c>
      <c r="B130" s="5" t="s">
        <v>202</v>
      </c>
      <c r="C130" s="5" t="s">
        <v>77</v>
      </c>
      <c r="D130" s="5" t="s">
        <v>203</v>
      </c>
      <c r="E130" s="5">
        <v>6</v>
      </c>
      <c r="F130" s="5">
        <v>188</v>
      </c>
      <c r="G130" s="5">
        <v>2348</v>
      </c>
      <c r="H130" s="5">
        <v>8</v>
      </c>
      <c r="I130" s="5">
        <v>20.61</v>
      </c>
      <c r="J130" s="5">
        <v>164.9</v>
      </c>
      <c r="K130" s="5" t="s">
        <v>97</v>
      </c>
      <c r="L130" s="5" t="s">
        <v>204</v>
      </c>
      <c r="M130" s="7"/>
      <c r="N130" s="7"/>
      <c r="O130" s="7" t="s">
        <v>81</v>
      </c>
      <c r="P130" s="7" t="s">
        <v>81</v>
      </c>
      <c r="Q130" s="7">
        <v>1</v>
      </c>
      <c r="R130" s="8" t="s">
        <v>37</v>
      </c>
      <c r="S130" s="7"/>
      <c r="T130" s="7" t="s">
        <v>38</v>
      </c>
      <c r="U130" s="7"/>
      <c r="V130" s="7" t="str">
        <f t="shared" si="1"/>
        <v>TCTN.DNS-26004</v>
      </c>
      <c r="W130" s="7"/>
      <c r="X130" s="7"/>
      <c r="Y130" s="7"/>
      <c r="Z130" s="7" t="s">
        <v>922</v>
      </c>
      <c r="AA130" s="7" t="s">
        <v>39</v>
      </c>
      <c r="AB130" s="7"/>
      <c r="AC130" s="7" t="s">
        <v>205</v>
      </c>
    </row>
    <row r="131" spans="1:29" hidden="1" x14ac:dyDescent="0.25">
      <c r="A131" s="5">
        <v>126</v>
      </c>
      <c r="B131" s="5" t="s">
        <v>206</v>
      </c>
      <c r="C131" s="5" t="s">
        <v>77</v>
      </c>
      <c r="D131" s="5" t="s">
        <v>203</v>
      </c>
      <c r="E131" s="5">
        <v>6</v>
      </c>
      <c r="F131" s="5">
        <v>188</v>
      </c>
      <c r="G131" s="5">
        <v>2348</v>
      </c>
      <c r="H131" s="5">
        <v>2</v>
      </c>
      <c r="I131" s="5">
        <v>20.62</v>
      </c>
      <c r="J131" s="5">
        <v>41.23</v>
      </c>
      <c r="K131" s="5" t="s">
        <v>97</v>
      </c>
      <c r="L131" s="5" t="s">
        <v>204</v>
      </c>
      <c r="M131" s="7"/>
      <c r="N131" s="7"/>
      <c r="O131" s="7" t="s">
        <v>81</v>
      </c>
      <c r="P131" s="7" t="s">
        <v>81</v>
      </c>
      <c r="Q131" s="7">
        <v>1</v>
      </c>
      <c r="R131" s="8" t="s">
        <v>37</v>
      </c>
      <c r="S131" s="7"/>
      <c r="T131" s="7" t="s">
        <v>38</v>
      </c>
      <c r="U131" s="7"/>
      <c r="V131" s="7" t="str">
        <f t="shared" si="1"/>
        <v>TCTN.DNS-26004</v>
      </c>
      <c r="W131" s="7"/>
      <c r="X131" s="7"/>
      <c r="Y131" s="7"/>
      <c r="Z131" s="7" t="s">
        <v>922</v>
      </c>
      <c r="AA131" s="7" t="s">
        <v>39</v>
      </c>
      <c r="AB131" s="7"/>
      <c r="AC131" s="7" t="s">
        <v>205</v>
      </c>
    </row>
    <row r="132" spans="1:29" hidden="1" x14ac:dyDescent="0.25">
      <c r="A132" s="5">
        <v>127</v>
      </c>
      <c r="B132" s="5" t="s">
        <v>207</v>
      </c>
      <c r="C132" s="5" t="s">
        <v>77</v>
      </c>
      <c r="D132" s="5" t="s">
        <v>203</v>
      </c>
      <c r="E132" s="5">
        <v>6</v>
      </c>
      <c r="F132" s="5">
        <v>188</v>
      </c>
      <c r="G132" s="5">
        <v>2348</v>
      </c>
      <c r="H132" s="5">
        <v>1</v>
      </c>
      <c r="I132" s="5">
        <v>20.61</v>
      </c>
      <c r="J132" s="5">
        <v>20.61</v>
      </c>
      <c r="K132" s="5" t="s">
        <v>97</v>
      </c>
      <c r="L132" s="5" t="s">
        <v>204</v>
      </c>
      <c r="M132" s="7"/>
      <c r="N132" s="7"/>
      <c r="O132" s="7" t="s">
        <v>81</v>
      </c>
      <c r="P132" s="7" t="s">
        <v>81</v>
      </c>
      <c r="Q132" s="7">
        <v>1</v>
      </c>
      <c r="R132" s="8" t="s">
        <v>37</v>
      </c>
      <c r="S132" s="7"/>
      <c r="T132" s="7" t="s">
        <v>38</v>
      </c>
      <c r="U132" s="7"/>
      <c r="V132" s="7" t="str">
        <f t="shared" si="1"/>
        <v>TCTN.DNS-26004</v>
      </c>
      <c r="W132" s="7"/>
      <c r="X132" s="7"/>
      <c r="Y132" s="7"/>
      <c r="Z132" s="7" t="s">
        <v>922</v>
      </c>
      <c r="AA132" s="7" t="s">
        <v>39</v>
      </c>
      <c r="AB132" s="7"/>
      <c r="AC132" s="7" t="s">
        <v>205</v>
      </c>
    </row>
    <row r="133" spans="1:29" hidden="1" x14ac:dyDescent="0.25">
      <c r="A133" s="5">
        <v>128</v>
      </c>
      <c r="B133" s="5" t="s">
        <v>208</v>
      </c>
      <c r="C133" s="5" t="s">
        <v>77</v>
      </c>
      <c r="D133" s="5" t="s">
        <v>203</v>
      </c>
      <c r="E133" s="5">
        <v>6</v>
      </c>
      <c r="F133" s="5">
        <v>188</v>
      </c>
      <c r="G133" s="5">
        <v>2348</v>
      </c>
      <c r="H133" s="5">
        <v>6</v>
      </c>
      <c r="I133" s="5">
        <v>20.61</v>
      </c>
      <c r="J133" s="5">
        <v>123.67</v>
      </c>
      <c r="K133" s="5" t="s">
        <v>97</v>
      </c>
      <c r="L133" s="5" t="s">
        <v>204</v>
      </c>
      <c r="M133" s="7"/>
      <c r="N133" s="7"/>
      <c r="O133" s="7" t="s">
        <v>81</v>
      </c>
      <c r="P133" s="7" t="s">
        <v>81</v>
      </c>
      <c r="Q133" s="7">
        <v>1</v>
      </c>
      <c r="R133" s="8" t="s">
        <v>37</v>
      </c>
      <c r="S133" s="7"/>
      <c r="T133" s="7" t="s">
        <v>38</v>
      </c>
      <c r="U133" s="7"/>
      <c r="V133" s="7" t="str">
        <f t="shared" si="1"/>
        <v>TCTN.DNS-26004</v>
      </c>
      <c r="W133" s="7"/>
      <c r="X133" s="7"/>
      <c r="Y133" s="7"/>
      <c r="Z133" s="7" t="s">
        <v>922</v>
      </c>
      <c r="AA133" s="7" t="s">
        <v>39</v>
      </c>
      <c r="AB133" s="7"/>
      <c r="AC133" s="7" t="s">
        <v>205</v>
      </c>
    </row>
    <row r="134" spans="1:29" hidden="1" x14ac:dyDescent="0.25">
      <c r="A134" s="5">
        <v>129</v>
      </c>
      <c r="B134" s="5" t="s">
        <v>209</v>
      </c>
      <c r="C134" s="5" t="s">
        <v>77</v>
      </c>
      <c r="D134" s="5" t="s">
        <v>203</v>
      </c>
      <c r="E134" s="5">
        <v>6</v>
      </c>
      <c r="F134" s="5">
        <v>188</v>
      </c>
      <c r="G134" s="5">
        <v>2348</v>
      </c>
      <c r="H134" s="5">
        <v>6</v>
      </c>
      <c r="I134" s="5">
        <v>20.61</v>
      </c>
      <c r="J134" s="5">
        <v>123.67</v>
      </c>
      <c r="K134" s="5" t="s">
        <v>97</v>
      </c>
      <c r="L134" s="5" t="s">
        <v>204</v>
      </c>
      <c r="M134" s="7"/>
      <c r="N134" s="7"/>
      <c r="O134" s="7" t="s">
        <v>81</v>
      </c>
      <c r="P134" s="7" t="s">
        <v>81</v>
      </c>
      <c r="Q134" s="7">
        <v>1</v>
      </c>
      <c r="R134" s="8" t="s">
        <v>37</v>
      </c>
      <c r="S134" s="7"/>
      <c r="T134" s="7" t="s">
        <v>38</v>
      </c>
      <c r="U134" s="7"/>
      <c r="V134" s="7" t="str">
        <f t="shared" ref="V134:V197" si="2">IF(LEN($B$3)=0,"",$B$3)</f>
        <v>TCTN.DNS-26004</v>
      </c>
      <c r="W134" s="7"/>
      <c r="X134" s="7"/>
      <c r="Y134" s="7"/>
      <c r="Z134" s="7" t="s">
        <v>922</v>
      </c>
      <c r="AA134" s="7" t="s">
        <v>39</v>
      </c>
      <c r="AB134" s="7"/>
      <c r="AC134" s="7" t="s">
        <v>205</v>
      </c>
    </row>
    <row r="135" spans="1:29" hidden="1" x14ac:dyDescent="0.25">
      <c r="A135" s="5">
        <v>130</v>
      </c>
      <c r="B135" s="5" t="s">
        <v>210</v>
      </c>
      <c r="C135" s="5" t="s">
        <v>77</v>
      </c>
      <c r="D135" s="5" t="s">
        <v>203</v>
      </c>
      <c r="E135" s="5">
        <v>6</v>
      </c>
      <c r="F135" s="5">
        <v>188</v>
      </c>
      <c r="G135" s="5">
        <v>2348</v>
      </c>
      <c r="H135" s="5">
        <v>8</v>
      </c>
      <c r="I135" s="5">
        <v>20.61</v>
      </c>
      <c r="J135" s="5">
        <v>164.9</v>
      </c>
      <c r="K135" s="5" t="s">
        <v>97</v>
      </c>
      <c r="L135" s="5" t="s">
        <v>204</v>
      </c>
      <c r="M135" s="7"/>
      <c r="N135" s="7"/>
      <c r="O135" s="7" t="s">
        <v>81</v>
      </c>
      <c r="P135" s="7" t="s">
        <v>81</v>
      </c>
      <c r="Q135" s="7">
        <v>1</v>
      </c>
      <c r="R135" s="8" t="s">
        <v>37</v>
      </c>
      <c r="S135" s="7"/>
      <c r="T135" s="7" t="s">
        <v>38</v>
      </c>
      <c r="U135" s="7"/>
      <c r="V135" s="7" t="str">
        <f t="shared" si="2"/>
        <v>TCTN.DNS-26004</v>
      </c>
      <c r="W135" s="7"/>
      <c r="X135" s="7"/>
      <c r="Y135" s="7"/>
      <c r="Z135" s="7" t="s">
        <v>922</v>
      </c>
      <c r="AA135" s="7" t="s">
        <v>39</v>
      </c>
      <c r="AB135" s="7"/>
      <c r="AC135" s="7" t="s">
        <v>205</v>
      </c>
    </row>
    <row r="136" spans="1:29" hidden="1" x14ac:dyDescent="0.25">
      <c r="A136" s="5">
        <v>131</v>
      </c>
      <c r="B136" s="5" t="s">
        <v>211</v>
      </c>
      <c r="C136" s="5" t="s">
        <v>77</v>
      </c>
      <c r="D136" s="5" t="s">
        <v>203</v>
      </c>
      <c r="E136" s="5">
        <v>6</v>
      </c>
      <c r="F136" s="5">
        <v>188</v>
      </c>
      <c r="G136" s="5">
        <v>2348</v>
      </c>
      <c r="H136" s="5">
        <v>4</v>
      </c>
      <c r="I136" s="5">
        <v>20.61</v>
      </c>
      <c r="J136" s="5">
        <v>82.45</v>
      </c>
      <c r="K136" s="5" t="s">
        <v>97</v>
      </c>
      <c r="L136" s="5" t="s">
        <v>204</v>
      </c>
      <c r="M136" s="7"/>
      <c r="N136" s="7"/>
      <c r="O136" s="7" t="s">
        <v>81</v>
      </c>
      <c r="P136" s="7" t="s">
        <v>81</v>
      </c>
      <c r="Q136" s="7">
        <v>1</v>
      </c>
      <c r="R136" s="8" t="s">
        <v>37</v>
      </c>
      <c r="S136" s="7"/>
      <c r="T136" s="7" t="s">
        <v>38</v>
      </c>
      <c r="U136" s="7"/>
      <c r="V136" s="7" t="str">
        <f t="shared" si="2"/>
        <v>TCTN.DNS-26004</v>
      </c>
      <c r="W136" s="7"/>
      <c r="X136" s="7"/>
      <c r="Y136" s="7"/>
      <c r="Z136" s="7" t="s">
        <v>922</v>
      </c>
      <c r="AA136" s="7" t="s">
        <v>39</v>
      </c>
      <c r="AB136" s="7"/>
      <c r="AC136" s="7" t="s">
        <v>205</v>
      </c>
    </row>
    <row r="137" spans="1:29" hidden="1" x14ac:dyDescent="0.25">
      <c r="A137" s="5">
        <v>132</v>
      </c>
      <c r="B137" s="5" t="s">
        <v>123</v>
      </c>
      <c r="C137" s="5" t="s">
        <v>77</v>
      </c>
      <c r="D137" s="5" t="s">
        <v>117</v>
      </c>
      <c r="E137" s="5">
        <v>6</v>
      </c>
      <c r="F137" s="5">
        <v>298</v>
      </c>
      <c r="G137" s="5">
        <v>378</v>
      </c>
      <c r="H137" s="5">
        <v>2</v>
      </c>
      <c r="I137" s="5">
        <v>5.27</v>
      </c>
      <c r="J137" s="5">
        <v>10.54</v>
      </c>
      <c r="K137" s="5" t="s">
        <v>97</v>
      </c>
      <c r="L137" s="5" t="s">
        <v>204</v>
      </c>
      <c r="M137" s="7"/>
      <c r="N137" s="7"/>
      <c r="O137" s="7"/>
      <c r="P137" s="7"/>
      <c r="Q137" s="7">
        <v>1</v>
      </c>
      <c r="R137" s="8" t="s">
        <v>37</v>
      </c>
      <c r="S137" s="7"/>
      <c r="T137" s="7" t="s">
        <v>38</v>
      </c>
      <c r="U137" s="7"/>
      <c r="V137" s="7" t="str">
        <f t="shared" si="2"/>
        <v>TCTN.DNS-26004</v>
      </c>
      <c r="W137" s="7" t="s">
        <v>81</v>
      </c>
      <c r="X137" s="7"/>
      <c r="Y137" s="7"/>
      <c r="Z137" s="7" t="s">
        <v>922</v>
      </c>
      <c r="AA137" s="7" t="s">
        <v>39</v>
      </c>
      <c r="AB137" s="7"/>
      <c r="AC137" s="7" t="s">
        <v>205</v>
      </c>
    </row>
    <row r="138" spans="1:29" hidden="1" x14ac:dyDescent="0.25">
      <c r="A138" s="5">
        <v>133</v>
      </c>
      <c r="B138" s="5" t="s">
        <v>171</v>
      </c>
      <c r="C138" s="5" t="s">
        <v>77</v>
      </c>
      <c r="D138" s="5" t="s">
        <v>117</v>
      </c>
      <c r="E138" s="5">
        <v>6</v>
      </c>
      <c r="F138" s="5">
        <v>298</v>
      </c>
      <c r="G138" s="5">
        <v>378</v>
      </c>
      <c r="H138" s="5">
        <v>1</v>
      </c>
      <c r="I138" s="5">
        <v>5.27</v>
      </c>
      <c r="J138" s="5">
        <v>5.27</v>
      </c>
      <c r="K138" s="5" t="s">
        <v>97</v>
      </c>
      <c r="L138" s="5" t="s">
        <v>204</v>
      </c>
      <c r="M138" s="7"/>
      <c r="N138" s="7"/>
      <c r="O138" s="7"/>
      <c r="P138" s="7"/>
      <c r="Q138" s="7">
        <v>1</v>
      </c>
      <c r="R138" s="8" t="s">
        <v>37</v>
      </c>
      <c r="S138" s="7"/>
      <c r="T138" s="7" t="s">
        <v>38</v>
      </c>
      <c r="U138" s="7"/>
      <c r="V138" s="7" t="str">
        <f t="shared" si="2"/>
        <v>TCTN.DNS-26004</v>
      </c>
      <c r="W138" s="7" t="s">
        <v>81</v>
      </c>
      <c r="X138" s="7"/>
      <c r="Y138" s="7"/>
      <c r="Z138" s="7" t="s">
        <v>922</v>
      </c>
      <c r="AA138" s="7" t="s">
        <v>39</v>
      </c>
      <c r="AB138" s="7"/>
      <c r="AC138" s="7" t="s">
        <v>205</v>
      </c>
    </row>
    <row r="139" spans="1:29" hidden="1" x14ac:dyDescent="0.25">
      <c r="A139" s="5">
        <v>134</v>
      </c>
      <c r="B139" s="5" t="s">
        <v>212</v>
      </c>
      <c r="C139" s="5" t="s">
        <v>77</v>
      </c>
      <c r="D139" s="5" t="s">
        <v>203</v>
      </c>
      <c r="E139" s="5">
        <v>6</v>
      </c>
      <c r="F139" s="5">
        <v>188</v>
      </c>
      <c r="G139" s="5">
        <v>2348</v>
      </c>
      <c r="H139" s="5">
        <v>6</v>
      </c>
      <c r="I139" s="5">
        <v>20.61</v>
      </c>
      <c r="J139" s="5">
        <v>123.67</v>
      </c>
      <c r="K139" s="5" t="s">
        <v>97</v>
      </c>
      <c r="L139" s="5" t="s">
        <v>213</v>
      </c>
      <c r="M139" s="7"/>
      <c r="N139" s="7"/>
      <c r="O139" s="7" t="s">
        <v>81</v>
      </c>
      <c r="P139" s="7" t="s">
        <v>81</v>
      </c>
      <c r="Q139" s="7">
        <v>1</v>
      </c>
      <c r="R139" s="8" t="s">
        <v>37</v>
      </c>
      <c r="S139" s="7"/>
      <c r="T139" s="7" t="s">
        <v>38</v>
      </c>
      <c r="U139" s="7"/>
      <c r="V139" s="7" t="str">
        <f t="shared" si="2"/>
        <v>TCTN.DNS-26004</v>
      </c>
      <c r="W139" s="7"/>
      <c r="X139" s="7"/>
      <c r="Y139" s="7"/>
      <c r="Z139" s="7" t="s">
        <v>922</v>
      </c>
      <c r="AA139" s="7" t="s">
        <v>39</v>
      </c>
      <c r="AB139" s="7"/>
      <c r="AC139" s="7" t="s">
        <v>214</v>
      </c>
    </row>
    <row r="140" spans="1:29" hidden="1" x14ac:dyDescent="0.25">
      <c r="A140" s="5">
        <v>135</v>
      </c>
      <c r="B140" s="5" t="s">
        <v>215</v>
      </c>
      <c r="C140" s="5" t="s">
        <v>77</v>
      </c>
      <c r="D140" s="5" t="s">
        <v>203</v>
      </c>
      <c r="E140" s="5">
        <v>6</v>
      </c>
      <c r="F140" s="5">
        <v>188</v>
      </c>
      <c r="G140" s="5">
        <v>2348</v>
      </c>
      <c r="H140" s="5">
        <v>6</v>
      </c>
      <c r="I140" s="5">
        <v>20.61</v>
      </c>
      <c r="J140" s="5">
        <v>123.67</v>
      </c>
      <c r="K140" s="5" t="s">
        <v>97</v>
      </c>
      <c r="L140" s="5" t="s">
        <v>213</v>
      </c>
      <c r="M140" s="7"/>
      <c r="N140" s="7"/>
      <c r="O140" s="7" t="s">
        <v>81</v>
      </c>
      <c r="P140" s="7" t="s">
        <v>81</v>
      </c>
      <c r="Q140" s="7">
        <v>1</v>
      </c>
      <c r="R140" s="8" t="s">
        <v>37</v>
      </c>
      <c r="S140" s="7"/>
      <c r="T140" s="7" t="s">
        <v>38</v>
      </c>
      <c r="U140" s="7"/>
      <c r="V140" s="7" t="str">
        <f t="shared" si="2"/>
        <v>TCTN.DNS-26004</v>
      </c>
      <c r="W140" s="7"/>
      <c r="X140" s="7"/>
      <c r="Y140" s="7"/>
      <c r="Z140" s="7" t="s">
        <v>922</v>
      </c>
      <c r="AA140" s="7" t="s">
        <v>39</v>
      </c>
      <c r="AB140" s="7"/>
      <c r="AC140" s="7" t="s">
        <v>214</v>
      </c>
    </row>
    <row r="141" spans="1:29" hidden="1" x14ac:dyDescent="0.25">
      <c r="A141" s="5">
        <v>136</v>
      </c>
      <c r="B141" s="5" t="s">
        <v>216</v>
      </c>
      <c r="C141" s="5" t="s">
        <v>77</v>
      </c>
      <c r="D141" s="5" t="s">
        <v>203</v>
      </c>
      <c r="E141" s="5">
        <v>6</v>
      </c>
      <c r="F141" s="5">
        <v>188</v>
      </c>
      <c r="G141" s="5">
        <v>2348</v>
      </c>
      <c r="H141" s="5">
        <v>8</v>
      </c>
      <c r="I141" s="5">
        <v>20.61</v>
      </c>
      <c r="J141" s="5">
        <v>164.9</v>
      </c>
      <c r="K141" s="5" t="s">
        <v>97</v>
      </c>
      <c r="L141" s="5" t="s">
        <v>213</v>
      </c>
      <c r="M141" s="7"/>
      <c r="N141" s="7"/>
      <c r="O141" s="7" t="s">
        <v>81</v>
      </c>
      <c r="P141" s="7" t="s">
        <v>81</v>
      </c>
      <c r="Q141" s="7">
        <v>1</v>
      </c>
      <c r="R141" s="8" t="s">
        <v>37</v>
      </c>
      <c r="S141" s="7"/>
      <c r="T141" s="7" t="s">
        <v>38</v>
      </c>
      <c r="U141" s="7"/>
      <c r="V141" s="7" t="str">
        <f t="shared" si="2"/>
        <v>TCTN.DNS-26004</v>
      </c>
      <c r="W141" s="7"/>
      <c r="X141" s="7"/>
      <c r="Y141" s="7"/>
      <c r="Z141" s="7" t="s">
        <v>922</v>
      </c>
      <c r="AA141" s="7" t="s">
        <v>39</v>
      </c>
      <c r="AB141" s="7"/>
      <c r="AC141" s="7" t="s">
        <v>214</v>
      </c>
    </row>
    <row r="142" spans="1:29" hidden="1" x14ac:dyDescent="0.25">
      <c r="A142" s="5">
        <v>137</v>
      </c>
      <c r="B142" s="5" t="s">
        <v>195</v>
      </c>
      <c r="C142" s="5" t="s">
        <v>77</v>
      </c>
      <c r="D142" s="5" t="s">
        <v>122</v>
      </c>
      <c r="E142" s="5">
        <v>6</v>
      </c>
      <c r="F142" s="5">
        <v>328</v>
      </c>
      <c r="G142" s="5">
        <v>934</v>
      </c>
      <c r="H142" s="5">
        <v>7</v>
      </c>
      <c r="I142" s="5">
        <v>14.43</v>
      </c>
      <c r="J142" s="5">
        <v>101</v>
      </c>
      <c r="K142" s="5" t="s">
        <v>97</v>
      </c>
      <c r="L142" s="5" t="s">
        <v>213</v>
      </c>
      <c r="M142" s="7"/>
      <c r="N142" s="7"/>
      <c r="O142" s="7" t="s">
        <v>81</v>
      </c>
      <c r="P142" s="7"/>
      <c r="Q142" s="7">
        <v>1</v>
      </c>
      <c r="R142" s="8" t="s">
        <v>37</v>
      </c>
      <c r="S142" s="7"/>
      <c r="T142" s="7" t="s">
        <v>38</v>
      </c>
      <c r="U142" s="7"/>
      <c r="V142" s="7" t="str">
        <f t="shared" si="2"/>
        <v>TCTN.DNS-26004</v>
      </c>
      <c r="W142" s="7"/>
      <c r="X142" s="7"/>
      <c r="Y142" s="7"/>
      <c r="Z142" s="7" t="s">
        <v>922</v>
      </c>
      <c r="AA142" s="7" t="s">
        <v>39</v>
      </c>
      <c r="AB142" s="7"/>
      <c r="AC142" s="7" t="s">
        <v>214</v>
      </c>
    </row>
    <row r="143" spans="1:29" hidden="1" x14ac:dyDescent="0.25">
      <c r="A143" s="5">
        <v>138</v>
      </c>
      <c r="B143" s="5" t="s">
        <v>207</v>
      </c>
      <c r="C143" s="5" t="s">
        <v>77</v>
      </c>
      <c r="D143" s="5" t="s">
        <v>203</v>
      </c>
      <c r="E143" s="5">
        <v>6</v>
      </c>
      <c r="F143" s="5">
        <v>188</v>
      </c>
      <c r="G143" s="5">
        <v>2348</v>
      </c>
      <c r="H143" s="5">
        <v>3</v>
      </c>
      <c r="I143" s="5">
        <v>20.61</v>
      </c>
      <c r="J143" s="5">
        <v>61.84</v>
      </c>
      <c r="K143" s="5" t="s">
        <v>97</v>
      </c>
      <c r="L143" s="5" t="s">
        <v>213</v>
      </c>
      <c r="M143" s="7"/>
      <c r="N143" s="7"/>
      <c r="O143" s="7" t="s">
        <v>81</v>
      </c>
      <c r="P143" s="7" t="s">
        <v>81</v>
      </c>
      <c r="Q143" s="7">
        <v>1</v>
      </c>
      <c r="R143" s="8" t="s">
        <v>37</v>
      </c>
      <c r="S143" s="7"/>
      <c r="T143" s="7" t="s">
        <v>38</v>
      </c>
      <c r="U143" s="7"/>
      <c r="V143" s="7" t="str">
        <f t="shared" si="2"/>
        <v>TCTN.DNS-26004</v>
      </c>
      <c r="W143" s="7"/>
      <c r="X143" s="7"/>
      <c r="Y143" s="7"/>
      <c r="Z143" s="7" t="s">
        <v>922</v>
      </c>
      <c r="AA143" s="7" t="s">
        <v>39</v>
      </c>
      <c r="AB143" s="7"/>
      <c r="AC143" s="7" t="s">
        <v>214</v>
      </c>
    </row>
    <row r="144" spans="1:29" hidden="1" x14ac:dyDescent="0.25">
      <c r="A144" s="5">
        <v>139</v>
      </c>
      <c r="B144" s="5" t="s">
        <v>217</v>
      </c>
      <c r="C144" s="5" t="s">
        <v>77</v>
      </c>
      <c r="D144" s="5" t="s">
        <v>122</v>
      </c>
      <c r="E144" s="5">
        <v>6</v>
      </c>
      <c r="F144" s="5">
        <v>328</v>
      </c>
      <c r="G144" s="5">
        <v>934</v>
      </c>
      <c r="H144" s="5">
        <v>9</v>
      </c>
      <c r="I144" s="5">
        <v>14.43</v>
      </c>
      <c r="J144" s="5">
        <v>129.86000000000001</v>
      </c>
      <c r="K144" s="5" t="s">
        <v>97</v>
      </c>
      <c r="L144" s="5" t="s">
        <v>213</v>
      </c>
      <c r="M144" s="7"/>
      <c r="N144" s="7"/>
      <c r="O144" s="7" t="s">
        <v>81</v>
      </c>
      <c r="P144" s="7"/>
      <c r="Q144" s="7">
        <v>1</v>
      </c>
      <c r="R144" s="8" t="s">
        <v>37</v>
      </c>
      <c r="S144" s="7"/>
      <c r="T144" s="7" t="s">
        <v>38</v>
      </c>
      <c r="U144" s="7"/>
      <c r="V144" s="7" t="str">
        <f t="shared" si="2"/>
        <v>TCTN.DNS-26004</v>
      </c>
      <c r="W144" s="7"/>
      <c r="X144" s="7"/>
      <c r="Y144" s="7"/>
      <c r="Z144" s="7" t="s">
        <v>922</v>
      </c>
      <c r="AA144" s="7" t="s">
        <v>39</v>
      </c>
      <c r="AB144" s="7"/>
      <c r="AC144" s="7" t="s">
        <v>214</v>
      </c>
    </row>
    <row r="145" spans="1:29" hidden="1" x14ac:dyDescent="0.25">
      <c r="A145" s="5">
        <v>140</v>
      </c>
      <c r="B145" s="5" t="s">
        <v>148</v>
      </c>
      <c r="C145" s="5" t="s">
        <v>77</v>
      </c>
      <c r="D145" s="5" t="s">
        <v>122</v>
      </c>
      <c r="E145" s="5">
        <v>6</v>
      </c>
      <c r="F145" s="5">
        <v>328</v>
      </c>
      <c r="G145" s="5">
        <v>934</v>
      </c>
      <c r="H145" s="5">
        <v>4</v>
      </c>
      <c r="I145" s="5">
        <v>14.43</v>
      </c>
      <c r="J145" s="5">
        <v>57.72</v>
      </c>
      <c r="K145" s="5" t="s">
        <v>97</v>
      </c>
      <c r="L145" s="5" t="s">
        <v>213</v>
      </c>
      <c r="M145" s="7"/>
      <c r="N145" s="7"/>
      <c r="O145" s="7" t="s">
        <v>81</v>
      </c>
      <c r="P145" s="7"/>
      <c r="Q145" s="7">
        <v>1</v>
      </c>
      <c r="R145" s="8" t="s">
        <v>37</v>
      </c>
      <c r="S145" s="7"/>
      <c r="T145" s="7" t="s">
        <v>38</v>
      </c>
      <c r="U145" s="7"/>
      <c r="V145" s="7" t="str">
        <f t="shared" si="2"/>
        <v>TCTN.DNS-26004</v>
      </c>
      <c r="W145" s="7"/>
      <c r="X145" s="7"/>
      <c r="Y145" s="7"/>
      <c r="Z145" s="7" t="s">
        <v>922</v>
      </c>
      <c r="AA145" s="7" t="s">
        <v>39</v>
      </c>
      <c r="AB145" s="7"/>
      <c r="AC145" s="7" t="s">
        <v>214</v>
      </c>
    </row>
    <row r="146" spans="1:29" hidden="1" x14ac:dyDescent="0.25">
      <c r="A146" s="5">
        <v>141</v>
      </c>
      <c r="B146" s="5" t="s">
        <v>123</v>
      </c>
      <c r="C146" s="5" t="s">
        <v>77</v>
      </c>
      <c r="D146" s="5" t="s">
        <v>117</v>
      </c>
      <c r="E146" s="5">
        <v>6</v>
      </c>
      <c r="F146" s="5">
        <v>298</v>
      </c>
      <c r="G146" s="5">
        <v>378</v>
      </c>
      <c r="H146" s="5">
        <v>2</v>
      </c>
      <c r="I146" s="5">
        <v>5.27</v>
      </c>
      <c r="J146" s="5">
        <v>10.54</v>
      </c>
      <c r="K146" s="5" t="s">
        <v>97</v>
      </c>
      <c r="L146" s="5" t="s">
        <v>213</v>
      </c>
      <c r="M146" s="7"/>
      <c r="N146" s="7"/>
      <c r="O146" s="7"/>
      <c r="P146" s="7"/>
      <c r="Q146" s="7">
        <v>1</v>
      </c>
      <c r="R146" s="8" t="s">
        <v>37</v>
      </c>
      <c r="S146" s="7"/>
      <c r="T146" s="7" t="s">
        <v>38</v>
      </c>
      <c r="U146" s="7"/>
      <c r="V146" s="7" t="str">
        <f t="shared" si="2"/>
        <v>TCTN.DNS-26004</v>
      </c>
      <c r="W146" s="7" t="s">
        <v>81</v>
      </c>
      <c r="X146" s="7"/>
      <c r="Y146" s="7"/>
      <c r="Z146" s="7" t="s">
        <v>922</v>
      </c>
      <c r="AA146" s="7" t="s">
        <v>39</v>
      </c>
      <c r="AB146" s="7"/>
      <c r="AC146" s="7" t="s">
        <v>214</v>
      </c>
    </row>
    <row r="147" spans="1:29" hidden="1" x14ac:dyDescent="0.25">
      <c r="A147" s="5">
        <v>142</v>
      </c>
      <c r="B147" s="5" t="s">
        <v>179</v>
      </c>
      <c r="C147" s="5" t="s">
        <v>77</v>
      </c>
      <c r="D147" s="5" t="s">
        <v>122</v>
      </c>
      <c r="E147" s="5">
        <v>6</v>
      </c>
      <c r="F147" s="5">
        <v>328</v>
      </c>
      <c r="G147" s="5">
        <v>934</v>
      </c>
      <c r="H147" s="5">
        <v>1</v>
      </c>
      <c r="I147" s="5">
        <v>14.43</v>
      </c>
      <c r="J147" s="5">
        <v>14.43</v>
      </c>
      <c r="K147" s="5" t="s">
        <v>97</v>
      </c>
      <c r="L147" s="5" t="s">
        <v>218</v>
      </c>
      <c r="M147" s="7"/>
      <c r="N147" s="7"/>
      <c r="O147" s="7" t="s">
        <v>81</v>
      </c>
      <c r="P147" s="7"/>
      <c r="Q147" s="7">
        <v>1</v>
      </c>
      <c r="R147" s="8" t="s">
        <v>37</v>
      </c>
      <c r="S147" s="7"/>
      <c r="T147" s="7" t="s">
        <v>38</v>
      </c>
      <c r="U147" s="7"/>
      <c r="V147" s="7" t="str">
        <f t="shared" si="2"/>
        <v>TCTN.DNS-26004</v>
      </c>
      <c r="W147" s="7"/>
      <c r="X147" s="7"/>
      <c r="Y147" s="7"/>
      <c r="Z147" s="7" t="s">
        <v>922</v>
      </c>
      <c r="AA147" s="7" t="s">
        <v>39</v>
      </c>
      <c r="AB147" s="7"/>
      <c r="AC147" s="7" t="s">
        <v>219</v>
      </c>
    </row>
    <row r="148" spans="1:29" hidden="1" x14ac:dyDescent="0.25">
      <c r="A148" s="5">
        <v>143</v>
      </c>
      <c r="B148" s="5" t="s">
        <v>206</v>
      </c>
      <c r="C148" s="5" t="s">
        <v>77</v>
      </c>
      <c r="D148" s="5" t="s">
        <v>203</v>
      </c>
      <c r="E148" s="5">
        <v>6</v>
      </c>
      <c r="F148" s="5">
        <v>188</v>
      </c>
      <c r="G148" s="5">
        <v>2348</v>
      </c>
      <c r="H148" s="5">
        <v>2</v>
      </c>
      <c r="I148" s="5">
        <v>20.62</v>
      </c>
      <c r="J148" s="5">
        <v>41.23</v>
      </c>
      <c r="K148" s="5" t="s">
        <v>97</v>
      </c>
      <c r="L148" s="5" t="s">
        <v>218</v>
      </c>
      <c r="M148" s="7"/>
      <c r="N148" s="7"/>
      <c r="O148" s="7" t="s">
        <v>81</v>
      </c>
      <c r="P148" s="7" t="s">
        <v>81</v>
      </c>
      <c r="Q148" s="7">
        <v>1</v>
      </c>
      <c r="R148" s="8" t="s">
        <v>37</v>
      </c>
      <c r="S148" s="7"/>
      <c r="T148" s="7" t="s">
        <v>38</v>
      </c>
      <c r="U148" s="7"/>
      <c r="V148" s="7" t="str">
        <f t="shared" si="2"/>
        <v>TCTN.DNS-26004</v>
      </c>
      <c r="W148" s="7"/>
      <c r="X148" s="7"/>
      <c r="Y148" s="7"/>
      <c r="Z148" s="7" t="s">
        <v>922</v>
      </c>
      <c r="AA148" s="7" t="s">
        <v>39</v>
      </c>
      <c r="AB148" s="7"/>
      <c r="AC148" s="7" t="s">
        <v>219</v>
      </c>
    </row>
    <row r="149" spans="1:29" hidden="1" x14ac:dyDescent="0.25">
      <c r="A149" s="5">
        <v>144</v>
      </c>
      <c r="B149" s="5" t="s">
        <v>196</v>
      </c>
      <c r="C149" s="5" t="s">
        <v>77</v>
      </c>
      <c r="D149" s="5" t="s">
        <v>159</v>
      </c>
      <c r="E149" s="5">
        <v>6</v>
      </c>
      <c r="F149" s="5">
        <v>328</v>
      </c>
      <c r="G149" s="5">
        <v>894</v>
      </c>
      <c r="H149" s="5">
        <v>1</v>
      </c>
      <c r="I149" s="5">
        <v>13.81</v>
      </c>
      <c r="J149" s="5">
        <v>13.81</v>
      </c>
      <c r="K149" s="5" t="s">
        <v>97</v>
      </c>
      <c r="L149" s="5" t="s">
        <v>218</v>
      </c>
      <c r="M149" s="7"/>
      <c r="N149" s="7"/>
      <c r="O149" s="7" t="s">
        <v>81</v>
      </c>
      <c r="P149" s="7"/>
      <c r="Q149" s="7">
        <v>1</v>
      </c>
      <c r="R149" s="8" t="s">
        <v>37</v>
      </c>
      <c r="S149" s="7"/>
      <c r="T149" s="7" t="s">
        <v>38</v>
      </c>
      <c r="U149" s="7"/>
      <c r="V149" s="7" t="str">
        <f t="shared" si="2"/>
        <v>TCTN.DNS-26004</v>
      </c>
      <c r="W149" s="7"/>
      <c r="X149" s="7"/>
      <c r="Y149" s="7"/>
      <c r="Z149" s="7" t="s">
        <v>922</v>
      </c>
      <c r="AA149" s="7" t="s">
        <v>39</v>
      </c>
      <c r="AB149" s="7"/>
      <c r="AC149" s="7" t="s">
        <v>219</v>
      </c>
    </row>
    <row r="150" spans="1:29" hidden="1" x14ac:dyDescent="0.25">
      <c r="A150" s="5">
        <v>145</v>
      </c>
      <c r="B150" s="5" t="s">
        <v>220</v>
      </c>
      <c r="C150" s="5" t="s">
        <v>77</v>
      </c>
      <c r="D150" s="5" t="s">
        <v>203</v>
      </c>
      <c r="E150" s="5">
        <v>6</v>
      </c>
      <c r="F150" s="5">
        <v>188</v>
      </c>
      <c r="G150" s="5">
        <v>2348</v>
      </c>
      <c r="H150" s="5">
        <v>12</v>
      </c>
      <c r="I150" s="5">
        <v>20.61</v>
      </c>
      <c r="J150" s="5">
        <v>247.35</v>
      </c>
      <c r="K150" s="5" t="s">
        <v>97</v>
      </c>
      <c r="L150" s="5" t="s">
        <v>218</v>
      </c>
      <c r="M150" s="7"/>
      <c r="N150" s="7"/>
      <c r="O150" s="7" t="s">
        <v>81</v>
      </c>
      <c r="P150" s="7" t="s">
        <v>81</v>
      </c>
      <c r="Q150" s="7">
        <v>1</v>
      </c>
      <c r="R150" s="8" t="s">
        <v>37</v>
      </c>
      <c r="S150" s="7"/>
      <c r="T150" s="7" t="s">
        <v>38</v>
      </c>
      <c r="U150" s="7"/>
      <c r="V150" s="7" t="str">
        <f t="shared" si="2"/>
        <v>TCTN.DNS-26004</v>
      </c>
      <c r="W150" s="7"/>
      <c r="X150" s="7"/>
      <c r="Y150" s="7"/>
      <c r="Z150" s="7" t="s">
        <v>922</v>
      </c>
      <c r="AA150" s="7" t="s">
        <v>39</v>
      </c>
      <c r="AB150" s="7"/>
      <c r="AC150" s="7" t="s">
        <v>219</v>
      </c>
    </row>
    <row r="151" spans="1:29" hidden="1" x14ac:dyDescent="0.25">
      <c r="A151" s="5">
        <v>146</v>
      </c>
      <c r="B151" s="5" t="s">
        <v>116</v>
      </c>
      <c r="C151" s="5" t="s">
        <v>77</v>
      </c>
      <c r="D151" s="5" t="s">
        <v>117</v>
      </c>
      <c r="E151" s="5">
        <v>6</v>
      </c>
      <c r="F151" s="5">
        <v>298</v>
      </c>
      <c r="G151" s="5">
        <v>378</v>
      </c>
      <c r="H151" s="5">
        <v>1</v>
      </c>
      <c r="I151" s="5">
        <v>5.27</v>
      </c>
      <c r="J151" s="5">
        <v>5.27</v>
      </c>
      <c r="K151" s="5" t="s">
        <v>97</v>
      </c>
      <c r="L151" s="5" t="s">
        <v>218</v>
      </c>
      <c r="M151" s="7"/>
      <c r="N151" s="7"/>
      <c r="O151" s="7"/>
      <c r="P151" s="7"/>
      <c r="Q151" s="7">
        <v>1</v>
      </c>
      <c r="R151" s="8" t="s">
        <v>37</v>
      </c>
      <c r="S151" s="7"/>
      <c r="T151" s="7" t="s">
        <v>38</v>
      </c>
      <c r="U151" s="7"/>
      <c r="V151" s="7" t="str">
        <f t="shared" si="2"/>
        <v>TCTN.DNS-26004</v>
      </c>
      <c r="W151" s="7" t="s">
        <v>81</v>
      </c>
      <c r="X151" s="7"/>
      <c r="Y151" s="7"/>
      <c r="Z151" s="7" t="s">
        <v>922</v>
      </c>
      <c r="AA151" s="7" t="s">
        <v>39</v>
      </c>
      <c r="AB151" s="7"/>
      <c r="AC151" s="7" t="s">
        <v>219</v>
      </c>
    </row>
    <row r="152" spans="1:29" hidden="1" x14ac:dyDescent="0.25">
      <c r="A152" s="5">
        <v>147</v>
      </c>
      <c r="B152" s="5" t="s">
        <v>123</v>
      </c>
      <c r="C152" s="5" t="s">
        <v>77</v>
      </c>
      <c r="D152" s="5" t="s">
        <v>117</v>
      </c>
      <c r="E152" s="5">
        <v>6</v>
      </c>
      <c r="F152" s="5">
        <v>298</v>
      </c>
      <c r="G152" s="5">
        <v>378</v>
      </c>
      <c r="H152" s="5">
        <v>2</v>
      </c>
      <c r="I152" s="5">
        <v>5.27</v>
      </c>
      <c r="J152" s="5">
        <v>10.54</v>
      </c>
      <c r="K152" s="5" t="s">
        <v>97</v>
      </c>
      <c r="L152" s="5" t="s">
        <v>218</v>
      </c>
      <c r="M152" s="7"/>
      <c r="N152" s="7"/>
      <c r="O152" s="7"/>
      <c r="P152" s="7"/>
      <c r="Q152" s="7">
        <v>1</v>
      </c>
      <c r="R152" s="8" t="s">
        <v>37</v>
      </c>
      <c r="S152" s="7"/>
      <c r="T152" s="7" t="s">
        <v>38</v>
      </c>
      <c r="U152" s="7"/>
      <c r="V152" s="7" t="str">
        <f t="shared" si="2"/>
        <v>TCTN.DNS-26004</v>
      </c>
      <c r="W152" s="7" t="s">
        <v>81</v>
      </c>
      <c r="X152" s="7"/>
      <c r="Y152" s="7"/>
      <c r="Z152" s="7" t="s">
        <v>922</v>
      </c>
      <c r="AA152" s="7" t="s">
        <v>39</v>
      </c>
      <c r="AB152" s="7"/>
      <c r="AC152" s="7" t="s">
        <v>219</v>
      </c>
    </row>
    <row r="153" spans="1:29" hidden="1" x14ac:dyDescent="0.25">
      <c r="A153" s="5">
        <v>148</v>
      </c>
      <c r="B153" s="5" t="s">
        <v>171</v>
      </c>
      <c r="C153" s="5" t="s">
        <v>77</v>
      </c>
      <c r="D153" s="5" t="s">
        <v>117</v>
      </c>
      <c r="E153" s="5">
        <v>6</v>
      </c>
      <c r="F153" s="5">
        <v>298</v>
      </c>
      <c r="G153" s="5">
        <v>378</v>
      </c>
      <c r="H153" s="5">
        <v>2</v>
      </c>
      <c r="I153" s="5">
        <v>5.27</v>
      </c>
      <c r="J153" s="5">
        <v>10.54</v>
      </c>
      <c r="K153" s="5" t="s">
        <v>97</v>
      </c>
      <c r="L153" s="5" t="s">
        <v>218</v>
      </c>
      <c r="M153" s="7"/>
      <c r="N153" s="7"/>
      <c r="O153" s="7"/>
      <c r="P153" s="7"/>
      <c r="Q153" s="7">
        <v>1</v>
      </c>
      <c r="R153" s="8" t="s">
        <v>37</v>
      </c>
      <c r="S153" s="7"/>
      <c r="T153" s="7" t="s">
        <v>38</v>
      </c>
      <c r="U153" s="7"/>
      <c r="V153" s="7" t="str">
        <f t="shared" si="2"/>
        <v>TCTN.DNS-26004</v>
      </c>
      <c r="W153" s="7" t="s">
        <v>81</v>
      </c>
      <c r="X153" s="7"/>
      <c r="Y153" s="7"/>
      <c r="Z153" s="7" t="s">
        <v>922</v>
      </c>
      <c r="AA153" s="7" t="s">
        <v>39</v>
      </c>
      <c r="AB153" s="7"/>
      <c r="AC153" s="7" t="s">
        <v>219</v>
      </c>
    </row>
    <row r="154" spans="1:29" hidden="1" x14ac:dyDescent="0.25">
      <c r="A154" s="5">
        <v>149</v>
      </c>
      <c r="B154" s="5" t="s">
        <v>221</v>
      </c>
      <c r="C154" s="5" t="s">
        <v>77</v>
      </c>
      <c r="D154" s="5" t="s">
        <v>222</v>
      </c>
      <c r="E154" s="5">
        <v>8</v>
      </c>
      <c r="F154" s="5">
        <v>334</v>
      </c>
      <c r="G154" s="5">
        <v>11992</v>
      </c>
      <c r="H154" s="5">
        <v>4</v>
      </c>
      <c r="I154" s="5">
        <v>245.5</v>
      </c>
      <c r="J154" s="5">
        <v>981.99</v>
      </c>
      <c r="K154" s="5" t="s">
        <v>223</v>
      </c>
      <c r="L154" s="5" t="s">
        <v>224</v>
      </c>
      <c r="M154" s="7"/>
      <c r="N154" s="7"/>
      <c r="O154" s="7"/>
      <c r="P154" s="7"/>
      <c r="Q154" s="7">
        <v>1</v>
      </c>
      <c r="R154" s="8" t="s">
        <v>37</v>
      </c>
      <c r="S154" s="7"/>
      <c r="T154" s="7" t="s">
        <v>38</v>
      </c>
      <c r="U154" s="7"/>
      <c r="V154" s="7" t="str">
        <f t="shared" si="2"/>
        <v>TCTN.DNS-26004</v>
      </c>
      <c r="W154" s="7"/>
      <c r="X154" s="7"/>
      <c r="Y154" s="7" t="s">
        <v>81</v>
      </c>
      <c r="Z154" s="7" t="s">
        <v>922</v>
      </c>
      <c r="AA154" s="7" t="s">
        <v>39</v>
      </c>
      <c r="AB154" s="7"/>
      <c r="AC154" s="7" t="s">
        <v>225</v>
      </c>
    </row>
    <row r="155" spans="1:29" hidden="1" x14ac:dyDescent="0.25">
      <c r="A155" s="5">
        <v>150</v>
      </c>
      <c r="B155" s="5" t="s">
        <v>226</v>
      </c>
      <c r="C155" s="5" t="s">
        <v>77</v>
      </c>
      <c r="D155" s="5" t="s">
        <v>227</v>
      </c>
      <c r="E155" s="5">
        <v>8</v>
      </c>
      <c r="F155" s="5">
        <v>334</v>
      </c>
      <c r="G155" s="5">
        <v>11998</v>
      </c>
      <c r="H155" s="5">
        <v>1</v>
      </c>
      <c r="I155" s="5">
        <v>244.33</v>
      </c>
      <c r="J155" s="5">
        <v>244.33</v>
      </c>
      <c r="K155" s="5" t="s">
        <v>223</v>
      </c>
      <c r="L155" s="5" t="s">
        <v>224</v>
      </c>
      <c r="M155" s="7"/>
      <c r="N155" s="7" t="s">
        <v>228</v>
      </c>
      <c r="O155" s="7"/>
      <c r="P155" s="7"/>
      <c r="Q155" s="7">
        <v>1</v>
      </c>
      <c r="R155" s="8" t="s">
        <v>37</v>
      </c>
      <c r="S155" s="7"/>
      <c r="T155" s="7" t="s">
        <v>38</v>
      </c>
      <c r="U155" s="7"/>
      <c r="V155" s="7" t="str">
        <f t="shared" si="2"/>
        <v>TCTN.DNS-26004</v>
      </c>
      <c r="W155" s="7"/>
      <c r="X155" s="7"/>
      <c r="Y155" s="7" t="s">
        <v>81</v>
      </c>
      <c r="Z155" s="7" t="s">
        <v>922</v>
      </c>
      <c r="AA155" s="7" t="s">
        <v>39</v>
      </c>
      <c r="AB155" s="7"/>
      <c r="AC155" s="7" t="s">
        <v>225</v>
      </c>
    </row>
    <row r="156" spans="1:29" hidden="1" x14ac:dyDescent="0.25">
      <c r="A156" s="5">
        <v>151</v>
      </c>
      <c r="B156" s="5" t="s">
        <v>229</v>
      </c>
      <c r="C156" s="5" t="s">
        <v>77</v>
      </c>
      <c r="D156" s="5" t="s">
        <v>230</v>
      </c>
      <c r="E156" s="5">
        <v>8</v>
      </c>
      <c r="F156" s="5">
        <v>90</v>
      </c>
      <c r="G156" s="5">
        <v>150</v>
      </c>
      <c r="H156" s="5">
        <v>1</v>
      </c>
      <c r="I156" s="5">
        <v>0.62</v>
      </c>
      <c r="J156" s="5">
        <v>0.62</v>
      </c>
      <c r="K156" s="5" t="s">
        <v>223</v>
      </c>
      <c r="L156" s="5" t="s">
        <v>224</v>
      </c>
      <c r="M156" s="7"/>
      <c r="N156" s="7"/>
      <c r="O156" s="7"/>
      <c r="P156" s="7"/>
      <c r="Q156" s="7">
        <v>1</v>
      </c>
      <c r="R156" s="8" t="s">
        <v>37</v>
      </c>
      <c r="S156" s="7"/>
      <c r="T156" s="7" t="s">
        <v>38</v>
      </c>
      <c r="U156" s="7"/>
      <c r="V156" s="7" t="str">
        <f t="shared" si="2"/>
        <v>TCTN.DNS-26004</v>
      </c>
      <c r="W156" s="7" t="s">
        <v>81</v>
      </c>
      <c r="X156" s="7"/>
      <c r="Y156" s="7"/>
      <c r="Z156" s="7" t="s">
        <v>922</v>
      </c>
      <c r="AA156" s="7" t="s">
        <v>39</v>
      </c>
      <c r="AB156" s="7"/>
      <c r="AC156" s="7" t="s">
        <v>225</v>
      </c>
    </row>
    <row r="157" spans="1:29" hidden="1" x14ac:dyDescent="0.25">
      <c r="A157" s="5">
        <v>152</v>
      </c>
      <c r="B157" s="5" t="s">
        <v>231</v>
      </c>
      <c r="C157" s="5" t="s">
        <v>77</v>
      </c>
      <c r="D157" s="5" t="s">
        <v>232</v>
      </c>
      <c r="E157" s="5">
        <v>8</v>
      </c>
      <c r="F157" s="5">
        <v>150</v>
      </c>
      <c r="G157" s="5">
        <v>4252</v>
      </c>
      <c r="H157" s="5">
        <v>2</v>
      </c>
      <c r="I157" s="5">
        <v>40.06</v>
      </c>
      <c r="J157" s="5">
        <v>80.11</v>
      </c>
      <c r="K157" s="5" t="s">
        <v>223</v>
      </c>
      <c r="L157" s="5" t="s">
        <v>224</v>
      </c>
      <c r="M157" s="7"/>
      <c r="N157" s="7"/>
      <c r="O157" s="7"/>
      <c r="P157" s="7"/>
      <c r="Q157" s="7">
        <v>1</v>
      </c>
      <c r="R157" s="8" t="s">
        <v>37</v>
      </c>
      <c r="S157" s="7"/>
      <c r="T157" s="7" t="s">
        <v>38</v>
      </c>
      <c r="U157" s="7"/>
      <c r="V157" s="7" t="str">
        <f t="shared" si="2"/>
        <v>TCTN.DNS-26004</v>
      </c>
      <c r="W157" s="7"/>
      <c r="X157" s="7"/>
      <c r="Y157" s="7" t="s">
        <v>81</v>
      </c>
      <c r="Z157" s="7" t="s">
        <v>922</v>
      </c>
      <c r="AA157" s="7" t="s">
        <v>39</v>
      </c>
      <c r="AB157" s="7"/>
      <c r="AC157" s="7" t="s">
        <v>225</v>
      </c>
    </row>
    <row r="158" spans="1:29" hidden="1" x14ac:dyDescent="0.25">
      <c r="A158" s="5">
        <v>153</v>
      </c>
      <c r="B158" s="5" t="s">
        <v>233</v>
      </c>
      <c r="C158" s="5" t="s">
        <v>77</v>
      </c>
      <c r="D158" s="5" t="s">
        <v>234</v>
      </c>
      <c r="E158" s="5">
        <v>8</v>
      </c>
      <c r="F158" s="5">
        <v>150</v>
      </c>
      <c r="G158" s="5">
        <v>6824</v>
      </c>
      <c r="H158" s="5">
        <v>2</v>
      </c>
      <c r="I158" s="5">
        <v>64.28</v>
      </c>
      <c r="J158" s="5">
        <v>128.56</v>
      </c>
      <c r="K158" s="5" t="s">
        <v>223</v>
      </c>
      <c r="L158" s="5" t="s">
        <v>224</v>
      </c>
      <c r="M158" s="7"/>
      <c r="N158" s="7"/>
      <c r="O158" s="7"/>
      <c r="P158" s="7"/>
      <c r="Q158" s="7">
        <v>1</v>
      </c>
      <c r="R158" s="8" t="s">
        <v>37</v>
      </c>
      <c r="S158" s="7"/>
      <c r="T158" s="7" t="s">
        <v>38</v>
      </c>
      <c r="U158" s="7"/>
      <c r="V158" s="7" t="str">
        <f t="shared" si="2"/>
        <v>TCTN.DNS-26004</v>
      </c>
      <c r="W158" s="7"/>
      <c r="X158" s="7"/>
      <c r="Y158" s="7" t="s">
        <v>81</v>
      </c>
      <c r="Z158" s="7" t="s">
        <v>922</v>
      </c>
      <c r="AA158" s="7" t="s">
        <v>39</v>
      </c>
      <c r="AB158" s="7"/>
      <c r="AC158" s="7" t="s">
        <v>225</v>
      </c>
    </row>
    <row r="159" spans="1:29" hidden="1" x14ac:dyDescent="0.25">
      <c r="A159" s="5">
        <v>154</v>
      </c>
      <c r="B159" s="5" t="s">
        <v>235</v>
      </c>
      <c r="C159" s="5" t="s">
        <v>77</v>
      </c>
      <c r="D159" s="5" t="s">
        <v>236</v>
      </c>
      <c r="E159" s="5">
        <v>8</v>
      </c>
      <c r="F159" s="5">
        <v>150</v>
      </c>
      <c r="G159" s="5">
        <v>792</v>
      </c>
      <c r="H159" s="5">
        <v>2</v>
      </c>
      <c r="I159" s="5">
        <v>7.46</v>
      </c>
      <c r="J159" s="5">
        <v>14.92</v>
      </c>
      <c r="K159" s="5" t="s">
        <v>223</v>
      </c>
      <c r="L159" s="5" t="s">
        <v>224</v>
      </c>
      <c r="M159" s="7"/>
      <c r="N159" s="7"/>
      <c r="O159" s="7"/>
      <c r="P159" s="7"/>
      <c r="Q159" s="7">
        <v>1</v>
      </c>
      <c r="R159" s="8" t="s">
        <v>37</v>
      </c>
      <c r="S159" s="7"/>
      <c r="T159" s="7" t="s">
        <v>38</v>
      </c>
      <c r="U159" s="7"/>
      <c r="V159" s="7" t="str">
        <f t="shared" si="2"/>
        <v>TCTN.DNS-26004</v>
      </c>
      <c r="W159" s="7"/>
      <c r="X159" s="7"/>
      <c r="Y159" s="7" t="s">
        <v>81</v>
      </c>
      <c r="Z159" s="7" t="s">
        <v>922</v>
      </c>
      <c r="AA159" s="7" t="s">
        <v>39</v>
      </c>
      <c r="AB159" s="7"/>
      <c r="AC159" s="7" t="s">
        <v>225</v>
      </c>
    </row>
    <row r="160" spans="1:29" hidden="1" x14ac:dyDescent="0.25">
      <c r="A160" s="5">
        <v>155</v>
      </c>
      <c r="B160" s="5" t="s">
        <v>237</v>
      </c>
      <c r="C160" s="5" t="s">
        <v>77</v>
      </c>
      <c r="D160" s="5" t="s">
        <v>238</v>
      </c>
      <c r="E160" s="5">
        <v>8</v>
      </c>
      <c r="F160" s="5">
        <v>148</v>
      </c>
      <c r="G160" s="5">
        <v>441</v>
      </c>
      <c r="H160" s="5">
        <v>1</v>
      </c>
      <c r="I160" s="5">
        <v>4.0999999999999996</v>
      </c>
      <c r="J160" s="5">
        <v>4.0999999999999996</v>
      </c>
      <c r="K160" s="5" t="s">
        <v>223</v>
      </c>
      <c r="L160" s="5" t="s">
        <v>239</v>
      </c>
      <c r="M160" s="7"/>
      <c r="N160" s="7"/>
      <c r="O160" s="7"/>
      <c r="P160" s="7"/>
      <c r="Q160" s="7">
        <v>1</v>
      </c>
      <c r="R160" s="8" t="s">
        <v>37</v>
      </c>
      <c r="S160" s="7"/>
      <c r="T160" s="7" t="s">
        <v>38</v>
      </c>
      <c r="U160" s="7"/>
      <c r="V160" s="7" t="str">
        <f t="shared" si="2"/>
        <v>TCTN.DNS-26004</v>
      </c>
      <c r="W160" s="7" t="s">
        <v>81</v>
      </c>
      <c r="X160" s="7"/>
      <c r="Y160" s="7"/>
      <c r="Z160" s="7" t="s">
        <v>922</v>
      </c>
      <c r="AA160" s="7" t="s">
        <v>39</v>
      </c>
      <c r="AB160" s="7"/>
      <c r="AC160" s="7" t="s">
        <v>240</v>
      </c>
    </row>
    <row r="161" spans="1:29" hidden="1" x14ac:dyDescent="0.25">
      <c r="A161" s="5">
        <v>156</v>
      </c>
      <c r="B161" s="5" t="s">
        <v>241</v>
      </c>
      <c r="C161" s="5" t="s">
        <v>77</v>
      </c>
      <c r="D161" s="5" t="s">
        <v>242</v>
      </c>
      <c r="E161" s="5">
        <v>8</v>
      </c>
      <c r="F161" s="5">
        <v>156</v>
      </c>
      <c r="G161" s="5">
        <v>465</v>
      </c>
      <c r="H161" s="5">
        <v>1</v>
      </c>
      <c r="I161" s="5">
        <v>4.55</v>
      </c>
      <c r="J161" s="5">
        <v>4.55</v>
      </c>
      <c r="K161" s="5" t="s">
        <v>223</v>
      </c>
      <c r="L161" s="5" t="s">
        <v>239</v>
      </c>
      <c r="M161" s="7"/>
      <c r="N161" s="7"/>
      <c r="O161" s="7"/>
      <c r="P161" s="7"/>
      <c r="Q161" s="7">
        <v>1</v>
      </c>
      <c r="R161" s="8" t="s">
        <v>37</v>
      </c>
      <c r="S161" s="7"/>
      <c r="T161" s="7" t="s">
        <v>38</v>
      </c>
      <c r="U161" s="7"/>
      <c r="V161" s="7" t="str">
        <f t="shared" si="2"/>
        <v>TCTN.DNS-26004</v>
      </c>
      <c r="W161" s="7" t="s">
        <v>81</v>
      </c>
      <c r="X161" s="7"/>
      <c r="Y161" s="7"/>
      <c r="Z161" s="7" t="s">
        <v>922</v>
      </c>
      <c r="AA161" s="7" t="s">
        <v>39</v>
      </c>
      <c r="AB161" s="7"/>
      <c r="AC161" s="7" t="s">
        <v>240</v>
      </c>
    </row>
    <row r="162" spans="1:29" hidden="1" x14ac:dyDescent="0.25">
      <c r="A162" s="5">
        <v>157</v>
      </c>
      <c r="B162" s="5" t="s">
        <v>243</v>
      </c>
      <c r="C162" s="5" t="s">
        <v>77</v>
      </c>
      <c r="D162" s="5" t="s">
        <v>244</v>
      </c>
      <c r="E162" s="5">
        <v>8</v>
      </c>
      <c r="F162" s="5">
        <v>464</v>
      </c>
      <c r="G162" s="5">
        <v>12000</v>
      </c>
      <c r="H162" s="5">
        <v>1</v>
      </c>
      <c r="I162" s="5">
        <v>332.54</v>
      </c>
      <c r="J162" s="5">
        <v>332.54</v>
      </c>
      <c r="K162" s="5" t="s">
        <v>223</v>
      </c>
      <c r="L162" s="5" t="s">
        <v>239</v>
      </c>
      <c r="M162" s="7"/>
      <c r="N162" s="7" t="s">
        <v>228</v>
      </c>
      <c r="O162" s="7"/>
      <c r="P162" s="7"/>
      <c r="Q162" s="7">
        <v>1</v>
      </c>
      <c r="R162" s="8" t="s">
        <v>37</v>
      </c>
      <c r="S162" s="7"/>
      <c r="T162" s="7" t="s">
        <v>38</v>
      </c>
      <c r="U162" s="7"/>
      <c r="V162" s="7" t="str">
        <f t="shared" si="2"/>
        <v>TCTN.DNS-26004</v>
      </c>
      <c r="W162" s="7"/>
      <c r="X162" s="7"/>
      <c r="Y162" s="7" t="s">
        <v>81</v>
      </c>
      <c r="Z162" s="7" t="s">
        <v>922</v>
      </c>
      <c r="AA162" s="7" t="s">
        <v>39</v>
      </c>
      <c r="AB162" s="7"/>
      <c r="AC162" s="7" t="s">
        <v>240</v>
      </c>
    </row>
    <row r="163" spans="1:29" hidden="1" x14ac:dyDescent="0.25">
      <c r="A163" s="5">
        <v>158</v>
      </c>
      <c r="B163" s="5" t="s">
        <v>245</v>
      </c>
      <c r="C163" s="5" t="s">
        <v>77</v>
      </c>
      <c r="D163" s="5" t="s">
        <v>246</v>
      </c>
      <c r="E163" s="5">
        <v>8</v>
      </c>
      <c r="F163" s="5">
        <v>342</v>
      </c>
      <c r="G163" s="5">
        <v>11990</v>
      </c>
      <c r="H163" s="5">
        <v>1</v>
      </c>
      <c r="I163" s="5">
        <v>244.16</v>
      </c>
      <c r="J163" s="5">
        <v>244.16</v>
      </c>
      <c r="K163" s="5" t="s">
        <v>223</v>
      </c>
      <c r="L163" s="5" t="s">
        <v>239</v>
      </c>
      <c r="M163" s="7"/>
      <c r="N163" s="7" t="s">
        <v>228</v>
      </c>
      <c r="O163" s="7"/>
      <c r="P163" s="7"/>
      <c r="Q163" s="7">
        <v>1</v>
      </c>
      <c r="R163" s="8" t="s">
        <v>37</v>
      </c>
      <c r="S163" s="7"/>
      <c r="T163" s="7" t="s">
        <v>38</v>
      </c>
      <c r="U163" s="7"/>
      <c r="V163" s="7" t="str">
        <f t="shared" si="2"/>
        <v>TCTN.DNS-26004</v>
      </c>
      <c r="W163" s="7"/>
      <c r="X163" s="7"/>
      <c r="Y163" s="7" t="s">
        <v>81</v>
      </c>
      <c r="Z163" s="7" t="s">
        <v>922</v>
      </c>
      <c r="AA163" s="7" t="s">
        <v>39</v>
      </c>
      <c r="AB163" s="7"/>
      <c r="AC163" s="7" t="s">
        <v>240</v>
      </c>
    </row>
    <row r="164" spans="1:29" hidden="1" x14ac:dyDescent="0.25">
      <c r="A164" s="5">
        <v>159</v>
      </c>
      <c r="B164" s="5" t="s">
        <v>226</v>
      </c>
      <c r="C164" s="5" t="s">
        <v>77</v>
      </c>
      <c r="D164" s="5" t="s">
        <v>227</v>
      </c>
      <c r="E164" s="5">
        <v>8</v>
      </c>
      <c r="F164" s="5">
        <v>334</v>
      </c>
      <c r="G164" s="5">
        <v>11998</v>
      </c>
      <c r="H164" s="5">
        <v>3</v>
      </c>
      <c r="I164" s="5">
        <v>244.33</v>
      </c>
      <c r="J164" s="5">
        <v>732.99</v>
      </c>
      <c r="K164" s="5" t="s">
        <v>223</v>
      </c>
      <c r="L164" s="5" t="s">
        <v>239</v>
      </c>
      <c r="M164" s="7"/>
      <c r="N164" s="7" t="s">
        <v>228</v>
      </c>
      <c r="O164" s="7"/>
      <c r="P164" s="7"/>
      <c r="Q164" s="7">
        <v>1</v>
      </c>
      <c r="R164" s="8" t="s">
        <v>37</v>
      </c>
      <c r="S164" s="7"/>
      <c r="T164" s="7" t="s">
        <v>38</v>
      </c>
      <c r="U164" s="7"/>
      <c r="V164" s="7" t="str">
        <f t="shared" si="2"/>
        <v>TCTN.DNS-26004</v>
      </c>
      <c r="W164" s="7"/>
      <c r="X164" s="7"/>
      <c r="Y164" s="7" t="s">
        <v>81</v>
      </c>
      <c r="Z164" s="7" t="s">
        <v>922</v>
      </c>
      <c r="AA164" s="7" t="s">
        <v>39</v>
      </c>
      <c r="AB164" s="7"/>
      <c r="AC164" s="7" t="s">
        <v>240</v>
      </c>
    </row>
    <row r="165" spans="1:29" hidden="1" x14ac:dyDescent="0.25">
      <c r="A165" s="5">
        <v>160</v>
      </c>
      <c r="B165" s="5" t="s">
        <v>231</v>
      </c>
      <c r="C165" s="5" t="s">
        <v>77</v>
      </c>
      <c r="D165" s="5" t="s">
        <v>232</v>
      </c>
      <c r="E165" s="5">
        <v>8</v>
      </c>
      <c r="F165" s="5">
        <v>150</v>
      </c>
      <c r="G165" s="5">
        <v>4252</v>
      </c>
      <c r="H165" s="5">
        <v>1</v>
      </c>
      <c r="I165" s="5">
        <v>40.049999999999997</v>
      </c>
      <c r="J165" s="5">
        <v>40.049999999999997</v>
      </c>
      <c r="K165" s="5" t="s">
        <v>223</v>
      </c>
      <c r="L165" s="5" t="s">
        <v>239</v>
      </c>
      <c r="M165" s="7"/>
      <c r="N165" s="7"/>
      <c r="O165" s="7"/>
      <c r="P165" s="7"/>
      <c r="Q165" s="7">
        <v>1</v>
      </c>
      <c r="R165" s="8" t="s">
        <v>37</v>
      </c>
      <c r="S165" s="7"/>
      <c r="T165" s="7" t="s">
        <v>38</v>
      </c>
      <c r="U165" s="7"/>
      <c r="V165" s="7" t="str">
        <f t="shared" si="2"/>
        <v>TCTN.DNS-26004</v>
      </c>
      <c r="W165" s="7"/>
      <c r="X165" s="7"/>
      <c r="Y165" s="7" t="s">
        <v>81</v>
      </c>
      <c r="Z165" s="7" t="s">
        <v>922</v>
      </c>
      <c r="AA165" s="7" t="s">
        <v>39</v>
      </c>
      <c r="AB165" s="7"/>
      <c r="AC165" s="7" t="s">
        <v>240</v>
      </c>
    </row>
    <row r="166" spans="1:29" hidden="1" x14ac:dyDescent="0.25">
      <c r="A166" s="5">
        <v>161</v>
      </c>
      <c r="B166" s="5" t="s">
        <v>233</v>
      </c>
      <c r="C166" s="5" t="s">
        <v>77</v>
      </c>
      <c r="D166" s="5" t="s">
        <v>234</v>
      </c>
      <c r="E166" s="5">
        <v>8</v>
      </c>
      <c r="F166" s="5">
        <v>150</v>
      </c>
      <c r="G166" s="5">
        <v>6824</v>
      </c>
      <c r="H166" s="5">
        <v>1</v>
      </c>
      <c r="I166" s="5">
        <v>64.28</v>
      </c>
      <c r="J166" s="5">
        <v>64.28</v>
      </c>
      <c r="K166" s="5" t="s">
        <v>223</v>
      </c>
      <c r="L166" s="5" t="s">
        <v>239</v>
      </c>
      <c r="M166" s="7"/>
      <c r="N166" s="7"/>
      <c r="O166" s="7"/>
      <c r="P166" s="7"/>
      <c r="Q166" s="7">
        <v>1</v>
      </c>
      <c r="R166" s="8" t="s">
        <v>37</v>
      </c>
      <c r="S166" s="7"/>
      <c r="T166" s="7" t="s">
        <v>38</v>
      </c>
      <c r="U166" s="7"/>
      <c r="V166" s="7" t="str">
        <f t="shared" si="2"/>
        <v>TCTN.DNS-26004</v>
      </c>
      <c r="W166" s="7"/>
      <c r="X166" s="7"/>
      <c r="Y166" s="7" t="s">
        <v>81</v>
      </c>
      <c r="Z166" s="7" t="s">
        <v>922</v>
      </c>
      <c r="AA166" s="7" t="s">
        <v>39</v>
      </c>
      <c r="AB166" s="7"/>
      <c r="AC166" s="7" t="s">
        <v>240</v>
      </c>
    </row>
    <row r="167" spans="1:29" hidden="1" x14ac:dyDescent="0.25">
      <c r="A167" s="5">
        <v>162</v>
      </c>
      <c r="B167" s="5" t="s">
        <v>243</v>
      </c>
      <c r="C167" s="5" t="s">
        <v>77</v>
      </c>
      <c r="D167" s="5" t="s">
        <v>244</v>
      </c>
      <c r="E167" s="5">
        <v>8</v>
      </c>
      <c r="F167" s="5">
        <v>464</v>
      </c>
      <c r="G167" s="5">
        <v>12000</v>
      </c>
      <c r="H167" s="5">
        <v>1</v>
      </c>
      <c r="I167" s="5">
        <v>332.54</v>
      </c>
      <c r="J167" s="5">
        <v>332.54</v>
      </c>
      <c r="K167" s="5" t="s">
        <v>223</v>
      </c>
      <c r="L167" s="5" t="s">
        <v>247</v>
      </c>
      <c r="M167" s="7"/>
      <c r="N167" s="7" t="s">
        <v>228</v>
      </c>
      <c r="O167" s="7"/>
      <c r="P167" s="7"/>
      <c r="Q167" s="7">
        <v>1</v>
      </c>
      <c r="R167" s="8" t="s">
        <v>37</v>
      </c>
      <c r="S167" s="7"/>
      <c r="T167" s="7" t="s">
        <v>38</v>
      </c>
      <c r="U167" s="7"/>
      <c r="V167" s="7" t="str">
        <f t="shared" si="2"/>
        <v>TCTN.DNS-26004</v>
      </c>
      <c r="W167" s="7"/>
      <c r="X167" s="7"/>
      <c r="Y167" s="7" t="s">
        <v>81</v>
      </c>
      <c r="Z167" s="7" t="s">
        <v>922</v>
      </c>
      <c r="AA167" s="7" t="s">
        <v>39</v>
      </c>
      <c r="AB167" s="7"/>
      <c r="AC167" s="7" t="s">
        <v>248</v>
      </c>
    </row>
    <row r="168" spans="1:29" hidden="1" x14ac:dyDescent="0.25">
      <c r="A168" s="5">
        <v>163</v>
      </c>
      <c r="B168" s="5" t="s">
        <v>249</v>
      </c>
      <c r="C168" s="5" t="s">
        <v>77</v>
      </c>
      <c r="D168" s="5" t="s">
        <v>250</v>
      </c>
      <c r="E168" s="5">
        <v>8</v>
      </c>
      <c r="F168" s="5">
        <v>347</v>
      </c>
      <c r="G168" s="5">
        <v>12000</v>
      </c>
      <c r="H168" s="5">
        <v>4</v>
      </c>
      <c r="I168" s="5">
        <v>244.38</v>
      </c>
      <c r="J168" s="5">
        <v>977.5</v>
      </c>
      <c r="K168" s="5" t="s">
        <v>223</v>
      </c>
      <c r="L168" s="5" t="s">
        <v>247</v>
      </c>
      <c r="M168" s="7"/>
      <c r="N168" s="7" t="s">
        <v>228</v>
      </c>
      <c r="O168" s="7"/>
      <c r="P168" s="7"/>
      <c r="Q168" s="7">
        <v>1</v>
      </c>
      <c r="R168" s="8" t="s">
        <v>37</v>
      </c>
      <c r="S168" s="7"/>
      <c r="T168" s="7" t="s">
        <v>38</v>
      </c>
      <c r="U168" s="7"/>
      <c r="V168" s="7" t="str">
        <f t="shared" si="2"/>
        <v>TCTN.DNS-26004</v>
      </c>
      <c r="W168" s="7"/>
      <c r="X168" s="7"/>
      <c r="Y168" s="7" t="s">
        <v>81</v>
      </c>
      <c r="Z168" s="7" t="s">
        <v>922</v>
      </c>
      <c r="AA168" s="7" t="s">
        <v>39</v>
      </c>
      <c r="AB168" s="7"/>
      <c r="AC168" s="7" t="s">
        <v>248</v>
      </c>
    </row>
    <row r="169" spans="1:29" hidden="1" x14ac:dyDescent="0.25">
      <c r="A169" s="5">
        <v>164</v>
      </c>
      <c r="B169" s="5" t="s">
        <v>229</v>
      </c>
      <c r="C169" s="5" t="s">
        <v>77</v>
      </c>
      <c r="D169" s="5" t="s">
        <v>230</v>
      </c>
      <c r="E169" s="5">
        <v>8</v>
      </c>
      <c r="F169" s="5">
        <v>90</v>
      </c>
      <c r="G169" s="5">
        <v>150</v>
      </c>
      <c r="H169" s="5">
        <v>1</v>
      </c>
      <c r="I169" s="5">
        <v>0.62</v>
      </c>
      <c r="J169" s="5">
        <v>0.62</v>
      </c>
      <c r="K169" s="5" t="s">
        <v>223</v>
      </c>
      <c r="L169" s="5" t="s">
        <v>247</v>
      </c>
      <c r="M169" s="7"/>
      <c r="N169" s="7"/>
      <c r="O169" s="7"/>
      <c r="P169" s="7"/>
      <c r="Q169" s="7">
        <v>1</v>
      </c>
      <c r="R169" s="8" t="s">
        <v>37</v>
      </c>
      <c r="S169" s="7"/>
      <c r="T169" s="7" t="s">
        <v>38</v>
      </c>
      <c r="U169" s="7"/>
      <c r="V169" s="7" t="str">
        <f t="shared" si="2"/>
        <v>TCTN.DNS-26004</v>
      </c>
      <c r="W169" s="7" t="s">
        <v>81</v>
      </c>
      <c r="X169" s="7"/>
      <c r="Y169" s="7"/>
      <c r="Z169" s="7" t="s">
        <v>922</v>
      </c>
      <c r="AA169" s="7" t="s">
        <v>39</v>
      </c>
      <c r="AB169" s="7"/>
      <c r="AC169" s="7" t="s">
        <v>248</v>
      </c>
    </row>
    <row r="170" spans="1:29" hidden="1" x14ac:dyDescent="0.25">
      <c r="A170" s="5">
        <v>165</v>
      </c>
      <c r="B170" s="5" t="s">
        <v>231</v>
      </c>
      <c r="C170" s="5" t="s">
        <v>77</v>
      </c>
      <c r="D170" s="5" t="s">
        <v>232</v>
      </c>
      <c r="E170" s="5">
        <v>8</v>
      </c>
      <c r="F170" s="5">
        <v>150</v>
      </c>
      <c r="G170" s="5">
        <v>4252</v>
      </c>
      <c r="H170" s="5">
        <v>1</v>
      </c>
      <c r="I170" s="5">
        <v>40.049999999999997</v>
      </c>
      <c r="J170" s="5">
        <v>40.049999999999997</v>
      </c>
      <c r="K170" s="5" t="s">
        <v>223</v>
      </c>
      <c r="L170" s="5" t="s">
        <v>247</v>
      </c>
      <c r="M170" s="7"/>
      <c r="N170" s="7"/>
      <c r="O170" s="7"/>
      <c r="P170" s="7"/>
      <c r="Q170" s="7">
        <v>1</v>
      </c>
      <c r="R170" s="8" t="s">
        <v>37</v>
      </c>
      <c r="S170" s="7"/>
      <c r="T170" s="7" t="s">
        <v>38</v>
      </c>
      <c r="U170" s="7"/>
      <c r="V170" s="7" t="str">
        <f t="shared" si="2"/>
        <v>TCTN.DNS-26004</v>
      </c>
      <c r="W170" s="7"/>
      <c r="X170" s="7"/>
      <c r="Y170" s="7" t="s">
        <v>81</v>
      </c>
      <c r="Z170" s="7" t="s">
        <v>922</v>
      </c>
      <c r="AA170" s="7" t="s">
        <v>39</v>
      </c>
      <c r="AB170" s="7"/>
      <c r="AC170" s="7" t="s">
        <v>248</v>
      </c>
    </row>
    <row r="171" spans="1:29" hidden="1" x14ac:dyDescent="0.25">
      <c r="A171" s="5">
        <v>166</v>
      </c>
      <c r="B171" s="5" t="s">
        <v>233</v>
      </c>
      <c r="C171" s="5" t="s">
        <v>77</v>
      </c>
      <c r="D171" s="5" t="s">
        <v>234</v>
      </c>
      <c r="E171" s="5">
        <v>8</v>
      </c>
      <c r="F171" s="5">
        <v>150</v>
      </c>
      <c r="G171" s="5">
        <v>6824</v>
      </c>
      <c r="H171" s="5">
        <v>1</v>
      </c>
      <c r="I171" s="5">
        <v>64.28</v>
      </c>
      <c r="J171" s="5">
        <v>64.28</v>
      </c>
      <c r="K171" s="5" t="s">
        <v>223</v>
      </c>
      <c r="L171" s="5" t="s">
        <v>247</v>
      </c>
      <c r="M171" s="7"/>
      <c r="N171" s="7"/>
      <c r="O171" s="7"/>
      <c r="P171" s="7"/>
      <c r="Q171" s="7">
        <v>1</v>
      </c>
      <c r="R171" s="8" t="s">
        <v>37</v>
      </c>
      <c r="S171" s="7"/>
      <c r="T171" s="7" t="s">
        <v>38</v>
      </c>
      <c r="U171" s="7"/>
      <c r="V171" s="7" t="str">
        <f t="shared" si="2"/>
        <v>TCTN.DNS-26004</v>
      </c>
      <c r="W171" s="7"/>
      <c r="X171" s="7"/>
      <c r="Y171" s="7" t="s">
        <v>81</v>
      </c>
      <c r="Z171" s="7" t="s">
        <v>922</v>
      </c>
      <c r="AA171" s="7" t="s">
        <v>39</v>
      </c>
      <c r="AB171" s="7"/>
      <c r="AC171" s="7" t="s">
        <v>248</v>
      </c>
    </row>
    <row r="172" spans="1:29" hidden="1" x14ac:dyDescent="0.25">
      <c r="A172" s="5">
        <v>167</v>
      </c>
      <c r="B172" s="5" t="s">
        <v>235</v>
      </c>
      <c r="C172" s="5" t="s">
        <v>77</v>
      </c>
      <c r="D172" s="5" t="s">
        <v>236</v>
      </c>
      <c r="E172" s="5">
        <v>8</v>
      </c>
      <c r="F172" s="5">
        <v>150</v>
      </c>
      <c r="G172" s="5">
        <v>792</v>
      </c>
      <c r="H172" s="5">
        <v>1</v>
      </c>
      <c r="I172" s="5">
        <v>7.46</v>
      </c>
      <c r="J172" s="5">
        <v>7.46</v>
      </c>
      <c r="K172" s="5" t="s">
        <v>223</v>
      </c>
      <c r="L172" s="5" t="s">
        <v>247</v>
      </c>
      <c r="M172" s="7"/>
      <c r="N172" s="7"/>
      <c r="O172" s="7"/>
      <c r="P172" s="7"/>
      <c r="Q172" s="7">
        <v>1</v>
      </c>
      <c r="R172" s="8" t="s">
        <v>37</v>
      </c>
      <c r="S172" s="7"/>
      <c r="T172" s="7" t="s">
        <v>38</v>
      </c>
      <c r="U172" s="7"/>
      <c r="V172" s="7" t="str">
        <f t="shared" si="2"/>
        <v>TCTN.DNS-26004</v>
      </c>
      <c r="W172" s="7"/>
      <c r="X172" s="7"/>
      <c r="Y172" s="7" t="s">
        <v>81</v>
      </c>
      <c r="Z172" s="7" t="s">
        <v>922</v>
      </c>
      <c r="AA172" s="7" t="s">
        <v>39</v>
      </c>
      <c r="AB172" s="7"/>
      <c r="AC172" s="7" t="s">
        <v>248</v>
      </c>
    </row>
    <row r="173" spans="1:29" hidden="1" x14ac:dyDescent="0.25">
      <c r="A173" s="5">
        <v>168</v>
      </c>
      <c r="B173" s="5" t="s">
        <v>251</v>
      </c>
      <c r="C173" s="5" t="s">
        <v>77</v>
      </c>
      <c r="D173" s="5" t="s">
        <v>252</v>
      </c>
      <c r="E173" s="5">
        <v>8</v>
      </c>
      <c r="F173" s="5">
        <v>459</v>
      </c>
      <c r="G173" s="5">
        <v>11977</v>
      </c>
      <c r="H173" s="5">
        <v>1</v>
      </c>
      <c r="I173" s="5">
        <v>331.9</v>
      </c>
      <c r="J173" s="5">
        <v>331.9</v>
      </c>
      <c r="K173" s="5" t="s">
        <v>223</v>
      </c>
      <c r="L173" s="5" t="s">
        <v>253</v>
      </c>
      <c r="M173" s="7"/>
      <c r="N173" s="7" t="s">
        <v>228</v>
      </c>
      <c r="O173" s="7"/>
      <c r="P173" s="7"/>
      <c r="Q173" s="7">
        <v>1</v>
      </c>
      <c r="R173" s="8" t="s">
        <v>37</v>
      </c>
      <c r="S173" s="7"/>
      <c r="T173" s="7" t="s">
        <v>38</v>
      </c>
      <c r="U173" s="7"/>
      <c r="V173" s="7" t="str">
        <f t="shared" si="2"/>
        <v>TCTN.DNS-26004</v>
      </c>
      <c r="W173" s="7"/>
      <c r="X173" s="7"/>
      <c r="Y173" s="7" t="s">
        <v>81</v>
      </c>
      <c r="Z173" s="7" t="s">
        <v>922</v>
      </c>
      <c r="AA173" s="7" t="s">
        <v>39</v>
      </c>
      <c r="AB173" s="7"/>
      <c r="AC173" s="7" t="s">
        <v>254</v>
      </c>
    </row>
    <row r="174" spans="1:29" hidden="1" x14ac:dyDescent="0.25">
      <c r="A174" s="5">
        <v>169</v>
      </c>
      <c r="B174" s="5" t="s">
        <v>255</v>
      </c>
      <c r="C174" s="5" t="s">
        <v>77</v>
      </c>
      <c r="D174" s="5" t="s">
        <v>246</v>
      </c>
      <c r="E174" s="5">
        <v>8</v>
      </c>
      <c r="F174" s="5">
        <v>342</v>
      </c>
      <c r="G174" s="5">
        <v>11990</v>
      </c>
      <c r="H174" s="5">
        <v>3</v>
      </c>
      <c r="I174" s="5">
        <v>244.16</v>
      </c>
      <c r="J174" s="5">
        <v>732.47</v>
      </c>
      <c r="K174" s="5" t="s">
        <v>223</v>
      </c>
      <c r="L174" s="5" t="s">
        <v>253</v>
      </c>
      <c r="M174" s="7"/>
      <c r="N174" s="7" t="s">
        <v>228</v>
      </c>
      <c r="O174" s="7"/>
      <c r="P174" s="7"/>
      <c r="Q174" s="7">
        <v>1</v>
      </c>
      <c r="R174" s="8" t="s">
        <v>37</v>
      </c>
      <c r="S174" s="7"/>
      <c r="T174" s="7" t="s">
        <v>38</v>
      </c>
      <c r="U174" s="7"/>
      <c r="V174" s="7" t="str">
        <f t="shared" si="2"/>
        <v>TCTN.DNS-26004</v>
      </c>
      <c r="W174" s="7"/>
      <c r="X174" s="7"/>
      <c r="Y174" s="7" t="s">
        <v>81</v>
      </c>
      <c r="Z174" s="7" t="s">
        <v>922</v>
      </c>
      <c r="AA174" s="7" t="s">
        <v>39</v>
      </c>
      <c r="AB174" s="7"/>
      <c r="AC174" s="7" t="s">
        <v>254</v>
      </c>
    </row>
    <row r="175" spans="1:29" hidden="1" x14ac:dyDescent="0.25">
      <c r="A175" s="5">
        <v>170</v>
      </c>
      <c r="B175" s="5" t="s">
        <v>256</v>
      </c>
      <c r="C175" s="5" t="s">
        <v>77</v>
      </c>
      <c r="D175" s="5" t="s">
        <v>257</v>
      </c>
      <c r="E175" s="5">
        <v>8</v>
      </c>
      <c r="F175" s="5">
        <v>458</v>
      </c>
      <c r="G175" s="5">
        <v>11977</v>
      </c>
      <c r="H175" s="5">
        <v>1</v>
      </c>
      <c r="I175" s="5">
        <v>331.9</v>
      </c>
      <c r="J175" s="5">
        <v>331.9</v>
      </c>
      <c r="K175" s="5" t="s">
        <v>223</v>
      </c>
      <c r="L175" s="5" t="s">
        <v>253</v>
      </c>
      <c r="M175" s="7"/>
      <c r="N175" s="7" t="s">
        <v>228</v>
      </c>
      <c r="O175" s="7"/>
      <c r="P175" s="7"/>
      <c r="Q175" s="7">
        <v>1</v>
      </c>
      <c r="R175" s="8" t="s">
        <v>37</v>
      </c>
      <c r="S175" s="7"/>
      <c r="T175" s="7" t="s">
        <v>38</v>
      </c>
      <c r="U175" s="7"/>
      <c r="V175" s="7" t="str">
        <f t="shared" si="2"/>
        <v>TCTN.DNS-26004</v>
      </c>
      <c r="W175" s="7"/>
      <c r="X175" s="7"/>
      <c r="Y175" s="7" t="s">
        <v>81</v>
      </c>
      <c r="Z175" s="7" t="s">
        <v>922</v>
      </c>
      <c r="AA175" s="7" t="s">
        <v>39</v>
      </c>
      <c r="AB175" s="7"/>
      <c r="AC175" s="7" t="s">
        <v>254</v>
      </c>
    </row>
    <row r="176" spans="1:29" hidden="1" x14ac:dyDescent="0.25">
      <c r="A176" s="5">
        <v>171</v>
      </c>
      <c r="B176" s="5" t="s">
        <v>255</v>
      </c>
      <c r="C176" s="5" t="s">
        <v>77</v>
      </c>
      <c r="D176" s="5" t="s">
        <v>246</v>
      </c>
      <c r="E176" s="5">
        <v>8</v>
      </c>
      <c r="F176" s="5">
        <v>342</v>
      </c>
      <c r="G176" s="5">
        <v>11990</v>
      </c>
      <c r="H176" s="5">
        <v>1</v>
      </c>
      <c r="I176" s="5">
        <v>244.16</v>
      </c>
      <c r="J176" s="5">
        <v>244.16</v>
      </c>
      <c r="K176" s="5" t="s">
        <v>223</v>
      </c>
      <c r="L176" s="5" t="s">
        <v>258</v>
      </c>
      <c r="M176" s="7"/>
      <c r="N176" s="7" t="s">
        <v>228</v>
      </c>
      <c r="O176" s="7"/>
      <c r="P176" s="7"/>
      <c r="Q176" s="7">
        <v>1</v>
      </c>
      <c r="R176" s="8" t="s">
        <v>37</v>
      </c>
      <c r="S176" s="7"/>
      <c r="T176" s="7" t="s">
        <v>38</v>
      </c>
      <c r="U176" s="7"/>
      <c r="V176" s="7" t="str">
        <f t="shared" si="2"/>
        <v>TCTN.DNS-26004</v>
      </c>
      <c r="W176" s="7"/>
      <c r="X176" s="7"/>
      <c r="Y176" s="7" t="s">
        <v>81</v>
      </c>
      <c r="Z176" s="7" t="s">
        <v>922</v>
      </c>
      <c r="AA176" s="7" t="s">
        <v>39</v>
      </c>
      <c r="AB176" s="7"/>
      <c r="AC176" s="7" t="s">
        <v>259</v>
      </c>
    </row>
    <row r="177" spans="1:29" hidden="1" x14ac:dyDescent="0.25">
      <c r="A177" s="5">
        <v>172</v>
      </c>
      <c r="B177" s="5" t="s">
        <v>245</v>
      </c>
      <c r="C177" s="5" t="s">
        <v>77</v>
      </c>
      <c r="D177" s="5" t="s">
        <v>246</v>
      </c>
      <c r="E177" s="5">
        <v>8</v>
      </c>
      <c r="F177" s="5">
        <v>342</v>
      </c>
      <c r="G177" s="5">
        <v>11990</v>
      </c>
      <c r="H177" s="5">
        <v>2</v>
      </c>
      <c r="I177" s="5">
        <v>244.16</v>
      </c>
      <c r="J177" s="5">
        <v>488.31</v>
      </c>
      <c r="K177" s="5" t="s">
        <v>223</v>
      </c>
      <c r="L177" s="5" t="s">
        <v>258</v>
      </c>
      <c r="M177" s="7"/>
      <c r="N177" s="7" t="s">
        <v>228</v>
      </c>
      <c r="O177" s="7"/>
      <c r="P177" s="7"/>
      <c r="Q177" s="7">
        <v>1</v>
      </c>
      <c r="R177" s="8" t="s">
        <v>37</v>
      </c>
      <c r="S177" s="7"/>
      <c r="T177" s="7" t="s">
        <v>38</v>
      </c>
      <c r="U177" s="7"/>
      <c r="V177" s="7" t="str">
        <f t="shared" si="2"/>
        <v>TCTN.DNS-26004</v>
      </c>
      <c r="W177" s="7"/>
      <c r="X177" s="7"/>
      <c r="Y177" s="7" t="s">
        <v>81</v>
      </c>
      <c r="Z177" s="7" t="s">
        <v>922</v>
      </c>
      <c r="AA177" s="7" t="s">
        <v>39</v>
      </c>
      <c r="AB177" s="7"/>
      <c r="AC177" s="7" t="s">
        <v>259</v>
      </c>
    </row>
    <row r="178" spans="1:29" hidden="1" x14ac:dyDescent="0.25">
      <c r="A178" s="5">
        <v>173</v>
      </c>
      <c r="B178" s="5" t="s">
        <v>260</v>
      </c>
      <c r="C178" s="5" t="s">
        <v>77</v>
      </c>
      <c r="D178" s="5" t="s">
        <v>261</v>
      </c>
      <c r="E178" s="5">
        <v>8</v>
      </c>
      <c r="F178" s="5">
        <v>451</v>
      </c>
      <c r="G178" s="5">
        <v>12000</v>
      </c>
      <c r="H178" s="5">
        <v>2</v>
      </c>
      <c r="I178" s="5">
        <v>332.59</v>
      </c>
      <c r="J178" s="5">
        <v>665.18</v>
      </c>
      <c r="K178" s="5" t="s">
        <v>223</v>
      </c>
      <c r="L178" s="5" t="s">
        <v>258</v>
      </c>
      <c r="M178" s="7"/>
      <c r="N178" s="7" t="s">
        <v>228</v>
      </c>
      <c r="O178" s="7"/>
      <c r="P178" s="7"/>
      <c r="Q178" s="7">
        <v>1</v>
      </c>
      <c r="R178" s="8" t="s">
        <v>37</v>
      </c>
      <c r="S178" s="7"/>
      <c r="T178" s="7" t="s">
        <v>38</v>
      </c>
      <c r="U178" s="7"/>
      <c r="V178" s="7" t="str">
        <f t="shared" si="2"/>
        <v>TCTN.DNS-26004</v>
      </c>
      <c r="W178" s="7"/>
      <c r="X178" s="7"/>
      <c r="Y178" s="7" t="s">
        <v>81</v>
      </c>
      <c r="Z178" s="7" t="s">
        <v>922</v>
      </c>
      <c r="AA178" s="7" t="s">
        <v>39</v>
      </c>
      <c r="AB178" s="7"/>
      <c r="AC178" s="7" t="s">
        <v>259</v>
      </c>
    </row>
    <row r="179" spans="1:29" hidden="1" x14ac:dyDescent="0.25">
      <c r="A179" s="5">
        <v>174</v>
      </c>
      <c r="B179" s="5" t="s">
        <v>262</v>
      </c>
      <c r="C179" s="5" t="s">
        <v>77</v>
      </c>
      <c r="D179" s="5" t="s">
        <v>222</v>
      </c>
      <c r="E179" s="5">
        <v>8</v>
      </c>
      <c r="F179" s="5">
        <v>334</v>
      </c>
      <c r="G179" s="5">
        <v>11992</v>
      </c>
      <c r="H179" s="5">
        <v>4</v>
      </c>
      <c r="I179" s="5">
        <v>245.5</v>
      </c>
      <c r="J179" s="5">
        <v>981.99</v>
      </c>
      <c r="K179" s="5" t="s">
        <v>223</v>
      </c>
      <c r="L179" s="5" t="s">
        <v>263</v>
      </c>
      <c r="M179" s="7"/>
      <c r="N179" s="7"/>
      <c r="O179" s="7"/>
      <c r="P179" s="7"/>
      <c r="Q179" s="7">
        <v>1</v>
      </c>
      <c r="R179" s="8" t="s">
        <v>37</v>
      </c>
      <c r="S179" s="7"/>
      <c r="T179" s="7" t="s">
        <v>38</v>
      </c>
      <c r="U179" s="7"/>
      <c r="V179" s="7" t="str">
        <f t="shared" si="2"/>
        <v>TCTN.DNS-26004</v>
      </c>
      <c r="W179" s="7"/>
      <c r="X179" s="7"/>
      <c r="Y179" s="7" t="s">
        <v>81</v>
      </c>
      <c r="Z179" s="7" t="s">
        <v>922</v>
      </c>
      <c r="AA179" s="7" t="s">
        <v>39</v>
      </c>
      <c r="AB179" s="7"/>
      <c r="AC179" s="7" t="s">
        <v>264</v>
      </c>
    </row>
    <row r="180" spans="1:29" hidden="1" x14ac:dyDescent="0.25">
      <c r="A180" s="5">
        <v>175</v>
      </c>
      <c r="B180" s="5" t="s">
        <v>245</v>
      </c>
      <c r="C180" s="5" t="s">
        <v>77</v>
      </c>
      <c r="D180" s="5" t="s">
        <v>246</v>
      </c>
      <c r="E180" s="5">
        <v>8</v>
      </c>
      <c r="F180" s="5">
        <v>342</v>
      </c>
      <c r="G180" s="5">
        <v>11990</v>
      </c>
      <c r="H180" s="5">
        <v>1</v>
      </c>
      <c r="I180" s="5">
        <v>244.16</v>
      </c>
      <c r="J180" s="5">
        <v>244.16</v>
      </c>
      <c r="K180" s="5" t="s">
        <v>223</v>
      </c>
      <c r="L180" s="5" t="s">
        <v>263</v>
      </c>
      <c r="M180" s="7"/>
      <c r="N180" s="7" t="s">
        <v>228</v>
      </c>
      <c r="O180" s="7"/>
      <c r="P180" s="7"/>
      <c r="Q180" s="7">
        <v>1</v>
      </c>
      <c r="R180" s="8" t="s">
        <v>37</v>
      </c>
      <c r="S180" s="7"/>
      <c r="T180" s="7" t="s">
        <v>38</v>
      </c>
      <c r="U180" s="7"/>
      <c r="V180" s="7" t="str">
        <f t="shared" si="2"/>
        <v>TCTN.DNS-26004</v>
      </c>
      <c r="W180" s="7"/>
      <c r="X180" s="7"/>
      <c r="Y180" s="7" t="s">
        <v>81</v>
      </c>
      <c r="Z180" s="7" t="s">
        <v>922</v>
      </c>
      <c r="AA180" s="7" t="s">
        <v>39</v>
      </c>
      <c r="AB180" s="7"/>
      <c r="AC180" s="7" t="s">
        <v>264</v>
      </c>
    </row>
    <row r="181" spans="1:29" hidden="1" x14ac:dyDescent="0.25">
      <c r="A181" s="5">
        <v>176</v>
      </c>
      <c r="B181" s="5" t="s">
        <v>265</v>
      </c>
      <c r="C181" s="5" t="s">
        <v>77</v>
      </c>
      <c r="D181" s="5" t="s">
        <v>266</v>
      </c>
      <c r="E181" s="5">
        <v>8</v>
      </c>
      <c r="F181" s="5">
        <v>124</v>
      </c>
      <c r="G181" s="5">
        <v>4252</v>
      </c>
      <c r="H181" s="5">
        <v>2</v>
      </c>
      <c r="I181" s="5">
        <v>33.11</v>
      </c>
      <c r="J181" s="5">
        <v>66.22</v>
      </c>
      <c r="K181" s="5" t="s">
        <v>223</v>
      </c>
      <c r="L181" s="5" t="s">
        <v>263</v>
      </c>
      <c r="M181" s="7"/>
      <c r="N181" s="7"/>
      <c r="O181" s="7"/>
      <c r="P181" s="7"/>
      <c r="Q181" s="7">
        <v>1</v>
      </c>
      <c r="R181" s="8" t="s">
        <v>37</v>
      </c>
      <c r="S181" s="7"/>
      <c r="T181" s="7" t="s">
        <v>38</v>
      </c>
      <c r="U181" s="7"/>
      <c r="V181" s="7" t="str">
        <f t="shared" si="2"/>
        <v>TCTN.DNS-26004</v>
      </c>
      <c r="W181" s="7"/>
      <c r="X181" s="7"/>
      <c r="Y181" s="7" t="s">
        <v>81</v>
      </c>
      <c r="Z181" s="7" t="s">
        <v>922</v>
      </c>
      <c r="AA181" s="7" t="s">
        <v>39</v>
      </c>
      <c r="AB181" s="7"/>
      <c r="AC181" s="7" t="s">
        <v>264</v>
      </c>
    </row>
    <row r="182" spans="1:29" hidden="1" x14ac:dyDescent="0.25">
      <c r="A182" s="5">
        <v>177</v>
      </c>
      <c r="B182" s="5" t="s">
        <v>267</v>
      </c>
      <c r="C182" s="5" t="s">
        <v>77</v>
      </c>
      <c r="D182" s="5" t="s">
        <v>268</v>
      </c>
      <c r="E182" s="5">
        <v>8</v>
      </c>
      <c r="F182" s="5">
        <v>124</v>
      </c>
      <c r="G182" s="5">
        <v>6824</v>
      </c>
      <c r="H182" s="5">
        <v>2</v>
      </c>
      <c r="I182" s="5">
        <v>53.14</v>
      </c>
      <c r="J182" s="5">
        <v>106.28</v>
      </c>
      <c r="K182" s="5" t="s">
        <v>223</v>
      </c>
      <c r="L182" s="5" t="s">
        <v>263</v>
      </c>
      <c r="M182" s="7"/>
      <c r="N182" s="7"/>
      <c r="O182" s="7"/>
      <c r="P182" s="7"/>
      <c r="Q182" s="7">
        <v>1</v>
      </c>
      <c r="R182" s="8" t="s">
        <v>37</v>
      </c>
      <c r="S182" s="7"/>
      <c r="T182" s="7" t="s">
        <v>38</v>
      </c>
      <c r="U182" s="7"/>
      <c r="V182" s="7" t="str">
        <f t="shared" si="2"/>
        <v>TCTN.DNS-26004</v>
      </c>
      <c r="W182" s="7"/>
      <c r="X182" s="7"/>
      <c r="Y182" s="7" t="s">
        <v>81</v>
      </c>
      <c r="Z182" s="7" t="s">
        <v>922</v>
      </c>
      <c r="AA182" s="7" t="s">
        <v>39</v>
      </c>
      <c r="AB182" s="7"/>
      <c r="AC182" s="7" t="s">
        <v>264</v>
      </c>
    </row>
    <row r="183" spans="1:29" hidden="1" x14ac:dyDescent="0.25">
      <c r="A183" s="5">
        <v>178</v>
      </c>
      <c r="B183" s="5" t="s">
        <v>235</v>
      </c>
      <c r="C183" s="5" t="s">
        <v>77</v>
      </c>
      <c r="D183" s="5" t="s">
        <v>236</v>
      </c>
      <c r="E183" s="5">
        <v>8</v>
      </c>
      <c r="F183" s="5">
        <v>150</v>
      </c>
      <c r="G183" s="5">
        <v>792</v>
      </c>
      <c r="H183" s="5">
        <v>1</v>
      </c>
      <c r="I183" s="5">
        <v>7.46</v>
      </c>
      <c r="J183" s="5">
        <v>7.46</v>
      </c>
      <c r="K183" s="5" t="s">
        <v>223</v>
      </c>
      <c r="L183" s="5" t="s">
        <v>263</v>
      </c>
      <c r="M183" s="7"/>
      <c r="N183" s="7"/>
      <c r="O183" s="7"/>
      <c r="P183" s="7"/>
      <c r="Q183" s="7">
        <v>1</v>
      </c>
      <c r="R183" s="8" t="s">
        <v>37</v>
      </c>
      <c r="S183" s="7"/>
      <c r="T183" s="7" t="s">
        <v>38</v>
      </c>
      <c r="U183" s="7"/>
      <c r="V183" s="7" t="str">
        <f t="shared" si="2"/>
        <v>TCTN.DNS-26004</v>
      </c>
      <c r="W183" s="7"/>
      <c r="X183" s="7"/>
      <c r="Y183" s="7" t="s">
        <v>81</v>
      </c>
      <c r="Z183" s="7" t="s">
        <v>922</v>
      </c>
      <c r="AA183" s="7" t="s">
        <v>39</v>
      </c>
      <c r="AB183" s="7"/>
      <c r="AC183" s="7" t="s">
        <v>264</v>
      </c>
    </row>
    <row r="184" spans="1:29" hidden="1" x14ac:dyDescent="0.25">
      <c r="A184" s="5">
        <v>179</v>
      </c>
      <c r="B184" s="5" t="s">
        <v>269</v>
      </c>
      <c r="C184" s="5" t="s">
        <v>77</v>
      </c>
      <c r="D184" s="5" t="s">
        <v>270</v>
      </c>
      <c r="E184" s="5">
        <v>8</v>
      </c>
      <c r="F184" s="5">
        <v>124</v>
      </c>
      <c r="G184" s="5">
        <v>792</v>
      </c>
      <c r="H184" s="5">
        <v>1</v>
      </c>
      <c r="I184" s="5">
        <v>6.17</v>
      </c>
      <c r="J184" s="5">
        <v>6.17</v>
      </c>
      <c r="K184" s="5" t="s">
        <v>223</v>
      </c>
      <c r="L184" s="5" t="s">
        <v>263</v>
      </c>
      <c r="M184" s="7"/>
      <c r="N184" s="7"/>
      <c r="O184" s="7"/>
      <c r="P184" s="7"/>
      <c r="Q184" s="7">
        <v>1</v>
      </c>
      <c r="R184" s="8" t="s">
        <v>37</v>
      </c>
      <c r="S184" s="7"/>
      <c r="T184" s="7" t="s">
        <v>38</v>
      </c>
      <c r="U184" s="7"/>
      <c r="V184" s="7" t="str">
        <f t="shared" si="2"/>
        <v>TCTN.DNS-26004</v>
      </c>
      <c r="W184" s="7"/>
      <c r="X184" s="7"/>
      <c r="Y184" s="7" t="s">
        <v>81</v>
      </c>
      <c r="Z184" s="7" t="s">
        <v>922</v>
      </c>
      <c r="AA184" s="7" t="s">
        <v>39</v>
      </c>
      <c r="AB184" s="7"/>
      <c r="AC184" s="7" t="s">
        <v>264</v>
      </c>
    </row>
    <row r="185" spans="1:29" hidden="1" x14ac:dyDescent="0.25">
      <c r="A185" s="5">
        <v>180</v>
      </c>
      <c r="B185" s="5" t="s">
        <v>251</v>
      </c>
      <c r="C185" s="5" t="s">
        <v>77</v>
      </c>
      <c r="D185" s="5" t="s">
        <v>252</v>
      </c>
      <c r="E185" s="5">
        <v>8</v>
      </c>
      <c r="F185" s="5">
        <v>459</v>
      </c>
      <c r="G185" s="5">
        <v>11977</v>
      </c>
      <c r="H185" s="5">
        <v>1</v>
      </c>
      <c r="I185" s="5">
        <v>331.9</v>
      </c>
      <c r="J185" s="5">
        <v>331.9</v>
      </c>
      <c r="K185" s="5" t="s">
        <v>223</v>
      </c>
      <c r="L185" s="5" t="s">
        <v>271</v>
      </c>
      <c r="M185" s="7"/>
      <c r="N185" s="7" t="s">
        <v>228</v>
      </c>
      <c r="O185" s="7"/>
      <c r="P185" s="7"/>
      <c r="Q185" s="7">
        <v>1</v>
      </c>
      <c r="R185" s="8" t="s">
        <v>37</v>
      </c>
      <c r="S185" s="7"/>
      <c r="T185" s="7" t="s">
        <v>38</v>
      </c>
      <c r="U185" s="7"/>
      <c r="V185" s="7" t="str">
        <f t="shared" si="2"/>
        <v>TCTN.DNS-26004</v>
      </c>
      <c r="W185" s="7"/>
      <c r="X185" s="7"/>
      <c r="Y185" s="7" t="s">
        <v>81</v>
      </c>
      <c r="Z185" s="7" t="s">
        <v>922</v>
      </c>
      <c r="AA185" s="7" t="s">
        <v>39</v>
      </c>
      <c r="AB185" s="7"/>
      <c r="AC185" s="7" t="s">
        <v>272</v>
      </c>
    </row>
    <row r="186" spans="1:29" hidden="1" x14ac:dyDescent="0.25">
      <c r="A186" s="5">
        <v>181</v>
      </c>
      <c r="B186" s="5" t="s">
        <v>256</v>
      </c>
      <c r="C186" s="5" t="s">
        <v>77</v>
      </c>
      <c r="D186" s="5" t="s">
        <v>257</v>
      </c>
      <c r="E186" s="5">
        <v>8</v>
      </c>
      <c r="F186" s="5">
        <v>458</v>
      </c>
      <c r="G186" s="5">
        <v>11977</v>
      </c>
      <c r="H186" s="5">
        <v>1</v>
      </c>
      <c r="I186" s="5">
        <v>331.9</v>
      </c>
      <c r="J186" s="5">
        <v>331.9</v>
      </c>
      <c r="K186" s="5" t="s">
        <v>223</v>
      </c>
      <c r="L186" s="5" t="s">
        <v>271</v>
      </c>
      <c r="M186" s="7"/>
      <c r="N186" s="7" t="s">
        <v>228</v>
      </c>
      <c r="O186" s="7"/>
      <c r="P186" s="7"/>
      <c r="Q186" s="7">
        <v>1</v>
      </c>
      <c r="R186" s="8" t="s">
        <v>37</v>
      </c>
      <c r="S186" s="7"/>
      <c r="T186" s="7" t="s">
        <v>38</v>
      </c>
      <c r="U186" s="7"/>
      <c r="V186" s="7" t="str">
        <f t="shared" si="2"/>
        <v>TCTN.DNS-26004</v>
      </c>
      <c r="W186" s="7"/>
      <c r="X186" s="7"/>
      <c r="Y186" s="7" t="s">
        <v>81</v>
      </c>
      <c r="Z186" s="7" t="s">
        <v>922</v>
      </c>
      <c r="AA186" s="7" t="s">
        <v>39</v>
      </c>
      <c r="AB186" s="7"/>
      <c r="AC186" s="7" t="s">
        <v>272</v>
      </c>
    </row>
    <row r="187" spans="1:29" hidden="1" x14ac:dyDescent="0.25">
      <c r="A187" s="5">
        <v>182</v>
      </c>
      <c r="B187" s="5" t="s">
        <v>273</v>
      </c>
      <c r="C187" s="5" t="s">
        <v>77</v>
      </c>
      <c r="D187" s="5" t="s">
        <v>274</v>
      </c>
      <c r="E187" s="5">
        <v>8</v>
      </c>
      <c r="F187" s="5">
        <v>448</v>
      </c>
      <c r="G187" s="5">
        <v>7587</v>
      </c>
      <c r="H187" s="5">
        <v>2</v>
      </c>
      <c r="I187" s="5">
        <v>211.05</v>
      </c>
      <c r="J187" s="5">
        <v>422.1</v>
      </c>
      <c r="K187" s="5" t="s">
        <v>223</v>
      </c>
      <c r="L187" s="5" t="s">
        <v>271</v>
      </c>
      <c r="M187" s="7"/>
      <c r="N187" s="7" t="s">
        <v>228</v>
      </c>
      <c r="O187" s="7"/>
      <c r="P187" s="7"/>
      <c r="Q187" s="7">
        <v>1</v>
      </c>
      <c r="R187" s="8" t="s">
        <v>37</v>
      </c>
      <c r="S187" s="7"/>
      <c r="T187" s="7" t="s">
        <v>38</v>
      </c>
      <c r="U187" s="7"/>
      <c r="V187" s="7" t="str">
        <f t="shared" si="2"/>
        <v>TCTN.DNS-26004</v>
      </c>
      <c r="W187" s="7"/>
      <c r="X187" s="7"/>
      <c r="Y187" s="7" t="s">
        <v>81</v>
      </c>
      <c r="Z187" s="7" t="s">
        <v>922</v>
      </c>
      <c r="AA187" s="7" t="s">
        <v>39</v>
      </c>
      <c r="AB187" s="7"/>
      <c r="AC187" s="7" t="s">
        <v>272</v>
      </c>
    </row>
    <row r="188" spans="1:29" hidden="1" x14ac:dyDescent="0.25">
      <c r="A188" s="5">
        <v>183</v>
      </c>
      <c r="B188" s="5" t="s">
        <v>265</v>
      </c>
      <c r="C188" s="5" t="s">
        <v>77</v>
      </c>
      <c r="D188" s="5" t="s">
        <v>266</v>
      </c>
      <c r="E188" s="5">
        <v>8</v>
      </c>
      <c r="F188" s="5">
        <v>124</v>
      </c>
      <c r="G188" s="5">
        <v>4252</v>
      </c>
      <c r="H188" s="5">
        <v>2</v>
      </c>
      <c r="I188" s="5">
        <v>33.11</v>
      </c>
      <c r="J188" s="5">
        <v>66.22</v>
      </c>
      <c r="K188" s="5" t="s">
        <v>223</v>
      </c>
      <c r="L188" s="5" t="s">
        <v>271</v>
      </c>
      <c r="M188" s="7"/>
      <c r="N188" s="7"/>
      <c r="O188" s="7"/>
      <c r="P188" s="7"/>
      <c r="Q188" s="7">
        <v>1</v>
      </c>
      <c r="R188" s="8" t="s">
        <v>37</v>
      </c>
      <c r="S188" s="7"/>
      <c r="T188" s="7" t="s">
        <v>38</v>
      </c>
      <c r="U188" s="7"/>
      <c r="V188" s="7" t="str">
        <f t="shared" si="2"/>
        <v>TCTN.DNS-26004</v>
      </c>
      <c r="W188" s="7"/>
      <c r="X188" s="7"/>
      <c r="Y188" s="7" t="s">
        <v>81</v>
      </c>
      <c r="Z188" s="7" t="s">
        <v>922</v>
      </c>
      <c r="AA188" s="7" t="s">
        <v>39</v>
      </c>
      <c r="AB188" s="7"/>
      <c r="AC188" s="7" t="s">
        <v>272</v>
      </c>
    </row>
    <row r="189" spans="1:29" hidden="1" x14ac:dyDescent="0.25">
      <c r="A189" s="5">
        <v>184</v>
      </c>
      <c r="B189" s="5" t="s">
        <v>275</v>
      </c>
      <c r="C189" s="5" t="s">
        <v>77</v>
      </c>
      <c r="D189" s="5" t="s">
        <v>276</v>
      </c>
      <c r="E189" s="5">
        <v>8</v>
      </c>
      <c r="F189" s="5">
        <v>150</v>
      </c>
      <c r="G189" s="5">
        <v>2972</v>
      </c>
      <c r="H189" s="5">
        <v>1</v>
      </c>
      <c r="I189" s="5">
        <v>28</v>
      </c>
      <c r="J189" s="5">
        <v>28</v>
      </c>
      <c r="K189" s="5" t="s">
        <v>223</v>
      </c>
      <c r="L189" s="5" t="s">
        <v>271</v>
      </c>
      <c r="M189" s="7"/>
      <c r="N189" s="7"/>
      <c r="O189" s="7"/>
      <c r="P189" s="7"/>
      <c r="Q189" s="7">
        <v>1</v>
      </c>
      <c r="R189" s="8" t="s">
        <v>37</v>
      </c>
      <c r="S189" s="7"/>
      <c r="T189" s="7" t="s">
        <v>38</v>
      </c>
      <c r="U189" s="7"/>
      <c r="V189" s="7" t="str">
        <f t="shared" si="2"/>
        <v>TCTN.DNS-26004</v>
      </c>
      <c r="W189" s="7"/>
      <c r="X189" s="7"/>
      <c r="Y189" s="7" t="s">
        <v>81</v>
      </c>
      <c r="Z189" s="7" t="s">
        <v>922</v>
      </c>
      <c r="AA189" s="7" t="s">
        <v>39</v>
      </c>
      <c r="AB189" s="7"/>
      <c r="AC189" s="7" t="s">
        <v>272</v>
      </c>
    </row>
    <row r="190" spans="1:29" hidden="1" x14ac:dyDescent="0.25">
      <c r="A190" s="5">
        <v>185</v>
      </c>
      <c r="B190" s="5" t="s">
        <v>277</v>
      </c>
      <c r="C190" s="5" t="s">
        <v>77</v>
      </c>
      <c r="D190" s="5" t="s">
        <v>278</v>
      </c>
      <c r="E190" s="5">
        <v>8</v>
      </c>
      <c r="F190" s="5">
        <v>124</v>
      </c>
      <c r="G190" s="5">
        <v>2972</v>
      </c>
      <c r="H190" s="5">
        <v>4</v>
      </c>
      <c r="I190" s="5">
        <v>23.14</v>
      </c>
      <c r="J190" s="5">
        <v>92.57</v>
      </c>
      <c r="K190" s="5" t="s">
        <v>223</v>
      </c>
      <c r="L190" s="5" t="s">
        <v>271</v>
      </c>
      <c r="M190" s="7"/>
      <c r="N190" s="7"/>
      <c r="O190" s="7"/>
      <c r="P190" s="7"/>
      <c r="Q190" s="7">
        <v>1</v>
      </c>
      <c r="R190" s="8" t="s">
        <v>37</v>
      </c>
      <c r="S190" s="7"/>
      <c r="T190" s="7" t="s">
        <v>38</v>
      </c>
      <c r="U190" s="7"/>
      <c r="V190" s="7" t="str">
        <f t="shared" si="2"/>
        <v>TCTN.DNS-26004</v>
      </c>
      <c r="W190" s="7"/>
      <c r="X190" s="7"/>
      <c r="Y190" s="7" t="s">
        <v>81</v>
      </c>
      <c r="Z190" s="7" t="s">
        <v>922</v>
      </c>
      <c r="AA190" s="7" t="s">
        <v>39</v>
      </c>
      <c r="AB190" s="7"/>
      <c r="AC190" s="7" t="s">
        <v>272</v>
      </c>
    </row>
    <row r="191" spans="1:29" hidden="1" x14ac:dyDescent="0.25">
      <c r="A191" s="5">
        <v>186</v>
      </c>
      <c r="B191" s="5" t="s">
        <v>279</v>
      </c>
      <c r="C191" s="5" t="s">
        <v>77</v>
      </c>
      <c r="D191" s="5" t="s">
        <v>278</v>
      </c>
      <c r="E191" s="5">
        <v>8</v>
      </c>
      <c r="F191" s="5">
        <v>124</v>
      </c>
      <c r="G191" s="5">
        <v>2972</v>
      </c>
      <c r="H191" s="5">
        <v>1</v>
      </c>
      <c r="I191" s="5">
        <v>23.14</v>
      </c>
      <c r="J191" s="5">
        <v>23.14</v>
      </c>
      <c r="K191" s="5" t="s">
        <v>223</v>
      </c>
      <c r="L191" s="5" t="s">
        <v>271</v>
      </c>
      <c r="M191" s="7"/>
      <c r="N191" s="7"/>
      <c r="O191" s="7"/>
      <c r="P191" s="7"/>
      <c r="Q191" s="7">
        <v>1</v>
      </c>
      <c r="R191" s="8" t="s">
        <v>37</v>
      </c>
      <c r="S191" s="7"/>
      <c r="T191" s="7" t="s">
        <v>38</v>
      </c>
      <c r="U191" s="7"/>
      <c r="V191" s="7" t="str">
        <f t="shared" si="2"/>
        <v>TCTN.DNS-26004</v>
      </c>
      <c r="W191" s="7"/>
      <c r="X191" s="7"/>
      <c r="Y191" s="7" t="s">
        <v>81</v>
      </c>
      <c r="Z191" s="7" t="s">
        <v>922</v>
      </c>
      <c r="AA191" s="7" t="s">
        <v>39</v>
      </c>
      <c r="AB191" s="7"/>
      <c r="AC191" s="7" t="s">
        <v>272</v>
      </c>
    </row>
    <row r="192" spans="1:29" hidden="1" x14ac:dyDescent="0.25">
      <c r="A192" s="5">
        <v>187</v>
      </c>
      <c r="B192" s="5" t="s">
        <v>280</v>
      </c>
      <c r="C192" s="5" t="s">
        <v>77</v>
      </c>
      <c r="D192" s="5" t="s">
        <v>281</v>
      </c>
      <c r="E192" s="5">
        <v>8</v>
      </c>
      <c r="F192" s="5">
        <v>124</v>
      </c>
      <c r="G192" s="5">
        <v>601</v>
      </c>
      <c r="H192" s="5">
        <v>1</v>
      </c>
      <c r="I192" s="5">
        <v>4.68</v>
      </c>
      <c r="J192" s="5">
        <v>4.68</v>
      </c>
      <c r="K192" s="5" t="s">
        <v>223</v>
      </c>
      <c r="L192" s="5" t="s">
        <v>271</v>
      </c>
      <c r="M192" s="7"/>
      <c r="N192" s="7"/>
      <c r="O192" s="7"/>
      <c r="P192" s="7"/>
      <c r="Q192" s="7">
        <v>1</v>
      </c>
      <c r="R192" s="8" t="s">
        <v>37</v>
      </c>
      <c r="S192" s="7"/>
      <c r="T192" s="7" t="s">
        <v>38</v>
      </c>
      <c r="U192" s="7"/>
      <c r="V192" s="7" t="str">
        <f t="shared" si="2"/>
        <v>TCTN.DNS-26004</v>
      </c>
      <c r="W192" s="7"/>
      <c r="X192" s="7"/>
      <c r="Y192" s="7" t="s">
        <v>81</v>
      </c>
      <c r="Z192" s="7" t="s">
        <v>922</v>
      </c>
      <c r="AA192" s="7" t="s">
        <v>39</v>
      </c>
      <c r="AB192" s="7"/>
      <c r="AC192" s="7" t="s">
        <v>272</v>
      </c>
    </row>
    <row r="193" spans="1:29" hidden="1" x14ac:dyDescent="0.25">
      <c r="A193" s="5">
        <v>188</v>
      </c>
      <c r="B193" s="5" t="s">
        <v>282</v>
      </c>
      <c r="C193" s="5" t="s">
        <v>77</v>
      </c>
      <c r="D193" s="5" t="s">
        <v>283</v>
      </c>
      <c r="E193" s="5">
        <v>8</v>
      </c>
      <c r="F193" s="5">
        <v>150</v>
      </c>
      <c r="G193" s="5">
        <v>1381</v>
      </c>
      <c r="H193" s="5">
        <v>1</v>
      </c>
      <c r="I193" s="5">
        <v>13.01</v>
      </c>
      <c r="J193" s="5">
        <v>13.01</v>
      </c>
      <c r="K193" s="5" t="s">
        <v>223</v>
      </c>
      <c r="L193" s="5" t="s">
        <v>271</v>
      </c>
      <c r="M193" s="7"/>
      <c r="N193" s="7"/>
      <c r="O193" s="7"/>
      <c r="P193" s="7"/>
      <c r="Q193" s="7">
        <v>1</v>
      </c>
      <c r="R193" s="8" t="s">
        <v>37</v>
      </c>
      <c r="S193" s="7"/>
      <c r="T193" s="7" t="s">
        <v>38</v>
      </c>
      <c r="U193" s="7"/>
      <c r="V193" s="7" t="str">
        <f t="shared" si="2"/>
        <v>TCTN.DNS-26004</v>
      </c>
      <c r="W193" s="7"/>
      <c r="X193" s="7"/>
      <c r="Y193" s="7" t="s">
        <v>81</v>
      </c>
      <c r="Z193" s="7" t="s">
        <v>922</v>
      </c>
      <c r="AA193" s="7" t="s">
        <v>39</v>
      </c>
      <c r="AB193" s="7"/>
      <c r="AC193" s="7" t="s">
        <v>272</v>
      </c>
    </row>
    <row r="194" spans="1:29" hidden="1" x14ac:dyDescent="0.25">
      <c r="A194" s="5">
        <v>189</v>
      </c>
      <c r="B194" s="5" t="s">
        <v>284</v>
      </c>
      <c r="C194" s="5" t="s">
        <v>77</v>
      </c>
      <c r="D194" s="5" t="s">
        <v>285</v>
      </c>
      <c r="E194" s="5">
        <v>8</v>
      </c>
      <c r="F194" s="5">
        <v>124</v>
      </c>
      <c r="G194" s="5">
        <v>1381</v>
      </c>
      <c r="H194" s="5">
        <v>4</v>
      </c>
      <c r="I194" s="5">
        <v>10.76</v>
      </c>
      <c r="J194" s="5">
        <v>43.02</v>
      </c>
      <c r="K194" s="5" t="s">
        <v>223</v>
      </c>
      <c r="L194" s="5" t="s">
        <v>271</v>
      </c>
      <c r="M194" s="7"/>
      <c r="N194" s="7"/>
      <c r="O194" s="7"/>
      <c r="P194" s="7"/>
      <c r="Q194" s="7">
        <v>1</v>
      </c>
      <c r="R194" s="8" t="s">
        <v>37</v>
      </c>
      <c r="S194" s="7"/>
      <c r="T194" s="7" t="s">
        <v>38</v>
      </c>
      <c r="U194" s="7"/>
      <c r="V194" s="7" t="str">
        <f t="shared" si="2"/>
        <v>TCTN.DNS-26004</v>
      </c>
      <c r="W194" s="7"/>
      <c r="X194" s="7"/>
      <c r="Y194" s="7" t="s">
        <v>81</v>
      </c>
      <c r="Z194" s="7" t="s">
        <v>922</v>
      </c>
      <c r="AA194" s="7" t="s">
        <v>39</v>
      </c>
      <c r="AB194" s="7"/>
      <c r="AC194" s="7" t="s">
        <v>272</v>
      </c>
    </row>
    <row r="195" spans="1:29" hidden="1" x14ac:dyDescent="0.25">
      <c r="A195" s="5">
        <v>190</v>
      </c>
      <c r="B195" s="5" t="s">
        <v>267</v>
      </c>
      <c r="C195" s="5" t="s">
        <v>77</v>
      </c>
      <c r="D195" s="5" t="s">
        <v>268</v>
      </c>
      <c r="E195" s="5">
        <v>8</v>
      </c>
      <c r="F195" s="5">
        <v>124</v>
      </c>
      <c r="G195" s="5">
        <v>6824</v>
      </c>
      <c r="H195" s="5">
        <v>1</v>
      </c>
      <c r="I195" s="5">
        <v>53.14</v>
      </c>
      <c r="J195" s="5">
        <v>53.14</v>
      </c>
      <c r="K195" s="5" t="s">
        <v>223</v>
      </c>
      <c r="L195" s="5" t="s">
        <v>271</v>
      </c>
      <c r="M195" s="7"/>
      <c r="N195" s="7"/>
      <c r="O195" s="7"/>
      <c r="P195" s="7"/>
      <c r="Q195" s="7">
        <v>1</v>
      </c>
      <c r="R195" s="8" t="s">
        <v>37</v>
      </c>
      <c r="S195" s="7"/>
      <c r="T195" s="7" t="s">
        <v>38</v>
      </c>
      <c r="U195" s="7"/>
      <c r="V195" s="7" t="str">
        <f t="shared" si="2"/>
        <v>TCTN.DNS-26004</v>
      </c>
      <c r="W195" s="7"/>
      <c r="X195" s="7"/>
      <c r="Y195" s="7" t="s">
        <v>81</v>
      </c>
      <c r="Z195" s="7" t="s">
        <v>922</v>
      </c>
      <c r="AA195" s="7" t="s">
        <v>39</v>
      </c>
      <c r="AB195" s="7"/>
      <c r="AC195" s="7" t="s">
        <v>272</v>
      </c>
    </row>
    <row r="196" spans="1:29" hidden="1" x14ac:dyDescent="0.25">
      <c r="A196" s="5">
        <v>191</v>
      </c>
      <c r="B196" s="5" t="s">
        <v>269</v>
      </c>
      <c r="C196" s="5" t="s">
        <v>77</v>
      </c>
      <c r="D196" s="5" t="s">
        <v>270</v>
      </c>
      <c r="E196" s="5">
        <v>8</v>
      </c>
      <c r="F196" s="5">
        <v>124</v>
      </c>
      <c r="G196" s="5">
        <v>792</v>
      </c>
      <c r="H196" s="5">
        <v>2</v>
      </c>
      <c r="I196" s="5">
        <v>6.16</v>
      </c>
      <c r="J196" s="5">
        <v>12.33</v>
      </c>
      <c r="K196" s="5" t="s">
        <v>223</v>
      </c>
      <c r="L196" s="5" t="s">
        <v>271</v>
      </c>
      <c r="M196" s="7"/>
      <c r="N196" s="7"/>
      <c r="O196" s="7"/>
      <c r="P196" s="7"/>
      <c r="Q196" s="7">
        <v>1</v>
      </c>
      <c r="R196" s="8" t="s">
        <v>37</v>
      </c>
      <c r="S196" s="7"/>
      <c r="T196" s="7" t="s">
        <v>38</v>
      </c>
      <c r="U196" s="7"/>
      <c r="V196" s="7" t="str">
        <f t="shared" si="2"/>
        <v>TCTN.DNS-26004</v>
      </c>
      <c r="W196" s="7"/>
      <c r="X196" s="7"/>
      <c r="Y196" s="7" t="s">
        <v>81</v>
      </c>
      <c r="Z196" s="7" t="s">
        <v>922</v>
      </c>
      <c r="AA196" s="7" t="s">
        <v>39</v>
      </c>
      <c r="AB196" s="7"/>
      <c r="AC196" s="7" t="s">
        <v>272</v>
      </c>
    </row>
    <row r="197" spans="1:29" hidden="1" x14ac:dyDescent="0.25">
      <c r="A197" s="5">
        <v>192</v>
      </c>
      <c r="B197" s="5" t="s">
        <v>286</v>
      </c>
      <c r="C197" s="5" t="s">
        <v>77</v>
      </c>
      <c r="D197" s="5" t="s">
        <v>287</v>
      </c>
      <c r="E197" s="5">
        <v>8</v>
      </c>
      <c r="F197" s="5">
        <v>450</v>
      </c>
      <c r="G197" s="5">
        <v>12007</v>
      </c>
      <c r="H197" s="5">
        <v>2</v>
      </c>
      <c r="I197" s="5">
        <v>334.02</v>
      </c>
      <c r="J197" s="5">
        <v>668.05</v>
      </c>
      <c r="K197" s="5" t="s">
        <v>223</v>
      </c>
      <c r="L197" s="5" t="s">
        <v>288</v>
      </c>
      <c r="M197" s="7"/>
      <c r="N197" s="7"/>
      <c r="O197" s="7"/>
      <c r="P197" s="7"/>
      <c r="Q197" s="7">
        <v>1</v>
      </c>
      <c r="R197" s="8" t="s">
        <v>37</v>
      </c>
      <c r="S197" s="7"/>
      <c r="T197" s="7" t="s">
        <v>38</v>
      </c>
      <c r="U197" s="7"/>
      <c r="V197" s="7" t="str">
        <f t="shared" si="2"/>
        <v>TCTN.DNS-26004</v>
      </c>
      <c r="W197" s="7"/>
      <c r="X197" s="7"/>
      <c r="Y197" s="7" t="s">
        <v>81</v>
      </c>
      <c r="Z197" s="7" t="s">
        <v>922</v>
      </c>
      <c r="AA197" s="7" t="s">
        <v>39</v>
      </c>
      <c r="AB197" s="7"/>
      <c r="AC197" s="7" t="s">
        <v>289</v>
      </c>
    </row>
    <row r="198" spans="1:29" hidden="1" x14ac:dyDescent="0.25">
      <c r="A198" s="5">
        <v>193</v>
      </c>
      <c r="B198" s="5" t="s">
        <v>290</v>
      </c>
      <c r="C198" s="5" t="s">
        <v>77</v>
      </c>
      <c r="D198" s="5" t="s">
        <v>287</v>
      </c>
      <c r="E198" s="5">
        <v>8</v>
      </c>
      <c r="F198" s="5">
        <v>450</v>
      </c>
      <c r="G198" s="5">
        <v>12007</v>
      </c>
      <c r="H198" s="5">
        <v>2</v>
      </c>
      <c r="I198" s="5">
        <v>334.02</v>
      </c>
      <c r="J198" s="5">
        <v>668.05</v>
      </c>
      <c r="K198" s="5" t="s">
        <v>223</v>
      </c>
      <c r="L198" s="5" t="s">
        <v>288</v>
      </c>
      <c r="M198" s="7"/>
      <c r="N198" s="7"/>
      <c r="O198" s="7"/>
      <c r="P198" s="7"/>
      <c r="Q198" s="7">
        <v>1</v>
      </c>
      <c r="R198" s="8" t="s">
        <v>37</v>
      </c>
      <c r="S198" s="7"/>
      <c r="T198" s="7" t="s">
        <v>38</v>
      </c>
      <c r="U198" s="7"/>
      <c r="V198" s="7" t="str">
        <f t="shared" ref="V198:V261" si="3">IF(LEN($B$3)=0,"",$B$3)</f>
        <v>TCTN.DNS-26004</v>
      </c>
      <c r="W198" s="7"/>
      <c r="X198" s="7"/>
      <c r="Y198" s="7" t="s">
        <v>81</v>
      </c>
      <c r="Z198" s="7" t="s">
        <v>922</v>
      </c>
      <c r="AA198" s="7" t="s">
        <v>39</v>
      </c>
      <c r="AB198" s="7"/>
      <c r="AC198" s="7" t="s">
        <v>289</v>
      </c>
    </row>
    <row r="199" spans="1:29" hidden="1" x14ac:dyDescent="0.25">
      <c r="A199" s="5">
        <v>194</v>
      </c>
      <c r="B199" s="5" t="s">
        <v>229</v>
      </c>
      <c r="C199" s="5" t="s">
        <v>77</v>
      </c>
      <c r="D199" s="5" t="s">
        <v>230</v>
      </c>
      <c r="E199" s="5">
        <v>8</v>
      </c>
      <c r="F199" s="5">
        <v>90</v>
      </c>
      <c r="G199" s="5">
        <v>150</v>
      </c>
      <c r="H199" s="5">
        <v>1</v>
      </c>
      <c r="I199" s="5">
        <v>0.62</v>
      </c>
      <c r="J199" s="5">
        <v>0.62</v>
      </c>
      <c r="K199" s="5" t="s">
        <v>223</v>
      </c>
      <c r="L199" s="5" t="s">
        <v>288</v>
      </c>
      <c r="M199" s="7"/>
      <c r="N199" s="7"/>
      <c r="O199" s="7"/>
      <c r="P199" s="7"/>
      <c r="Q199" s="7">
        <v>1</v>
      </c>
      <c r="R199" s="8" t="s">
        <v>37</v>
      </c>
      <c r="S199" s="7"/>
      <c r="T199" s="7" t="s">
        <v>38</v>
      </c>
      <c r="U199" s="7"/>
      <c r="V199" s="7" t="str">
        <f t="shared" si="3"/>
        <v>TCTN.DNS-26004</v>
      </c>
      <c r="W199" s="7" t="s">
        <v>81</v>
      </c>
      <c r="X199" s="7"/>
      <c r="Y199" s="7"/>
      <c r="Z199" s="7" t="s">
        <v>922</v>
      </c>
      <c r="AA199" s="7" t="s">
        <v>39</v>
      </c>
      <c r="AB199" s="7"/>
      <c r="AC199" s="7" t="s">
        <v>289</v>
      </c>
    </row>
    <row r="200" spans="1:29" hidden="1" x14ac:dyDescent="0.25">
      <c r="A200" s="5">
        <v>195</v>
      </c>
      <c r="B200" s="5" t="s">
        <v>275</v>
      </c>
      <c r="C200" s="5" t="s">
        <v>77</v>
      </c>
      <c r="D200" s="5" t="s">
        <v>276</v>
      </c>
      <c r="E200" s="5">
        <v>8</v>
      </c>
      <c r="F200" s="5">
        <v>150</v>
      </c>
      <c r="G200" s="5">
        <v>2972</v>
      </c>
      <c r="H200" s="5">
        <v>3</v>
      </c>
      <c r="I200" s="5">
        <v>28</v>
      </c>
      <c r="J200" s="5">
        <v>83.99</v>
      </c>
      <c r="K200" s="5" t="s">
        <v>223</v>
      </c>
      <c r="L200" s="5" t="s">
        <v>288</v>
      </c>
      <c r="M200" s="7"/>
      <c r="N200" s="7"/>
      <c r="O200" s="7"/>
      <c r="P200" s="7"/>
      <c r="Q200" s="7">
        <v>1</v>
      </c>
      <c r="R200" s="8" t="s">
        <v>37</v>
      </c>
      <c r="S200" s="7"/>
      <c r="T200" s="7" t="s">
        <v>38</v>
      </c>
      <c r="U200" s="7"/>
      <c r="V200" s="7" t="str">
        <f t="shared" si="3"/>
        <v>TCTN.DNS-26004</v>
      </c>
      <c r="W200" s="7"/>
      <c r="X200" s="7"/>
      <c r="Y200" s="7" t="s">
        <v>81</v>
      </c>
      <c r="Z200" s="7" t="s">
        <v>922</v>
      </c>
      <c r="AA200" s="7" t="s">
        <v>39</v>
      </c>
      <c r="AB200" s="7"/>
      <c r="AC200" s="7" t="s">
        <v>289</v>
      </c>
    </row>
    <row r="201" spans="1:29" hidden="1" x14ac:dyDescent="0.25">
      <c r="A201" s="5">
        <v>196</v>
      </c>
      <c r="B201" s="5" t="s">
        <v>291</v>
      </c>
      <c r="C201" s="5" t="s">
        <v>77</v>
      </c>
      <c r="D201" s="5" t="s">
        <v>276</v>
      </c>
      <c r="E201" s="5">
        <v>8</v>
      </c>
      <c r="F201" s="5">
        <v>150</v>
      </c>
      <c r="G201" s="5">
        <v>2972</v>
      </c>
      <c r="H201" s="5">
        <v>1</v>
      </c>
      <c r="I201" s="5">
        <v>28</v>
      </c>
      <c r="J201" s="5">
        <v>28</v>
      </c>
      <c r="K201" s="5" t="s">
        <v>223</v>
      </c>
      <c r="L201" s="5" t="s">
        <v>288</v>
      </c>
      <c r="M201" s="7"/>
      <c r="N201" s="7"/>
      <c r="O201" s="7"/>
      <c r="P201" s="7"/>
      <c r="Q201" s="7">
        <v>1</v>
      </c>
      <c r="R201" s="8" t="s">
        <v>37</v>
      </c>
      <c r="S201" s="7"/>
      <c r="T201" s="7" t="s">
        <v>38</v>
      </c>
      <c r="U201" s="7"/>
      <c r="V201" s="7" t="str">
        <f t="shared" si="3"/>
        <v>TCTN.DNS-26004</v>
      </c>
      <c r="W201" s="7"/>
      <c r="X201" s="7"/>
      <c r="Y201" s="7" t="s">
        <v>81</v>
      </c>
      <c r="Z201" s="7" t="s">
        <v>922</v>
      </c>
      <c r="AA201" s="7" t="s">
        <v>39</v>
      </c>
      <c r="AB201" s="7"/>
      <c r="AC201" s="7" t="s">
        <v>289</v>
      </c>
    </row>
    <row r="202" spans="1:29" hidden="1" x14ac:dyDescent="0.25">
      <c r="A202" s="5">
        <v>197</v>
      </c>
      <c r="B202" s="5" t="s">
        <v>292</v>
      </c>
      <c r="C202" s="5" t="s">
        <v>77</v>
      </c>
      <c r="D202" s="5" t="s">
        <v>293</v>
      </c>
      <c r="E202" s="5">
        <v>8</v>
      </c>
      <c r="F202" s="5">
        <v>446</v>
      </c>
      <c r="G202" s="5">
        <v>7588</v>
      </c>
      <c r="H202" s="5">
        <v>2</v>
      </c>
      <c r="I202" s="5">
        <v>211.08</v>
      </c>
      <c r="J202" s="5">
        <v>422.16</v>
      </c>
      <c r="K202" s="5" t="s">
        <v>223</v>
      </c>
      <c r="L202" s="5" t="s">
        <v>294</v>
      </c>
      <c r="M202" s="7"/>
      <c r="N202" s="7" t="s">
        <v>228</v>
      </c>
      <c r="O202" s="7"/>
      <c r="P202" s="7"/>
      <c r="Q202" s="7">
        <v>1</v>
      </c>
      <c r="R202" s="8" t="s">
        <v>37</v>
      </c>
      <c r="S202" s="7"/>
      <c r="T202" s="7" t="s">
        <v>38</v>
      </c>
      <c r="U202" s="7"/>
      <c r="V202" s="7" t="str">
        <f t="shared" si="3"/>
        <v>TCTN.DNS-26004</v>
      </c>
      <c r="W202" s="7"/>
      <c r="X202" s="7"/>
      <c r="Y202" s="7" t="s">
        <v>81</v>
      </c>
      <c r="Z202" s="7" t="s">
        <v>922</v>
      </c>
      <c r="AA202" s="7" t="s">
        <v>39</v>
      </c>
      <c r="AB202" s="7"/>
      <c r="AC202" s="7" t="s">
        <v>295</v>
      </c>
    </row>
    <row r="203" spans="1:29" hidden="1" x14ac:dyDescent="0.25">
      <c r="A203" s="5">
        <v>198</v>
      </c>
      <c r="B203" s="5" t="s">
        <v>296</v>
      </c>
      <c r="C203" s="5" t="s">
        <v>77</v>
      </c>
      <c r="D203" s="5" t="s">
        <v>297</v>
      </c>
      <c r="E203" s="5">
        <v>8</v>
      </c>
      <c r="F203" s="5">
        <v>329</v>
      </c>
      <c r="G203" s="5">
        <v>7565</v>
      </c>
      <c r="H203" s="5">
        <v>2</v>
      </c>
      <c r="I203" s="5">
        <v>154.86000000000001</v>
      </c>
      <c r="J203" s="5">
        <v>309.73</v>
      </c>
      <c r="K203" s="5" t="s">
        <v>223</v>
      </c>
      <c r="L203" s="5" t="s">
        <v>294</v>
      </c>
      <c r="M203" s="7"/>
      <c r="N203" s="7" t="s">
        <v>228</v>
      </c>
      <c r="O203" s="7"/>
      <c r="P203" s="7"/>
      <c r="Q203" s="7">
        <v>1</v>
      </c>
      <c r="R203" s="8" t="s">
        <v>37</v>
      </c>
      <c r="S203" s="7"/>
      <c r="T203" s="7" t="s">
        <v>38</v>
      </c>
      <c r="U203" s="7"/>
      <c r="V203" s="7" t="str">
        <f t="shared" si="3"/>
        <v>TCTN.DNS-26004</v>
      </c>
      <c r="W203" s="7"/>
      <c r="X203" s="7"/>
      <c r="Y203" s="7" t="s">
        <v>81</v>
      </c>
      <c r="Z203" s="7" t="s">
        <v>922</v>
      </c>
      <c r="AA203" s="7" t="s">
        <v>39</v>
      </c>
      <c r="AB203" s="7"/>
      <c r="AC203" s="7" t="s">
        <v>295</v>
      </c>
    </row>
    <row r="204" spans="1:29" hidden="1" x14ac:dyDescent="0.25">
      <c r="A204" s="5">
        <v>199</v>
      </c>
      <c r="B204" s="5" t="s">
        <v>298</v>
      </c>
      <c r="C204" s="5" t="s">
        <v>77</v>
      </c>
      <c r="D204" s="5" t="s">
        <v>299</v>
      </c>
      <c r="E204" s="5">
        <v>8</v>
      </c>
      <c r="F204" s="5">
        <v>329</v>
      </c>
      <c r="G204" s="5">
        <v>7566</v>
      </c>
      <c r="H204" s="5">
        <v>1</v>
      </c>
      <c r="I204" s="5">
        <v>154.88</v>
      </c>
      <c r="J204" s="5">
        <v>154.88</v>
      </c>
      <c r="K204" s="5" t="s">
        <v>223</v>
      </c>
      <c r="L204" s="5" t="s">
        <v>294</v>
      </c>
      <c r="M204" s="7"/>
      <c r="N204" s="7" t="s">
        <v>228</v>
      </c>
      <c r="O204" s="7"/>
      <c r="P204" s="7"/>
      <c r="Q204" s="7">
        <v>1</v>
      </c>
      <c r="R204" s="8" t="s">
        <v>37</v>
      </c>
      <c r="S204" s="7"/>
      <c r="T204" s="7" t="s">
        <v>38</v>
      </c>
      <c r="U204" s="7"/>
      <c r="V204" s="7" t="str">
        <f t="shared" si="3"/>
        <v>TCTN.DNS-26004</v>
      </c>
      <c r="W204" s="7"/>
      <c r="X204" s="7"/>
      <c r="Y204" s="7" t="s">
        <v>81</v>
      </c>
      <c r="Z204" s="7" t="s">
        <v>922</v>
      </c>
      <c r="AA204" s="7" t="s">
        <v>39</v>
      </c>
      <c r="AB204" s="7"/>
      <c r="AC204" s="7" t="s">
        <v>295</v>
      </c>
    </row>
    <row r="205" spans="1:29" hidden="1" x14ac:dyDescent="0.25">
      <c r="A205" s="5">
        <v>200</v>
      </c>
      <c r="B205" s="5" t="s">
        <v>300</v>
      </c>
      <c r="C205" s="5" t="s">
        <v>77</v>
      </c>
      <c r="D205" s="5" t="s">
        <v>301</v>
      </c>
      <c r="E205" s="5">
        <v>8</v>
      </c>
      <c r="F205" s="5">
        <v>66</v>
      </c>
      <c r="G205" s="5">
        <v>150</v>
      </c>
      <c r="H205" s="5">
        <v>3</v>
      </c>
      <c r="I205" s="5">
        <v>0.46</v>
      </c>
      <c r="J205" s="5">
        <v>1.38</v>
      </c>
      <c r="K205" s="5" t="s">
        <v>223</v>
      </c>
      <c r="L205" s="5" t="s">
        <v>294</v>
      </c>
      <c r="M205" s="7"/>
      <c r="N205" s="7"/>
      <c r="O205" s="7"/>
      <c r="P205" s="7"/>
      <c r="Q205" s="7">
        <v>1</v>
      </c>
      <c r="R205" s="8" t="s">
        <v>37</v>
      </c>
      <c r="S205" s="7"/>
      <c r="T205" s="7" t="s">
        <v>38</v>
      </c>
      <c r="U205" s="7"/>
      <c r="V205" s="7" t="str">
        <f t="shared" si="3"/>
        <v>TCTN.DNS-26004</v>
      </c>
      <c r="W205" s="7" t="s">
        <v>81</v>
      </c>
      <c r="X205" s="7"/>
      <c r="Y205" s="7"/>
      <c r="Z205" s="7" t="s">
        <v>922</v>
      </c>
      <c r="AA205" s="7" t="s">
        <v>39</v>
      </c>
      <c r="AB205" s="7"/>
      <c r="AC205" s="7" t="s">
        <v>295</v>
      </c>
    </row>
    <row r="206" spans="1:29" hidden="1" x14ac:dyDescent="0.25">
      <c r="A206" s="5">
        <v>201</v>
      </c>
      <c r="B206" s="5" t="s">
        <v>302</v>
      </c>
      <c r="C206" s="5" t="s">
        <v>77</v>
      </c>
      <c r="D206" s="5" t="s">
        <v>301</v>
      </c>
      <c r="E206" s="5">
        <v>8</v>
      </c>
      <c r="F206" s="5">
        <v>66</v>
      </c>
      <c r="G206" s="5">
        <v>150</v>
      </c>
      <c r="H206" s="5">
        <v>6</v>
      </c>
      <c r="I206" s="5">
        <v>0.46</v>
      </c>
      <c r="J206" s="5">
        <v>2.77</v>
      </c>
      <c r="K206" s="5" t="s">
        <v>223</v>
      </c>
      <c r="L206" s="5" t="s">
        <v>294</v>
      </c>
      <c r="M206" s="7"/>
      <c r="N206" s="7"/>
      <c r="O206" s="7"/>
      <c r="P206" s="7"/>
      <c r="Q206" s="7">
        <v>1</v>
      </c>
      <c r="R206" s="8" t="s">
        <v>37</v>
      </c>
      <c r="S206" s="7"/>
      <c r="T206" s="7" t="s">
        <v>38</v>
      </c>
      <c r="U206" s="7"/>
      <c r="V206" s="7" t="str">
        <f t="shared" si="3"/>
        <v>TCTN.DNS-26004</v>
      </c>
      <c r="W206" s="7" t="s">
        <v>81</v>
      </c>
      <c r="X206" s="7"/>
      <c r="Y206" s="7"/>
      <c r="Z206" s="7" t="s">
        <v>922</v>
      </c>
      <c r="AA206" s="7" t="s">
        <v>39</v>
      </c>
      <c r="AB206" s="7"/>
      <c r="AC206" s="7" t="s">
        <v>295</v>
      </c>
    </row>
    <row r="207" spans="1:29" hidden="1" x14ac:dyDescent="0.25">
      <c r="A207" s="5">
        <v>202</v>
      </c>
      <c r="B207" s="5" t="s">
        <v>303</v>
      </c>
      <c r="C207" s="5" t="s">
        <v>77</v>
      </c>
      <c r="D207" s="5" t="s">
        <v>301</v>
      </c>
      <c r="E207" s="5">
        <v>8</v>
      </c>
      <c r="F207" s="5">
        <v>66</v>
      </c>
      <c r="G207" s="5">
        <v>150</v>
      </c>
      <c r="H207" s="5">
        <v>3</v>
      </c>
      <c r="I207" s="5">
        <v>0.46</v>
      </c>
      <c r="J207" s="5">
        <v>1.38</v>
      </c>
      <c r="K207" s="5" t="s">
        <v>223</v>
      </c>
      <c r="L207" s="5" t="s">
        <v>294</v>
      </c>
      <c r="M207" s="7"/>
      <c r="N207" s="7"/>
      <c r="O207" s="7"/>
      <c r="P207" s="7"/>
      <c r="Q207" s="7">
        <v>1</v>
      </c>
      <c r="R207" s="8" t="s">
        <v>37</v>
      </c>
      <c r="S207" s="7"/>
      <c r="T207" s="7" t="s">
        <v>38</v>
      </c>
      <c r="U207" s="7"/>
      <c r="V207" s="7" t="str">
        <f t="shared" si="3"/>
        <v>TCTN.DNS-26004</v>
      </c>
      <c r="W207" s="7" t="s">
        <v>81</v>
      </c>
      <c r="X207" s="7"/>
      <c r="Y207" s="7"/>
      <c r="Z207" s="7" t="s">
        <v>922</v>
      </c>
      <c r="AA207" s="7" t="s">
        <v>39</v>
      </c>
      <c r="AB207" s="7"/>
      <c r="AC207" s="7" t="s">
        <v>295</v>
      </c>
    </row>
    <row r="208" spans="1:29" hidden="1" x14ac:dyDescent="0.25">
      <c r="A208" s="5">
        <v>203</v>
      </c>
      <c r="B208" s="5" t="s">
        <v>304</v>
      </c>
      <c r="C208" s="5" t="s">
        <v>77</v>
      </c>
      <c r="D208" s="5" t="s">
        <v>305</v>
      </c>
      <c r="E208" s="5">
        <v>8</v>
      </c>
      <c r="F208" s="5">
        <v>150</v>
      </c>
      <c r="G208" s="5">
        <v>1882</v>
      </c>
      <c r="H208" s="5">
        <v>6</v>
      </c>
      <c r="I208" s="5">
        <v>17.73</v>
      </c>
      <c r="J208" s="5">
        <v>106.37</v>
      </c>
      <c r="K208" s="5" t="s">
        <v>223</v>
      </c>
      <c r="L208" s="5" t="s">
        <v>294</v>
      </c>
      <c r="M208" s="7"/>
      <c r="N208" s="7"/>
      <c r="O208" s="7"/>
      <c r="P208" s="7"/>
      <c r="Q208" s="7">
        <v>1</v>
      </c>
      <c r="R208" s="8" t="s">
        <v>37</v>
      </c>
      <c r="S208" s="7"/>
      <c r="T208" s="7" t="s">
        <v>38</v>
      </c>
      <c r="U208" s="7"/>
      <c r="V208" s="7" t="str">
        <f t="shared" si="3"/>
        <v>TCTN.DNS-26004</v>
      </c>
      <c r="W208" s="7"/>
      <c r="X208" s="7"/>
      <c r="Y208" s="7" t="s">
        <v>81</v>
      </c>
      <c r="Z208" s="7" t="s">
        <v>922</v>
      </c>
      <c r="AA208" s="7" t="s">
        <v>39</v>
      </c>
      <c r="AB208" s="7"/>
      <c r="AC208" s="7" t="s">
        <v>295</v>
      </c>
    </row>
    <row r="209" spans="1:29" hidden="1" x14ac:dyDescent="0.25">
      <c r="A209" s="5">
        <v>204</v>
      </c>
      <c r="B209" s="5" t="s">
        <v>306</v>
      </c>
      <c r="C209" s="5" t="s">
        <v>77</v>
      </c>
      <c r="D209" s="5" t="s">
        <v>307</v>
      </c>
      <c r="E209" s="5">
        <v>8</v>
      </c>
      <c r="F209" s="5">
        <v>124</v>
      </c>
      <c r="G209" s="5">
        <v>1882</v>
      </c>
      <c r="H209" s="5">
        <v>2</v>
      </c>
      <c r="I209" s="5">
        <v>14.66</v>
      </c>
      <c r="J209" s="5">
        <v>29.31</v>
      </c>
      <c r="K209" s="5" t="s">
        <v>223</v>
      </c>
      <c r="L209" s="5" t="s">
        <v>294</v>
      </c>
      <c r="M209" s="7"/>
      <c r="N209" s="7"/>
      <c r="O209" s="7"/>
      <c r="P209" s="7"/>
      <c r="Q209" s="7">
        <v>1</v>
      </c>
      <c r="R209" s="8" t="s">
        <v>37</v>
      </c>
      <c r="S209" s="7"/>
      <c r="T209" s="7" t="s">
        <v>38</v>
      </c>
      <c r="U209" s="7"/>
      <c r="V209" s="7" t="str">
        <f t="shared" si="3"/>
        <v>TCTN.DNS-26004</v>
      </c>
      <c r="W209" s="7"/>
      <c r="X209" s="7"/>
      <c r="Y209" s="7" t="s">
        <v>81</v>
      </c>
      <c r="Z209" s="7" t="s">
        <v>922</v>
      </c>
      <c r="AA209" s="7" t="s">
        <v>39</v>
      </c>
      <c r="AB209" s="7"/>
      <c r="AC209" s="7" t="s">
        <v>295</v>
      </c>
    </row>
    <row r="210" spans="1:29" hidden="1" x14ac:dyDescent="0.25">
      <c r="A210" s="5">
        <v>205</v>
      </c>
      <c r="B210" s="5" t="s">
        <v>291</v>
      </c>
      <c r="C210" s="5" t="s">
        <v>77</v>
      </c>
      <c r="D210" s="5" t="s">
        <v>276</v>
      </c>
      <c r="E210" s="5">
        <v>8</v>
      </c>
      <c r="F210" s="5">
        <v>150</v>
      </c>
      <c r="G210" s="5">
        <v>2972</v>
      </c>
      <c r="H210" s="5">
        <v>3</v>
      </c>
      <c r="I210" s="5">
        <v>28</v>
      </c>
      <c r="J210" s="5">
        <v>83.99</v>
      </c>
      <c r="K210" s="5" t="s">
        <v>223</v>
      </c>
      <c r="L210" s="5" t="s">
        <v>294</v>
      </c>
      <c r="M210" s="7"/>
      <c r="N210" s="7"/>
      <c r="O210" s="7"/>
      <c r="P210" s="7"/>
      <c r="Q210" s="7">
        <v>1</v>
      </c>
      <c r="R210" s="8" t="s">
        <v>37</v>
      </c>
      <c r="S210" s="7"/>
      <c r="T210" s="7" t="s">
        <v>38</v>
      </c>
      <c r="U210" s="7"/>
      <c r="V210" s="7" t="str">
        <f t="shared" si="3"/>
        <v>TCTN.DNS-26004</v>
      </c>
      <c r="W210" s="7"/>
      <c r="X210" s="7"/>
      <c r="Y210" s="7" t="s">
        <v>81</v>
      </c>
      <c r="Z210" s="7" t="s">
        <v>922</v>
      </c>
      <c r="AA210" s="7" t="s">
        <v>39</v>
      </c>
      <c r="AB210" s="7"/>
      <c r="AC210" s="7" t="s">
        <v>295</v>
      </c>
    </row>
    <row r="211" spans="1:29" hidden="1" x14ac:dyDescent="0.25">
      <c r="A211" s="5">
        <v>206</v>
      </c>
      <c r="B211" s="5" t="s">
        <v>279</v>
      </c>
      <c r="C211" s="5" t="s">
        <v>77</v>
      </c>
      <c r="D211" s="5" t="s">
        <v>278</v>
      </c>
      <c r="E211" s="5">
        <v>8</v>
      </c>
      <c r="F211" s="5">
        <v>124</v>
      </c>
      <c r="G211" s="5">
        <v>2972</v>
      </c>
      <c r="H211" s="5">
        <v>3</v>
      </c>
      <c r="I211" s="5">
        <v>23.14</v>
      </c>
      <c r="J211" s="5">
        <v>69.430000000000007</v>
      </c>
      <c r="K211" s="5" t="s">
        <v>223</v>
      </c>
      <c r="L211" s="5" t="s">
        <v>294</v>
      </c>
      <c r="M211" s="7"/>
      <c r="N211" s="7"/>
      <c r="O211" s="7"/>
      <c r="P211" s="7"/>
      <c r="Q211" s="7">
        <v>1</v>
      </c>
      <c r="R211" s="8" t="s">
        <v>37</v>
      </c>
      <c r="S211" s="7"/>
      <c r="T211" s="7" t="s">
        <v>38</v>
      </c>
      <c r="U211" s="7"/>
      <c r="V211" s="7" t="str">
        <f t="shared" si="3"/>
        <v>TCTN.DNS-26004</v>
      </c>
      <c r="W211" s="7"/>
      <c r="X211" s="7"/>
      <c r="Y211" s="7" t="s">
        <v>81</v>
      </c>
      <c r="Z211" s="7" t="s">
        <v>922</v>
      </c>
      <c r="AA211" s="7" t="s">
        <v>39</v>
      </c>
      <c r="AB211" s="7"/>
      <c r="AC211" s="7" t="s">
        <v>295</v>
      </c>
    </row>
    <row r="212" spans="1:29" hidden="1" x14ac:dyDescent="0.25">
      <c r="A212" s="5">
        <v>207</v>
      </c>
      <c r="B212" s="5" t="s">
        <v>308</v>
      </c>
      <c r="C212" s="5" t="s">
        <v>77</v>
      </c>
      <c r="D212" s="5" t="s">
        <v>309</v>
      </c>
      <c r="E212" s="5">
        <v>8</v>
      </c>
      <c r="F212" s="5">
        <v>150</v>
      </c>
      <c r="G212" s="5">
        <v>2523</v>
      </c>
      <c r="H212" s="5">
        <v>2</v>
      </c>
      <c r="I212" s="5">
        <v>23.76</v>
      </c>
      <c r="J212" s="5">
        <v>47.53</v>
      </c>
      <c r="K212" s="5" t="s">
        <v>223</v>
      </c>
      <c r="L212" s="5" t="s">
        <v>294</v>
      </c>
      <c r="M212" s="7"/>
      <c r="N212" s="7"/>
      <c r="O212" s="7"/>
      <c r="P212" s="7"/>
      <c r="Q212" s="7">
        <v>1</v>
      </c>
      <c r="R212" s="8" t="s">
        <v>37</v>
      </c>
      <c r="S212" s="7"/>
      <c r="T212" s="7" t="s">
        <v>38</v>
      </c>
      <c r="U212" s="7"/>
      <c r="V212" s="7" t="str">
        <f t="shared" si="3"/>
        <v>TCTN.DNS-26004</v>
      </c>
      <c r="W212" s="7"/>
      <c r="X212" s="7"/>
      <c r="Y212" s="7" t="s">
        <v>81</v>
      </c>
      <c r="Z212" s="7" t="s">
        <v>922</v>
      </c>
      <c r="AA212" s="7" t="s">
        <v>39</v>
      </c>
      <c r="AB212" s="7"/>
      <c r="AC212" s="7" t="s">
        <v>295</v>
      </c>
    </row>
    <row r="213" spans="1:29" hidden="1" x14ac:dyDescent="0.25">
      <c r="A213" s="5">
        <v>208</v>
      </c>
      <c r="B213" s="5" t="s">
        <v>310</v>
      </c>
      <c r="C213" s="5" t="s">
        <v>77</v>
      </c>
      <c r="D213" s="5" t="s">
        <v>311</v>
      </c>
      <c r="E213" s="5">
        <v>8</v>
      </c>
      <c r="F213" s="5">
        <v>124</v>
      </c>
      <c r="G213" s="5">
        <v>2523</v>
      </c>
      <c r="H213" s="5">
        <v>2</v>
      </c>
      <c r="I213" s="5">
        <v>19.64</v>
      </c>
      <c r="J213" s="5">
        <v>39.29</v>
      </c>
      <c r="K213" s="5" t="s">
        <v>223</v>
      </c>
      <c r="L213" s="5" t="s">
        <v>294</v>
      </c>
      <c r="M213" s="7"/>
      <c r="N213" s="7"/>
      <c r="O213" s="7"/>
      <c r="P213" s="7"/>
      <c r="Q213" s="7">
        <v>1</v>
      </c>
      <c r="R213" s="8" t="s">
        <v>37</v>
      </c>
      <c r="S213" s="7"/>
      <c r="T213" s="7" t="s">
        <v>38</v>
      </c>
      <c r="U213" s="7"/>
      <c r="V213" s="7" t="str">
        <f t="shared" si="3"/>
        <v>TCTN.DNS-26004</v>
      </c>
      <c r="W213" s="7"/>
      <c r="X213" s="7"/>
      <c r="Y213" s="7" t="s">
        <v>81</v>
      </c>
      <c r="Z213" s="7" t="s">
        <v>922</v>
      </c>
      <c r="AA213" s="7" t="s">
        <v>39</v>
      </c>
      <c r="AB213" s="7"/>
      <c r="AC213" s="7" t="s">
        <v>295</v>
      </c>
    </row>
    <row r="214" spans="1:29" hidden="1" x14ac:dyDescent="0.25">
      <c r="A214" s="5">
        <v>209</v>
      </c>
      <c r="B214" s="5" t="s">
        <v>312</v>
      </c>
      <c r="C214" s="5" t="s">
        <v>77</v>
      </c>
      <c r="D214" s="5" t="s">
        <v>309</v>
      </c>
      <c r="E214" s="5">
        <v>8</v>
      </c>
      <c r="F214" s="5">
        <v>150</v>
      </c>
      <c r="G214" s="5">
        <v>2523</v>
      </c>
      <c r="H214" s="5">
        <v>4</v>
      </c>
      <c r="I214" s="5">
        <v>23.77</v>
      </c>
      <c r="J214" s="5">
        <v>95.07</v>
      </c>
      <c r="K214" s="5" t="s">
        <v>223</v>
      </c>
      <c r="L214" s="5" t="s">
        <v>294</v>
      </c>
      <c r="M214" s="7"/>
      <c r="N214" s="7"/>
      <c r="O214" s="7"/>
      <c r="P214" s="7"/>
      <c r="Q214" s="7">
        <v>1</v>
      </c>
      <c r="R214" s="8" t="s">
        <v>37</v>
      </c>
      <c r="S214" s="7"/>
      <c r="T214" s="7" t="s">
        <v>38</v>
      </c>
      <c r="U214" s="7"/>
      <c r="V214" s="7" t="str">
        <f t="shared" si="3"/>
        <v>TCTN.DNS-26004</v>
      </c>
      <c r="W214" s="7"/>
      <c r="X214" s="7"/>
      <c r="Y214" s="7" t="s">
        <v>81</v>
      </c>
      <c r="Z214" s="7" t="s">
        <v>922</v>
      </c>
      <c r="AA214" s="7" t="s">
        <v>39</v>
      </c>
      <c r="AB214" s="7"/>
      <c r="AC214" s="7" t="s">
        <v>295</v>
      </c>
    </row>
    <row r="215" spans="1:29" hidden="1" x14ac:dyDescent="0.25">
      <c r="A215" s="5">
        <v>210</v>
      </c>
      <c r="B215" s="5" t="s">
        <v>280</v>
      </c>
      <c r="C215" s="5" t="s">
        <v>77</v>
      </c>
      <c r="D215" s="5" t="s">
        <v>281</v>
      </c>
      <c r="E215" s="5">
        <v>8</v>
      </c>
      <c r="F215" s="5">
        <v>124</v>
      </c>
      <c r="G215" s="5">
        <v>601</v>
      </c>
      <c r="H215" s="5">
        <v>3</v>
      </c>
      <c r="I215" s="5">
        <v>4.68</v>
      </c>
      <c r="J215" s="5">
        <v>14.04</v>
      </c>
      <c r="K215" s="5" t="s">
        <v>223</v>
      </c>
      <c r="L215" s="5" t="s">
        <v>294</v>
      </c>
      <c r="M215" s="7"/>
      <c r="N215" s="7"/>
      <c r="O215" s="7"/>
      <c r="P215" s="7"/>
      <c r="Q215" s="7">
        <v>1</v>
      </c>
      <c r="R215" s="8" t="s">
        <v>37</v>
      </c>
      <c r="S215" s="7"/>
      <c r="T215" s="7" t="s">
        <v>38</v>
      </c>
      <c r="U215" s="7"/>
      <c r="V215" s="7" t="str">
        <f t="shared" si="3"/>
        <v>TCTN.DNS-26004</v>
      </c>
      <c r="W215" s="7"/>
      <c r="X215" s="7"/>
      <c r="Y215" s="7" t="s">
        <v>81</v>
      </c>
      <c r="Z215" s="7" t="s">
        <v>922</v>
      </c>
      <c r="AA215" s="7" t="s">
        <v>39</v>
      </c>
      <c r="AB215" s="7"/>
      <c r="AC215" s="7" t="s">
        <v>295</v>
      </c>
    </row>
    <row r="216" spans="1:29" hidden="1" x14ac:dyDescent="0.25">
      <c r="A216" s="5">
        <v>211</v>
      </c>
      <c r="B216" s="5" t="s">
        <v>282</v>
      </c>
      <c r="C216" s="5" t="s">
        <v>77</v>
      </c>
      <c r="D216" s="5" t="s">
        <v>283</v>
      </c>
      <c r="E216" s="5">
        <v>8</v>
      </c>
      <c r="F216" s="5">
        <v>150</v>
      </c>
      <c r="G216" s="5">
        <v>1381</v>
      </c>
      <c r="H216" s="5">
        <v>3</v>
      </c>
      <c r="I216" s="5">
        <v>13.01</v>
      </c>
      <c r="J216" s="5">
        <v>39.03</v>
      </c>
      <c r="K216" s="5" t="s">
        <v>223</v>
      </c>
      <c r="L216" s="5" t="s">
        <v>294</v>
      </c>
      <c r="M216" s="7"/>
      <c r="N216" s="7"/>
      <c r="O216" s="7"/>
      <c r="P216" s="7"/>
      <c r="Q216" s="7">
        <v>1</v>
      </c>
      <c r="R216" s="8" t="s">
        <v>37</v>
      </c>
      <c r="S216" s="7"/>
      <c r="T216" s="7" t="s">
        <v>38</v>
      </c>
      <c r="U216" s="7"/>
      <c r="V216" s="7" t="str">
        <f t="shared" si="3"/>
        <v>TCTN.DNS-26004</v>
      </c>
      <c r="W216" s="7"/>
      <c r="X216" s="7"/>
      <c r="Y216" s="7" t="s">
        <v>81</v>
      </c>
      <c r="Z216" s="7" t="s">
        <v>922</v>
      </c>
      <c r="AA216" s="7" t="s">
        <v>39</v>
      </c>
      <c r="AB216" s="7"/>
      <c r="AC216" s="7" t="s">
        <v>295</v>
      </c>
    </row>
    <row r="217" spans="1:29" hidden="1" x14ac:dyDescent="0.25">
      <c r="A217" s="5">
        <v>212</v>
      </c>
      <c r="B217" s="5" t="s">
        <v>269</v>
      </c>
      <c r="C217" s="5" t="s">
        <v>77</v>
      </c>
      <c r="D217" s="5" t="s">
        <v>270</v>
      </c>
      <c r="E217" s="5">
        <v>8</v>
      </c>
      <c r="F217" s="5">
        <v>124</v>
      </c>
      <c r="G217" s="5">
        <v>792</v>
      </c>
      <c r="H217" s="5">
        <v>3</v>
      </c>
      <c r="I217" s="5">
        <v>6.17</v>
      </c>
      <c r="J217" s="5">
        <v>18.5</v>
      </c>
      <c r="K217" s="5" t="s">
        <v>223</v>
      </c>
      <c r="L217" s="5" t="s">
        <v>294</v>
      </c>
      <c r="M217" s="7"/>
      <c r="N217" s="7"/>
      <c r="O217" s="7"/>
      <c r="P217" s="7"/>
      <c r="Q217" s="7">
        <v>1</v>
      </c>
      <c r="R217" s="8" t="s">
        <v>37</v>
      </c>
      <c r="S217" s="7"/>
      <c r="T217" s="7" t="s">
        <v>38</v>
      </c>
      <c r="U217" s="7"/>
      <c r="V217" s="7" t="str">
        <f t="shared" si="3"/>
        <v>TCTN.DNS-26004</v>
      </c>
      <c r="W217" s="7"/>
      <c r="X217" s="7"/>
      <c r="Y217" s="7" t="s">
        <v>81</v>
      </c>
      <c r="Z217" s="7" t="s">
        <v>922</v>
      </c>
      <c r="AA217" s="7" t="s">
        <v>39</v>
      </c>
      <c r="AB217" s="7"/>
      <c r="AC217" s="7" t="s">
        <v>295</v>
      </c>
    </row>
    <row r="218" spans="1:29" hidden="1" x14ac:dyDescent="0.25">
      <c r="A218" s="5">
        <v>213</v>
      </c>
      <c r="B218" s="5" t="s">
        <v>313</v>
      </c>
      <c r="C218" s="5" t="s">
        <v>77</v>
      </c>
      <c r="D218" s="5" t="s">
        <v>314</v>
      </c>
      <c r="E218" s="5">
        <v>8</v>
      </c>
      <c r="F218" s="5">
        <v>158</v>
      </c>
      <c r="G218" s="5">
        <v>228</v>
      </c>
      <c r="H218" s="5">
        <v>18</v>
      </c>
      <c r="I218" s="5">
        <v>2.25</v>
      </c>
      <c r="J218" s="5">
        <v>40.5</v>
      </c>
      <c r="K218" s="5" t="s">
        <v>223</v>
      </c>
      <c r="L218" s="5" t="s">
        <v>315</v>
      </c>
      <c r="M218" s="7"/>
      <c r="N218" s="7"/>
      <c r="O218" s="7"/>
      <c r="P218" s="7"/>
      <c r="Q218" s="7">
        <v>1</v>
      </c>
      <c r="R218" s="8" t="s">
        <v>37</v>
      </c>
      <c r="S218" s="7"/>
      <c r="T218" s="7" t="s">
        <v>38</v>
      </c>
      <c r="U218" s="7"/>
      <c r="V218" s="7" t="str">
        <f t="shared" si="3"/>
        <v>TCTN.DNS-26004</v>
      </c>
      <c r="W218" s="7" t="s">
        <v>81</v>
      </c>
      <c r="X218" s="7"/>
      <c r="Y218" s="7"/>
      <c r="Z218" s="7" t="s">
        <v>922</v>
      </c>
      <c r="AA218" s="7" t="s">
        <v>39</v>
      </c>
      <c r="AB218" s="7"/>
      <c r="AC218" s="7" t="s">
        <v>316</v>
      </c>
    </row>
    <row r="219" spans="1:29" hidden="1" x14ac:dyDescent="0.25">
      <c r="A219" s="5">
        <v>214</v>
      </c>
      <c r="B219" s="5" t="s">
        <v>317</v>
      </c>
      <c r="C219" s="5" t="s">
        <v>77</v>
      </c>
      <c r="D219" s="5" t="s">
        <v>318</v>
      </c>
      <c r="E219" s="5">
        <v>8</v>
      </c>
      <c r="F219" s="5">
        <v>206</v>
      </c>
      <c r="G219" s="5">
        <v>465</v>
      </c>
      <c r="H219" s="5">
        <v>1</v>
      </c>
      <c r="I219" s="5">
        <v>6.01</v>
      </c>
      <c r="J219" s="5">
        <v>6.01</v>
      </c>
      <c r="K219" s="5" t="s">
        <v>223</v>
      </c>
      <c r="L219" s="5" t="s">
        <v>315</v>
      </c>
      <c r="M219" s="7"/>
      <c r="N219" s="7"/>
      <c r="O219" s="7"/>
      <c r="P219" s="7"/>
      <c r="Q219" s="7">
        <v>1</v>
      </c>
      <c r="R219" s="8" t="s">
        <v>37</v>
      </c>
      <c r="S219" s="7"/>
      <c r="T219" s="7" t="s">
        <v>38</v>
      </c>
      <c r="U219" s="7"/>
      <c r="V219" s="7" t="str">
        <f t="shared" si="3"/>
        <v>TCTN.DNS-26004</v>
      </c>
      <c r="W219" s="7" t="s">
        <v>81</v>
      </c>
      <c r="X219" s="7"/>
      <c r="Y219" s="7"/>
      <c r="Z219" s="7" t="s">
        <v>922</v>
      </c>
      <c r="AA219" s="7" t="s">
        <v>39</v>
      </c>
      <c r="AB219" s="7"/>
      <c r="AC219" s="7" t="s">
        <v>316</v>
      </c>
    </row>
    <row r="220" spans="1:29" hidden="1" x14ac:dyDescent="0.25">
      <c r="A220" s="5">
        <v>215</v>
      </c>
      <c r="B220" s="5" t="s">
        <v>319</v>
      </c>
      <c r="C220" s="5" t="s">
        <v>77</v>
      </c>
      <c r="D220" s="5" t="s">
        <v>320</v>
      </c>
      <c r="E220" s="5">
        <v>8</v>
      </c>
      <c r="F220" s="5">
        <v>196</v>
      </c>
      <c r="G220" s="5">
        <v>340</v>
      </c>
      <c r="H220" s="5">
        <v>2</v>
      </c>
      <c r="I220" s="5">
        <v>4.18</v>
      </c>
      <c r="J220" s="5">
        <v>8.36</v>
      </c>
      <c r="K220" s="5" t="s">
        <v>223</v>
      </c>
      <c r="L220" s="5" t="s">
        <v>315</v>
      </c>
      <c r="M220" s="7"/>
      <c r="N220" s="7"/>
      <c r="O220" s="7"/>
      <c r="P220" s="7"/>
      <c r="Q220" s="7">
        <v>1</v>
      </c>
      <c r="R220" s="8" t="s">
        <v>37</v>
      </c>
      <c r="S220" s="7"/>
      <c r="T220" s="7" t="s">
        <v>38</v>
      </c>
      <c r="U220" s="7"/>
      <c r="V220" s="7" t="str">
        <f t="shared" si="3"/>
        <v>TCTN.DNS-26004</v>
      </c>
      <c r="W220" s="7" t="s">
        <v>81</v>
      </c>
      <c r="X220" s="7"/>
      <c r="Y220" s="7"/>
      <c r="Z220" s="7" t="s">
        <v>922</v>
      </c>
      <c r="AA220" s="7" t="s">
        <v>39</v>
      </c>
      <c r="AB220" s="7"/>
      <c r="AC220" s="7" t="s">
        <v>316</v>
      </c>
    </row>
    <row r="221" spans="1:29" hidden="1" x14ac:dyDescent="0.25">
      <c r="A221" s="5">
        <v>216</v>
      </c>
      <c r="B221" s="5" t="s">
        <v>321</v>
      </c>
      <c r="C221" s="5" t="s">
        <v>77</v>
      </c>
      <c r="D221" s="5" t="s">
        <v>322</v>
      </c>
      <c r="E221" s="5">
        <v>8</v>
      </c>
      <c r="F221" s="5">
        <v>148</v>
      </c>
      <c r="G221" s="5">
        <v>324</v>
      </c>
      <c r="H221" s="5">
        <v>2</v>
      </c>
      <c r="I221" s="5">
        <v>3.01</v>
      </c>
      <c r="J221" s="5">
        <v>6.02</v>
      </c>
      <c r="K221" s="5" t="s">
        <v>223</v>
      </c>
      <c r="L221" s="5" t="s">
        <v>315</v>
      </c>
      <c r="M221" s="7"/>
      <c r="N221" s="7"/>
      <c r="O221" s="7"/>
      <c r="P221" s="7"/>
      <c r="Q221" s="7">
        <v>1</v>
      </c>
      <c r="R221" s="8" t="s">
        <v>37</v>
      </c>
      <c r="S221" s="7"/>
      <c r="T221" s="7" t="s">
        <v>38</v>
      </c>
      <c r="U221" s="7"/>
      <c r="V221" s="7" t="str">
        <f t="shared" si="3"/>
        <v>TCTN.DNS-26004</v>
      </c>
      <c r="W221" s="7" t="s">
        <v>81</v>
      </c>
      <c r="X221" s="7"/>
      <c r="Y221" s="7"/>
      <c r="Z221" s="7" t="s">
        <v>922</v>
      </c>
      <c r="AA221" s="7" t="s">
        <v>39</v>
      </c>
      <c r="AB221" s="7"/>
      <c r="AC221" s="7" t="s">
        <v>316</v>
      </c>
    </row>
    <row r="222" spans="1:29" hidden="1" x14ac:dyDescent="0.25">
      <c r="A222" s="5">
        <v>217</v>
      </c>
      <c r="B222" s="5" t="s">
        <v>323</v>
      </c>
      <c r="C222" s="5" t="s">
        <v>77</v>
      </c>
      <c r="D222" s="5" t="s">
        <v>324</v>
      </c>
      <c r="E222" s="5">
        <v>8</v>
      </c>
      <c r="F222" s="5">
        <v>160</v>
      </c>
      <c r="G222" s="5">
        <v>340</v>
      </c>
      <c r="H222" s="5">
        <v>2</v>
      </c>
      <c r="I222" s="5">
        <v>3.42</v>
      </c>
      <c r="J222" s="5">
        <v>6.83</v>
      </c>
      <c r="K222" s="5" t="s">
        <v>223</v>
      </c>
      <c r="L222" s="5" t="s">
        <v>315</v>
      </c>
      <c r="M222" s="7"/>
      <c r="N222" s="7"/>
      <c r="O222" s="7"/>
      <c r="P222" s="7"/>
      <c r="Q222" s="7">
        <v>1</v>
      </c>
      <c r="R222" s="8" t="s">
        <v>37</v>
      </c>
      <c r="S222" s="7"/>
      <c r="T222" s="7" t="s">
        <v>38</v>
      </c>
      <c r="U222" s="7"/>
      <c r="V222" s="7" t="str">
        <f t="shared" si="3"/>
        <v>TCTN.DNS-26004</v>
      </c>
      <c r="W222" s="7" t="s">
        <v>81</v>
      </c>
      <c r="X222" s="7"/>
      <c r="Y222" s="7"/>
      <c r="Z222" s="7" t="s">
        <v>922</v>
      </c>
      <c r="AA222" s="7" t="s">
        <v>39</v>
      </c>
      <c r="AB222" s="7"/>
      <c r="AC222" s="7" t="s">
        <v>316</v>
      </c>
    </row>
    <row r="223" spans="1:29" hidden="1" x14ac:dyDescent="0.25">
      <c r="A223" s="5">
        <v>218</v>
      </c>
      <c r="B223" s="5" t="s">
        <v>325</v>
      </c>
      <c r="C223" s="5" t="s">
        <v>77</v>
      </c>
      <c r="D223" s="5" t="s">
        <v>238</v>
      </c>
      <c r="E223" s="5">
        <v>8</v>
      </c>
      <c r="F223" s="5">
        <v>148</v>
      </c>
      <c r="G223" s="5">
        <v>441</v>
      </c>
      <c r="H223" s="5">
        <v>1</v>
      </c>
      <c r="I223" s="5">
        <v>4.0999999999999996</v>
      </c>
      <c r="J223" s="5">
        <v>4.0999999999999996</v>
      </c>
      <c r="K223" s="5" t="s">
        <v>223</v>
      </c>
      <c r="L223" s="5" t="s">
        <v>315</v>
      </c>
      <c r="M223" s="7"/>
      <c r="N223" s="7"/>
      <c r="O223" s="7"/>
      <c r="P223" s="7"/>
      <c r="Q223" s="7">
        <v>1</v>
      </c>
      <c r="R223" s="8" t="s">
        <v>37</v>
      </c>
      <c r="S223" s="7"/>
      <c r="T223" s="7" t="s">
        <v>38</v>
      </c>
      <c r="U223" s="7"/>
      <c r="V223" s="7" t="str">
        <f t="shared" si="3"/>
        <v>TCTN.DNS-26004</v>
      </c>
      <c r="W223" s="7" t="s">
        <v>81</v>
      </c>
      <c r="X223" s="7"/>
      <c r="Y223" s="7"/>
      <c r="Z223" s="7" t="s">
        <v>922</v>
      </c>
      <c r="AA223" s="7" t="s">
        <v>39</v>
      </c>
      <c r="AB223" s="7"/>
      <c r="AC223" s="7" t="s">
        <v>316</v>
      </c>
    </row>
    <row r="224" spans="1:29" hidden="1" x14ac:dyDescent="0.25">
      <c r="A224" s="5">
        <v>219</v>
      </c>
      <c r="B224" s="5" t="s">
        <v>326</v>
      </c>
      <c r="C224" s="5" t="s">
        <v>77</v>
      </c>
      <c r="D224" s="5" t="s">
        <v>322</v>
      </c>
      <c r="E224" s="5">
        <v>8</v>
      </c>
      <c r="F224" s="5">
        <v>148</v>
      </c>
      <c r="G224" s="5">
        <v>324</v>
      </c>
      <c r="H224" s="5">
        <v>2</v>
      </c>
      <c r="I224" s="5">
        <v>3.01</v>
      </c>
      <c r="J224" s="5">
        <v>6.02</v>
      </c>
      <c r="K224" s="5" t="s">
        <v>223</v>
      </c>
      <c r="L224" s="5" t="s">
        <v>315</v>
      </c>
      <c r="M224" s="7"/>
      <c r="N224" s="7"/>
      <c r="O224" s="7"/>
      <c r="P224" s="7"/>
      <c r="Q224" s="7">
        <v>1</v>
      </c>
      <c r="R224" s="8" t="s">
        <v>37</v>
      </c>
      <c r="S224" s="7"/>
      <c r="T224" s="7" t="s">
        <v>38</v>
      </c>
      <c r="U224" s="7"/>
      <c r="V224" s="7" t="str">
        <f t="shared" si="3"/>
        <v>TCTN.DNS-26004</v>
      </c>
      <c r="W224" s="7" t="s">
        <v>81</v>
      </c>
      <c r="X224" s="7"/>
      <c r="Y224" s="7"/>
      <c r="Z224" s="7" t="s">
        <v>922</v>
      </c>
      <c r="AA224" s="7" t="s">
        <v>39</v>
      </c>
      <c r="AB224" s="7"/>
      <c r="AC224" s="7" t="s">
        <v>316</v>
      </c>
    </row>
    <row r="225" spans="1:29" hidden="1" x14ac:dyDescent="0.25">
      <c r="A225" s="5">
        <v>220</v>
      </c>
      <c r="B225" s="5" t="s">
        <v>327</v>
      </c>
      <c r="C225" s="5" t="s">
        <v>77</v>
      </c>
      <c r="D225" s="5" t="s">
        <v>238</v>
      </c>
      <c r="E225" s="5">
        <v>8</v>
      </c>
      <c r="F225" s="5">
        <v>148</v>
      </c>
      <c r="G225" s="5">
        <v>441</v>
      </c>
      <c r="H225" s="5">
        <v>2</v>
      </c>
      <c r="I225" s="5">
        <v>4.0999999999999996</v>
      </c>
      <c r="J225" s="5">
        <v>8.19</v>
      </c>
      <c r="K225" s="5" t="s">
        <v>223</v>
      </c>
      <c r="L225" s="5" t="s">
        <v>315</v>
      </c>
      <c r="M225" s="7"/>
      <c r="N225" s="7"/>
      <c r="O225" s="7"/>
      <c r="P225" s="7"/>
      <c r="Q225" s="7">
        <v>1</v>
      </c>
      <c r="R225" s="8" t="s">
        <v>37</v>
      </c>
      <c r="S225" s="7"/>
      <c r="T225" s="7" t="s">
        <v>38</v>
      </c>
      <c r="U225" s="7"/>
      <c r="V225" s="7" t="str">
        <f t="shared" si="3"/>
        <v>TCTN.DNS-26004</v>
      </c>
      <c r="W225" s="7" t="s">
        <v>81</v>
      </c>
      <c r="X225" s="7"/>
      <c r="Y225" s="7"/>
      <c r="Z225" s="7" t="s">
        <v>922</v>
      </c>
      <c r="AA225" s="7" t="s">
        <v>39</v>
      </c>
      <c r="AB225" s="7"/>
      <c r="AC225" s="7" t="s">
        <v>316</v>
      </c>
    </row>
    <row r="226" spans="1:29" hidden="1" x14ac:dyDescent="0.25">
      <c r="A226" s="5">
        <v>221</v>
      </c>
      <c r="B226" s="5" t="s">
        <v>328</v>
      </c>
      <c r="C226" s="5" t="s">
        <v>77</v>
      </c>
      <c r="D226" s="5" t="s">
        <v>322</v>
      </c>
      <c r="E226" s="5">
        <v>8</v>
      </c>
      <c r="F226" s="5">
        <v>148</v>
      </c>
      <c r="G226" s="5">
        <v>324</v>
      </c>
      <c r="H226" s="5">
        <v>4</v>
      </c>
      <c r="I226" s="5">
        <v>3.01</v>
      </c>
      <c r="J226" s="5">
        <v>12.03</v>
      </c>
      <c r="K226" s="5" t="s">
        <v>223</v>
      </c>
      <c r="L226" s="5" t="s">
        <v>315</v>
      </c>
      <c r="M226" s="7"/>
      <c r="N226" s="7"/>
      <c r="O226" s="7"/>
      <c r="P226" s="7"/>
      <c r="Q226" s="7">
        <v>1</v>
      </c>
      <c r="R226" s="8" t="s">
        <v>37</v>
      </c>
      <c r="S226" s="7"/>
      <c r="T226" s="7" t="s">
        <v>38</v>
      </c>
      <c r="U226" s="7"/>
      <c r="V226" s="7" t="str">
        <f t="shared" si="3"/>
        <v>TCTN.DNS-26004</v>
      </c>
      <c r="W226" s="7" t="s">
        <v>81</v>
      </c>
      <c r="X226" s="7"/>
      <c r="Y226" s="7"/>
      <c r="Z226" s="7" t="s">
        <v>922</v>
      </c>
      <c r="AA226" s="7" t="s">
        <v>39</v>
      </c>
      <c r="AB226" s="7"/>
      <c r="AC226" s="7" t="s">
        <v>316</v>
      </c>
    </row>
    <row r="227" spans="1:29" hidden="1" x14ac:dyDescent="0.25">
      <c r="A227" s="5">
        <v>222</v>
      </c>
      <c r="B227" s="5" t="s">
        <v>296</v>
      </c>
      <c r="C227" s="5" t="s">
        <v>77</v>
      </c>
      <c r="D227" s="5" t="s">
        <v>297</v>
      </c>
      <c r="E227" s="5">
        <v>8</v>
      </c>
      <c r="F227" s="5">
        <v>329</v>
      </c>
      <c r="G227" s="5">
        <v>7565</v>
      </c>
      <c r="H227" s="5">
        <v>2</v>
      </c>
      <c r="I227" s="5">
        <v>154.86000000000001</v>
      </c>
      <c r="J227" s="5">
        <v>309.73</v>
      </c>
      <c r="K227" s="5" t="s">
        <v>223</v>
      </c>
      <c r="L227" s="5" t="s">
        <v>315</v>
      </c>
      <c r="M227" s="7"/>
      <c r="N227" s="7" t="s">
        <v>228</v>
      </c>
      <c r="O227" s="7"/>
      <c r="P227" s="7"/>
      <c r="Q227" s="7">
        <v>1</v>
      </c>
      <c r="R227" s="8" t="s">
        <v>37</v>
      </c>
      <c r="S227" s="7"/>
      <c r="T227" s="7" t="s">
        <v>38</v>
      </c>
      <c r="U227" s="7"/>
      <c r="V227" s="7" t="str">
        <f t="shared" si="3"/>
        <v>TCTN.DNS-26004</v>
      </c>
      <c r="W227" s="7"/>
      <c r="X227" s="7"/>
      <c r="Y227" s="7" t="s">
        <v>81</v>
      </c>
      <c r="Z227" s="7" t="s">
        <v>922</v>
      </c>
      <c r="AA227" s="7" t="s">
        <v>39</v>
      </c>
      <c r="AB227" s="7"/>
      <c r="AC227" s="7" t="s">
        <v>316</v>
      </c>
    </row>
    <row r="228" spans="1:29" hidden="1" x14ac:dyDescent="0.25">
      <c r="A228" s="5">
        <v>223</v>
      </c>
      <c r="B228" s="5" t="s">
        <v>329</v>
      </c>
      <c r="C228" s="5" t="s">
        <v>77</v>
      </c>
      <c r="D228" s="5" t="s">
        <v>318</v>
      </c>
      <c r="E228" s="5">
        <v>8</v>
      </c>
      <c r="F228" s="5">
        <v>206</v>
      </c>
      <c r="G228" s="5">
        <v>465</v>
      </c>
      <c r="H228" s="5">
        <v>1</v>
      </c>
      <c r="I228" s="5">
        <v>6.01</v>
      </c>
      <c r="J228" s="5">
        <v>6.01</v>
      </c>
      <c r="K228" s="5" t="s">
        <v>223</v>
      </c>
      <c r="L228" s="5" t="s">
        <v>315</v>
      </c>
      <c r="M228" s="7"/>
      <c r="N228" s="7"/>
      <c r="O228" s="7"/>
      <c r="P228" s="7"/>
      <c r="Q228" s="7">
        <v>1</v>
      </c>
      <c r="R228" s="8" t="s">
        <v>37</v>
      </c>
      <c r="S228" s="7"/>
      <c r="T228" s="7" t="s">
        <v>38</v>
      </c>
      <c r="U228" s="7"/>
      <c r="V228" s="7" t="str">
        <f t="shared" si="3"/>
        <v>TCTN.DNS-26004</v>
      </c>
      <c r="W228" s="7" t="s">
        <v>81</v>
      </c>
      <c r="X228" s="7"/>
      <c r="Y228" s="7"/>
      <c r="Z228" s="7" t="s">
        <v>922</v>
      </c>
      <c r="AA228" s="7" t="s">
        <v>39</v>
      </c>
      <c r="AB228" s="7"/>
      <c r="AC228" s="7" t="s">
        <v>316</v>
      </c>
    </row>
    <row r="229" spans="1:29" hidden="1" x14ac:dyDescent="0.25">
      <c r="A229" s="5">
        <v>224</v>
      </c>
      <c r="B229" s="5" t="s">
        <v>330</v>
      </c>
      <c r="C229" s="5" t="s">
        <v>77</v>
      </c>
      <c r="D229" s="5" t="s">
        <v>320</v>
      </c>
      <c r="E229" s="5">
        <v>8</v>
      </c>
      <c r="F229" s="5">
        <v>196</v>
      </c>
      <c r="G229" s="5">
        <v>340</v>
      </c>
      <c r="H229" s="5">
        <v>2</v>
      </c>
      <c r="I229" s="5">
        <v>4.18</v>
      </c>
      <c r="J229" s="5">
        <v>8.36</v>
      </c>
      <c r="K229" s="5" t="s">
        <v>223</v>
      </c>
      <c r="L229" s="5" t="s">
        <v>315</v>
      </c>
      <c r="M229" s="7"/>
      <c r="N229" s="7"/>
      <c r="O229" s="7"/>
      <c r="P229" s="7"/>
      <c r="Q229" s="7">
        <v>1</v>
      </c>
      <c r="R229" s="8" t="s">
        <v>37</v>
      </c>
      <c r="S229" s="7"/>
      <c r="T229" s="7" t="s">
        <v>38</v>
      </c>
      <c r="U229" s="7"/>
      <c r="V229" s="7" t="str">
        <f t="shared" si="3"/>
        <v>TCTN.DNS-26004</v>
      </c>
      <c r="W229" s="7" t="s">
        <v>81</v>
      </c>
      <c r="X229" s="7"/>
      <c r="Y229" s="7"/>
      <c r="Z229" s="7" t="s">
        <v>922</v>
      </c>
      <c r="AA229" s="7" t="s">
        <v>39</v>
      </c>
      <c r="AB229" s="7"/>
      <c r="AC229" s="7" t="s">
        <v>316</v>
      </c>
    </row>
    <row r="230" spans="1:29" hidden="1" x14ac:dyDescent="0.25">
      <c r="A230" s="5">
        <v>225</v>
      </c>
      <c r="B230" s="5" t="s">
        <v>331</v>
      </c>
      <c r="C230" s="5" t="s">
        <v>77</v>
      </c>
      <c r="D230" s="5" t="s">
        <v>238</v>
      </c>
      <c r="E230" s="5">
        <v>8</v>
      </c>
      <c r="F230" s="5">
        <v>148</v>
      </c>
      <c r="G230" s="5">
        <v>441</v>
      </c>
      <c r="H230" s="5">
        <v>1</v>
      </c>
      <c r="I230" s="5">
        <v>4.0999999999999996</v>
      </c>
      <c r="J230" s="5">
        <v>4.0999999999999996</v>
      </c>
      <c r="K230" s="5" t="s">
        <v>223</v>
      </c>
      <c r="L230" s="5" t="s">
        <v>315</v>
      </c>
      <c r="M230" s="7"/>
      <c r="N230" s="7"/>
      <c r="O230" s="7"/>
      <c r="P230" s="7"/>
      <c r="Q230" s="7">
        <v>1</v>
      </c>
      <c r="R230" s="8" t="s">
        <v>37</v>
      </c>
      <c r="S230" s="7"/>
      <c r="T230" s="7" t="s">
        <v>38</v>
      </c>
      <c r="U230" s="7"/>
      <c r="V230" s="7" t="str">
        <f t="shared" si="3"/>
        <v>TCTN.DNS-26004</v>
      </c>
      <c r="W230" s="7" t="s">
        <v>81</v>
      </c>
      <c r="X230" s="7"/>
      <c r="Y230" s="7"/>
      <c r="Z230" s="7" t="s">
        <v>922</v>
      </c>
      <c r="AA230" s="7" t="s">
        <v>39</v>
      </c>
      <c r="AB230" s="7"/>
      <c r="AC230" s="7" t="s">
        <v>316</v>
      </c>
    </row>
    <row r="231" spans="1:29" hidden="1" x14ac:dyDescent="0.25">
      <c r="A231" s="5">
        <v>226</v>
      </c>
      <c r="B231" s="5" t="s">
        <v>332</v>
      </c>
      <c r="C231" s="5" t="s">
        <v>77</v>
      </c>
      <c r="D231" s="5" t="s">
        <v>322</v>
      </c>
      <c r="E231" s="5">
        <v>8</v>
      </c>
      <c r="F231" s="5">
        <v>148</v>
      </c>
      <c r="G231" s="5">
        <v>324</v>
      </c>
      <c r="H231" s="5">
        <v>2</v>
      </c>
      <c r="I231" s="5">
        <v>3.01</v>
      </c>
      <c r="J231" s="5">
        <v>6.02</v>
      </c>
      <c r="K231" s="5" t="s">
        <v>223</v>
      </c>
      <c r="L231" s="5" t="s">
        <v>315</v>
      </c>
      <c r="M231" s="7"/>
      <c r="N231" s="7"/>
      <c r="O231" s="7"/>
      <c r="P231" s="7"/>
      <c r="Q231" s="7">
        <v>1</v>
      </c>
      <c r="R231" s="8" t="s">
        <v>37</v>
      </c>
      <c r="S231" s="7"/>
      <c r="T231" s="7" t="s">
        <v>38</v>
      </c>
      <c r="U231" s="7"/>
      <c r="V231" s="7" t="str">
        <f t="shared" si="3"/>
        <v>TCTN.DNS-26004</v>
      </c>
      <c r="W231" s="7" t="s">
        <v>81</v>
      </c>
      <c r="X231" s="7"/>
      <c r="Y231" s="7"/>
      <c r="Z231" s="7" t="s">
        <v>922</v>
      </c>
      <c r="AA231" s="7" t="s">
        <v>39</v>
      </c>
      <c r="AB231" s="7"/>
      <c r="AC231" s="7" t="s">
        <v>316</v>
      </c>
    </row>
    <row r="232" spans="1:29" hidden="1" x14ac:dyDescent="0.25">
      <c r="A232" s="5">
        <v>227</v>
      </c>
      <c r="B232" s="5" t="s">
        <v>333</v>
      </c>
      <c r="C232" s="5" t="s">
        <v>77</v>
      </c>
      <c r="D232" s="5" t="s">
        <v>242</v>
      </c>
      <c r="E232" s="5">
        <v>8</v>
      </c>
      <c r="F232" s="5">
        <v>156</v>
      </c>
      <c r="G232" s="5">
        <v>465</v>
      </c>
      <c r="H232" s="5">
        <v>1</v>
      </c>
      <c r="I232" s="5">
        <v>4.55</v>
      </c>
      <c r="J232" s="5">
        <v>4.55</v>
      </c>
      <c r="K232" s="5" t="s">
        <v>223</v>
      </c>
      <c r="L232" s="5" t="s">
        <v>315</v>
      </c>
      <c r="M232" s="7"/>
      <c r="N232" s="7"/>
      <c r="O232" s="7"/>
      <c r="P232" s="7"/>
      <c r="Q232" s="7">
        <v>1</v>
      </c>
      <c r="R232" s="8" t="s">
        <v>37</v>
      </c>
      <c r="S232" s="7"/>
      <c r="T232" s="7" t="s">
        <v>38</v>
      </c>
      <c r="U232" s="7"/>
      <c r="V232" s="7" t="str">
        <f t="shared" si="3"/>
        <v>TCTN.DNS-26004</v>
      </c>
      <c r="W232" s="7" t="s">
        <v>81</v>
      </c>
      <c r="X232" s="7"/>
      <c r="Y232" s="7"/>
      <c r="Z232" s="7" t="s">
        <v>922</v>
      </c>
      <c r="AA232" s="7" t="s">
        <v>39</v>
      </c>
      <c r="AB232" s="7"/>
      <c r="AC232" s="7" t="s">
        <v>316</v>
      </c>
    </row>
    <row r="233" spans="1:29" hidden="1" x14ac:dyDescent="0.25">
      <c r="A233" s="5">
        <v>228</v>
      </c>
      <c r="B233" s="5" t="s">
        <v>334</v>
      </c>
      <c r="C233" s="5" t="s">
        <v>77</v>
      </c>
      <c r="D233" s="5" t="s">
        <v>324</v>
      </c>
      <c r="E233" s="5">
        <v>8</v>
      </c>
      <c r="F233" s="5">
        <v>160</v>
      </c>
      <c r="G233" s="5">
        <v>340</v>
      </c>
      <c r="H233" s="5">
        <v>2</v>
      </c>
      <c r="I233" s="5">
        <v>3.42</v>
      </c>
      <c r="J233" s="5">
        <v>6.83</v>
      </c>
      <c r="K233" s="5" t="s">
        <v>223</v>
      </c>
      <c r="L233" s="5" t="s">
        <v>315</v>
      </c>
      <c r="M233" s="7"/>
      <c r="N233" s="7"/>
      <c r="O233" s="7"/>
      <c r="P233" s="7"/>
      <c r="Q233" s="7">
        <v>1</v>
      </c>
      <c r="R233" s="8" t="s">
        <v>37</v>
      </c>
      <c r="S233" s="7"/>
      <c r="T233" s="7" t="s">
        <v>38</v>
      </c>
      <c r="U233" s="7"/>
      <c r="V233" s="7" t="str">
        <f t="shared" si="3"/>
        <v>TCTN.DNS-26004</v>
      </c>
      <c r="W233" s="7" t="s">
        <v>81</v>
      </c>
      <c r="X233" s="7"/>
      <c r="Y233" s="7"/>
      <c r="Z233" s="7" t="s">
        <v>922</v>
      </c>
      <c r="AA233" s="7" t="s">
        <v>39</v>
      </c>
      <c r="AB233" s="7"/>
      <c r="AC233" s="7" t="s">
        <v>316</v>
      </c>
    </row>
    <row r="234" spans="1:29" hidden="1" x14ac:dyDescent="0.25">
      <c r="A234" s="5">
        <v>229</v>
      </c>
      <c r="B234" s="5" t="s">
        <v>335</v>
      </c>
      <c r="C234" s="5" t="s">
        <v>77</v>
      </c>
      <c r="D234" s="5" t="s">
        <v>238</v>
      </c>
      <c r="E234" s="5">
        <v>8</v>
      </c>
      <c r="F234" s="5">
        <v>148</v>
      </c>
      <c r="G234" s="5">
        <v>441</v>
      </c>
      <c r="H234" s="5">
        <v>1</v>
      </c>
      <c r="I234" s="5">
        <v>4.0999999999999996</v>
      </c>
      <c r="J234" s="5">
        <v>4.0999999999999996</v>
      </c>
      <c r="K234" s="5" t="s">
        <v>223</v>
      </c>
      <c r="L234" s="5" t="s">
        <v>315</v>
      </c>
      <c r="M234" s="7"/>
      <c r="N234" s="7"/>
      <c r="O234" s="7"/>
      <c r="P234" s="7"/>
      <c r="Q234" s="7">
        <v>1</v>
      </c>
      <c r="R234" s="8" t="s">
        <v>37</v>
      </c>
      <c r="S234" s="7"/>
      <c r="T234" s="7" t="s">
        <v>38</v>
      </c>
      <c r="U234" s="7"/>
      <c r="V234" s="7" t="str">
        <f t="shared" si="3"/>
        <v>TCTN.DNS-26004</v>
      </c>
      <c r="W234" s="7" t="s">
        <v>81</v>
      </c>
      <c r="X234" s="7"/>
      <c r="Y234" s="7"/>
      <c r="Z234" s="7" t="s">
        <v>922</v>
      </c>
      <c r="AA234" s="7" t="s">
        <v>39</v>
      </c>
      <c r="AB234" s="7"/>
      <c r="AC234" s="7" t="s">
        <v>316</v>
      </c>
    </row>
    <row r="235" spans="1:29" hidden="1" x14ac:dyDescent="0.25">
      <c r="A235" s="5">
        <v>230</v>
      </c>
      <c r="B235" s="5" t="s">
        <v>336</v>
      </c>
      <c r="C235" s="5" t="s">
        <v>77</v>
      </c>
      <c r="D235" s="5" t="s">
        <v>322</v>
      </c>
      <c r="E235" s="5">
        <v>8</v>
      </c>
      <c r="F235" s="5">
        <v>148</v>
      </c>
      <c r="G235" s="5">
        <v>324</v>
      </c>
      <c r="H235" s="5">
        <v>2</v>
      </c>
      <c r="I235" s="5">
        <v>3.01</v>
      </c>
      <c r="J235" s="5">
        <v>6.02</v>
      </c>
      <c r="K235" s="5" t="s">
        <v>223</v>
      </c>
      <c r="L235" s="5" t="s">
        <v>315</v>
      </c>
      <c r="M235" s="7"/>
      <c r="N235" s="7"/>
      <c r="O235" s="7"/>
      <c r="P235" s="7"/>
      <c r="Q235" s="7">
        <v>1</v>
      </c>
      <c r="R235" s="8" t="s">
        <v>37</v>
      </c>
      <c r="S235" s="7"/>
      <c r="T235" s="7" t="s">
        <v>38</v>
      </c>
      <c r="U235" s="7"/>
      <c r="V235" s="7" t="str">
        <f t="shared" si="3"/>
        <v>TCTN.DNS-26004</v>
      </c>
      <c r="W235" s="7" t="s">
        <v>81</v>
      </c>
      <c r="X235" s="7"/>
      <c r="Y235" s="7"/>
      <c r="Z235" s="7" t="s">
        <v>922</v>
      </c>
      <c r="AA235" s="7" t="s">
        <v>39</v>
      </c>
      <c r="AB235" s="7"/>
      <c r="AC235" s="7" t="s">
        <v>316</v>
      </c>
    </row>
    <row r="236" spans="1:29" hidden="1" x14ac:dyDescent="0.25">
      <c r="A236" s="5">
        <v>231</v>
      </c>
      <c r="B236" s="5" t="s">
        <v>337</v>
      </c>
      <c r="C236" s="5" t="s">
        <v>77</v>
      </c>
      <c r="D236" s="5" t="s">
        <v>238</v>
      </c>
      <c r="E236" s="5">
        <v>8</v>
      </c>
      <c r="F236" s="5">
        <v>148</v>
      </c>
      <c r="G236" s="5">
        <v>441</v>
      </c>
      <c r="H236" s="5">
        <v>2</v>
      </c>
      <c r="I236" s="5">
        <v>4.0999999999999996</v>
      </c>
      <c r="J236" s="5">
        <v>8.19</v>
      </c>
      <c r="K236" s="5" t="s">
        <v>223</v>
      </c>
      <c r="L236" s="5" t="s">
        <v>315</v>
      </c>
      <c r="M236" s="7"/>
      <c r="N236" s="7"/>
      <c r="O236" s="7"/>
      <c r="P236" s="7"/>
      <c r="Q236" s="7">
        <v>1</v>
      </c>
      <c r="R236" s="8" t="s">
        <v>37</v>
      </c>
      <c r="S236" s="7"/>
      <c r="T236" s="7" t="s">
        <v>38</v>
      </c>
      <c r="U236" s="7"/>
      <c r="V236" s="7" t="str">
        <f t="shared" si="3"/>
        <v>TCTN.DNS-26004</v>
      </c>
      <c r="W236" s="7" t="s">
        <v>81</v>
      </c>
      <c r="X236" s="7"/>
      <c r="Y236" s="7"/>
      <c r="Z236" s="7" t="s">
        <v>922</v>
      </c>
      <c r="AA236" s="7" t="s">
        <v>39</v>
      </c>
      <c r="AB236" s="7"/>
      <c r="AC236" s="7" t="s">
        <v>316</v>
      </c>
    </row>
    <row r="237" spans="1:29" hidden="1" x14ac:dyDescent="0.25">
      <c r="A237" s="5">
        <v>232</v>
      </c>
      <c r="B237" s="5" t="s">
        <v>338</v>
      </c>
      <c r="C237" s="5" t="s">
        <v>77</v>
      </c>
      <c r="D237" s="5" t="s">
        <v>322</v>
      </c>
      <c r="E237" s="5">
        <v>8</v>
      </c>
      <c r="F237" s="5">
        <v>148</v>
      </c>
      <c r="G237" s="5">
        <v>324</v>
      </c>
      <c r="H237" s="5">
        <v>4</v>
      </c>
      <c r="I237" s="5">
        <v>3.01</v>
      </c>
      <c r="J237" s="5">
        <v>12.03</v>
      </c>
      <c r="K237" s="5" t="s">
        <v>223</v>
      </c>
      <c r="L237" s="5" t="s">
        <v>315</v>
      </c>
      <c r="M237" s="7"/>
      <c r="N237" s="7"/>
      <c r="O237" s="7"/>
      <c r="P237" s="7"/>
      <c r="Q237" s="7">
        <v>1</v>
      </c>
      <c r="R237" s="8" t="s">
        <v>37</v>
      </c>
      <c r="S237" s="7"/>
      <c r="T237" s="7" t="s">
        <v>38</v>
      </c>
      <c r="U237" s="7"/>
      <c r="V237" s="7" t="str">
        <f t="shared" si="3"/>
        <v>TCTN.DNS-26004</v>
      </c>
      <c r="W237" s="7" t="s">
        <v>81</v>
      </c>
      <c r="X237" s="7"/>
      <c r="Y237" s="7"/>
      <c r="Z237" s="7" t="s">
        <v>922</v>
      </c>
      <c r="AA237" s="7" t="s">
        <v>39</v>
      </c>
      <c r="AB237" s="7"/>
      <c r="AC237" s="7" t="s">
        <v>316</v>
      </c>
    </row>
    <row r="238" spans="1:29" hidden="1" x14ac:dyDescent="0.25">
      <c r="A238" s="5">
        <v>233</v>
      </c>
      <c r="B238" s="5" t="s">
        <v>298</v>
      </c>
      <c r="C238" s="5" t="s">
        <v>77</v>
      </c>
      <c r="D238" s="5" t="s">
        <v>299</v>
      </c>
      <c r="E238" s="5">
        <v>8</v>
      </c>
      <c r="F238" s="5">
        <v>329</v>
      </c>
      <c r="G238" s="5">
        <v>7566</v>
      </c>
      <c r="H238" s="5">
        <v>3</v>
      </c>
      <c r="I238" s="5">
        <v>154.88</v>
      </c>
      <c r="J238" s="5">
        <v>464.63</v>
      </c>
      <c r="K238" s="5" t="s">
        <v>223</v>
      </c>
      <c r="L238" s="5" t="s">
        <v>315</v>
      </c>
      <c r="M238" s="7"/>
      <c r="N238" s="7" t="s">
        <v>228</v>
      </c>
      <c r="O238" s="7"/>
      <c r="P238" s="7"/>
      <c r="Q238" s="7">
        <v>1</v>
      </c>
      <c r="R238" s="8" t="s">
        <v>37</v>
      </c>
      <c r="S238" s="7"/>
      <c r="T238" s="7" t="s">
        <v>38</v>
      </c>
      <c r="U238" s="7"/>
      <c r="V238" s="7" t="str">
        <f t="shared" si="3"/>
        <v>TCTN.DNS-26004</v>
      </c>
      <c r="W238" s="7"/>
      <c r="X238" s="7"/>
      <c r="Y238" s="7" t="s">
        <v>81</v>
      </c>
      <c r="Z238" s="7" t="s">
        <v>922</v>
      </c>
      <c r="AA238" s="7" t="s">
        <v>39</v>
      </c>
      <c r="AB238" s="7"/>
      <c r="AC238" s="7" t="s">
        <v>316</v>
      </c>
    </row>
    <row r="239" spans="1:29" hidden="1" x14ac:dyDescent="0.25">
      <c r="A239" s="5">
        <v>234</v>
      </c>
      <c r="B239" s="5" t="s">
        <v>339</v>
      </c>
      <c r="C239" s="5" t="s">
        <v>77</v>
      </c>
      <c r="D239" s="5" t="s">
        <v>340</v>
      </c>
      <c r="E239" s="5">
        <v>8</v>
      </c>
      <c r="F239" s="5">
        <v>142</v>
      </c>
      <c r="G239" s="5">
        <v>1799</v>
      </c>
      <c r="H239" s="5">
        <v>1</v>
      </c>
      <c r="I239" s="5">
        <v>16.04</v>
      </c>
      <c r="J239" s="5">
        <v>16.04</v>
      </c>
      <c r="K239" s="5" t="s">
        <v>223</v>
      </c>
      <c r="L239" s="5" t="s">
        <v>315</v>
      </c>
      <c r="M239" s="7"/>
      <c r="N239" s="7"/>
      <c r="O239" s="7" t="s">
        <v>81</v>
      </c>
      <c r="P239" s="7"/>
      <c r="Q239" s="7">
        <v>1</v>
      </c>
      <c r="R239" s="8" t="s">
        <v>37</v>
      </c>
      <c r="S239" s="7"/>
      <c r="T239" s="7" t="s">
        <v>38</v>
      </c>
      <c r="U239" s="7"/>
      <c r="V239" s="7" t="str">
        <f t="shared" si="3"/>
        <v>TCTN.DNS-26004</v>
      </c>
      <c r="W239" s="7"/>
      <c r="X239" s="7"/>
      <c r="Y239" s="7"/>
      <c r="Z239" s="7" t="s">
        <v>922</v>
      </c>
      <c r="AA239" s="7" t="s">
        <v>39</v>
      </c>
      <c r="AB239" s="7"/>
      <c r="AC239" s="7" t="s">
        <v>316</v>
      </c>
    </row>
    <row r="240" spans="1:29" hidden="1" x14ac:dyDescent="0.25">
      <c r="A240" s="5">
        <v>235</v>
      </c>
      <c r="B240" s="5" t="s">
        <v>341</v>
      </c>
      <c r="C240" s="5" t="s">
        <v>77</v>
      </c>
      <c r="D240" s="5" t="s">
        <v>342</v>
      </c>
      <c r="E240" s="5">
        <v>8</v>
      </c>
      <c r="F240" s="5">
        <v>74</v>
      </c>
      <c r="G240" s="5">
        <v>172</v>
      </c>
      <c r="H240" s="5">
        <v>2</v>
      </c>
      <c r="I240" s="5">
        <v>0.54</v>
      </c>
      <c r="J240" s="5">
        <v>1.07</v>
      </c>
      <c r="K240" s="5" t="s">
        <v>223</v>
      </c>
      <c r="L240" s="5" t="s">
        <v>315</v>
      </c>
      <c r="M240" s="7"/>
      <c r="N240" s="7"/>
      <c r="O240" s="7"/>
      <c r="P240" s="7"/>
      <c r="Q240" s="7">
        <v>1</v>
      </c>
      <c r="R240" s="8" t="s">
        <v>37</v>
      </c>
      <c r="S240" s="7"/>
      <c r="T240" s="7" t="s">
        <v>38</v>
      </c>
      <c r="U240" s="7"/>
      <c r="V240" s="7" t="str">
        <f t="shared" si="3"/>
        <v>TCTN.DNS-26004</v>
      </c>
      <c r="W240" s="7" t="s">
        <v>81</v>
      </c>
      <c r="X240" s="7"/>
      <c r="Y240" s="7"/>
      <c r="Z240" s="7" t="s">
        <v>922</v>
      </c>
      <c r="AA240" s="7" t="s">
        <v>39</v>
      </c>
      <c r="AB240" s="7"/>
      <c r="AC240" s="7" t="s">
        <v>316</v>
      </c>
    </row>
    <row r="241" spans="1:29" hidden="1" x14ac:dyDescent="0.25">
      <c r="A241" s="5">
        <v>236</v>
      </c>
      <c r="B241" s="5" t="s">
        <v>343</v>
      </c>
      <c r="C241" s="5" t="s">
        <v>77</v>
      </c>
      <c r="D241" s="5" t="s">
        <v>230</v>
      </c>
      <c r="E241" s="5">
        <v>8</v>
      </c>
      <c r="F241" s="5">
        <v>90</v>
      </c>
      <c r="G241" s="5">
        <v>150</v>
      </c>
      <c r="H241" s="5">
        <v>6</v>
      </c>
      <c r="I241" s="5">
        <v>0.62</v>
      </c>
      <c r="J241" s="5">
        <v>3.71</v>
      </c>
      <c r="K241" s="5" t="s">
        <v>223</v>
      </c>
      <c r="L241" s="5" t="s">
        <v>315</v>
      </c>
      <c r="M241" s="7"/>
      <c r="N241" s="7"/>
      <c r="O241" s="7"/>
      <c r="P241" s="7"/>
      <c r="Q241" s="7">
        <v>1</v>
      </c>
      <c r="R241" s="8" t="s">
        <v>37</v>
      </c>
      <c r="S241" s="7"/>
      <c r="T241" s="7" t="s">
        <v>38</v>
      </c>
      <c r="U241" s="7"/>
      <c r="V241" s="7" t="str">
        <f t="shared" si="3"/>
        <v>TCTN.DNS-26004</v>
      </c>
      <c r="W241" s="7" t="s">
        <v>81</v>
      </c>
      <c r="X241" s="7"/>
      <c r="Y241" s="7"/>
      <c r="Z241" s="7" t="s">
        <v>922</v>
      </c>
      <c r="AA241" s="7" t="s">
        <v>39</v>
      </c>
      <c r="AB241" s="7"/>
      <c r="AC241" s="7" t="s">
        <v>316</v>
      </c>
    </row>
    <row r="242" spans="1:29" hidden="1" x14ac:dyDescent="0.25">
      <c r="A242" s="5">
        <v>237</v>
      </c>
      <c r="B242" s="5" t="s">
        <v>344</v>
      </c>
      <c r="C242" s="5" t="s">
        <v>77</v>
      </c>
      <c r="D242" s="5" t="s">
        <v>340</v>
      </c>
      <c r="E242" s="5">
        <v>8</v>
      </c>
      <c r="F242" s="5">
        <v>142</v>
      </c>
      <c r="G242" s="5">
        <v>1799</v>
      </c>
      <c r="H242" s="5">
        <v>2</v>
      </c>
      <c r="I242" s="5">
        <v>16.05</v>
      </c>
      <c r="J242" s="5">
        <v>32.090000000000003</v>
      </c>
      <c r="K242" s="5" t="s">
        <v>223</v>
      </c>
      <c r="L242" s="5" t="s">
        <v>315</v>
      </c>
      <c r="M242" s="7"/>
      <c r="N242" s="7"/>
      <c r="O242" s="7" t="s">
        <v>81</v>
      </c>
      <c r="P242" s="7"/>
      <c r="Q242" s="7">
        <v>1</v>
      </c>
      <c r="R242" s="8" t="s">
        <v>37</v>
      </c>
      <c r="S242" s="7"/>
      <c r="T242" s="7" t="s">
        <v>38</v>
      </c>
      <c r="U242" s="7"/>
      <c r="V242" s="7" t="str">
        <f t="shared" si="3"/>
        <v>TCTN.DNS-26004</v>
      </c>
      <c r="W242" s="7"/>
      <c r="X242" s="7"/>
      <c r="Y242" s="7"/>
      <c r="Z242" s="7" t="s">
        <v>922</v>
      </c>
      <c r="AA242" s="7" t="s">
        <v>39</v>
      </c>
      <c r="AB242" s="7"/>
      <c r="AC242" s="7" t="s">
        <v>316</v>
      </c>
    </row>
    <row r="243" spans="1:29" hidden="1" x14ac:dyDescent="0.25">
      <c r="A243" s="5">
        <v>238</v>
      </c>
      <c r="B243" s="5" t="s">
        <v>229</v>
      </c>
      <c r="C243" s="5" t="s">
        <v>77</v>
      </c>
      <c r="D243" s="5" t="s">
        <v>230</v>
      </c>
      <c r="E243" s="5">
        <v>8</v>
      </c>
      <c r="F243" s="5">
        <v>90</v>
      </c>
      <c r="G243" s="5">
        <v>150</v>
      </c>
      <c r="H243" s="5">
        <v>9</v>
      </c>
      <c r="I243" s="5">
        <v>0.62</v>
      </c>
      <c r="J243" s="5">
        <v>5.57</v>
      </c>
      <c r="K243" s="5" t="s">
        <v>223</v>
      </c>
      <c r="L243" s="5" t="s">
        <v>315</v>
      </c>
      <c r="M243" s="7"/>
      <c r="N243" s="7"/>
      <c r="O243" s="7"/>
      <c r="P243" s="7"/>
      <c r="Q243" s="7">
        <v>1</v>
      </c>
      <c r="R243" s="8" t="s">
        <v>37</v>
      </c>
      <c r="S243" s="7"/>
      <c r="T243" s="7" t="s">
        <v>38</v>
      </c>
      <c r="U243" s="7"/>
      <c r="V243" s="7" t="str">
        <f t="shared" si="3"/>
        <v>TCTN.DNS-26004</v>
      </c>
      <c r="W243" s="7" t="s">
        <v>81</v>
      </c>
      <c r="X243" s="7"/>
      <c r="Y243" s="7"/>
      <c r="Z243" s="7" t="s">
        <v>922</v>
      </c>
      <c r="AA243" s="7" t="s">
        <v>39</v>
      </c>
      <c r="AB243" s="7"/>
      <c r="AC243" s="7" t="s">
        <v>316</v>
      </c>
    </row>
    <row r="244" spans="1:29" hidden="1" x14ac:dyDescent="0.25">
      <c r="A244" s="5">
        <v>239</v>
      </c>
      <c r="B244" s="5" t="s">
        <v>345</v>
      </c>
      <c r="C244" s="5" t="s">
        <v>77</v>
      </c>
      <c r="D244" s="5" t="s">
        <v>340</v>
      </c>
      <c r="E244" s="5">
        <v>8</v>
      </c>
      <c r="F244" s="5">
        <v>142</v>
      </c>
      <c r="G244" s="5">
        <v>1799</v>
      </c>
      <c r="H244" s="5">
        <v>1</v>
      </c>
      <c r="I244" s="5">
        <v>16.04</v>
      </c>
      <c r="J244" s="5">
        <v>16.04</v>
      </c>
      <c r="K244" s="5" t="s">
        <v>223</v>
      </c>
      <c r="L244" s="5" t="s">
        <v>315</v>
      </c>
      <c r="M244" s="7"/>
      <c r="N244" s="7"/>
      <c r="O244" s="7" t="s">
        <v>81</v>
      </c>
      <c r="P244" s="7"/>
      <c r="Q244" s="7">
        <v>1</v>
      </c>
      <c r="R244" s="8" t="s">
        <v>37</v>
      </c>
      <c r="S244" s="7"/>
      <c r="T244" s="7" t="s">
        <v>38</v>
      </c>
      <c r="U244" s="7"/>
      <c r="V244" s="7" t="str">
        <f t="shared" si="3"/>
        <v>TCTN.DNS-26004</v>
      </c>
      <c r="W244" s="7"/>
      <c r="X244" s="7"/>
      <c r="Y244" s="7"/>
      <c r="Z244" s="7" t="s">
        <v>922</v>
      </c>
      <c r="AA244" s="7" t="s">
        <v>39</v>
      </c>
      <c r="AB244" s="7"/>
      <c r="AC244" s="7" t="s">
        <v>316</v>
      </c>
    </row>
    <row r="245" spans="1:29" hidden="1" x14ac:dyDescent="0.25">
      <c r="A245" s="5">
        <v>240</v>
      </c>
      <c r="B245" s="5" t="s">
        <v>346</v>
      </c>
      <c r="C245" s="5" t="s">
        <v>77</v>
      </c>
      <c r="D245" s="5" t="s">
        <v>342</v>
      </c>
      <c r="E245" s="5">
        <v>8</v>
      </c>
      <c r="F245" s="5">
        <v>74</v>
      </c>
      <c r="G245" s="5">
        <v>172</v>
      </c>
      <c r="H245" s="5">
        <v>3</v>
      </c>
      <c r="I245" s="5">
        <v>0.53</v>
      </c>
      <c r="J245" s="5">
        <v>1.6</v>
      </c>
      <c r="K245" s="5" t="s">
        <v>223</v>
      </c>
      <c r="L245" s="5" t="s">
        <v>315</v>
      </c>
      <c r="M245" s="7"/>
      <c r="N245" s="7"/>
      <c r="O245" s="7"/>
      <c r="P245" s="7"/>
      <c r="Q245" s="7">
        <v>1</v>
      </c>
      <c r="R245" s="8" t="s">
        <v>37</v>
      </c>
      <c r="S245" s="7"/>
      <c r="T245" s="7" t="s">
        <v>38</v>
      </c>
      <c r="U245" s="7"/>
      <c r="V245" s="7" t="str">
        <f t="shared" si="3"/>
        <v>TCTN.DNS-26004</v>
      </c>
      <c r="W245" s="7" t="s">
        <v>81</v>
      </c>
      <c r="X245" s="7"/>
      <c r="Y245" s="7"/>
      <c r="Z245" s="7" t="s">
        <v>922</v>
      </c>
      <c r="AA245" s="7" t="s">
        <v>39</v>
      </c>
      <c r="AB245" s="7"/>
      <c r="AC245" s="7" t="s">
        <v>316</v>
      </c>
    </row>
    <row r="246" spans="1:29" hidden="1" x14ac:dyDescent="0.25">
      <c r="A246" s="5">
        <v>241</v>
      </c>
      <c r="B246" s="5" t="s">
        <v>347</v>
      </c>
      <c r="C246" s="5" t="s">
        <v>77</v>
      </c>
      <c r="D246" s="5" t="s">
        <v>230</v>
      </c>
      <c r="E246" s="5">
        <v>8</v>
      </c>
      <c r="F246" s="5">
        <v>90</v>
      </c>
      <c r="G246" s="5">
        <v>150</v>
      </c>
      <c r="H246" s="5">
        <v>5</v>
      </c>
      <c r="I246" s="5">
        <v>0.62</v>
      </c>
      <c r="J246" s="5">
        <v>3.09</v>
      </c>
      <c r="K246" s="5" t="s">
        <v>223</v>
      </c>
      <c r="L246" s="5" t="s">
        <v>315</v>
      </c>
      <c r="M246" s="7"/>
      <c r="N246" s="7"/>
      <c r="O246" s="7"/>
      <c r="P246" s="7"/>
      <c r="Q246" s="7">
        <v>1</v>
      </c>
      <c r="R246" s="8" t="s">
        <v>37</v>
      </c>
      <c r="S246" s="7"/>
      <c r="T246" s="7" t="s">
        <v>38</v>
      </c>
      <c r="U246" s="7"/>
      <c r="V246" s="7" t="str">
        <f t="shared" si="3"/>
        <v>TCTN.DNS-26004</v>
      </c>
      <c r="W246" s="7" t="s">
        <v>81</v>
      </c>
      <c r="X246" s="7"/>
      <c r="Y246" s="7"/>
      <c r="Z246" s="7" t="s">
        <v>922</v>
      </c>
      <c r="AA246" s="7" t="s">
        <v>39</v>
      </c>
      <c r="AB246" s="7"/>
      <c r="AC246" s="7" t="s">
        <v>316</v>
      </c>
    </row>
    <row r="247" spans="1:29" hidden="1" x14ac:dyDescent="0.25">
      <c r="A247" s="5">
        <v>242</v>
      </c>
      <c r="B247" s="5" t="s">
        <v>348</v>
      </c>
      <c r="C247" s="5" t="s">
        <v>77</v>
      </c>
      <c r="D247" s="5" t="s">
        <v>314</v>
      </c>
      <c r="E247" s="5">
        <v>8</v>
      </c>
      <c r="F247" s="5">
        <v>158</v>
      </c>
      <c r="G247" s="5">
        <v>228</v>
      </c>
      <c r="H247" s="5">
        <v>27</v>
      </c>
      <c r="I247" s="5">
        <v>2.21</v>
      </c>
      <c r="J247" s="5">
        <v>59.73</v>
      </c>
      <c r="K247" s="5" t="s">
        <v>223</v>
      </c>
      <c r="L247" s="5" t="s">
        <v>315</v>
      </c>
      <c r="M247" s="7"/>
      <c r="N247" s="7"/>
      <c r="O247" s="7"/>
      <c r="P247" s="7"/>
      <c r="Q247" s="7">
        <v>1</v>
      </c>
      <c r="R247" s="8" t="s">
        <v>37</v>
      </c>
      <c r="S247" s="7"/>
      <c r="T247" s="7" t="s">
        <v>38</v>
      </c>
      <c r="U247" s="7"/>
      <c r="V247" s="7" t="str">
        <f t="shared" si="3"/>
        <v>TCTN.DNS-26004</v>
      </c>
      <c r="W247" s="7" t="s">
        <v>81</v>
      </c>
      <c r="X247" s="7"/>
      <c r="Y247" s="7"/>
      <c r="Z247" s="7" t="s">
        <v>922</v>
      </c>
      <c r="AA247" s="7" t="s">
        <v>39</v>
      </c>
      <c r="AB247" s="7"/>
      <c r="AC247" s="7" t="s">
        <v>316</v>
      </c>
    </row>
    <row r="248" spans="1:29" hidden="1" x14ac:dyDescent="0.25">
      <c r="A248" s="5">
        <v>243</v>
      </c>
      <c r="B248" s="5" t="s">
        <v>306</v>
      </c>
      <c r="C248" s="5" t="s">
        <v>77</v>
      </c>
      <c r="D248" s="5" t="s">
        <v>307</v>
      </c>
      <c r="E248" s="5">
        <v>8</v>
      </c>
      <c r="F248" s="5">
        <v>124</v>
      </c>
      <c r="G248" s="5">
        <v>1882</v>
      </c>
      <c r="H248" s="5">
        <v>4</v>
      </c>
      <c r="I248" s="5">
        <v>14.66</v>
      </c>
      <c r="J248" s="5">
        <v>58.62</v>
      </c>
      <c r="K248" s="5" t="s">
        <v>223</v>
      </c>
      <c r="L248" s="5" t="s">
        <v>315</v>
      </c>
      <c r="M248" s="7"/>
      <c r="N248" s="7"/>
      <c r="O248" s="7"/>
      <c r="P248" s="7"/>
      <c r="Q248" s="7">
        <v>1</v>
      </c>
      <c r="R248" s="8" t="s">
        <v>37</v>
      </c>
      <c r="S248" s="7"/>
      <c r="T248" s="7" t="s">
        <v>38</v>
      </c>
      <c r="U248" s="7"/>
      <c r="V248" s="7" t="str">
        <f t="shared" si="3"/>
        <v>TCTN.DNS-26004</v>
      </c>
      <c r="W248" s="7"/>
      <c r="X248" s="7"/>
      <c r="Y248" s="7" t="s">
        <v>81</v>
      </c>
      <c r="Z248" s="7" t="s">
        <v>922</v>
      </c>
      <c r="AA248" s="7" t="s">
        <v>39</v>
      </c>
      <c r="AB248" s="7"/>
      <c r="AC248" s="7" t="s">
        <v>316</v>
      </c>
    </row>
    <row r="249" spans="1:29" hidden="1" x14ac:dyDescent="0.25">
      <c r="A249" s="5">
        <v>244</v>
      </c>
      <c r="B249" s="5" t="s">
        <v>308</v>
      </c>
      <c r="C249" s="5" t="s">
        <v>77</v>
      </c>
      <c r="D249" s="5" t="s">
        <v>309</v>
      </c>
      <c r="E249" s="5">
        <v>8</v>
      </c>
      <c r="F249" s="5">
        <v>150</v>
      </c>
      <c r="G249" s="5">
        <v>2523</v>
      </c>
      <c r="H249" s="5">
        <v>2</v>
      </c>
      <c r="I249" s="5">
        <v>23.76</v>
      </c>
      <c r="J249" s="5">
        <v>47.53</v>
      </c>
      <c r="K249" s="5" t="s">
        <v>223</v>
      </c>
      <c r="L249" s="5" t="s">
        <v>315</v>
      </c>
      <c r="M249" s="7"/>
      <c r="N249" s="7"/>
      <c r="O249" s="7"/>
      <c r="P249" s="7"/>
      <c r="Q249" s="7">
        <v>1</v>
      </c>
      <c r="R249" s="8" t="s">
        <v>37</v>
      </c>
      <c r="S249" s="7"/>
      <c r="T249" s="7" t="s">
        <v>38</v>
      </c>
      <c r="U249" s="7"/>
      <c r="V249" s="7" t="str">
        <f t="shared" si="3"/>
        <v>TCTN.DNS-26004</v>
      </c>
      <c r="W249" s="7"/>
      <c r="X249" s="7"/>
      <c r="Y249" s="7" t="s">
        <v>81</v>
      </c>
      <c r="Z249" s="7" t="s">
        <v>922</v>
      </c>
      <c r="AA249" s="7" t="s">
        <v>39</v>
      </c>
      <c r="AB249" s="7"/>
      <c r="AC249" s="7" t="s">
        <v>316</v>
      </c>
    </row>
    <row r="250" spans="1:29" hidden="1" x14ac:dyDescent="0.25">
      <c r="A250" s="5">
        <v>245</v>
      </c>
      <c r="B250" s="5" t="s">
        <v>310</v>
      </c>
      <c r="C250" s="5" t="s">
        <v>77</v>
      </c>
      <c r="D250" s="5" t="s">
        <v>311</v>
      </c>
      <c r="E250" s="5">
        <v>8</v>
      </c>
      <c r="F250" s="5">
        <v>124</v>
      </c>
      <c r="G250" s="5">
        <v>2523</v>
      </c>
      <c r="H250" s="5">
        <v>2</v>
      </c>
      <c r="I250" s="5">
        <v>19.64</v>
      </c>
      <c r="J250" s="5">
        <v>39.29</v>
      </c>
      <c r="K250" s="5" t="s">
        <v>223</v>
      </c>
      <c r="L250" s="5" t="s">
        <v>315</v>
      </c>
      <c r="M250" s="7"/>
      <c r="N250" s="7"/>
      <c r="O250" s="7"/>
      <c r="P250" s="7"/>
      <c r="Q250" s="7">
        <v>1</v>
      </c>
      <c r="R250" s="8" t="s">
        <v>37</v>
      </c>
      <c r="S250" s="7"/>
      <c r="T250" s="7" t="s">
        <v>38</v>
      </c>
      <c r="U250" s="7"/>
      <c r="V250" s="7" t="str">
        <f t="shared" si="3"/>
        <v>TCTN.DNS-26004</v>
      </c>
      <c r="W250" s="7"/>
      <c r="X250" s="7"/>
      <c r="Y250" s="7" t="s">
        <v>81</v>
      </c>
      <c r="Z250" s="7" t="s">
        <v>922</v>
      </c>
      <c r="AA250" s="7" t="s">
        <v>39</v>
      </c>
      <c r="AB250" s="7"/>
      <c r="AC250" s="7" t="s">
        <v>316</v>
      </c>
    </row>
    <row r="251" spans="1:29" hidden="1" x14ac:dyDescent="0.25">
      <c r="A251" s="5">
        <v>246</v>
      </c>
      <c r="B251" s="5" t="s">
        <v>349</v>
      </c>
      <c r="C251" s="5" t="s">
        <v>77</v>
      </c>
      <c r="D251" s="5" t="s">
        <v>311</v>
      </c>
      <c r="E251" s="5">
        <v>8</v>
      </c>
      <c r="F251" s="5">
        <v>124</v>
      </c>
      <c r="G251" s="5">
        <v>2523</v>
      </c>
      <c r="H251" s="5">
        <v>4</v>
      </c>
      <c r="I251" s="5">
        <v>19.649999999999999</v>
      </c>
      <c r="J251" s="5">
        <v>78.59</v>
      </c>
      <c r="K251" s="5" t="s">
        <v>223</v>
      </c>
      <c r="L251" s="5" t="s">
        <v>315</v>
      </c>
      <c r="M251" s="7"/>
      <c r="N251" s="7"/>
      <c r="O251" s="7"/>
      <c r="P251" s="7"/>
      <c r="Q251" s="7">
        <v>1</v>
      </c>
      <c r="R251" s="8" t="s">
        <v>37</v>
      </c>
      <c r="S251" s="7"/>
      <c r="T251" s="7" t="s">
        <v>38</v>
      </c>
      <c r="U251" s="7"/>
      <c r="V251" s="7" t="str">
        <f t="shared" si="3"/>
        <v>TCTN.DNS-26004</v>
      </c>
      <c r="W251" s="7"/>
      <c r="X251" s="7"/>
      <c r="Y251" s="7" t="s">
        <v>81</v>
      </c>
      <c r="Z251" s="7" t="s">
        <v>922</v>
      </c>
      <c r="AA251" s="7" t="s">
        <v>39</v>
      </c>
      <c r="AB251" s="7"/>
      <c r="AC251" s="7" t="s">
        <v>316</v>
      </c>
    </row>
    <row r="252" spans="1:29" hidden="1" x14ac:dyDescent="0.25">
      <c r="A252" s="5">
        <v>247</v>
      </c>
      <c r="B252" s="5" t="s">
        <v>350</v>
      </c>
      <c r="C252" s="5" t="s">
        <v>77</v>
      </c>
      <c r="D252" s="5" t="s">
        <v>351</v>
      </c>
      <c r="E252" s="5">
        <v>8</v>
      </c>
      <c r="F252" s="5">
        <v>150</v>
      </c>
      <c r="G252" s="5">
        <v>601</v>
      </c>
      <c r="H252" s="5">
        <v>4</v>
      </c>
      <c r="I252" s="5">
        <v>5.66</v>
      </c>
      <c r="J252" s="5">
        <v>22.65</v>
      </c>
      <c r="K252" s="5" t="s">
        <v>223</v>
      </c>
      <c r="L252" s="5" t="s">
        <v>315</v>
      </c>
      <c r="M252" s="7"/>
      <c r="N252" s="7"/>
      <c r="O252" s="7"/>
      <c r="P252" s="7"/>
      <c r="Q252" s="7">
        <v>1</v>
      </c>
      <c r="R252" s="8" t="s">
        <v>37</v>
      </c>
      <c r="S252" s="7"/>
      <c r="T252" s="7" t="s">
        <v>38</v>
      </c>
      <c r="U252" s="7"/>
      <c r="V252" s="7" t="str">
        <f t="shared" si="3"/>
        <v>TCTN.DNS-26004</v>
      </c>
      <c r="W252" s="7"/>
      <c r="X252" s="7"/>
      <c r="Y252" s="7" t="s">
        <v>81</v>
      </c>
      <c r="Z252" s="7" t="s">
        <v>922</v>
      </c>
      <c r="AA252" s="7" t="s">
        <v>39</v>
      </c>
      <c r="AB252" s="7"/>
      <c r="AC252" s="7" t="s">
        <v>316</v>
      </c>
    </row>
    <row r="253" spans="1:29" hidden="1" x14ac:dyDescent="0.25">
      <c r="A253" s="5">
        <v>248</v>
      </c>
      <c r="B253" s="5" t="s">
        <v>267</v>
      </c>
      <c r="C253" s="5" t="s">
        <v>77</v>
      </c>
      <c r="D253" s="5" t="s">
        <v>268</v>
      </c>
      <c r="E253" s="5">
        <v>8</v>
      </c>
      <c r="F253" s="5">
        <v>124</v>
      </c>
      <c r="G253" s="5">
        <v>6824</v>
      </c>
      <c r="H253" s="5">
        <v>1</v>
      </c>
      <c r="I253" s="5">
        <v>53.14</v>
      </c>
      <c r="J253" s="5">
        <v>53.14</v>
      </c>
      <c r="K253" s="5" t="s">
        <v>223</v>
      </c>
      <c r="L253" s="5" t="s">
        <v>315</v>
      </c>
      <c r="M253" s="7"/>
      <c r="N253" s="7"/>
      <c r="O253" s="7"/>
      <c r="P253" s="7"/>
      <c r="Q253" s="7">
        <v>1</v>
      </c>
      <c r="R253" s="8" t="s">
        <v>37</v>
      </c>
      <c r="S253" s="7"/>
      <c r="T253" s="7" t="s">
        <v>38</v>
      </c>
      <c r="U253" s="7"/>
      <c r="V253" s="7" t="str">
        <f t="shared" si="3"/>
        <v>TCTN.DNS-26004</v>
      </c>
      <c r="W253" s="7"/>
      <c r="X253" s="7"/>
      <c r="Y253" s="7" t="s">
        <v>81</v>
      </c>
      <c r="Z253" s="7" t="s">
        <v>922</v>
      </c>
      <c r="AA253" s="7" t="s">
        <v>39</v>
      </c>
      <c r="AB253" s="7"/>
      <c r="AC253" s="7" t="s">
        <v>316</v>
      </c>
    </row>
    <row r="254" spans="1:29" hidden="1" x14ac:dyDescent="0.25">
      <c r="A254" s="5">
        <v>249</v>
      </c>
      <c r="B254" s="5" t="s">
        <v>235</v>
      </c>
      <c r="C254" s="5" t="s">
        <v>77</v>
      </c>
      <c r="D254" s="5" t="s">
        <v>236</v>
      </c>
      <c r="E254" s="5">
        <v>8</v>
      </c>
      <c r="F254" s="5">
        <v>150</v>
      </c>
      <c r="G254" s="5">
        <v>792</v>
      </c>
      <c r="H254" s="5">
        <v>2</v>
      </c>
      <c r="I254" s="5">
        <v>7.46</v>
      </c>
      <c r="J254" s="5">
        <v>14.92</v>
      </c>
      <c r="K254" s="5" t="s">
        <v>223</v>
      </c>
      <c r="L254" s="5" t="s">
        <v>315</v>
      </c>
      <c r="M254" s="7"/>
      <c r="N254" s="7"/>
      <c r="O254" s="7"/>
      <c r="P254" s="7"/>
      <c r="Q254" s="7">
        <v>1</v>
      </c>
      <c r="R254" s="8" t="s">
        <v>37</v>
      </c>
      <c r="S254" s="7"/>
      <c r="T254" s="7" t="s">
        <v>38</v>
      </c>
      <c r="U254" s="7"/>
      <c r="V254" s="7" t="str">
        <f t="shared" si="3"/>
        <v>TCTN.DNS-26004</v>
      </c>
      <c r="W254" s="7"/>
      <c r="X254" s="7"/>
      <c r="Y254" s="7" t="s">
        <v>81</v>
      </c>
      <c r="Z254" s="7" t="s">
        <v>922</v>
      </c>
      <c r="AA254" s="7" t="s">
        <v>39</v>
      </c>
      <c r="AB254" s="7"/>
      <c r="AC254" s="7" t="s">
        <v>316</v>
      </c>
    </row>
    <row r="255" spans="1:29" hidden="1" x14ac:dyDescent="0.25">
      <c r="A255" s="5">
        <v>250</v>
      </c>
      <c r="B255" s="5" t="s">
        <v>352</v>
      </c>
      <c r="C255" s="5" t="s">
        <v>77</v>
      </c>
      <c r="D255" s="5" t="s">
        <v>340</v>
      </c>
      <c r="E255" s="5">
        <v>8</v>
      </c>
      <c r="F255" s="5">
        <v>142</v>
      </c>
      <c r="G255" s="5">
        <v>1799</v>
      </c>
      <c r="H255" s="5">
        <v>2</v>
      </c>
      <c r="I255" s="5">
        <v>16.05</v>
      </c>
      <c r="J255" s="5">
        <v>32.090000000000003</v>
      </c>
      <c r="K255" s="5" t="s">
        <v>223</v>
      </c>
      <c r="L255" s="5" t="s">
        <v>315</v>
      </c>
      <c r="M255" s="7"/>
      <c r="N255" s="7"/>
      <c r="O255" s="7" t="s">
        <v>81</v>
      </c>
      <c r="P255" s="7"/>
      <c r="Q255" s="7">
        <v>1</v>
      </c>
      <c r="R255" s="8" t="s">
        <v>37</v>
      </c>
      <c r="S255" s="7"/>
      <c r="T255" s="7" t="s">
        <v>38</v>
      </c>
      <c r="U255" s="7"/>
      <c r="V255" s="7" t="str">
        <f t="shared" si="3"/>
        <v>TCTN.DNS-26004</v>
      </c>
      <c r="W255" s="7"/>
      <c r="X255" s="7"/>
      <c r="Y255" s="7"/>
      <c r="Z255" s="7" t="s">
        <v>922</v>
      </c>
      <c r="AA255" s="7" t="s">
        <v>39</v>
      </c>
      <c r="AB255" s="7"/>
      <c r="AC255" s="7" t="s">
        <v>316</v>
      </c>
    </row>
    <row r="256" spans="1:29" hidden="1" x14ac:dyDescent="0.25">
      <c r="A256" s="5">
        <v>251</v>
      </c>
      <c r="B256" s="5" t="s">
        <v>341</v>
      </c>
      <c r="C256" s="5" t="s">
        <v>77</v>
      </c>
      <c r="D256" s="5" t="s">
        <v>342</v>
      </c>
      <c r="E256" s="5">
        <v>8</v>
      </c>
      <c r="F256" s="5">
        <v>74</v>
      </c>
      <c r="G256" s="5">
        <v>172</v>
      </c>
      <c r="H256" s="5">
        <v>1</v>
      </c>
      <c r="I256" s="5">
        <v>0.53</v>
      </c>
      <c r="J256" s="5">
        <v>0.53</v>
      </c>
      <c r="K256" s="5" t="s">
        <v>353</v>
      </c>
      <c r="L256" s="5" t="s">
        <v>354</v>
      </c>
      <c r="M256" s="7"/>
      <c r="N256" s="7"/>
      <c r="O256" s="7"/>
      <c r="P256" s="7"/>
      <c r="Q256" s="7">
        <v>1</v>
      </c>
      <c r="R256" s="8" t="s">
        <v>37</v>
      </c>
      <c r="S256" s="7"/>
      <c r="T256" s="7" t="s">
        <v>38</v>
      </c>
      <c r="U256" s="7"/>
      <c r="V256" s="7" t="str">
        <f t="shared" si="3"/>
        <v>TCTN.DNS-26004</v>
      </c>
      <c r="W256" s="7" t="s">
        <v>81</v>
      </c>
      <c r="X256" s="7"/>
      <c r="Y256" s="7"/>
      <c r="Z256" s="7" t="s">
        <v>922</v>
      </c>
      <c r="AA256" s="7" t="s">
        <v>355</v>
      </c>
      <c r="AB256" s="7"/>
      <c r="AC256" s="7" t="s">
        <v>356</v>
      </c>
    </row>
    <row r="257" spans="1:29" hidden="1" x14ac:dyDescent="0.25">
      <c r="A257" s="5">
        <v>252</v>
      </c>
      <c r="B257" s="5" t="s">
        <v>357</v>
      </c>
      <c r="C257" s="5" t="s">
        <v>77</v>
      </c>
      <c r="D257" s="5" t="s">
        <v>342</v>
      </c>
      <c r="E257" s="5">
        <v>8</v>
      </c>
      <c r="F257" s="5">
        <v>74</v>
      </c>
      <c r="G257" s="5">
        <v>172</v>
      </c>
      <c r="H257" s="5">
        <v>6</v>
      </c>
      <c r="I257" s="5">
        <v>0.53</v>
      </c>
      <c r="J257" s="5">
        <v>3.2</v>
      </c>
      <c r="K257" s="5" t="s">
        <v>353</v>
      </c>
      <c r="L257" s="5" t="s">
        <v>354</v>
      </c>
      <c r="M257" s="7"/>
      <c r="N257" s="7"/>
      <c r="O257" s="7"/>
      <c r="P257" s="7"/>
      <c r="Q257" s="7">
        <v>1</v>
      </c>
      <c r="R257" s="8" t="s">
        <v>37</v>
      </c>
      <c r="S257" s="7"/>
      <c r="T257" s="7" t="s">
        <v>38</v>
      </c>
      <c r="U257" s="7"/>
      <c r="V257" s="7" t="str">
        <f t="shared" si="3"/>
        <v>TCTN.DNS-26004</v>
      </c>
      <c r="W257" s="7" t="s">
        <v>81</v>
      </c>
      <c r="X257" s="7"/>
      <c r="Y257" s="7"/>
      <c r="Z257" s="7" t="s">
        <v>922</v>
      </c>
      <c r="AA257" s="7" t="s">
        <v>355</v>
      </c>
      <c r="AB257" s="7"/>
      <c r="AC257" s="7" t="s">
        <v>356</v>
      </c>
    </row>
    <row r="258" spans="1:29" hidden="1" x14ac:dyDescent="0.25">
      <c r="A258" s="5">
        <v>253</v>
      </c>
      <c r="B258" s="5" t="s">
        <v>347</v>
      </c>
      <c r="C258" s="5" t="s">
        <v>77</v>
      </c>
      <c r="D258" s="5" t="s">
        <v>230</v>
      </c>
      <c r="E258" s="5">
        <v>8</v>
      </c>
      <c r="F258" s="5">
        <v>90</v>
      </c>
      <c r="G258" s="5">
        <v>150</v>
      </c>
      <c r="H258" s="5">
        <v>1</v>
      </c>
      <c r="I258" s="5">
        <v>0.62</v>
      </c>
      <c r="J258" s="5">
        <v>0.62</v>
      </c>
      <c r="K258" s="5" t="s">
        <v>353</v>
      </c>
      <c r="L258" s="5" t="s">
        <v>354</v>
      </c>
      <c r="M258" s="7"/>
      <c r="N258" s="7"/>
      <c r="O258" s="7"/>
      <c r="P258" s="7"/>
      <c r="Q258" s="7">
        <v>1</v>
      </c>
      <c r="R258" s="8" t="s">
        <v>37</v>
      </c>
      <c r="S258" s="7"/>
      <c r="T258" s="7" t="s">
        <v>38</v>
      </c>
      <c r="U258" s="7"/>
      <c r="V258" s="7" t="str">
        <f t="shared" si="3"/>
        <v>TCTN.DNS-26004</v>
      </c>
      <c r="W258" s="7" t="s">
        <v>81</v>
      </c>
      <c r="X258" s="7"/>
      <c r="Y258" s="7"/>
      <c r="Z258" s="7" t="s">
        <v>922</v>
      </c>
      <c r="AA258" s="7" t="s">
        <v>355</v>
      </c>
      <c r="AB258" s="7"/>
      <c r="AC258" s="7" t="s">
        <v>356</v>
      </c>
    </row>
    <row r="259" spans="1:29" hidden="1" x14ac:dyDescent="0.25">
      <c r="A259" s="5">
        <v>254</v>
      </c>
      <c r="B259" s="5" t="s">
        <v>348</v>
      </c>
      <c r="C259" s="5" t="s">
        <v>77</v>
      </c>
      <c r="D259" s="5" t="s">
        <v>314</v>
      </c>
      <c r="E259" s="5">
        <v>8</v>
      </c>
      <c r="F259" s="5">
        <v>158</v>
      </c>
      <c r="G259" s="5">
        <v>228</v>
      </c>
      <c r="H259" s="5">
        <v>3</v>
      </c>
      <c r="I259" s="5">
        <v>2.21</v>
      </c>
      <c r="J259" s="5">
        <v>6.64</v>
      </c>
      <c r="K259" s="5" t="s">
        <v>353</v>
      </c>
      <c r="L259" s="5" t="s">
        <v>354</v>
      </c>
      <c r="M259" s="7"/>
      <c r="N259" s="7"/>
      <c r="O259" s="7"/>
      <c r="P259" s="7"/>
      <c r="Q259" s="7">
        <v>1</v>
      </c>
      <c r="R259" s="8" t="s">
        <v>37</v>
      </c>
      <c r="S259" s="7"/>
      <c r="T259" s="7" t="s">
        <v>38</v>
      </c>
      <c r="U259" s="7"/>
      <c r="V259" s="7" t="str">
        <f t="shared" si="3"/>
        <v>TCTN.DNS-26004</v>
      </c>
      <c r="W259" s="7" t="s">
        <v>81</v>
      </c>
      <c r="X259" s="7"/>
      <c r="Y259" s="7"/>
      <c r="Z259" s="7" t="s">
        <v>922</v>
      </c>
      <c r="AA259" s="7" t="s">
        <v>355</v>
      </c>
      <c r="AB259" s="7"/>
      <c r="AC259" s="7" t="s">
        <v>356</v>
      </c>
    </row>
    <row r="260" spans="1:29" hidden="1" x14ac:dyDescent="0.25">
      <c r="A260" s="5">
        <v>255</v>
      </c>
      <c r="B260" s="5" t="s">
        <v>358</v>
      </c>
      <c r="C260" s="5" t="s">
        <v>77</v>
      </c>
      <c r="D260" s="5" t="s">
        <v>359</v>
      </c>
      <c r="E260" s="5">
        <v>10</v>
      </c>
      <c r="F260" s="5">
        <v>350</v>
      </c>
      <c r="G260" s="5">
        <v>12000</v>
      </c>
      <c r="H260" s="5">
        <v>1</v>
      </c>
      <c r="I260" s="5">
        <v>329.7</v>
      </c>
      <c r="J260" s="5">
        <v>329.7</v>
      </c>
      <c r="K260" s="5" t="s">
        <v>360</v>
      </c>
      <c r="L260" s="5" t="s">
        <v>361</v>
      </c>
      <c r="M260" s="7"/>
      <c r="N260" s="7"/>
      <c r="O260" s="7"/>
      <c r="P260" s="7" t="s">
        <v>81</v>
      </c>
      <c r="Q260" s="7">
        <v>1</v>
      </c>
      <c r="R260" s="8" t="s">
        <v>37</v>
      </c>
      <c r="S260" s="7"/>
      <c r="T260" s="7" t="s">
        <v>38</v>
      </c>
      <c r="U260" s="7"/>
      <c r="V260" s="7" t="str">
        <f t="shared" si="3"/>
        <v>TCTN.DNS-26004</v>
      </c>
      <c r="W260" s="7"/>
      <c r="X260" s="7"/>
      <c r="Y260" s="7" t="s">
        <v>81</v>
      </c>
      <c r="Z260" s="7" t="s">
        <v>922</v>
      </c>
      <c r="AA260" s="7" t="s">
        <v>39</v>
      </c>
      <c r="AB260" s="7"/>
      <c r="AC260" s="7" t="s">
        <v>362</v>
      </c>
    </row>
    <row r="261" spans="1:29" hidden="1" x14ac:dyDescent="0.25">
      <c r="A261" s="5">
        <v>256</v>
      </c>
      <c r="B261" s="5" t="s">
        <v>363</v>
      </c>
      <c r="C261" s="5" t="s">
        <v>77</v>
      </c>
      <c r="D261" s="5" t="s">
        <v>359</v>
      </c>
      <c r="E261" s="5">
        <v>10</v>
      </c>
      <c r="F261" s="5">
        <v>350</v>
      </c>
      <c r="G261" s="5">
        <v>12000</v>
      </c>
      <c r="H261" s="5">
        <v>1</v>
      </c>
      <c r="I261" s="5">
        <v>329.7</v>
      </c>
      <c r="J261" s="5">
        <v>329.7</v>
      </c>
      <c r="K261" s="5" t="s">
        <v>360</v>
      </c>
      <c r="L261" s="5" t="s">
        <v>361</v>
      </c>
      <c r="M261" s="7"/>
      <c r="N261" s="7"/>
      <c r="O261" s="7"/>
      <c r="P261" s="7" t="s">
        <v>81</v>
      </c>
      <c r="Q261" s="7">
        <v>1</v>
      </c>
      <c r="R261" s="8" t="s">
        <v>37</v>
      </c>
      <c r="S261" s="7"/>
      <c r="T261" s="7" t="s">
        <v>38</v>
      </c>
      <c r="U261" s="7"/>
      <c r="V261" s="7" t="str">
        <f t="shared" si="3"/>
        <v>TCTN.DNS-26004</v>
      </c>
      <c r="W261" s="7"/>
      <c r="X261" s="7"/>
      <c r="Y261" s="7" t="s">
        <v>81</v>
      </c>
      <c r="Z261" s="7" t="s">
        <v>922</v>
      </c>
      <c r="AA261" s="7" t="s">
        <v>39</v>
      </c>
      <c r="AB261" s="7"/>
      <c r="AC261" s="7" t="s">
        <v>362</v>
      </c>
    </row>
    <row r="262" spans="1:29" hidden="1" x14ac:dyDescent="0.25">
      <c r="A262" s="5">
        <v>257</v>
      </c>
      <c r="B262" s="5" t="s">
        <v>364</v>
      </c>
      <c r="C262" s="5" t="s">
        <v>77</v>
      </c>
      <c r="D262" s="5" t="s">
        <v>365</v>
      </c>
      <c r="E262" s="5">
        <v>10</v>
      </c>
      <c r="F262" s="5">
        <v>380</v>
      </c>
      <c r="G262" s="5">
        <v>12000</v>
      </c>
      <c r="H262" s="5">
        <v>2</v>
      </c>
      <c r="I262" s="5">
        <v>357.96</v>
      </c>
      <c r="J262" s="5">
        <v>715.91</v>
      </c>
      <c r="K262" s="5" t="s">
        <v>360</v>
      </c>
      <c r="L262" s="5" t="s">
        <v>361</v>
      </c>
      <c r="M262" s="7"/>
      <c r="N262" s="7"/>
      <c r="O262" s="7"/>
      <c r="P262" s="7"/>
      <c r="Q262" s="7">
        <v>1</v>
      </c>
      <c r="R262" s="8" t="s">
        <v>37</v>
      </c>
      <c r="S262" s="7"/>
      <c r="T262" s="7" t="s">
        <v>38</v>
      </c>
      <c r="U262" s="7"/>
      <c r="V262" s="7" t="str">
        <f t="shared" ref="V262:V325" si="4">IF(LEN($B$3)=0,"",$B$3)</f>
        <v>TCTN.DNS-26004</v>
      </c>
      <c r="W262" s="7"/>
      <c r="X262" s="7"/>
      <c r="Y262" s="7" t="s">
        <v>81</v>
      </c>
      <c r="Z262" s="7" t="s">
        <v>922</v>
      </c>
      <c r="AA262" s="7" t="s">
        <v>39</v>
      </c>
      <c r="AB262" s="7"/>
      <c r="AC262" s="7" t="s">
        <v>362</v>
      </c>
    </row>
    <row r="263" spans="1:29" hidden="1" x14ac:dyDescent="0.25">
      <c r="A263" s="5">
        <v>258</v>
      </c>
      <c r="B263" s="5" t="s">
        <v>366</v>
      </c>
      <c r="C263" s="5" t="s">
        <v>77</v>
      </c>
      <c r="D263" s="5" t="s">
        <v>365</v>
      </c>
      <c r="E263" s="5">
        <v>10</v>
      </c>
      <c r="F263" s="5">
        <v>380</v>
      </c>
      <c r="G263" s="5">
        <v>12000</v>
      </c>
      <c r="H263" s="5">
        <v>2</v>
      </c>
      <c r="I263" s="5">
        <v>357.96</v>
      </c>
      <c r="J263" s="5">
        <v>715.91</v>
      </c>
      <c r="K263" s="5" t="s">
        <v>360</v>
      </c>
      <c r="L263" s="5" t="s">
        <v>367</v>
      </c>
      <c r="M263" s="7"/>
      <c r="N263" s="7"/>
      <c r="O263" s="7"/>
      <c r="P263" s="7"/>
      <c r="Q263" s="7">
        <v>1</v>
      </c>
      <c r="R263" s="8" t="s">
        <v>37</v>
      </c>
      <c r="S263" s="7"/>
      <c r="T263" s="7" t="s">
        <v>38</v>
      </c>
      <c r="U263" s="7"/>
      <c r="V263" s="7" t="str">
        <f t="shared" si="4"/>
        <v>TCTN.DNS-26004</v>
      </c>
      <c r="W263" s="7"/>
      <c r="X263" s="7"/>
      <c r="Y263" s="7" t="s">
        <v>81</v>
      </c>
      <c r="Z263" s="7" t="s">
        <v>922</v>
      </c>
      <c r="AA263" s="7" t="s">
        <v>39</v>
      </c>
      <c r="AB263" s="7"/>
      <c r="AC263" s="7" t="s">
        <v>368</v>
      </c>
    </row>
    <row r="264" spans="1:29" hidden="1" x14ac:dyDescent="0.25">
      <c r="A264" s="5">
        <v>259</v>
      </c>
      <c r="B264" s="5" t="s">
        <v>369</v>
      </c>
      <c r="C264" s="5" t="s">
        <v>77</v>
      </c>
      <c r="D264" s="5" t="s">
        <v>359</v>
      </c>
      <c r="E264" s="5">
        <v>10</v>
      </c>
      <c r="F264" s="5">
        <v>350</v>
      </c>
      <c r="G264" s="5">
        <v>12000</v>
      </c>
      <c r="H264" s="5">
        <v>1</v>
      </c>
      <c r="I264" s="5">
        <v>329.7</v>
      </c>
      <c r="J264" s="5">
        <v>329.7</v>
      </c>
      <c r="K264" s="5" t="s">
        <v>360</v>
      </c>
      <c r="L264" s="5" t="s">
        <v>367</v>
      </c>
      <c r="M264" s="7"/>
      <c r="N264" s="7"/>
      <c r="O264" s="7"/>
      <c r="P264" s="7" t="s">
        <v>81</v>
      </c>
      <c r="Q264" s="7">
        <v>1</v>
      </c>
      <c r="R264" s="8" t="s">
        <v>37</v>
      </c>
      <c r="S264" s="7"/>
      <c r="T264" s="7" t="s">
        <v>38</v>
      </c>
      <c r="U264" s="7"/>
      <c r="V264" s="7" t="str">
        <f t="shared" si="4"/>
        <v>TCTN.DNS-26004</v>
      </c>
      <c r="W264" s="7"/>
      <c r="X264" s="7"/>
      <c r="Y264" s="7" t="s">
        <v>81</v>
      </c>
      <c r="Z264" s="7" t="s">
        <v>922</v>
      </c>
      <c r="AA264" s="7" t="s">
        <v>39</v>
      </c>
      <c r="AB264" s="7"/>
      <c r="AC264" s="7" t="s">
        <v>368</v>
      </c>
    </row>
    <row r="265" spans="1:29" hidden="1" x14ac:dyDescent="0.25">
      <c r="A265" s="5">
        <v>260</v>
      </c>
      <c r="B265" s="5" t="s">
        <v>370</v>
      </c>
      <c r="C265" s="5" t="s">
        <v>77</v>
      </c>
      <c r="D265" s="5" t="s">
        <v>359</v>
      </c>
      <c r="E265" s="5">
        <v>10</v>
      </c>
      <c r="F265" s="5">
        <v>350</v>
      </c>
      <c r="G265" s="5">
        <v>12000</v>
      </c>
      <c r="H265" s="5">
        <v>1</v>
      </c>
      <c r="I265" s="5">
        <v>329.7</v>
      </c>
      <c r="J265" s="5">
        <v>329.7</v>
      </c>
      <c r="K265" s="5" t="s">
        <v>360</v>
      </c>
      <c r="L265" s="5" t="s">
        <v>367</v>
      </c>
      <c r="M265" s="7"/>
      <c r="N265" s="7"/>
      <c r="O265" s="7"/>
      <c r="P265" s="7" t="s">
        <v>81</v>
      </c>
      <c r="Q265" s="7">
        <v>1</v>
      </c>
      <c r="R265" s="8" t="s">
        <v>37</v>
      </c>
      <c r="S265" s="7"/>
      <c r="T265" s="7" t="s">
        <v>38</v>
      </c>
      <c r="U265" s="7"/>
      <c r="V265" s="7" t="str">
        <f t="shared" si="4"/>
        <v>TCTN.DNS-26004</v>
      </c>
      <c r="W265" s="7"/>
      <c r="X265" s="7"/>
      <c r="Y265" s="7" t="s">
        <v>81</v>
      </c>
      <c r="Z265" s="7" t="s">
        <v>922</v>
      </c>
      <c r="AA265" s="7" t="s">
        <v>39</v>
      </c>
      <c r="AB265" s="7"/>
      <c r="AC265" s="7" t="s">
        <v>368</v>
      </c>
    </row>
    <row r="266" spans="1:29" hidden="1" x14ac:dyDescent="0.25">
      <c r="A266" s="5">
        <v>261</v>
      </c>
      <c r="B266" s="5" t="s">
        <v>371</v>
      </c>
      <c r="C266" s="5" t="s">
        <v>77</v>
      </c>
      <c r="D266" s="5" t="s">
        <v>359</v>
      </c>
      <c r="E266" s="5">
        <v>10</v>
      </c>
      <c r="F266" s="5">
        <v>350</v>
      </c>
      <c r="G266" s="5">
        <v>12000</v>
      </c>
      <c r="H266" s="5">
        <v>2</v>
      </c>
      <c r="I266" s="5">
        <v>329.7</v>
      </c>
      <c r="J266" s="5">
        <v>659.41</v>
      </c>
      <c r="K266" s="5" t="s">
        <v>360</v>
      </c>
      <c r="L266" s="5" t="s">
        <v>372</v>
      </c>
      <c r="M266" s="7"/>
      <c r="N266" s="7"/>
      <c r="O266" s="7"/>
      <c r="P266" s="7" t="s">
        <v>81</v>
      </c>
      <c r="Q266" s="7">
        <v>1</v>
      </c>
      <c r="R266" s="8" t="s">
        <v>37</v>
      </c>
      <c r="S266" s="7"/>
      <c r="T266" s="7" t="s">
        <v>38</v>
      </c>
      <c r="U266" s="7"/>
      <c r="V266" s="7" t="str">
        <f t="shared" si="4"/>
        <v>TCTN.DNS-26004</v>
      </c>
      <c r="W266" s="7"/>
      <c r="X266" s="7"/>
      <c r="Y266" s="7" t="s">
        <v>81</v>
      </c>
      <c r="Z266" s="7" t="s">
        <v>922</v>
      </c>
      <c r="AA266" s="7" t="s">
        <v>39</v>
      </c>
      <c r="AB266" s="7"/>
      <c r="AC266" s="7" t="s">
        <v>373</v>
      </c>
    </row>
    <row r="267" spans="1:29" hidden="1" x14ac:dyDescent="0.25">
      <c r="A267" s="5">
        <v>262</v>
      </c>
      <c r="B267" s="5" t="s">
        <v>366</v>
      </c>
      <c r="C267" s="5" t="s">
        <v>77</v>
      </c>
      <c r="D267" s="5" t="s">
        <v>365</v>
      </c>
      <c r="E267" s="5">
        <v>10</v>
      </c>
      <c r="F267" s="5">
        <v>380</v>
      </c>
      <c r="G267" s="5">
        <v>12000</v>
      </c>
      <c r="H267" s="5">
        <v>2</v>
      </c>
      <c r="I267" s="5">
        <v>357.96</v>
      </c>
      <c r="J267" s="5">
        <v>715.91</v>
      </c>
      <c r="K267" s="5" t="s">
        <v>360</v>
      </c>
      <c r="L267" s="5" t="s">
        <v>372</v>
      </c>
      <c r="M267" s="7"/>
      <c r="N267" s="7"/>
      <c r="O267" s="7"/>
      <c r="P267" s="7"/>
      <c r="Q267" s="7">
        <v>1</v>
      </c>
      <c r="R267" s="8" t="s">
        <v>37</v>
      </c>
      <c r="S267" s="7"/>
      <c r="T267" s="7" t="s">
        <v>38</v>
      </c>
      <c r="U267" s="7"/>
      <c r="V267" s="7" t="str">
        <f t="shared" si="4"/>
        <v>TCTN.DNS-26004</v>
      </c>
      <c r="W267" s="7"/>
      <c r="X267" s="7"/>
      <c r="Y267" s="7" t="s">
        <v>81</v>
      </c>
      <c r="Z267" s="7" t="s">
        <v>922</v>
      </c>
      <c r="AA267" s="7" t="s">
        <v>39</v>
      </c>
      <c r="AB267" s="7"/>
      <c r="AC267" s="7" t="s">
        <v>373</v>
      </c>
    </row>
    <row r="268" spans="1:29" hidden="1" x14ac:dyDescent="0.25">
      <c r="A268" s="5">
        <v>263</v>
      </c>
      <c r="B268" s="5" t="s">
        <v>374</v>
      </c>
      <c r="C268" s="5" t="s">
        <v>77</v>
      </c>
      <c r="D268" s="5" t="s">
        <v>365</v>
      </c>
      <c r="E268" s="5">
        <v>10</v>
      </c>
      <c r="F268" s="5">
        <v>380</v>
      </c>
      <c r="G268" s="5">
        <v>12000</v>
      </c>
      <c r="H268" s="5">
        <v>2</v>
      </c>
      <c r="I268" s="5">
        <v>357.96</v>
      </c>
      <c r="J268" s="5">
        <v>715.91</v>
      </c>
      <c r="K268" s="5" t="s">
        <v>360</v>
      </c>
      <c r="L268" s="5" t="s">
        <v>375</v>
      </c>
      <c r="M268" s="7"/>
      <c r="N268" s="7"/>
      <c r="O268" s="7"/>
      <c r="P268" s="7"/>
      <c r="Q268" s="7">
        <v>1</v>
      </c>
      <c r="R268" s="8" t="s">
        <v>37</v>
      </c>
      <c r="S268" s="7"/>
      <c r="T268" s="7" t="s">
        <v>38</v>
      </c>
      <c r="U268" s="7"/>
      <c r="V268" s="7" t="str">
        <f t="shared" si="4"/>
        <v>TCTN.DNS-26004</v>
      </c>
      <c r="W268" s="7"/>
      <c r="X268" s="7"/>
      <c r="Y268" s="7" t="s">
        <v>81</v>
      </c>
      <c r="Z268" s="7" t="s">
        <v>922</v>
      </c>
      <c r="AA268" s="7" t="s">
        <v>39</v>
      </c>
      <c r="AB268" s="7"/>
      <c r="AC268" s="7" t="s">
        <v>376</v>
      </c>
    </row>
    <row r="269" spans="1:29" hidden="1" x14ac:dyDescent="0.25">
      <c r="A269" s="5">
        <v>264</v>
      </c>
      <c r="B269" s="5" t="s">
        <v>377</v>
      </c>
      <c r="C269" s="5" t="s">
        <v>77</v>
      </c>
      <c r="D269" s="5" t="s">
        <v>378</v>
      </c>
      <c r="E269" s="5">
        <v>10</v>
      </c>
      <c r="F269" s="5">
        <v>230</v>
      </c>
      <c r="G269" s="5">
        <v>12000</v>
      </c>
      <c r="H269" s="5">
        <v>3</v>
      </c>
      <c r="I269" s="5">
        <v>216.66</v>
      </c>
      <c r="J269" s="5">
        <v>649.98</v>
      </c>
      <c r="K269" s="5" t="s">
        <v>360</v>
      </c>
      <c r="L269" s="5" t="s">
        <v>375</v>
      </c>
      <c r="M269" s="7"/>
      <c r="N269" s="7"/>
      <c r="O269" s="7"/>
      <c r="P269" s="7"/>
      <c r="Q269" s="7">
        <v>1</v>
      </c>
      <c r="R269" s="8" t="s">
        <v>37</v>
      </c>
      <c r="S269" s="7"/>
      <c r="T269" s="7" t="s">
        <v>38</v>
      </c>
      <c r="U269" s="7"/>
      <c r="V269" s="7" t="str">
        <f t="shared" si="4"/>
        <v>TCTN.DNS-26004</v>
      </c>
      <c r="W269" s="7"/>
      <c r="X269" s="7"/>
      <c r="Y269" s="7" t="s">
        <v>81</v>
      </c>
      <c r="Z269" s="7" t="s">
        <v>922</v>
      </c>
      <c r="AA269" s="7" t="s">
        <v>39</v>
      </c>
      <c r="AB269" s="7"/>
      <c r="AC269" s="7" t="s">
        <v>376</v>
      </c>
    </row>
    <row r="270" spans="1:29" hidden="1" x14ac:dyDescent="0.25">
      <c r="A270" s="5">
        <v>265</v>
      </c>
      <c r="B270" s="5" t="s">
        <v>379</v>
      </c>
      <c r="C270" s="5" t="s">
        <v>77</v>
      </c>
      <c r="D270" s="5" t="s">
        <v>380</v>
      </c>
      <c r="E270" s="5">
        <v>10</v>
      </c>
      <c r="F270" s="5">
        <v>230</v>
      </c>
      <c r="G270" s="5">
        <v>9518</v>
      </c>
      <c r="H270" s="5">
        <v>2</v>
      </c>
      <c r="I270" s="5">
        <v>171.84</v>
      </c>
      <c r="J270" s="5">
        <v>343.69</v>
      </c>
      <c r="K270" s="5" t="s">
        <v>360</v>
      </c>
      <c r="L270" s="5" t="s">
        <v>381</v>
      </c>
      <c r="M270" s="7"/>
      <c r="N270" s="7"/>
      <c r="O270" s="7"/>
      <c r="P270" s="7"/>
      <c r="Q270" s="7">
        <v>1</v>
      </c>
      <c r="R270" s="8" t="s">
        <v>37</v>
      </c>
      <c r="S270" s="7"/>
      <c r="T270" s="7" t="s">
        <v>38</v>
      </c>
      <c r="U270" s="7"/>
      <c r="V270" s="7" t="str">
        <f t="shared" si="4"/>
        <v>TCTN.DNS-26004</v>
      </c>
      <c r="W270" s="7"/>
      <c r="X270" s="7"/>
      <c r="Y270" s="7" t="s">
        <v>81</v>
      </c>
      <c r="Z270" s="7" t="s">
        <v>922</v>
      </c>
      <c r="AA270" s="7" t="s">
        <v>39</v>
      </c>
      <c r="AB270" s="7"/>
      <c r="AC270" s="7" t="s">
        <v>382</v>
      </c>
    </row>
    <row r="271" spans="1:29" hidden="1" x14ac:dyDescent="0.25">
      <c r="A271" s="5">
        <v>266</v>
      </c>
      <c r="B271" s="5" t="s">
        <v>383</v>
      </c>
      <c r="C271" s="5" t="s">
        <v>77</v>
      </c>
      <c r="D271" s="5" t="s">
        <v>384</v>
      </c>
      <c r="E271" s="5">
        <v>10</v>
      </c>
      <c r="F271" s="5">
        <v>375</v>
      </c>
      <c r="G271" s="5">
        <v>500</v>
      </c>
      <c r="H271" s="5">
        <v>4</v>
      </c>
      <c r="I271" s="5">
        <v>14.72</v>
      </c>
      <c r="J271" s="5">
        <v>58.88</v>
      </c>
      <c r="K271" s="5" t="s">
        <v>360</v>
      </c>
      <c r="L271" s="5" t="s">
        <v>381</v>
      </c>
      <c r="M271" s="7"/>
      <c r="N271" s="7"/>
      <c r="O271" s="7"/>
      <c r="P271" s="7"/>
      <c r="Q271" s="7">
        <v>1</v>
      </c>
      <c r="R271" s="8" t="s">
        <v>37</v>
      </c>
      <c r="S271" s="7"/>
      <c r="T271" s="7" t="s">
        <v>38</v>
      </c>
      <c r="U271" s="7"/>
      <c r="V271" s="7" t="str">
        <f t="shared" si="4"/>
        <v>TCTN.DNS-26004</v>
      </c>
      <c r="W271" s="7" t="s">
        <v>81</v>
      </c>
      <c r="X271" s="7"/>
      <c r="Y271" s="7"/>
      <c r="Z271" s="7" t="s">
        <v>922</v>
      </c>
      <c r="AA271" s="7" t="s">
        <v>39</v>
      </c>
      <c r="AB271" s="7"/>
      <c r="AC271" s="7" t="s">
        <v>382</v>
      </c>
    </row>
    <row r="272" spans="1:29" hidden="1" x14ac:dyDescent="0.25">
      <c r="A272" s="5">
        <v>267</v>
      </c>
      <c r="B272" s="5" t="s">
        <v>385</v>
      </c>
      <c r="C272" s="5" t="s">
        <v>77</v>
      </c>
      <c r="D272" s="5" t="s">
        <v>384</v>
      </c>
      <c r="E272" s="5">
        <v>10</v>
      </c>
      <c r="F272" s="5">
        <v>375</v>
      </c>
      <c r="G272" s="5">
        <v>500</v>
      </c>
      <c r="H272" s="5">
        <v>2</v>
      </c>
      <c r="I272" s="5">
        <v>14.72</v>
      </c>
      <c r="J272" s="5">
        <v>29.44</v>
      </c>
      <c r="K272" s="5" t="s">
        <v>360</v>
      </c>
      <c r="L272" s="5" t="s">
        <v>381</v>
      </c>
      <c r="M272" s="7"/>
      <c r="N272" s="7"/>
      <c r="O272" s="7"/>
      <c r="P272" s="7"/>
      <c r="Q272" s="7">
        <v>1</v>
      </c>
      <c r="R272" s="8" t="s">
        <v>37</v>
      </c>
      <c r="S272" s="7"/>
      <c r="T272" s="7" t="s">
        <v>38</v>
      </c>
      <c r="U272" s="7"/>
      <c r="V272" s="7" t="str">
        <f t="shared" si="4"/>
        <v>TCTN.DNS-26004</v>
      </c>
      <c r="W272" s="7" t="s">
        <v>81</v>
      </c>
      <c r="X272" s="7"/>
      <c r="Y272" s="7"/>
      <c r="Z272" s="7" t="s">
        <v>922</v>
      </c>
      <c r="AA272" s="7" t="s">
        <v>39</v>
      </c>
      <c r="AB272" s="7"/>
      <c r="AC272" s="7" t="s">
        <v>382</v>
      </c>
    </row>
    <row r="273" spans="1:29" hidden="1" x14ac:dyDescent="0.25">
      <c r="A273" s="5">
        <v>268</v>
      </c>
      <c r="B273" s="5" t="s">
        <v>386</v>
      </c>
      <c r="C273" s="5" t="s">
        <v>77</v>
      </c>
      <c r="D273" s="5" t="s">
        <v>387</v>
      </c>
      <c r="E273" s="5">
        <v>10</v>
      </c>
      <c r="F273" s="5">
        <v>148</v>
      </c>
      <c r="G273" s="5">
        <v>441</v>
      </c>
      <c r="H273" s="5">
        <v>1</v>
      </c>
      <c r="I273" s="5">
        <v>5.0599999999999996</v>
      </c>
      <c r="J273" s="5">
        <v>5.0599999999999996</v>
      </c>
      <c r="K273" s="5" t="s">
        <v>360</v>
      </c>
      <c r="L273" s="5" t="s">
        <v>381</v>
      </c>
      <c r="M273" s="7"/>
      <c r="N273" s="7"/>
      <c r="O273" s="7"/>
      <c r="P273" s="7"/>
      <c r="Q273" s="7">
        <v>1</v>
      </c>
      <c r="R273" s="8" t="s">
        <v>37</v>
      </c>
      <c r="S273" s="7"/>
      <c r="T273" s="7" t="s">
        <v>38</v>
      </c>
      <c r="U273" s="7"/>
      <c r="V273" s="7" t="str">
        <f t="shared" si="4"/>
        <v>TCTN.DNS-26004</v>
      </c>
      <c r="W273" s="7" t="s">
        <v>81</v>
      </c>
      <c r="X273" s="7"/>
      <c r="Y273" s="7"/>
      <c r="Z273" s="7" t="s">
        <v>922</v>
      </c>
      <c r="AA273" s="7" t="s">
        <v>39</v>
      </c>
      <c r="AB273" s="7"/>
      <c r="AC273" s="7" t="s">
        <v>382</v>
      </c>
    </row>
    <row r="274" spans="1:29" hidden="1" x14ac:dyDescent="0.25">
      <c r="A274" s="5">
        <v>269</v>
      </c>
      <c r="B274" s="5" t="s">
        <v>388</v>
      </c>
      <c r="C274" s="5" t="s">
        <v>77</v>
      </c>
      <c r="D274" s="5" t="s">
        <v>359</v>
      </c>
      <c r="E274" s="5">
        <v>10</v>
      </c>
      <c r="F274" s="5">
        <v>350</v>
      </c>
      <c r="G274" s="5">
        <v>12000</v>
      </c>
      <c r="H274" s="5">
        <v>2</v>
      </c>
      <c r="I274" s="5">
        <v>329.7</v>
      </c>
      <c r="J274" s="5">
        <v>659.41</v>
      </c>
      <c r="K274" s="5" t="s">
        <v>360</v>
      </c>
      <c r="L274" s="5" t="s">
        <v>381</v>
      </c>
      <c r="M274" s="7"/>
      <c r="N274" s="7"/>
      <c r="O274" s="7"/>
      <c r="P274" s="7" t="s">
        <v>81</v>
      </c>
      <c r="Q274" s="7">
        <v>1</v>
      </c>
      <c r="R274" s="8" t="s">
        <v>37</v>
      </c>
      <c r="S274" s="7"/>
      <c r="T274" s="7" t="s">
        <v>38</v>
      </c>
      <c r="U274" s="7"/>
      <c r="V274" s="7" t="str">
        <f t="shared" si="4"/>
        <v>TCTN.DNS-26004</v>
      </c>
      <c r="W274" s="7"/>
      <c r="X274" s="7"/>
      <c r="Y274" s="7" t="s">
        <v>81</v>
      </c>
      <c r="Z274" s="7" t="s">
        <v>922</v>
      </c>
      <c r="AA274" s="7" t="s">
        <v>39</v>
      </c>
      <c r="AB274" s="7"/>
      <c r="AC274" s="7" t="s">
        <v>382</v>
      </c>
    </row>
    <row r="275" spans="1:29" hidden="1" x14ac:dyDescent="0.25">
      <c r="A275" s="5">
        <v>270</v>
      </c>
      <c r="B275" s="5" t="s">
        <v>377</v>
      </c>
      <c r="C275" s="5" t="s">
        <v>77</v>
      </c>
      <c r="D275" s="5" t="s">
        <v>378</v>
      </c>
      <c r="E275" s="5">
        <v>10</v>
      </c>
      <c r="F275" s="5">
        <v>230</v>
      </c>
      <c r="G275" s="5">
        <v>12000</v>
      </c>
      <c r="H275" s="5">
        <v>1</v>
      </c>
      <c r="I275" s="5">
        <v>216.66</v>
      </c>
      <c r="J275" s="5">
        <v>216.66</v>
      </c>
      <c r="K275" s="5" t="s">
        <v>360</v>
      </c>
      <c r="L275" s="5" t="s">
        <v>381</v>
      </c>
      <c r="M275" s="7"/>
      <c r="N275" s="7"/>
      <c r="O275" s="7"/>
      <c r="P275" s="7"/>
      <c r="Q275" s="7">
        <v>1</v>
      </c>
      <c r="R275" s="8" t="s">
        <v>37</v>
      </c>
      <c r="S275" s="7"/>
      <c r="T275" s="7" t="s">
        <v>38</v>
      </c>
      <c r="U275" s="7"/>
      <c r="V275" s="7" t="str">
        <f t="shared" si="4"/>
        <v>TCTN.DNS-26004</v>
      </c>
      <c r="W275" s="7"/>
      <c r="X275" s="7"/>
      <c r="Y275" s="7" t="s">
        <v>81</v>
      </c>
      <c r="Z275" s="7" t="s">
        <v>922</v>
      </c>
      <c r="AA275" s="7" t="s">
        <v>39</v>
      </c>
      <c r="AB275" s="7"/>
      <c r="AC275" s="7" t="s">
        <v>382</v>
      </c>
    </row>
    <row r="276" spans="1:29" hidden="1" x14ac:dyDescent="0.25">
      <c r="A276" s="5">
        <v>271</v>
      </c>
      <c r="B276" s="5" t="s">
        <v>389</v>
      </c>
      <c r="C276" s="5" t="s">
        <v>77</v>
      </c>
      <c r="D276" s="5" t="s">
        <v>390</v>
      </c>
      <c r="E276" s="5">
        <v>10</v>
      </c>
      <c r="F276" s="5">
        <v>200</v>
      </c>
      <c r="G276" s="5">
        <v>9518</v>
      </c>
      <c r="H276" s="5">
        <v>3</v>
      </c>
      <c r="I276" s="5">
        <v>149.43</v>
      </c>
      <c r="J276" s="5">
        <v>448.3</v>
      </c>
      <c r="K276" s="5" t="s">
        <v>360</v>
      </c>
      <c r="L276" s="5" t="s">
        <v>391</v>
      </c>
      <c r="M276" s="7"/>
      <c r="N276" s="7"/>
      <c r="O276" s="7"/>
      <c r="P276" s="7"/>
      <c r="Q276" s="7">
        <v>1</v>
      </c>
      <c r="R276" s="8" t="s">
        <v>37</v>
      </c>
      <c r="S276" s="7"/>
      <c r="T276" s="7" t="s">
        <v>38</v>
      </c>
      <c r="U276" s="7"/>
      <c r="V276" s="7" t="str">
        <f t="shared" si="4"/>
        <v>TCTN.DNS-26004</v>
      </c>
      <c r="W276" s="7"/>
      <c r="X276" s="7"/>
      <c r="Y276" s="7" t="s">
        <v>81</v>
      </c>
      <c r="Z276" s="7" t="s">
        <v>922</v>
      </c>
      <c r="AA276" s="7" t="s">
        <v>39</v>
      </c>
      <c r="AB276" s="7"/>
      <c r="AC276" s="7" t="s">
        <v>392</v>
      </c>
    </row>
    <row r="277" spans="1:29" hidden="1" x14ac:dyDescent="0.25">
      <c r="A277" s="5">
        <v>272</v>
      </c>
      <c r="B277" s="5" t="s">
        <v>379</v>
      </c>
      <c r="C277" s="5" t="s">
        <v>77</v>
      </c>
      <c r="D277" s="5" t="s">
        <v>380</v>
      </c>
      <c r="E277" s="5">
        <v>10</v>
      </c>
      <c r="F277" s="5">
        <v>230</v>
      </c>
      <c r="G277" s="5">
        <v>9518</v>
      </c>
      <c r="H277" s="5">
        <v>2</v>
      </c>
      <c r="I277" s="5">
        <v>171.84</v>
      </c>
      <c r="J277" s="5">
        <v>343.69</v>
      </c>
      <c r="K277" s="5" t="s">
        <v>360</v>
      </c>
      <c r="L277" s="5" t="s">
        <v>391</v>
      </c>
      <c r="M277" s="7"/>
      <c r="N277" s="7"/>
      <c r="O277" s="7"/>
      <c r="P277" s="7"/>
      <c r="Q277" s="7">
        <v>1</v>
      </c>
      <c r="R277" s="8" t="s">
        <v>37</v>
      </c>
      <c r="S277" s="7"/>
      <c r="T277" s="7" t="s">
        <v>38</v>
      </c>
      <c r="U277" s="7"/>
      <c r="V277" s="7" t="str">
        <f t="shared" si="4"/>
        <v>TCTN.DNS-26004</v>
      </c>
      <c r="W277" s="7"/>
      <c r="X277" s="7"/>
      <c r="Y277" s="7" t="s">
        <v>81</v>
      </c>
      <c r="Z277" s="7" t="s">
        <v>922</v>
      </c>
      <c r="AA277" s="7" t="s">
        <v>39</v>
      </c>
      <c r="AB277" s="7"/>
      <c r="AC277" s="7" t="s">
        <v>392</v>
      </c>
    </row>
    <row r="278" spans="1:29" hidden="1" x14ac:dyDescent="0.25">
      <c r="A278" s="5">
        <v>273</v>
      </c>
      <c r="B278" s="5" t="s">
        <v>393</v>
      </c>
      <c r="C278" s="5" t="s">
        <v>77</v>
      </c>
      <c r="D278" s="5" t="s">
        <v>394</v>
      </c>
      <c r="E278" s="5">
        <v>10</v>
      </c>
      <c r="F278" s="5">
        <v>240</v>
      </c>
      <c r="G278" s="5">
        <v>375</v>
      </c>
      <c r="H278" s="5">
        <v>4</v>
      </c>
      <c r="I278" s="5">
        <v>7.06</v>
      </c>
      <c r="J278" s="5">
        <v>28.26</v>
      </c>
      <c r="K278" s="5" t="s">
        <v>360</v>
      </c>
      <c r="L278" s="5" t="s">
        <v>391</v>
      </c>
      <c r="M278" s="7"/>
      <c r="N278" s="7"/>
      <c r="O278" s="7"/>
      <c r="P278" s="7"/>
      <c r="Q278" s="7">
        <v>1</v>
      </c>
      <c r="R278" s="8" t="s">
        <v>37</v>
      </c>
      <c r="S278" s="7"/>
      <c r="T278" s="7" t="s">
        <v>38</v>
      </c>
      <c r="U278" s="7"/>
      <c r="V278" s="7" t="str">
        <f t="shared" si="4"/>
        <v>TCTN.DNS-26004</v>
      </c>
      <c r="W278" s="7" t="s">
        <v>81</v>
      </c>
      <c r="X278" s="7"/>
      <c r="Y278" s="7"/>
      <c r="Z278" s="7" t="s">
        <v>922</v>
      </c>
      <c r="AA278" s="7" t="s">
        <v>39</v>
      </c>
      <c r="AB278" s="7"/>
      <c r="AC278" s="7" t="s">
        <v>392</v>
      </c>
    </row>
    <row r="279" spans="1:29" hidden="1" x14ac:dyDescent="0.25">
      <c r="A279" s="5">
        <v>274</v>
      </c>
      <c r="B279" s="5" t="s">
        <v>395</v>
      </c>
      <c r="C279" s="5" t="s">
        <v>77</v>
      </c>
      <c r="D279" s="5" t="s">
        <v>394</v>
      </c>
      <c r="E279" s="5">
        <v>10</v>
      </c>
      <c r="F279" s="5">
        <v>240</v>
      </c>
      <c r="G279" s="5">
        <v>375</v>
      </c>
      <c r="H279" s="5">
        <v>2</v>
      </c>
      <c r="I279" s="5">
        <v>7.06</v>
      </c>
      <c r="J279" s="5">
        <v>14.13</v>
      </c>
      <c r="K279" s="5" t="s">
        <v>360</v>
      </c>
      <c r="L279" s="5" t="s">
        <v>391</v>
      </c>
      <c r="M279" s="7"/>
      <c r="N279" s="7"/>
      <c r="O279" s="7"/>
      <c r="P279" s="7"/>
      <c r="Q279" s="7">
        <v>1</v>
      </c>
      <c r="R279" s="8" t="s">
        <v>37</v>
      </c>
      <c r="S279" s="7"/>
      <c r="T279" s="7" t="s">
        <v>38</v>
      </c>
      <c r="U279" s="7"/>
      <c r="V279" s="7" t="str">
        <f t="shared" si="4"/>
        <v>TCTN.DNS-26004</v>
      </c>
      <c r="W279" s="7" t="s">
        <v>81</v>
      </c>
      <c r="X279" s="7"/>
      <c r="Y279" s="7"/>
      <c r="Z279" s="7" t="s">
        <v>922</v>
      </c>
      <c r="AA279" s="7" t="s">
        <v>39</v>
      </c>
      <c r="AB279" s="7"/>
      <c r="AC279" s="7" t="s">
        <v>392</v>
      </c>
    </row>
    <row r="280" spans="1:29" hidden="1" x14ac:dyDescent="0.25">
      <c r="A280" s="5">
        <v>275</v>
      </c>
      <c r="B280" s="5" t="s">
        <v>396</v>
      </c>
      <c r="C280" s="5" t="s">
        <v>77</v>
      </c>
      <c r="D280" s="5" t="s">
        <v>397</v>
      </c>
      <c r="E280" s="5">
        <v>10</v>
      </c>
      <c r="F280" s="5">
        <v>86</v>
      </c>
      <c r="G280" s="5">
        <v>338</v>
      </c>
      <c r="H280" s="5">
        <v>4</v>
      </c>
      <c r="I280" s="5">
        <v>2.2599999999999998</v>
      </c>
      <c r="J280" s="5">
        <v>9.06</v>
      </c>
      <c r="K280" s="5" t="s">
        <v>360</v>
      </c>
      <c r="L280" s="5" t="s">
        <v>391</v>
      </c>
      <c r="M280" s="7"/>
      <c r="N280" s="7"/>
      <c r="O280" s="7"/>
      <c r="P280" s="7"/>
      <c r="Q280" s="7">
        <v>1</v>
      </c>
      <c r="R280" s="8" t="s">
        <v>37</v>
      </c>
      <c r="S280" s="7"/>
      <c r="T280" s="7" t="s">
        <v>38</v>
      </c>
      <c r="U280" s="7"/>
      <c r="V280" s="7" t="str">
        <f t="shared" si="4"/>
        <v>TCTN.DNS-26004</v>
      </c>
      <c r="W280" s="7" t="s">
        <v>81</v>
      </c>
      <c r="X280" s="7"/>
      <c r="Y280" s="7"/>
      <c r="Z280" s="7" t="s">
        <v>922</v>
      </c>
      <c r="AA280" s="7" t="s">
        <v>39</v>
      </c>
      <c r="AB280" s="7"/>
      <c r="AC280" s="7" t="s">
        <v>392</v>
      </c>
    </row>
    <row r="281" spans="1:29" hidden="1" x14ac:dyDescent="0.25">
      <c r="A281" s="5">
        <v>276</v>
      </c>
      <c r="B281" s="5" t="s">
        <v>386</v>
      </c>
      <c r="C281" s="5" t="s">
        <v>77</v>
      </c>
      <c r="D281" s="5" t="s">
        <v>387</v>
      </c>
      <c r="E281" s="5">
        <v>10</v>
      </c>
      <c r="F281" s="5">
        <v>148</v>
      </c>
      <c r="G281" s="5">
        <v>441</v>
      </c>
      <c r="H281" s="5">
        <v>12</v>
      </c>
      <c r="I281" s="5">
        <v>5.0599999999999996</v>
      </c>
      <c r="J281" s="5">
        <v>60.73</v>
      </c>
      <c r="K281" s="5" t="s">
        <v>360</v>
      </c>
      <c r="L281" s="5" t="s">
        <v>391</v>
      </c>
      <c r="M281" s="7"/>
      <c r="N281" s="7"/>
      <c r="O281" s="7"/>
      <c r="P281" s="7"/>
      <c r="Q281" s="7">
        <v>1</v>
      </c>
      <c r="R281" s="8" t="s">
        <v>37</v>
      </c>
      <c r="S281" s="7"/>
      <c r="T281" s="7" t="s">
        <v>38</v>
      </c>
      <c r="U281" s="7"/>
      <c r="V281" s="7" t="str">
        <f t="shared" si="4"/>
        <v>TCTN.DNS-26004</v>
      </c>
      <c r="W281" s="7" t="s">
        <v>81</v>
      </c>
      <c r="X281" s="7"/>
      <c r="Y281" s="7"/>
      <c r="Z281" s="7" t="s">
        <v>922</v>
      </c>
      <c r="AA281" s="7" t="s">
        <v>39</v>
      </c>
      <c r="AB281" s="7"/>
      <c r="AC281" s="7" t="s">
        <v>392</v>
      </c>
    </row>
    <row r="282" spans="1:29" hidden="1" x14ac:dyDescent="0.25">
      <c r="A282" s="5">
        <v>277</v>
      </c>
      <c r="B282" s="5" t="s">
        <v>398</v>
      </c>
      <c r="C282" s="5" t="s">
        <v>77</v>
      </c>
      <c r="D282" s="5" t="s">
        <v>399</v>
      </c>
      <c r="E282" s="5">
        <v>10</v>
      </c>
      <c r="F282" s="5">
        <v>200</v>
      </c>
      <c r="G282" s="5">
        <v>250</v>
      </c>
      <c r="H282" s="5">
        <v>1</v>
      </c>
      <c r="I282" s="5">
        <v>3.93</v>
      </c>
      <c r="J282" s="5">
        <v>3.93</v>
      </c>
      <c r="K282" s="5" t="s">
        <v>360</v>
      </c>
      <c r="L282" s="5" t="s">
        <v>391</v>
      </c>
      <c r="M282" s="7"/>
      <c r="N282" s="7"/>
      <c r="O282" s="7"/>
      <c r="P282" s="7"/>
      <c r="Q282" s="7">
        <v>1</v>
      </c>
      <c r="R282" s="8" t="s">
        <v>37</v>
      </c>
      <c r="S282" s="7"/>
      <c r="T282" s="7" t="s">
        <v>38</v>
      </c>
      <c r="U282" s="7"/>
      <c r="V282" s="7" t="str">
        <f t="shared" si="4"/>
        <v>TCTN.DNS-26004</v>
      </c>
      <c r="W282" s="7" t="s">
        <v>81</v>
      </c>
      <c r="X282" s="7"/>
      <c r="Y282" s="7"/>
      <c r="Z282" s="7" t="s">
        <v>922</v>
      </c>
      <c r="AA282" s="7" t="s">
        <v>39</v>
      </c>
      <c r="AB282" s="7"/>
      <c r="AC282" s="7" t="s">
        <v>392</v>
      </c>
    </row>
    <row r="283" spans="1:29" hidden="1" x14ac:dyDescent="0.25">
      <c r="A283" s="5">
        <v>278</v>
      </c>
      <c r="B283" s="5" t="s">
        <v>400</v>
      </c>
      <c r="C283" s="5" t="s">
        <v>77</v>
      </c>
      <c r="D283" s="5" t="s">
        <v>387</v>
      </c>
      <c r="E283" s="5">
        <v>10</v>
      </c>
      <c r="F283" s="5">
        <v>148</v>
      </c>
      <c r="G283" s="5">
        <v>441</v>
      </c>
      <c r="H283" s="5">
        <v>10</v>
      </c>
      <c r="I283" s="5">
        <v>5.0599999999999996</v>
      </c>
      <c r="J283" s="5">
        <v>50.61</v>
      </c>
      <c r="K283" s="5" t="s">
        <v>360</v>
      </c>
      <c r="L283" s="5" t="s">
        <v>391</v>
      </c>
      <c r="M283" s="7"/>
      <c r="N283" s="7"/>
      <c r="O283" s="7"/>
      <c r="P283" s="7"/>
      <c r="Q283" s="7">
        <v>1</v>
      </c>
      <c r="R283" s="8" t="s">
        <v>37</v>
      </c>
      <c r="S283" s="7"/>
      <c r="T283" s="7" t="s">
        <v>38</v>
      </c>
      <c r="U283" s="7"/>
      <c r="V283" s="7" t="str">
        <f t="shared" si="4"/>
        <v>TCTN.DNS-26004</v>
      </c>
      <c r="W283" s="7" t="s">
        <v>81</v>
      </c>
      <c r="X283" s="7"/>
      <c r="Y283" s="7"/>
      <c r="Z283" s="7" t="s">
        <v>922</v>
      </c>
      <c r="AA283" s="7" t="s">
        <v>39</v>
      </c>
      <c r="AB283" s="7"/>
      <c r="AC283" s="7" t="s">
        <v>392</v>
      </c>
    </row>
    <row r="284" spans="1:29" hidden="1" x14ac:dyDescent="0.25">
      <c r="A284" s="5">
        <v>279</v>
      </c>
      <c r="B284" s="5" t="s">
        <v>401</v>
      </c>
      <c r="C284" s="5" t="s">
        <v>77</v>
      </c>
      <c r="D284" s="5" t="s">
        <v>402</v>
      </c>
      <c r="E284" s="5">
        <v>10</v>
      </c>
      <c r="F284" s="5">
        <v>80</v>
      </c>
      <c r="G284" s="5">
        <v>120</v>
      </c>
      <c r="H284" s="5">
        <v>2</v>
      </c>
      <c r="I284" s="5">
        <v>0.72</v>
      </c>
      <c r="J284" s="5">
        <v>1.45</v>
      </c>
      <c r="K284" s="5" t="s">
        <v>360</v>
      </c>
      <c r="L284" s="5" t="s">
        <v>391</v>
      </c>
      <c r="M284" s="7"/>
      <c r="N284" s="7" t="s">
        <v>228</v>
      </c>
      <c r="O284" s="7"/>
      <c r="P284" s="7"/>
      <c r="Q284" s="7">
        <v>1</v>
      </c>
      <c r="R284" s="8" t="s">
        <v>37</v>
      </c>
      <c r="S284" s="7"/>
      <c r="T284" s="7" t="s">
        <v>38</v>
      </c>
      <c r="U284" s="7"/>
      <c r="V284" s="7" t="str">
        <f t="shared" si="4"/>
        <v>TCTN.DNS-26004</v>
      </c>
      <c r="W284" s="7" t="s">
        <v>81</v>
      </c>
      <c r="X284" s="7"/>
      <c r="Y284" s="7"/>
      <c r="Z284" s="7" t="s">
        <v>922</v>
      </c>
      <c r="AA284" s="7" t="s">
        <v>39</v>
      </c>
      <c r="AB284" s="7"/>
      <c r="AC284" s="7" t="s">
        <v>392</v>
      </c>
    </row>
    <row r="285" spans="1:29" hidden="1" x14ac:dyDescent="0.25">
      <c r="A285" s="5">
        <v>280</v>
      </c>
      <c r="B285" s="5" t="s">
        <v>403</v>
      </c>
      <c r="C285" s="5" t="s">
        <v>77</v>
      </c>
      <c r="D285" s="5" t="s">
        <v>387</v>
      </c>
      <c r="E285" s="5">
        <v>10</v>
      </c>
      <c r="F285" s="5">
        <v>148</v>
      </c>
      <c r="G285" s="5">
        <v>441</v>
      </c>
      <c r="H285" s="5">
        <v>21</v>
      </c>
      <c r="I285" s="5">
        <v>5.0599999999999996</v>
      </c>
      <c r="J285" s="5">
        <v>106.28</v>
      </c>
      <c r="K285" s="5" t="s">
        <v>360</v>
      </c>
      <c r="L285" s="5" t="s">
        <v>391</v>
      </c>
      <c r="M285" s="7"/>
      <c r="N285" s="7"/>
      <c r="O285" s="7"/>
      <c r="P285" s="7"/>
      <c r="Q285" s="7">
        <v>1</v>
      </c>
      <c r="R285" s="8" t="s">
        <v>37</v>
      </c>
      <c r="S285" s="7"/>
      <c r="T285" s="7" t="s">
        <v>38</v>
      </c>
      <c r="U285" s="7"/>
      <c r="V285" s="7" t="str">
        <f t="shared" si="4"/>
        <v>TCTN.DNS-26004</v>
      </c>
      <c r="W285" s="7" t="s">
        <v>81</v>
      </c>
      <c r="X285" s="7"/>
      <c r="Y285" s="7"/>
      <c r="Z285" s="7" t="s">
        <v>922</v>
      </c>
      <c r="AA285" s="7" t="s">
        <v>39</v>
      </c>
      <c r="AB285" s="7"/>
      <c r="AC285" s="7" t="s">
        <v>392</v>
      </c>
    </row>
    <row r="286" spans="1:29" hidden="1" x14ac:dyDescent="0.25">
      <c r="A286" s="5">
        <v>281</v>
      </c>
      <c r="B286" s="5" t="s">
        <v>404</v>
      </c>
      <c r="C286" s="5" t="s">
        <v>77</v>
      </c>
      <c r="D286" s="5" t="s">
        <v>405</v>
      </c>
      <c r="E286" s="5">
        <v>10</v>
      </c>
      <c r="F286" s="5">
        <v>120</v>
      </c>
      <c r="G286" s="5">
        <v>220</v>
      </c>
      <c r="H286" s="5">
        <v>1</v>
      </c>
      <c r="I286" s="5">
        <v>2.0099999999999998</v>
      </c>
      <c r="J286" s="5">
        <v>2.0099999999999998</v>
      </c>
      <c r="K286" s="5" t="s">
        <v>360</v>
      </c>
      <c r="L286" s="5" t="s">
        <v>391</v>
      </c>
      <c r="M286" s="7"/>
      <c r="N286" s="7" t="s">
        <v>228</v>
      </c>
      <c r="O286" s="7"/>
      <c r="P286" s="7"/>
      <c r="Q286" s="7">
        <v>1</v>
      </c>
      <c r="R286" s="8" t="s">
        <v>37</v>
      </c>
      <c r="S286" s="7"/>
      <c r="T286" s="7" t="s">
        <v>38</v>
      </c>
      <c r="U286" s="7"/>
      <c r="V286" s="7" t="str">
        <f t="shared" si="4"/>
        <v>TCTN.DNS-26004</v>
      </c>
      <c r="W286" s="7" t="s">
        <v>81</v>
      </c>
      <c r="X286" s="7"/>
      <c r="Y286" s="7"/>
      <c r="Z286" s="7" t="s">
        <v>922</v>
      </c>
      <c r="AA286" s="7" t="s">
        <v>39</v>
      </c>
      <c r="AB286" s="7"/>
      <c r="AC286" s="7" t="s">
        <v>392</v>
      </c>
    </row>
    <row r="287" spans="1:29" hidden="1" x14ac:dyDescent="0.25">
      <c r="A287" s="5">
        <v>282</v>
      </c>
      <c r="B287" s="5" t="s">
        <v>406</v>
      </c>
      <c r="C287" s="5" t="s">
        <v>77</v>
      </c>
      <c r="D287" s="5" t="s">
        <v>407</v>
      </c>
      <c r="E287" s="5">
        <v>10</v>
      </c>
      <c r="F287" s="5">
        <v>380</v>
      </c>
      <c r="G287" s="5">
        <v>4577</v>
      </c>
      <c r="H287" s="5">
        <v>2</v>
      </c>
      <c r="I287" s="5">
        <v>135.07</v>
      </c>
      <c r="J287" s="5">
        <v>270.14999999999998</v>
      </c>
      <c r="K287" s="5" t="s">
        <v>360</v>
      </c>
      <c r="L287" s="5" t="s">
        <v>391</v>
      </c>
      <c r="M287" s="7"/>
      <c r="N287" s="7"/>
      <c r="O287" s="7"/>
      <c r="P287" s="7"/>
      <c r="Q287" s="7">
        <v>1</v>
      </c>
      <c r="R287" s="8" t="s">
        <v>37</v>
      </c>
      <c r="S287" s="7"/>
      <c r="T287" s="7" t="s">
        <v>38</v>
      </c>
      <c r="U287" s="7"/>
      <c r="V287" s="7" t="str">
        <f t="shared" si="4"/>
        <v>TCTN.DNS-26004</v>
      </c>
      <c r="W287" s="7"/>
      <c r="X287" s="7"/>
      <c r="Y287" s="7" t="s">
        <v>81</v>
      </c>
      <c r="Z287" s="7" t="s">
        <v>922</v>
      </c>
      <c r="AA287" s="7" t="s">
        <v>39</v>
      </c>
      <c r="AB287" s="7"/>
      <c r="AC287" s="7" t="s">
        <v>392</v>
      </c>
    </row>
    <row r="288" spans="1:29" hidden="1" x14ac:dyDescent="0.25">
      <c r="A288" s="5">
        <v>283</v>
      </c>
      <c r="B288" s="5" t="s">
        <v>408</v>
      </c>
      <c r="C288" s="5" t="s">
        <v>77</v>
      </c>
      <c r="D288" s="5" t="s">
        <v>397</v>
      </c>
      <c r="E288" s="5">
        <v>10</v>
      </c>
      <c r="F288" s="5">
        <v>86</v>
      </c>
      <c r="G288" s="5">
        <v>338</v>
      </c>
      <c r="H288" s="5">
        <v>16</v>
      </c>
      <c r="I288" s="5">
        <v>2.2599999999999998</v>
      </c>
      <c r="J288" s="5">
        <v>36.229999999999997</v>
      </c>
      <c r="K288" s="5" t="s">
        <v>360</v>
      </c>
      <c r="L288" s="5" t="s">
        <v>409</v>
      </c>
      <c r="M288" s="7"/>
      <c r="N288" s="7"/>
      <c r="O288" s="7"/>
      <c r="P288" s="7"/>
      <c r="Q288" s="7">
        <v>1</v>
      </c>
      <c r="R288" s="8" t="s">
        <v>37</v>
      </c>
      <c r="S288" s="7"/>
      <c r="T288" s="7" t="s">
        <v>38</v>
      </c>
      <c r="U288" s="7"/>
      <c r="V288" s="7" t="str">
        <f t="shared" si="4"/>
        <v>TCTN.DNS-26004</v>
      </c>
      <c r="W288" s="7" t="s">
        <v>81</v>
      </c>
      <c r="X288" s="7"/>
      <c r="Y288" s="7"/>
      <c r="Z288" s="7" t="s">
        <v>922</v>
      </c>
      <c r="AA288" s="7" t="s">
        <v>39</v>
      </c>
      <c r="AB288" s="7"/>
      <c r="AC288" s="7" t="s">
        <v>410</v>
      </c>
    </row>
    <row r="289" spans="1:29" hidden="1" x14ac:dyDescent="0.25">
      <c r="A289" s="5">
        <v>284</v>
      </c>
      <c r="B289" s="5" t="s">
        <v>411</v>
      </c>
      <c r="C289" s="5" t="s">
        <v>77</v>
      </c>
      <c r="D289" s="5" t="s">
        <v>412</v>
      </c>
      <c r="E289" s="5">
        <v>10</v>
      </c>
      <c r="F289" s="5">
        <v>532</v>
      </c>
      <c r="G289" s="5">
        <v>4080</v>
      </c>
      <c r="H289" s="5">
        <v>2</v>
      </c>
      <c r="I289" s="5">
        <v>168.27</v>
      </c>
      <c r="J289" s="5">
        <v>336.54</v>
      </c>
      <c r="K289" s="5" t="s">
        <v>360</v>
      </c>
      <c r="L289" s="5" t="s">
        <v>409</v>
      </c>
      <c r="M289" s="7"/>
      <c r="N289" s="7"/>
      <c r="O289" s="7" t="s">
        <v>81</v>
      </c>
      <c r="P289" s="7" t="s">
        <v>81</v>
      </c>
      <c r="Q289" s="7">
        <v>1</v>
      </c>
      <c r="R289" s="8" t="s">
        <v>37</v>
      </c>
      <c r="S289" s="7"/>
      <c r="T289" s="7" t="s">
        <v>38</v>
      </c>
      <c r="U289" s="7"/>
      <c r="V289" s="7" t="str">
        <f t="shared" si="4"/>
        <v>TCTN.DNS-26004</v>
      </c>
      <c r="W289" s="7"/>
      <c r="X289" s="7"/>
      <c r="Y289" s="7"/>
      <c r="Z289" s="7" t="s">
        <v>922</v>
      </c>
      <c r="AA289" s="7" t="s">
        <v>39</v>
      </c>
      <c r="AB289" s="7"/>
      <c r="AC289" s="7" t="s">
        <v>410</v>
      </c>
    </row>
    <row r="290" spans="1:29" hidden="1" x14ac:dyDescent="0.25">
      <c r="A290" s="5">
        <v>285</v>
      </c>
      <c r="B290" s="5" t="s">
        <v>396</v>
      </c>
      <c r="C290" s="5" t="s">
        <v>77</v>
      </c>
      <c r="D290" s="5" t="s">
        <v>397</v>
      </c>
      <c r="E290" s="5">
        <v>10</v>
      </c>
      <c r="F290" s="5">
        <v>86</v>
      </c>
      <c r="G290" s="5">
        <v>338</v>
      </c>
      <c r="H290" s="5">
        <v>4</v>
      </c>
      <c r="I290" s="5">
        <v>2.2599999999999998</v>
      </c>
      <c r="J290" s="5">
        <v>9.06</v>
      </c>
      <c r="K290" s="5" t="s">
        <v>360</v>
      </c>
      <c r="L290" s="5" t="s">
        <v>409</v>
      </c>
      <c r="M290" s="7"/>
      <c r="N290" s="7"/>
      <c r="O290" s="7"/>
      <c r="P290" s="7"/>
      <c r="Q290" s="7">
        <v>1</v>
      </c>
      <c r="R290" s="8" t="s">
        <v>37</v>
      </c>
      <c r="S290" s="7"/>
      <c r="T290" s="7" t="s">
        <v>38</v>
      </c>
      <c r="U290" s="7"/>
      <c r="V290" s="7" t="str">
        <f t="shared" si="4"/>
        <v>TCTN.DNS-26004</v>
      </c>
      <c r="W290" s="7" t="s">
        <v>81</v>
      </c>
      <c r="X290" s="7"/>
      <c r="Y290" s="7"/>
      <c r="Z290" s="7" t="s">
        <v>922</v>
      </c>
      <c r="AA290" s="7" t="s">
        <v>39</v>
      </c>
      <c r="AB290" s="7"/>
      <c r="AC290" s="7" t="s">
        <v>410</v>
      </c>
    </row>
    <row r="291" spans="1:29" hidden="1" x14ac:dyDescent="0.25">
      <c r="A291" s="5">
        <v>286</v>
      </c>
      <c r="B291" s="5" t="s">
        <v>401</v>
      </c>
      <c r="C291" s="5" t="s">
        <v>77</v>
      </c>
      <c r="D291" s="5" t="s">
        <v>402</v>
      </c>
      <c r="E291" s="5">
        <v>10</v>
      </c>
      <c r="F291" s="5">
        <v>80</v>
      </c>
      <c r="G291" s="5">
        <v>120</v>
      </c>
      <c r="H291" s="5">
        <v>1</v>
      </c>
      <c r="I291" s="5">
        <v>0.72</v>
      </c>
      <c r="J291" s="5">
        <v>0.72</v>
      </c>
      <c r="K291" s="5" t="s">
        <v>360</v>
      </c>
      <c r="L291" s="5" t="s">
        <v>409</v>
      </c>
      <c r="M291" s="7"/>
      <c r="N291" s="7" t="s">
        <v>228</v>
      </c>
      <c r="O291" s="7"/>
      <c r="P291" s="7"/>
      <c r="Q291" s="7">
        <v>1</v>
      </c>
      <c r="R291" s="8" t="s">
        <v>37</v>
      </c>
      <c r="S291" s="7"/>
      <c r="T291" s="7" t="s">
        <v>38</v>
      </c>
      <c r="U291" s="7"/>
      <c r="V291" s="7" t="str">
        <f t="shared" si="4"/>
        <v>TCTN.DNS-26004</v>
      </c>
      <c r="W291" s="7" t="s">
        <v>81</v>
      </c>
      <c r="X291" s="7"/>
      <c r="Y291" s="7"/>
      <c r="Z291" s="7" t="s">
        <v>922</v>
      </c>
      <c r="AA291" s="7" t="s">
        <v>39</v>
      </c>
      <c r="AB291" s="7"/>
      <c r="AC291" s="7" t="s">
        <v>410</v>
      </c>
    </row>
    <row r="292" spans="1:29" hidden="1" x14ac:dyDescent="0.25">
      <c r="A292" s="5">
        <v>287</v>
      </c>
      <c r="B292" s="5" t="s">
        <v>413</v>
      </c>
      <c r="C292" s="5" t="s">
        <v>77</v>
      </c>
      <c r="D292" s="5" t="s">
        <v>414</v>
      </c>
      <c r="E292" s="5">
        <v>10</v>
      </c>
      <c r="F292" s="5">
        <v>100</v>
      </c>
      <c r="G292" s="5">
        <v>100</v>
      </c>
      <c r="H292" s="5">
        <v>2</v>
      </c>
      <c r="I292" s="5">
        <v>0.4</v>
      </c>
      <c r="J292" s="5">
        <v>0.79</v>
      </c>
      <c r="K292" s="5" t="s">
        <v>360</v>
      </c>
      <c r="L292" s="5" t="s">
        <v>409</v>
      </c>
      <c r="M292" s="7"/>
      <c r="N292" s="7" t="s">
        <v>228</v>
      </c>
      <c r="O292" s="7"/>
      <c r="P292" s="7"/>
      <c r="Q292" s="7">
        <v>1</v>
      </c>
      <c r="R292" s="8" t="s">
        <v>37</v>
      </c>
      <c r="S292" s="7"/>
      <c r="T292" s="7" t="s">
        <v>38</v>
      </c>
      <c r="U292" s="7"/>
      <c r="V292" s="7" t="str">
        <f t="shared" si="4"/>
        <v>TCTN.DNS-26004</v>
      </c>
      <c r="W292" s="7"/>
      <c r="X292" s="7" t="s">
        <v>81</v>
      </c>
      <c r="Y292" s="7"/>
      <c r="Z292" s="7" t="s">
        <v>922</v>
      </c>
      <c r="AA292" s="7" t="s">
        <v>39</v>
      </c>
      <c r="AB292" s="7"/>
      <c r="AC292" s="7" t="s">
        <v>410</v>
      </c>
    </row>
    <row r="293" spans="1:29" hidden="1" x14ac:dyDescent="0.25">
      <c r="A293" s="5">
        <v>288</v>
      </c>
      <c r="B293" s="5" t="s">
        <v>415</v>
      </c>
      <c r="C293" s="5" t="s">
        <v>77</v>
      </c>
      <c r="D293" s="5" t="s">
        <v>414</v>
      </c>
      <c r="E293" s="5">
        <v>10</v>
      </c>
      <c r="F293" s="5">
        <v>100</v>
      </c>
      <c r="G293" s="5">
        <v>100</v>
      </c>
      <c r="H293" s="5">
        <v>4</v>
      </c>
      <c r="I293" s="5">
        <v>0.4</v>
      </c>
      <c r="J293" s="5">
        <v>1.58</v>
      </c>
      <c r="K293" s="5" t="s">
        <v>360</v>
      </c>
      <c r="L293" s="5" t="s">
        <v>409</v>
      </c>
      <c r="M293" s="7"/>
      <c r="N293" s="7" t="s">
        <v>228</v>
      </c>
      <c r="O293" s="7"/>
      <c r="P293" s="7"/>
      <c r="Q293" s="7">
        <v>1</v>
      </c>
      <c r="R293" s="8" t="s">
        <v>37</v>
      </c>
      <c r="S293" s="7"/>
      <c r="T293" s="7" t="s">
        <v>38</v>
      </c>
      <c r="U293" s="7"/>
      <c r="V293" s="7" t="str">
        <f t="shared" si="4"/>
        <v>TCTN.DNS-26004</v>
      </c>
      <c r="W293" s="7"/>
      <c r="X293" s="7" t="s">
        <v>81</v>
      </c>
      <c r="Y293" s="7"/>
      <c r="Z293" s="7" t="s">
        <v>922</v>
      </c>
      <c r="AA293" s="7" t="s">
        <v>39</v>
      </c>
      <c r="AB293" s="7"/>
      <c r="AC293" s="7" t="s">
        <v>410</v>
      </c>
    </row>
    <row r="294" spans="1:29" hidden="1" x14ac:dyDescent="0.25">
      <c r="A294" s="5">
        <v>289</v>
      </c>
      <c r="B294" s="5" t="s">
        <v>404</v>
      </c>
      <c r="C294" s="5" t="s">
        <v>77</v>
      </c>
      <c r="D294" s="5" t="s">
        <v>405</v>
      </c>
      <c r="E294" s="5">
        <v>10</v>
      </c>
      <c r="F294" s="5">
        <v>120</v>
      </c>
      <c r="G294" s="5">
        <v>220</v>
      </c>
      <c r="H294" s="5">
        <v>5</v>
      </c>
      <c r="I294" s="5">
        <v>2.0099999999999998</v>
      </c>
      <c r="J294" s="5">
        <v>10.06</v>
      </c>
      <c r="K294" s="5" t="s">
        <v>360</v>
      </c>
      <c r="L294" s="5" t="s">
        <v>409</v>
      </c>
      <c r="M294" s="7"/>
      <c r="N294" s="7" t="s">
        <v>228</v>
      </c>
      <c r="O294" s="7"/>
      <c r="P294" s="7"/>
      <c r="Q294" s="7">
        <v>1</v>
      </c>
      <c r="R294" s="8" t="s">
        <v>37</v>
      </c>
      <c r="S294" s="7"/>
      <c r="T294" s="7" t="s">
        <v>38</v>
      </c>
      <c r="U294" s="7"/>
      <c r="V294" s="7" t="str">
        <f t="shared" si="4"/>
        <v>TCTN.DNS-26004</v>
      </c>
      <c r="W294" s="7" t="s">
        <v>81</v>
      </c>
      <c r="X294" s="7"/>
      <c r="Y294" s="7"/>
      <c r="Z294" s="7" t="s">
        <v>922</v>
      </c>
      <c r="AA294" s="7" t="s">
        <v>39</v>
      </c>
      <c r="AB294" s="7"/>
      <c r="AC294" s="7" t="s">
        <v>410</v>
      </c>
    </row>
    <row r="295" spans="1:29" hidden="1" x14ac:dyDescent="0.25">
      <c r="A295" s="5">
        <v>290</v>
      </c>
      <c r="B295" s="5" t="s">
        <v>416</v>
      </c>
      <c r="C295" s="5" t="s">
        <v>77</v>
      </c>
      <c r="D295" s="5" t="s">
        <v>414</v>
      </c>
      <c r="E295" s="5">
        <v>10</v>
      </c>
      <c r="F295" s="5">
        <v>100</v>
      </c>
      <c r="G295" s="5">
        <v>100</v>
      </c>
      <c r="H295" s="5">
        <v>1</v>
      </c>
      <c r="I295" s="5">
        <v>0.39</v>
      </c>
      <c r="J295" s="5">
        <v>0.39</v>
      </c>
      <c r="K295" s="5" t="s">
        <v>360</v>
      </c>
      <c r="L295" s="5" t="s">
        <v>409</v>
      </c>
      <c r="M295" s="7"/>
      <c r="N295" s="7" t="s">
        <v>228</v>
      </c>
      <c r="O295" s="7"/>
      <c r="P295" s="7"/>
      <c r="Q295" s="7">
        <v>1</v>
      </c>
      <c r="R295" s="8" t="s">
        <v>37</v>
      </c>
      <c r="S295" s="7"/>
      <c r="T295" s="7" t="s">
        <v>38</v>
      </c>
      <c r="U295" s="7"/>
      <c r="V295" s="7" t="str">
        <f t="shared" si="4"/>
        <v>TCTN.DNS-26004</v>
      </c>
      <c r="W295" s="7"/>
      <c r="X295" s="7" t="s">
        <v>81</v>
      </c>
      <c r="Y295" s="7"/>
      <c r="Z295" s="7" t="s">
        <v>922</v>
      </c>
      <c r="AA295" s="7" t="s">
        <v>39</v>
      </c>
      <c r="AB295" s="7"/>
      <c r="AC295" s="7" t="s">
        <v>410</v>
      </c>
    </row>
    <row r="296" spans="1:29" hidden="1" x14ac:dyDescent="0.25">
      <c r="A296" s="5">
        <v>291</v>
      </c>
      <c r="B296" s="5" t="s">
        <v>417</v>
      </c>
      <c r="C296" s="5" t="s">
        <v>77</v>
      </c>
      <c r="D296" s="5" t="s">
        <v>418</v>
      </c>
      <c r="E296" s="5">
        <v>10</v>
      </c>
      <c r="F296" s="5">
        <v>200</v>
      </c>
      <c r="G296" s="5">
        <v>12000</v>
      </c>
      <c r="H296" s="5">
        <v>4</v>
      </c>
      <c r="I296" s="5">
        <v>188.4</v>
      </c>
      <c r="J296" s="5">
        <v>753.62</v>
      </c>
      <c r="K296" s="5" t="s">
        <v>360</v>
      </c>
      <c r="L296" s="5" t="s">
        <v>409</v>
      </c>
      <c r="M296" s="7"/>
      <c r="N296" s="7"/>
      <c r="O296" s="7"/>
      <c r="P296" s="7"/>
      <c r="Q296" s="7">
        <v>1</v>
      </c>
      <c r="R296" s="8" t="s">
        <v>37</v>
      </c>
      <c r="S296" s="7"/>
      <c r="T296" s="7" t="s">
        <v>38</v>
      </c>
      <c r="U296" s="7"/>
      <c r="V296" s="7" t="str">
        <f t="shared" si="4"/>
        <v>TCTN.DNS-26004</v>
      </c>
      <c r="W296" s="7"/>
      <c r="X296" s="7"/>
      <c r="Y296" s="7" t="s">
        <v>81</v>
      </c>
      <c r="Z296" s="7" t="s">
        <v>922</v>
      </c>
      <c r="AA296" s="7" t="s">
        <v>39</v>
      </c>
      <c r="AB296" s="7"/>
      <c r="AC296" s="7" t="s">
        <v>410</v>
      </c>
    </row>
    <row r="297" spans="1:29" hidden="1" x14ac:dyDescent="0.25">
      <c r="A297" s="5">
        <v>292</v>
      </c>
      <c r="B297" s="5" t="s">
        <v>419</v>
      </c>
      <c r="C297" s="5" t="s">
        <v>77</v>
      </c>
      <c r="D297" s="5" t="s">
        <v>420</v>
      </c>
      <c r="E297" s="5">
        <v>10</v>
      </c>
      <c r="F297" s="5">
        <v>200</v>
      </c>
      <c r="G297" s="5">
        <v>3586</v>
      </c>
      <c r="H297" s="5">
        <v>2</v>
      </c>
      <c r="I297" s="5">
        <v>56.3</v>
      </c>
      <c r="J297" s="5">
        <v>112.6</v>
      </c>
      <c r="K297" s="5" t="s">
        <v>360</v>
      </c>
      <c r="L297" s="5" t="s">
        <v>409</v>
      </c>
      <c r="M297" s="7"/>
      <c r="N297" s="7"/>
      <c r="O297" s="7"/>
      <c r="P297" s="7"/>
      <c r="Q297" s="7">
        <v>1</v>
      </c>
      <c r="R297" s="8" t="s">
        <v>37</v>
      </c>
      <c r="S297" s="7"/>
      <c r="T297" s="7" t="s">
        <v>38</v>
      </c>
      <c r="U297" s="7"/>
      <c r="V297" s="7" t="str">
        <f t="shared" si="4"/>
        <v>TCTN.DNS-26004</v>
      </c>
      <c r="W297" s="7"/>
      <c r="X297" s="7"/>
      <c r="Y297" s="7" t="s">
        <v>81</v>
      </c>
      <c r="Z297" s="7" t="s">
        <v>922</v>
      </c>
      <c r="AA297" s="7" t="s">
        <v>39</v>
      </c>
      <c r="AB297" s="7"/>
      <c r="AC297" s="7" t="s">
        <v>410</v>
      </c>
    </row>
    <row r="298" spans="1:29" hidden="1" x14ac:dyDescent="0.25">
      <c r="A298" s="5">
        <v>293</v>
      </c>
      <c r="B298" s="5" t="s">
        <v>421</v>
      </c>
      <c r="C298" s="5" t="s">
        <v>77</v>
      </c>
      <c r="D298" s="5" t="s">
        <v>422</v>
      </c>
      <c r="E298" s="5">
        <v>10</v>
      </c>
      <c r="F298" s="5">
        <v>230</v>
      </c>
      <c r="G298" s="5">
        <v>3586</v>
      </c>
      <c r="H298" s="5">
        <v>1</v>
      </c>
      <c r="I298" s="5">
        <v>64.75</v>
      </c>
      <c r="J298" s="5">
        <v>64.75</v>
      </c>
      <c r="K298" s="5" t="s">
        <v>360</v>
      </c>
      <c r="L298" s="5" t="s">
        <v>409</v>
      </c>
      <c r="M298" s="7"/>
      <c r="N298" s="7"/>
      <c r="O298" s="7"/>
      <c r="P298" s="7"/>
      <c r="Q298" s="7">
        <v>1</v>
      </c>
      <c r="R298" s="8" t="s">
        <v>37</v>
      </c>
      <c r="S298" s="7"/>
      <c r="T298" s="7" t="s">
        <v>38</v>
      </c>
      <c r="U298" s="7"/>
      <c r="V298" s="7" t="str">
        <f t="shared" si="4"/>
        <v>TCTN.DNS-26004</v>
      </c>
      <c r="W298" s="7"/>
      <c r="X298" s="7"/>
      <c r="Y298" s="7" t="s">
        <v>81</v>
      </c>
      <c r="Z298" s="7" t="s">
        <v>922</v>
      </c>
      <c r="AA298" s="7" t="s">
        <v>39</v>
      </c>
      <c r="AB298" s="7"/>
      <c r="AC298" s="7" t="s">
        <v>410</v>
      </c>
    </row>
    <row r="299" spans="1:29" hidden="1" x14ac:dyDescent="0.25">
      <c r="A299" s="5">
        <v>294</v>
      </c>
      <c r="B299" s="5" t="s">
        <v>423</v>
      </c>
      <c r="C299" s="5" t="s">
        <v>77</v>
      </c>
      <c r="D299" s="5" t="s">
        <v>414</v>
      </c>
      <c r="E299" s="5">
        <v>10</v>
      </c>
      <c r="F299" s="5">
        <v>100</v>
      </c>
      <c r="G299" s="5">
        <v>100</v>
      </c>
      <c r="H299" s="5">
        <v>4</v>
      </c>
      <c r="I299" s="5">
        <v>0.4</v>
      </c>
      <c r="J299" s="5">
        <v>1.58</v>
      </c>
      <c r="K299" s="5" t="s">
        <v>360</v>
      </c>
      <c r="L299" s="5" t="s">
        <v>409</v>
      </c>
      <c r="M299" s="7"/>
      <c r="N299" s="7" t="s">
        <v>228</v>
      </c>
      <c r="O299" s="7"/>
      <c r="P299" s="7"/>
      <c r="Q299" s="7">
        <v>1</v>
      </c>
      <c r="R299" s="8" t="s">
        <v>37</v>
      </c>
      <c r="S299" s="7"/>
      <c r="T299" s="7" t="s">
        <v>38</v>
      </c>
      <c r="U299" s="7"/>
      <c r="V299" s="7" t="str">
        <f t="shared" si="4"/>
        <v>TCTN.DNS-26004</v>
      </c>
      <c r="W299" s="7"/>
      <c r="X299" s="7" t="s">
        <v>81</v>
      </c>
      <c r="Y299" s="7"/>
      <c r="Z299" s="7" t="s">
        <v>922</v>
      </c>
      <c r="AA299" s="7" t="s">
        <v>39</v>
      </c>
      <c r="AB299" s="7"/>
      <c r="AC299" s="7" t="s">
        <v>410</v>
      </c>
    </row>
    <row r="300" spans="1:29" hidden="1" x14ac:dyDescent="0.25">
      <c r="A300" s="5">
        <v>295</v>
      </c>
      <c r="B300" s="5" t="s">
        <v>389</v>
      </c>
      <c r="C300" s="5" t="s">
        <v>77</v>
      </c>
      <c r="D300" s="5" t="s">
        <v>390</v>
      </c>
      <c r="E300" s="5">
        <v>10</v>
      </c>
      <c r="F300" s="5">
        <v>200</v>
      </c>
      <c r="G300" s="5">
        <v>9518</v>
      </c>
      <c r="H300" s="5">
        <v>1</v>
      </c>
      <c r="I300" s="5">
        <v>149.43</v>
      </c>
      <c r="J300" s="5">
        <v>149.43</v>
      </c>
      <c r="K300" s="5" t="s">
        <v>360</v>
      </c>
      <c r="L300" s="5" t="s">
        <v>424</v>
      </c>
      <c r="M300" s="7"/>
      <c r="N300" s="7"/>
      <c r="O300" s="7"/>
      <c r="P300" s="7"/>
      <c r="Q300" s="7">
        <v>1</v>
      </c>
      <c r="R300" s="8" t="s">
        <v>37</v>
      </c>
      <c r="S300" s="7"/>
      <c r="T300" s="7" t="s">
        <v>38</v>
      </c>
      <c r="U300" s="7"/>
      <c r="V300" s="7" t="str">
        <f t="shared" si="4"/>
        <v>TCTN.DNS-26004</v>
      </c>
      <c r="W300" s="7"/>
      <c r="X300" s="7"/>
      <c r="Y300" s="7" t="s">
        <v>81</v>
      </c>
      <c r="Z300" s="7" t="s">
        <v>922</v>
      </c>
      <c r="AA300" s="7" t="s">
        <v>39</v>
      </c>
      <c r="AB300" s="7"/>
      <c r="AC300" s="7" t="s">
        <v>425</v>
      </c>
    </row>
    <row r="301" spans="1:29" hidden="1" x14ac:dyDescent="0.25">
      <c r="A301" s="5">
        <v>296</v>
      </c>
      <c r="B301" s="5" t="s">
        <v>426</v>
      </c>
      <c r="C301" s="5" t="s">
        <v>77</v>
      </c>
      <c r="D301" s="5" t="s">
        <v>412</v>
      </c>
      <c r="E301" s="5">
        <v>10</v>
      </c>
      <c r="F301" s="5">
        <v>532</v>
      </c>
      <c r="G301" s="5">
        <v>4080</v>
      </c>
      <c r="H301" s="5">
        <v>2</v>
      </c>
      <c r="I301" s="5">
        <v>168.27</v>
      </c>
      <c r="J301" s="5">
        <v>336.54</v>
      </c>
      <c r="K301" s="5" t="s">
        <v>360</v>
      </c>
      <c r="L301" s="5" t="s">
        <v>424</v>
      </c>
      <c r="M301" s="7"/>
      <c r="N301" s="7"/>
      <c r="O301" s="7" t="s">
        <v>81</v>
      </c>
      <c r="P301" s="7" t="s">
        <v>81</v>
      </c>
      <c r="Q301" s="7">
        <v>1</v>
      </c>
      <c r="R301" s="8" t="s">
        <v>37</v>
      </c>
      <c r="S301" s="7"/>
      <c r="T301" s="7" t="s">
        <v>38</v>
      </c>
      <c r="U301" s="7"/>
      <c r="V301" s="7" t="str">
        <f t="shared" si="4"/>
        <v>TCTN.DNS-26004</v>
      </c>
      <c r="W301" s="7"/>
      <c r="X301" s="7"/>
      <c r="Y301" s="7"/>
      <c r="Z301" s="7" t="s">
        <v>922</v>
      </c>
      <c r="AA301" s="7" t="s">
        <v>39</v>
      </c>
      <c r="AB301" s="7"/>
      <c r="AC301" s="7" t="s">
        <v>425</v>
      </c>
    </row>
    <row r="302" spans="1:29" hidden="1" x14ac:dyDescent="0.25">
      <c r="A302" s="5">
        <v>297</v>
      </c>
      <c r="B302" s="5" t="s">
        <v>427</v>
      </c>
      <c r="C302" s="5" t="s">
        <v>77</v>
      </c>
      <c r="D302" s="5" t="s">
        <v>428</v>
      </c>
      <c r="E302" s="5">
        <v>10</v>
      </c>
      <c r="F302" s="5">
        <v>280</v>
      </c>
      <c r="G302" s="5">
        <v>349</v>
      </c>
      <c r="H302" s="5">
        <v>8</v>
      </c>
      <c r="I302" s="5">
        <v>5.3</v>
      </c>
      <c r="J302" s="5">
        <v>42.42</v>
      </c>
      <c r="K302" s="5" t="s">
        <v>360</v>
      </c>
      <c r="L302" s="5" t="s">
        <v>424</v>
      </c>
      <c r="M302" s="7"/>
      <c r="N302" s="7"/>
      <c r="O302" s="7"/>
      <c r="P302" s="7"/>
      <c r="Q302" s="7">
        <v>1</v>
      </c>
      <c r="R302" s="8" t="s">
        <v>37</v>
      </c>
      <c r="S302" s="7"/>
      <c r="T302" s="7" t="s">
        <v>38</v>
      </c>
      <c r="U302" s="7"/>
      <c r="V302" s="7" t="str">
        <f t="shared" si="4"/>
        <v>TCTN.DNS-26004</v>
      </c>
      <c r="W302" s="7" t="s">
        <v>81</v>
      </c>
      <c r="X302" s="7"/>
      <c r="Y302" s="7"/>
      <c r="Z302" s="7" t="s">
        <v>922</v>
      </c>
      <c r="AA302" s="7" t="s">
        <v>39</v>
      </c>
      <c r="AB302" s="7"/>
      <c r="AC302" s="7" t="s">
        <v>425</v>
      </c>
    </row>
    <row r="303" spans="1:29" hidden="1" x14ac:dyDescent="0.25">
      <c r="A303" s="5">
        <v>298</v>
      </c>
      <c r="B303" s="5" t="s">
        <v>429</v>
      </c>
      <c r="C303" s="5" t="s">
        <v>77</v>
      </c>
      <c r="D303" s="5" t="s">
        <v>402</v>
      </c>
      <c r="E303" s="5">
        <v>10</v>
      </c>
      <c r="F303" s="5">
        <v>80</v>
      </c>
      <c r="G303" s="5">
        <v>120</v>
      </c>
      <c r="H303" s="5">
        <v>1</v>
      </c>
      <c r="I303" s="5">
        <v>0.72</v>
      </c>
      <c r="J303" s="5">
        <v>0.72</v>
      </c>
      <c r="K303" s="5" t="s">
        <v>360</v>
      </c>
      <c r="L303" s="5" t="s">
        <v>424</v>
      </c>
      <c r="M303" s="7"/>
      <c r="N303" s="7" t="s">
        <v>228</v>
      </c>
      <c r="O303" s="7"/>
      <c r="P303" s="7"/>
      <c r="Q303" s="7">
        <v>1</v>
      </c>
      <c r="R303" s="8" t="s">
        <v>37</v>
      </c>
      <c r="S303" s="7"/>
      <c r="T303" s="7" t="s">
        <v>38</v>
      </c>
      <c r="U303" s="7"/>
      <c r="V303" s="7" t="str">
        <f t="shared" si="4"/>
        <v>TCTN.DNS-26004</v>
      </c>
      <c r="W303" s="7" t="s">
        <v>81</v>
      </c>
      <c r="X303" s="7"/>
      <c r="Y303" s="7"/>
      <c r="Z303" s="7" t="s">
        <v>922</v>
      </c>
      <c r="AA303" s="7" t="s">
        <v>39</v>
      </c>
      <c r="AB303" s="7"/>
      <c r="AC303" s="7" t="s">
        <v>425</v>
      </c>
    </row>
    <row r="304" spans="1:29" hidden="1" x14ac:dyDescent="0.25">
      <c r="A304" s="5">
        <v>299</v>
      </c>
      <c r="B304" s="5" t="s">
        <v>430</v>
      </c>
      <c r="C304" s="5" t="s">
        <v>77</v>
      </c>
      <c r="D304" s="5" t="s">
        <v>431</v>
      </c>
      <c r="E304" s="5">
        <v>10</v>
      </c>
      <c r="F304" s="5">
        <v>120</v>
      </c>
      <c r="G304" s="5">
        <v>250</v>
      </c>
      <c r="H304" s="5">
        <v>1</v>
      </c>
      <c r="I304" s="5">
        <v>2.36</v>
      </c>
      <c r="J304" s="5">
        <v>2.36</v>
      </c>
      <c r="K304" s="5" t="s">
        <v>360</v>
      </c>
      <c r="L304" s="5" t="s">
        <v>424</v>
      </c>
      <c r="M304" s="7"/>
      <c r="N304" s="7"/>
      <c r="O304" s="7"/>
      <c r="P304" s="7"/>
      <c r="Q304" s="7">
        <v>1</v>
      </c>
      <c r="R304" s="8" t="s">
        <v>37</v>
      </c>
      <c r="S304" s="7"/>
      <c r="T304" s="7" t="s">
        <v>38</v>
      </c>
      <c r="U304" s="7"/>
      <c r="V304" s="7" t="str">
        <f t="shared" si="4"/>
        <v>TCTN.DNS-26004</v>
      </c>
      <c r="W304" s="7" t="s">
        <v>81</v>
      </c>
      <c r="X304" s="7"/>
      <c r="Y304" s="7"/>
      <c r="Z304" s="7" t="s">
        <v>922</v>
      </c>
      <c r="AA304" s="7" t="s">
        <v>39</v>
      </c>
      <c r="AB304" s="7"/>
      <c r="AC304" s="7" t="s">
        <v>425</v>
      </c>
    </row>
    <row r="305" spans="1:29" hidden="1" x14ac:dyDescent="0.25">
      <c r="A305" s="5">
        <v>300</v>
      </c>
      <c r="B305" s="5" t="s">
        <v>432</v>
      </c>
      <c r="C305" s="5" t="s">
        <v>77</v>
      </c>
      <c r="D305" s="5" t="s">
        <v>433</v>
      </c>
      <c r="E305" s="5">
        <v>10</v>
      </c>
      <c r="F305" s="5">
        <v>105</v>
      </c>
      <c r="G305" s="5">
        <v>195</v>
      </c>
      <c r="H305" s="5">
        <v>1</v>
      </c>
      <c r="I305" s="5">
        <v>1.02</v>
      </c>
      <c r="J305" s="5">
        <v>1.02</v>
      </c>
      <c r="K305" s="5" t="s">
        <v>360</v>
      </c>
      <c r="L305" s="5" t="s">
        <v>424</v>
      </c>
      <c r="M305" s="7"/>
      <c r="N305" s="7"/>
      <c r="O305" s="7"/>
      <c r="P305" s="7"/>
      <c r="Q305" s="7">
        <v>1</v>
      </c>
      <c r="R305" s="8" t="s">
        <v>37</v>
      </c>
      <c r="S305" s="7"/>
      <c r="T305" s="7" t="s">
        <v>38</v>
      </c>
      <c r="U305" s="7"/>
      <c r="V305" s="7" t="str">
        <f t="shared" si="4"/>
        <v>TCTN.DNS-26004</v>
      </c>
      <c r="W305" s="7" t="s">
        <v>81</v>
      </c>
      <c r="X305" s="7"/>
      <c r="Y305" s="7"/>
      <c r="Z305" s="7" t="s">
        <v>922</v>
      </c>
      <c r="AA305" s="7" t="s">
        <v>39</v>
      </c>
      <c r="AB305" s="7"/>
      <c r="AC305" s="7" t="s">
        <v>425</v>
      </c>
    </row>
    <row r="306" spans="1:29" hidden="1" x14ac:dyDescent="0.25">
      <c r="A306" s="5">
        <v>301</v>
      </c>
      <c r="B306" s="5" t="s">
        <v>434</v>
      </c>
      <c r="C306" s="5" t="s">
        <v>77</v>
      </c>
      <c r="D306" s="5" t="s">
        <v>435</v>
      </c>
      <c r="E306" s="5">
        <v>10</v>
      </c>
      <c r="F306" s="5">
        <v>148</v>
      </c>
      <c r="G306" s="5">
        <v>324</v>
      </c>
      <c r="H306" s="5">
        <v>2</v>
      </c>
      <c r="I306" s="5">
        <v>3.7</v>
      </c>
      <c r="J306" s="5">
        <v>7.4</v>
      </c>
      <c r="K306" s="5" t="s">
        <v>360</v>
      </c>
      <c r="L306" s="5" t="s">
        <v>424</v>
      </c>
      <c r="M306" s="7"/>
      <c r="N306" s="7"/>
      <c r="O306" s="7"/>
      <c r="P306" s="7"/>
      <c r="Q306" s="7">
        <v>1</v>
      </c>
      <c r="R306" s="8" t="s">
        <v>37</v>
      </c>
      <c r="S306" s="7"/>
      <c r="T306" s="7" t="s">
        <v>38</v>
      </c>
      <c r="U306" s="7"/>
      <c r="V306" s="7" t="str">
        <f t="shared" si="4"/>
        <v>TCTN.DNS-26004</v>
      </c>
      <c r="W306" s="7" t="s">
        <v>81</v>
      </c>
      <c r="X306" s="7"/>
      <c r="Y306" s="7"/>
      <c r="Z306" s="7" t="s">
        <v>922</v>
      </c>
      <c r="AA306" s="7" t="s">
        <v>39</v>
      </c>
      <c r="AB306" s="7"/>
      <c r="AC306" s="7" t="s">
        <v>425</v>
      </c>
    </row>
    <row r="307" spans="1:29" hidden="1" x14ac:dyDescent="0.25">
      <c r="A307" s="5">
        <v>302</v>
      </c>
      <c r="B307" s="5" t="s">
        <v>436</v>
      </c>
      <c r="C307" s="5" t="s">
        <v>77</v>
      </c>
      <c r="D307" s="5" t="s">
        <v>387</v>
      </c>
      <c r="E307" s="5">
        <v>10</v>
      </c>
      <c r="F307" s="5">
        <v>148</v>
      </c>
      <c r="G307" s="5">
        <v>441</v>
      </c>
      <c r="H307" s="5">
        <v>9</v>
      </c>
      <c r="I307" s="5">
        <v>5.0599999999999996</v>
      </c>
      <c r="J307" s="5">
        <v>45.55</v>
      </c>
      <c r="K307" s="5" t="s">
        <v>360</v>
      </c>
      <c r="L307" s="5" t="s">
        <v>424</v>
      </c>
      <c r="M307" s="7"/>
      <c r="N307" s="7"/>
      <c r="O307" s="7"/>
      <c r="P307" s="7"/>
      <c r="Q307" s="7">
        <v>1</v>
      </c>
      <c r="R307" s="8" t="s">
        <v>37</v>
      </c>
      <c r="S307" s="7"/>
      <c r="T307" s="7" t="s">
        <v>38</v>
      </c>
      <c r="U307" s="7"/>
      <c r="V307" s="7" t="str">
        <f t="shared" si="4"/>
        <v>TCTN.DNS-26004</v>
      </c>
      <c r="W307" s="7" t="s">
        <v>81</v>
      </c>
      <c r="X307" s="7"/>
      <c r="Y307" s="7"/>
      <c r="Z307" s="7" t="s">
        <v>922</v>
      </c>
      <c r="AA307" s="7" t="s">
        <v>39</v>
      </c>
      <c r="AB307" s="7"/>
      <c r="AC307" s="7" t="s">
        <v>425</v>
      </c>
    </row>
    <row r="308" spans="1:29" hidden="1" x14ac:dyDescent="0.25">
      <c r="A308" s="5">
        <v>303</v>
      </c>
      <c r="B308" s="5" t="s">
        <v>437</v>
      </c>
      <c r="C308" s="5" t="s">
        <v>77</v>
      </c>
      <c r="D308" s="5" t="s">
        <v>387</v>
      </c>
      <c r="E308" s="5">
        <v>10</v>
      </c>
      <c r="F308" s="5">
        <v>148</v>
      </c>
      <c r="G308" s="5">
        <v>441</v>
      </c>
      <c r="H308" s="5">
        <v>13</v>
      </c>
      <c r="I308" s="5">
        <v>5.0599999999999996</v>
      </c>
      <c r="J308" s="5">
        <v>65.790000000000006</v>
      </c>
      <c r="K308" s="5" t="s">
        <v>360</v>
      </c>
      <c r="L308" s="5" t="s">
        <v>424</v>
      </c>
      <c r="M308" s="7"/>
      <c r="N308" s="7"/>
      <c r="O308" s="7"/>
      <c r="P308" s="7"/>
      <c r="Q308" s="7">
        <v>1</v>
      </c>
      <c r="R308" s="8" t="s">
        <v>37</v>
      </c>
      <c r="S308" s="7"/>
      <c r="T308" s="7" t="s">
        <v>38</v>
      </c>
      <c r="U308" s="7"/>
      <c r="V308" s="7" t="str">
        <f t="shared" si="4"/>
        <v>TCTN.DNS-26004</v>
      </c>
      <c r="W308" s="7" t="s">
        <v>81</v>
      </c>
      <c r="X308" s="7"/>
      <c r="Y308" s="7"/>
      <c r="Z308" s="7" t="s">
        <v>922</v>
      </c>
      <c r="AA308" s="7" t="s">
        <v>39</v>
      </c>
      <c r="AB308" s="7"/>
      <c r="AC308" s="7" t="s">
        <v>425</v>
      </c>
    </row>
    <row r="309" spans="1:29" hidden="1" x14ac:dyDescent="0.25">
      <c r="A309" s="5">
        <v>304</v>
      </c>
      <c r="B309" s="5" t="s">
        <v>400</v>
      </c>
      <c r="C309" s="5" t="s">
        <v>77</v>
      </c>
      <c r="D309" s="5" t="s">
        <v>387</v>
      </c>
      <c r="E309" s="5">
        <v>10</v>
      </c>
      <c r="F309" s="5">
        <v>148</v>
      </c>
      <c r="G309" s="5">
        <v>441</v>
      </c>
      <c r="H309" s="5">
        <v>2</v>
      </c>
      <c r="I309" s="5">
        <v>5.0599999999999996</v>
      </c>
      <c r="J309" s="5">
        <v>10.119999999999999</v>
      </c>
      <c r="K309" s="5" t="s">
        <v>360</v>
      </c>
      <c r="L309" s="5" t="s">
        <v>424</v>
      </c>
      <c r="M309" s="7"/>
      <c r="N309" s="7"/>
      <c r="O309" s="7"/>
      <c r="P309" s="7"/>
      <c r="Q309" s="7">
        <v>1</v>
      </c>
      <c r="R309" s="8" t="s">
        <v>37</v>
      </c>
      <c r="S309" s="7"/>
      <c r="T309" s="7" t="s">
        <v>38</v>
      </c>
      <c r="U309" s="7"/>
      <c r="V309" s="7" t="str">
        <f t="shared" si="4"/>
        <v>TCTN.DNS-26004</v>
      </c>
      <c r="W309" s="7" t="s">
        <v>81</v>
      </c>
      <c r="X309" s="7"/>
      <c r="Y309" s="7"/>
      <c r="Z309" s="7" t="s">
        <v>922</v>
      </c>
      <c r="AA309" s="7" t="s">
        <v>39</v>
      </c>
      <c r="AB309" s="7"/>
      <c r="AC309" s="7" t="s">
        <v>425</v>
      </c>
    </row>
    <row r="310" spans="1:29" hidden="1" x14ac:dyDescent="0.25">
      <c r="A310" s="5">
        <v>305</v>
      </c>
      <c r="B310" s="5" t="s">
        <v>401</v>
      </c>
      <c r="C310" s="5" t="s">
        <v>77</v>
      </c>
      <c r="D310" s="5" t="s">
        <v>402</v>
      </c>
      <c r="E310" s="5">
        <v>10</v>
      </c>
      <c r="F310" s="5">
        <v>80</v>
      </c>
      <c r="G310" s="5">
        <v>120</v>
      </c>
      <c r="H310" s="5">
        <v>5</v>
      </c>
      <c r="I310" s="5">
        <v>0.72</v>
      </c>
      <c r="J310" s="5">
        <v>3.62</v>
      </c>
      <c r="K310" s="5" t="s">
        <v>360</v>
      </c>
      <c r="L310" s="5" t="s">
        <v>424</v>
      </c>
      <c r="M310" s="7"/>
      <c r="N310" s="7" t="s">
        <v>228</v>
      </c>
      <c r="O310" s="7"/>
      <c r="P310" s="7"/>
      <c r="Q310" s="7">
        <v>1</v>
      </c>
      <c r="R310" s="8" t="s">
        <v>37</v>
      </c>
      <c r="S310" s="7"/>
      <c r="T310" s="7" t="s">
        <v>38</v>
      </c>
      <c r="U310" s="7"/>
      <c r="V310" s="7" t="str">
        <f t="shared" si="4"/>
        <v>TCTN.DNS-26004</v>
      </c>
      <c r="W310" s="7" t="s">
        <v>81</v>
      </c>
      <c r="X310" s="7"/>
      <c r="Y310" s="7"/>
      <c r="Z310" s="7" t="s">
        <v>922</v>
      </c>
      <c r="AA310" s="7" t="s">
        <v>39</v>
      </c>
      <c r="AB310" s="7"/>
      <c r="AC310" s="7" t="s">
        <v>425</v>
      </c>
    </row>
    <row r="311" spans="1:29" hidden="1" x14ac:dyDescent="0.25">
      <c r="A311" s="5">
        <v>306</v>
      </c>
      <c r="B311" s="5" t="s">
        <v>438</v>
      </c>
      <c r="C311" s="5" t="s">
        <v>77</v>
      </c>
      <c r="D311" s="5" t="s">
        <v>405</v>
      </c>
      <c r="E311" s="5">
        <v>10</v>
      </c>
      <c r="F311" s="5">
        <v>120</v>
      </c>
      <c r="G311" s="5">
        <v>220</v>
      </c>
      <c r="H311" s="5">
        <v>6</v>
      </c>
      <c r="I311" s="5">
        <v>2.0099999999999998</v>
      </c>
      <c r="J311" s="5">
        <v>12.08</v>
      </c>
      <c r="K311" s="5" t="s">
        <v>360</v>
      </c>
      <c r="L311" s="5" t="s">
        <v>424</v>
      </c>
      <c r="M311" s="7"/>
      <c r="N311" s="7" t="s">
        <v>228</v>
      </c>
      <c r="O311" s="7"/>
      <c r="P311" s="7"/>
      <c r="Q311" s="7">
        <v>1</v>
      </c>
      <c r="R311" s="8" t="s">
        <v>37</v>
      </c>
      <c r="S311" s="7"/>
      <c r="T311" s="7" t="s">
        <v>38</v>
      </c>
      <c r="U311" s="7"/>
      <c r="V311" s="7" t="str">
        <f t="shared" si="4"/>
        <v>TCTN.DNS-26004</v>
      </c>
      <c r="W311" s="7" t="s">
        <v>81</v>
      </c>
      <c r="X311" s="7"/>
      <c r="Y311" s="7"/>
      <c r="Z311" s="7" t="s">
        <v>922</v>
      </c>
      <c r="AA311" s="7" t="s">
        <v>39</v>
      </c>
      <c r="AB311" s="7"/>
      <c r="AC311" s="7" t="s">
        <v>425</v>
      </c>
    </row>
    <row r="312" spans="1:29" hidden="1" x14ac:dyDescent="0.25">
      <c r="A312" s="5">
        <v>307</v>
      </c>
      <c r="B312" s="5" t="s">
        <v>439</v>
      </c>
      <c r="C312" s="5" t="s">
        <v>77</v>
      </c>
      <c r="D312" s="5" t="s">
        <v>440</v>
      </c>
      <c r="E312" s="5">
        <v>10</v>
      </c>
      <c r="F312" s="5">
        <v>350</v>
      </c>
      <c r="G312" s="5">
        <v>4580</v>
      </c>
      <c r="H312" s="5">
        <v>1</v>
      </c>
      <c r="I312" s="5">
        <v>125.84</v>
      </c>
      <c r="J312" s="5">
        <v>125.84</v>
      </c>
      <c r="K312" s="5" t="s">
        <v>360</v>
      </c>
      <c r="L312" s="5" t="s">
        <v>424</v>
      </c>
      <c r="M312" s="7"/>
      <c r="N312" s="7"/>
      <c r="O312" s="7"/>
      <c r="P312" s="7" t="s">
        <v>81</v>
      </c>
      <c r="Q312" s="7">
        <v>1</v>
      </c>
      <c r="R312" s="8" t="s">
        <v>37</v>
      </c>
      <c r="S312" s="7"/>
      <c r="T312" s="7" t="s">
        <v>38</v>
      </c>
      <c r="U312" s="7"/>
      <c r="V312" s="7" t="str">
        <f t="shared" si="4"/>
        <v>TCTN.DNS-26004</v>
      </c>
      <c r="W312" s="7"/>
      <c r="X312" s="7"/>
      <c r="Y312" s="7" t="s">
        <v>81</v>
      </c>
      <c r="Z312" s="7" t="s">
        <v>922</v>
      </c>
      <c r="AA312" s="7" t="s">
        <v>39</v>
      </c>
      <c r="AB312" s="7"/>
      <c r="AC312" s="7" t="s">
        <v>425</v>
      </c>
    </row>
    <row r="313" spans="1:29" hidden="1" x14ac:dyDescent="0.25">
      <c r="A313" s="5">
        <v>308</v>
      </c>
      <c r="B313" s="5" t="s">
        <v>441</v>
      </c>
      <c r="C313" s="5" t="s">
        <v>77</v>
      </c>
      <c r="D313" s="5" t="s">
        <v>407</v>
      </c>
      <c r="E313" s="5">
        <v>10</v>
      </c>
      <c r="F313" s="5">
        <v>380</v>
      </c>
      <c r="G313" s="5">
        <v>4577</v>
      </c>
      <c r="H313" s="5">
        <v>2</v>
      </c>
      <c r="I313" s="5">
        <v>135.07</v>
      </c>
      <c r="J313" s="5">
        <v>270.14999999999998</v>
      </c>
      <c r="K313" s="5" t="s">
        <v>360</v>
      </c>
      <c r="L313" s="5" t="s">
        <v>424</v>
      </c>
      <c r="M313" s="7"/>
      <c r="N313" s="7"/>
      <c r="O313" s="7"/>
      <c r="P313" s="7"/>
      <c r="Q313" s="7">
        <v>1</v>
      </c>
      <c r="R313" s="8" t="s">
        <v>37</v>
      </c>
      <c r="S313" s="7"/>
      <c r="T313" s="7" t="s">
        <v>38</v>
      </c>
      <c r="U313" s="7"/>
      <c r="V313" s="7" t="str">
        <f t="shared" si="4"/>
        <v>TCTN.DNS-26004</v>
      </c>
      <c r="W313" s="7"/>
      <c r="X313" s="7"/>
      <c r="Y313" s="7" t="s">
        <v>81</v>
      </c>
      <c r="Z313" s="7" t="s">
        <v>922</v>
      </c>
      <c r="AA313" s="7" t="s">
        <v>39</v>
      </c>
      <c r="AB313" s="7"/>
      <c r="AC313" s="7" t="s">
        <v>425</v>
      </c>
    </row>
    <row r="314" spans="1:29" hidden="1" x14ac:dyDescent="0.25">
      <c r="A314" s="5">
        <v>309</v>
      </c>
      <c r="B314" s="5" t="s">
        <v>404</v>
      </c>
      <c r="C314" s="5" t="s">
        <v>77</v>
      </c>
      <c r="D314" s="5" t="s">
        <v>405</v>
      </c>
      <c r="E314" s="5">
        <v>10</v>
      </c>
      <c r="F314" s="5">
        <v>120</v>
      </c>
      <c r="G314" s="5">
        <v>220</v>
      </c>
      <c r="H314" s="5">
        <v>5</v>
      </c>
      <c r="I314" s="5">
        <v>2.0099999999999998</v>
      </c>
      <c r="J314" s="5">
        <v>10.06</v>
      </c>
      <c r="K314" s="5" t="s">
        <v>360</v>
      </c>
      <c r="L314" s="5" t="s">
        <v>424</v>
      </c>
      <c r="M314" s="7"/>
      <c r="N314" s="7" t="s">
        <v>228</v>
      </c>
      <c r="O314" s="7"/>
      <c r="P314" s="7"/>
      <c r="Q314" s="7">
        <v>1</v>
      </c>
      <c r="R314" s="8" t="s">
        <v>37</v>
      </c>
      <c r="S314" s="7"/>
      <c r="T314" s="7" t="s">
        <v>38</v>
      </c>
      <c r="U314" s="7"/>
      <c r="V314" s="7" t="str">
        <f t="shared" si="4"/>
        <v>TCTN.DNS-26004</v>
      </c>
      <c r="W314" s="7" t="s">
        <v>81</v>
      </c>
      <c r="X314" s="7"/>
      <c r="Y314" s="7"/>
      <c r="Z314" s="7" t="s">
        <v>922</v>
      </c>
      <c r="AA314" s="7" t="s">
        <v>39</v>
      </c>
      <c r="AB314" s="7"/>
      <c r="AC314" s="7" t="s">
        <v>425</v>
      </c>
    </row>
    <row r="315" spans="1:29" hidden="1" x14ac:dyDescent="0.25">
      <c r="A315" s="5">
        <v>310</v>
      </c>
      <c r="B315" s="5" t="s">
        <v>442</v>
      </c>
      <c r="C315" s="5" t="s">
        <v>77</v>
      </c>
      <c r="D315" s="5" t="s">
        <v>440</v>
      </c>
      <c r="E315" s="5">
        <v>10</v>
      </c>
      <c r="F315" s="5">
        <v>350</v>
      </c>
      <c r="G315" s="5">
        <v>4580</v>
      </c>
      <c r="H315" s="5">
        <v>1</v>
      </c>
      <c r="I315" s="5">
        <v>125.84</v>
      </c>
      <c r="J315" s="5">
        <v>125.84</v>
      </c>
      <c r="K315" s="5" t="s">
        <v>360</v>
      </c>
      <c r="L315" s="5" t="s">
        <v>424</v>
      </c>
      <c r="M315" s="7"/>
      <c r="N315" s="7"/>
      <c r="O315" s="7"/>
      <c r="P315" s="7" t="s">
        <v>81</v>
      </c>
      <c r="Q315" s="7">
        <v>1</v>
      </c>
      <c r="R315" s="8" t="s">
        <v>37</v>
      </c>
      <c r="S315" s="7"/>
      <c r="T315" s="7" t="s">
        <v>38</v>
      </c>
      <c r="U315" s="7"/>
      <c r="V315" s="7" t="str">
        <f t="shared" si="4"/>
        <v>TCTN.DNS-26004</v>
      </c>
      <c r="W315" s="7"/>
      <c r="X315" s="7"/>
      <c r="Y315" s="7" t="s">
        <v>81</v>
      </c>
      <c r="Z315" s="7" t="s">
        <v>922</v>
      </c>
      <c r="AA315" s="7" t="s">
        <v>39</v>
      </c>
      <c r="AB315" s="7"/>
      <c r="AC315" s="7" t="s">
        <v>425</v>
      </c>
    </row>
    <row r="316" spans="1:29" hidden="1" x14ac:dyDescent="0.25">
      <c r="A316" s="5">
        <v>311</v>
      </c>
      <c r="B316" s="5" t="s">
        <v>416</v>
      </c>
      <c r="C316" s="5" t="s">
        <v>77</v>
      </c>
      <c r="D316" s="5" t="s">
        <v>414</v>
      </c>
      <c r="E316" s="5">
        <v>10</v>
      </c>
      <c r="F316" s="5">
        <v>100</v>
      </c>
      <c r="G316" s="5">
        <v>100</v>
      </c>
      <c r="H316" s="5">
        <v>1</v>
      </c>
      <c r="I316" s="5">
        <v>0.39</v>
      </c>
      <c r="J316" s="5">
        <v>0.39</v>
      </c>
      <c r="K316" s="5" t="s">
        <v>360</v>
      </c>
      <c r="L316" s="5" t="s">
        <v>424</v>
      </c>
      <c r="M316" s="7"/>
      <c r="N316" s="7" t="s">
        <v>228</v>
      </c>
      <c r="O316" s="7"/>
      <c r="P316" s="7"/>
      <c r="Q316" s="7">
        <v>1</v>
      </c>
      <c r="R316" s="8" t="s">
        <v>37</v>
      </c>
      <c r="S316" s="7"/>
      <c r="T316" s="7" t="s">
        <v>38</v>
      </c>
      <c r="U316" s="7"/>
      <c r="V316" s="7" t="str">
        <f t="shared" si="4"/>
        <v>TCTN.DNS-26004</v>
      </c>
      <c r="W316" s="7"/>
      <c r="X316" s="7" t="s">
        <v>81</v>
      </c>
      <c r="Y316" s="7"/>
      <c r="Z316" s="7" t="s">
        <v>922</v>
      </c>
      <c r="AA316" s="7" t="s">
        <v>39</v>
      </c>
      <c r="AB316" s="7"/>
      <c r="AC316" s="7" t="s">
        <v>425</v>
      </c>
    </row>
    <row r="317" spans="1:29" hidden="1" x14ac:dyDescent="0.25">
      <c r="A317" s="5">
        <v>312</v>
      </c>
      <c r="B317" s="5" t="s">
        <v>421</v>
      </c>
      <c r="C317" s="5" t="s">
        <v>77</v>
      </c>
      <c r="D317" s="5" t="s">
        <v>422</v>
      </c>
      <c r="E317" s="5">
        <v>10</v>
      </c>
      <c r="F317" s="5">
        <v>230</v>
      </c>
      <c r="G317" s="5">
        <v>3586</v>
      </c>
      <c r="H317" s="5">
        <v>2</v>
      </c>
      <c r="I317" s="5">
        <v>64.739999999999995</v>
      </c>
      <c r="J317" s="5">
        <v>129.49</v>
      </c>
      <c r="K317" s="5" t="s">
        <v>360</v>
      </c>
      <c r="L317" s="5" t="s">
        <v>424</v>
      </c>
      <c r="M317" s="7"/>
      <c r="N317" s="7"/>
      <c r="O317" s="7"/>
      <c r="P317" s="7"/>
      <c r="Q317" s="7">
        <v>1</v>
      </c>
      <c r="R317" s="8" t="s">
        <v>37</v>
      </c>
      <c r="S317" s="7"/>
      <c r="T317" s="7" t="s">
        <v>38</v>
      </c>
      <c r="U317" s="7"/>
      <c r="V317" s="7" t="str">
        <f t="shared" si="4"/>
        <v>TCTN.DNS-26004</v>
      </c>
      <c r="W317" s="7"/>
      <c r="X317" s="7"/>
      <c r="Y317" s="7" t="s">
        <v>81</v>
      </c>
      <c r="Z317" s="7" t="s">
        <v>922</v>
      </c>
      <c r="AA317" s="7" t="s">
        <v>39</v>
      </c>
      <c r="AB317" s="7"/>
      <c r="AC317" s="7" t="s">
        <v>425</v>
      </c>
    </row>
    <row r="318" spans="1:29" hidden="1" x14ac:dyDescent="0.25">
      <c r="A318" s="5">
        <v>313</v>
      </c>
      <c r="B318" s="5" t="s">
        <v>429</v>
      </c>
      <c r="C318" s="5" t="s">
        <v>77</v>
      </c>
      <c r="D318" s="5" t="s">
        <v>402</v>
      </c>
      <c r="E318" s="5">
        <v>10</v>
      </c>
      <c r="F318" s="5">
        <v>80</v>
      </c>
      <c r="G318" s="5">
        <v>120</v>
      </c>
      <c r="H318" s="5">
        <v>1</v>
      </c>
      <c r="I318" s="5">
        <v>0.72</v>
      </c>
      <c r="J318" s="5">
        <v>0.72</v>
      </c>
      <c r="K318" s="5" t="s">
        <v>360</v>
      </c>
      <c r="L318" s="5" t="s">
        <v>443</v>
      </c>
      <c r="M318" s="7"/>
      <c r="N318" s="7" t="s">
        <v>228</v>
      </c>
      <c r="O318" s="7"/>
      <c r="P318" s="7"/>
      <c r="Q318" s="7">
        <v>1</v>
      </c>
      <c r="R318" s="8" t="s">
        <v>37</v>
      </c>
      <c r="S318" s="7"/>
      <c r="T318" s="7" t="s">
        <v>38</v>
      </c>
      <c r="U318" s="7"/>
      <c r="V318" s="7" t="str">
        <f t="shared" si="4"/>
        <v>TCTN.DNS-26004</v>
      </c>
      <c r="W318" s="7" t="s">
        <v>81</v>
      </c>
      <c r="X318" s="7"/>
      <c r="Y318" s="7"/>
      <c r="Z318" s="7" t="s">
        <v>922</v>
      </c>
      <c r="AA318" s="7" t="s">
        <v>39</v>
      </c>
      <c r="AB318" s="7"/>
      <c r="AC318" s="7" t="s">
        <v>444</v>
      </c>
    </row>
    <row r="319" spans="1:29" hidden="1" x14ac:dyDescent="0.25">
      <c r="A319" s="5">
        <v>314</v>
      </c>
      <c r="B319" s="5" t="s">
        <v>445</v>
      </c>
      <c r="C319" s="5" t="s">
        <v>77</v>
      </c>
      <c r="D319" s="5" t="s">
        <v>435</v>
      </c>
      <c r="E319" s="5">
        <v>10</v>
      </c>
      <c r="F319" s="5">
        <v>148</v>
      </c>
      <c r="G319" s="5">
        <v>324</v>
      </c>
      <c r="H319" s="5">
        <v>26</v>
      </c>
      <c r="I319" s="5">
        <v>3.7</v>
      </c>
      <c r="J319" s="5">
        <v>96.24</v>
      </c>
      <c r="K319" s="5" t="s">
        <v>360</v>
      </c>
      <c r="L319" s="5" t="s">
        <v>443</v>
      </c>
      <c r="M319" s="7"/>
      <c r="N319" s="7"/>
      <c r="O319" s="7"/>
      <c r="P319" s="7"/>
      <c r="Q319" s="7">
        <v>1</v>
      </c>
      <c r="R319" s="8" t="s">
        <v>37</v>
      </c>
      <c r="S319" s="7"/>
      <c r="T319" s="7" t="s">
        <v>38</v>
      </c>
      <c r="U319" s="7"/>
      <c r="V319" s="7" t="str">
        <f t="shared" si="4"/>
        <v>TCTN.DNS-26004</v>
      </c>
      <c r="W319" s="7" t="s">
        <v>81</v>
      </c>
      <c r="X319" s="7"/>
      <c r="Y319" s="7"/>
      <c r="Z319" s="7" t="s">
        <v>922</v>
      </c>
      <c r="AA319" s="7" t="s">
        <v>39</v>
      </c>
      <c r="AB319" s="7"/>
      <c r="AC319" s="7" t="s">
        <v>444</v>
      </c>
    </row>
    <row r="320" spans="1:29" hidden="1" x14ac:dyDescent="0.25">
      <c r="A320" s="5">
        <v>315</v>
      </c>
      <c r="B320" s="5" t="s">
        <v>446</v>
      </c>
      <c r="C320" s="5" t="s">
        <v>77</v>
      </c>
      <c r="D320" s="5" t="s">
        <v>387</v>
      </c>
      <c r="E320" s="5">
        <v>10</v>
      </c>
      <c r="F320" s="5">
        <v>148</v>
      </c>
      <c r="G320" s="5">
        <v>441</v>
      </c>
      <c r="H320" s="5">
        <v>8</v>
      </c>
      <c r="I320" s="5">
        <v>5.0599999999999996</v>
      </c>
      <c r="J320" s="5">
        <v>40.49</v>
      </c>
      <c r="K320" s="5" t="s">
        <v>360</v>
      </c>
      <c r="L320" s="5" t="s">
        <v>443</v>
      </c>
      <c r="M320" s="7"/>
      <c r="N320" s="7"/>
      <c r="O320" s="7"/>
      <c r="P320" s="7"/>
      <c r="Q320" s="7">
        <v>1</v>
      </c>
      <c r="R320" s="8" t="s">
        <v>37</v>
      </c>
      <c r="S320" s="7"/>
      <c r="T320" s="7" t="s">
        <v>38</v>
      </c>
      <c r="U320" s="7"/>
      <c r="V320" s="7" t="str">
        <f t="shared" si="4"/>
        <v>TCTN.DNS-26004</v>
      </c>
      <c r="W320" s="7" t="s">
        <v>81</v>
      </c>
      <c r="X320" s="7"/>
      <c r="Y320" s="7"/>
      <c r="Z320" s="7" t="s">
        <v>922</v>
      </c>
      <c r="AA320" s="7" t="s">
        <v>39</v>
      </c>
      <c r="AB320" s="7"/>
      <c r="AC320" s="7" t="s">
        <v>444</v>
      </c>
    </row>
    <row r="321" spans="1:29" hidden="1" x14ac:dyDescent="0.25">
      <c r="A321" s="5">
        <v>316</v>
      </c>
      <c r="B321" s="5" t="s">
        <v>434</v>
      </c>
      <c r="C321" s="5" t="s">
        <v>77</v>
      </c>
      <c r="D321" s="5" t="s">
        <v>435</v>
      </c>
      <c r="E321" s="5">
        <v>10</v>
      </c>
      <c r="F321" s="5">
        <v>148</v>
      </c>
      <c r="G321" s="5">
        <v>324</v>
      </c>
      <c r="H321" s="5">
        <v>26</v>
      </c>
      <c r="I321" s="5">
        <v>3.7</v>
      </c>
      <c r="J321" s="5">
        <v>96.24</v>
      </c>
      <c r="K321" s="5" t="s">
        <v>360</v>
      </c>
      <c r="L321" s="5" t="s">
        <v>443</v>
      </c>
      <c r="M321" s="7"/>
      <c r="N321" s="7"/>
      <c r="O321" s="7"/>
      <c r="P321" s="7"/>
      <c r="Q321" s="7">
        <v>1</v>
      </c>
      <c r="R321" s="8" t="s">
        <v>37</v>
      </c>
      <c r="S321" s="7"/>
      <c r="T321" s="7" t="s">
        <v>38</v>
      </c>
      <c r="U321" s="7"/>
      <c r="V321" s="7" t="str">
        <f t="shared" si="4"/>
        <v>TCTN.DNS-26004</v>
      </c>
      <c r="W321" s="7" t="s">
        <v>81</v>
      </c>
      <c r="X321" s="7"/>
      <c r="Y321" s="7"/>
      <c r="Z321" s="7" t="s">
        <v>922</v>
      </c>
      <c r="AA321" s="7" t="s">
        <v>39</v>
      </c>
      <c r="AB321" s="7"/>
      <c r="AC321" s="7" t="s">
        <v>444</v>
      </c>
    </row>
    <row r="322" spans="1:29" hidden="1" x14ac:dyDescent="0.25">
      <c r="A322" s="5">
        <v>317</v>
      </c>
      <c r="B322" s="5" t="s">
        <v>436</v>
      </c>
      <c r="C322" s="5" t="s">
        <v>77</v>
      </c>
      <c r="D322" s="5" t="s">
        <v>387</v>
      </c>
      <c r="E322" s="5">
        <v>10</v>
      </c>
      <c r="F322" s="5">
        <v>148</v>
      </c>
      <c r="G322" s="5">
        <v>441</v>
      </c>
      <c r="H322" s="5">
        <v>12</v>
      </c>
      <c r="I322" s="5">
        <v>5.0599999999999996</v>
      </c>
      <c r="J322" s="5">
        <v>60.73</v>
      </c>
      <c r="K322" s="5" t="s">
        <v>360</v>
      </c>
      <c r="L322" s="5" t="s">
        <v>443</v>
      </c>
      <c r="M322" s="7"/>
      <c r="N322" s="7"/>
      <c r="O322" s="7"/>
      <c r="P322" s="7"/>
      <c r="Q322" s="7">
        <v>1</v>
      </c>
      <c r="R322" s="8" t="s">
        <v>37</v>
      </c>
      <c r="S322" s="7"/>
      <c r="T322" s="7" t="s">
        <v>38</v>
      </c>
      <c r="U322" s="7"/>
      <c r="V322" s="7" t="str">
        <f t="shared" si="4"/>
        <v>TCTN.DNS-26004</v>
      </c>
      <c r="W322" s="7" t="s">
        <v>81</v>
      </c>
      <c r="X322" s="7"/>
      <c r="Y322" s="7"/>
      <c r="Z322" s="7" t="s">
        <v>922</v>
      </c>
      <c r="AA322" s="7" t="s">
        <v>39</v>
      </c>
      <c r="AB322" s="7"/>
      <c r="AC322" s="7" t="s">
        <v>444</v>
      </c>
    </row>
    <row r="323" spans="1:29" hidden="1" x14ac:dyDescent="0.25">
      <c r="A323" s="5">
        <v>318</v>
      </c>
      <c r="B323" s="5" t="s">
        <v>438</v>
      </c>
      <c r="C323" s="5" t="s">
        <v>77</v>
      </c>
      <c r="D323" s="5" t="s">
        <v>405</v>
      </c>
      <c r="E323" s="5">
        <v>10</v>
      </c>
      <c r="F323" s="5">
        <v>120</v>
      </c>
      <c r="G323" s="5">
        <v>220</v>
      </c>
      <c r="H323" s="5">
        <v>2</v>
      </c>
      <c r="I323" s="5">
        <v>2.02</v>
      </c>
      <c r="J323" s="5">
        <v>4.03</v>
      </c>
      <c r="K323" s="5" t="s">
        <v>360</v>
      </c>
      <c r="L323" s="5" t="s">
        <v>443</v>
      </c>
      <c r="M323" s="7"/>
      <c r="N323" s="7" t="s">
        <v>228</v>
      </c>
      <c r="O323" s="7"/>
      <c r="P323" s="7"/>
      <c r="Q323" s="7">
        <v>1</v>
      </c>
      <c r="R323" s="8" t="s">
        <v>37</v>
      </c>
      <c r="S323" s="7"/>
      <c r="T323" s="7" t="s">
        <v>38</v>
      </c>
      <c r="U323" s="7"/>
      <c r="V323" s="7" t="str">
        <f t="shared" si="4"/>
        <v>TCTN.DNS-26004</v>
      </c>
      <c r="W323" s="7" t="s">
        <v>81</v>
      </c>
      <c r="X323" s="7"/>
      <c r="Y323" s="7"/>
      <c r="Z323" s="7" t="s">
        <v>922</v>
      </c>
      <c r="AA323" s="7" t="s">
        <v>39</v>
      </c>
      <c r="AB323" s="7"/>
      <c r="AC323" s="7" t="s">
        <v>444</v>
      </c>
    </row>
    <row r="324" spans="1:29" hidden="1" x14ac:dyDescent="0.25">
      <c r="A324" s="5">
        <v>319</v>
      </c>
      <c r="B324" s="5" t="s">
        <v>447</v>
      </c>
      <c r="C324" s="5" t="s">
        <v>77</v>
      </c>
      <c r="D324" s="5" t="s">
        <v>435</v>
      </c>
      <c r="E324" s="5">
        <v>10</v>
      </c>
      <c r="F324" s="5">
        <v>148</v>
      </c>
      <c r="G324" s="5">
        <v>324</v>
      </c>
      <c r="H324" s="5">
        <v>2</v>
      </c>
      <c r="I324" s="5">
        <v>3.7</v>
      </c>
      <c r="J324" s="5">
        <v>7.4</v>
      </c>
      <c r="K324" s="5" t="s">
        <v>360</v>
      </c>
      <c r="L324" s="5" t="s">
        <v>443</v>
      </c>
      <c r="M324" s="7"/>
      <c r="N324" s="7"/>
      <c r="O324" s="7"/>
      <c r="P324" s="7"/>
      <c r="Q324" s="7">
        <v>1</v>
      </c>
      <c r="R324" s="8" t="s">
        <v>37</v>
      </c>
      <c r="S324" s="7"/>
      <c r="T324" s="7" t="s">
        <v>38</v>
      </c>
      <c r="U324" s="7"/>
      <c r="V324" s="7" t="str">
        <f t="shared" si="4"/>
        <v>TCTN.DNS-26004</v>
      </c>
      <c r="W324" s="7" t="s">
        <v>81</v>
      </c>
      <c r="X324" s="7"/>
      <c r="Y324" s="7"/>
      <c r="Z324" s="7" t="s">
        <v>922</v>
      </c>
      <c r="AA324" s="7" t="s">
        <v>39</v>
      </c>
      <c r="AB324" s="7"/>
      <c r="AC324" s="7" t="s">
        <v>444</v>
      </c>
    </row>
    <row r="325" spans="1:29" hidden="1" x14ac:dyDescent="0.25">
      <c r="A325" s="5">
        <v>320</v>
      </c>
      <c r="B325" s="5" t="s">
        <v>448</v>
      </c>
      <c r="C325" s="5" t="s">
        <v>77</v>
      </c>
      <c r="D325" s="5" t="s">
        <v>407</v>
      </c>
      <c r="E325" s="5">
        <v>10</v>
      </c>
      <c r="F325" s="5">
        <v>380</v>
      </c>
      <c r="G325" s="5">
        <v>4577</v>
      </c>
      <c r="H325" s="5">
        <v>2</v>
      </c>
      <c r="I325" s="5">
        <v>135.07</v>
      </c>
      <c r="J325" s="5">
        <v>270.14999999999998</v>
      </c>
      <c r="K325" s="5" t="s">
        <v>360</v>
      </c>
      <c r="L325" s="5" t="s">
        <v>443</v>
      </c>
      <c r="M325" s="7"/>
      <c r="N325" s="7"/>
      <c r="O325" s="7"/>
      <c r="P325" s="7"/>
      <c r="Q325" s="7">
        <v>1</v>
      </c>
      <c r="R325" s="8" t="s">
        <v>37</v>
      </c>
      <c r="S325" s="7"/>
      <c r="T325" s="7" t="s">
        <v>38</v>
      </c>
      <c r="U325" s="7"/>
      <c r="V325" s="7" t="str">
        <f t="shared" si="4"/>
        <v>TCTN.DNS-26004</v>
      </c>
      <c r="W325" s="7"/>
      <c r="X325" s="7"/>
      <c r="Y325" s="7" t="s">
        <v>81</v>
      </c>
      <c r="Z325" s="7" t="s">
        <v>922</v>
      </c>
      <c r="AA325" s="7" t="s">
        <v>39</v>
      </c>
      <c r="AB325" s="7"/>
      <c r="AC325" s="7" t="s">
        <v>444</v>
      </c>
    </row>
    <row r="326" spans="1:29" hidden="1" x14ac:dyDescent="0.25">
      <c r="A326" s="5">
        <v>321</v>
      </c>
      <c r="B326" s="5" t="s">
        <v>439</v>
      </c>
      <c r="C326" s="5" t="s">
        <v>77</v>
      </c>
      <c r="D326" s="5" t="s">
        <v>440</v>
      </c>
      <c r="E326" s="5">
        <v>10</v>
      </c>
      <c r="F326" s="5">
        <v>350</v>
      </c>
      <c r="G326" s="5">
        <v>4580</v>
      </c>
      <c r="H326" s="5">
        <v>1</v>
      </c>
      <c r="I326" s="5">
        <v>125.84</v>
      </c>
      <c r="J326" s="5">
        <v>125.84</v>
      </c>
      <c r="K326" s="5" t="s">
        <v>360</v>
      </c>
      <c r="L326" s="5" t="s">
        <v>443</v>
      </c>
      <c r="M326" s="7"/>
      <c r="N326" s="7"/>
      <c r="O326" s="7"/>
      <c r="P326" s="7" t="s">
        <v>81</v>
      </c>
      <c r="Q326" s="7">
        <v>1</v>
      </c>
      <c r="R326" s="8" t="s">
        <v>37</v>
      </c>
      <c r="S326" s="7"/>
      <c r="T326" s="7" t="s">
        <v>38</v>
      </c>
      <c r="U326" s="7"/>
      <c r="V326" s="7" t="str">
        <f t="shared" ref="V326:V389" si="5">IF(LEN($B$3)=0,"",$B$3)</f>
        <v>TCTN.DNS-26004</v>
      </c>
      <c r="W326" s="7"/>
      <c r="X326" s="7"/>
      <c r="Y326" s="7" t="s">
        <v>81</v>
      </c>
      <c r="Z326" s="7" t="s">
        <v>922</v>
      </c>
      <c r="AA326" s="7" t="s">
        <v>39</v>
      </c>
      <c r="AB326" s="7"/>
      <c r="AC326" s="7" t="s">
        <v>444</v>
      </c>
    </row>
    <row r="327" spans="1:29" hidden="1" x14ac:dyDescent="0.25">
      <c r="A327" s="5">
        <v>322</v>
      </c>
      <c r="B327" s="5" t="s">
        <v>449</v>
      </c>
      <c r="C327" s="5" t="s">
        <v>77</v>
      </c>
      <c r="D327" s="5" t="s">
        <v>450</v>
      </c>
      <c r="E327" s="5">
        <v>10</v>
      </c>
      <c r="F327" s="5">
        <v>350</v>
      </c>
      <c r="G327" s="5">
        <v>4480</v>
      </c>
      <c r="H327" s="5">
        <v>2</v>
      </c>
      <c r="I327" s="5">
        <v>123.09</v>
      </c>
      <c r="J327" s="5">
        <v>246.18</v>
      </c>
      <c r="K327" s="5" t="s">
        <v>360</v>
      </c>
      <c r="L327" s="5" t="s">
        <v>443</v>
      </c>
      <c r="M327" s="7"/>
      <c r="N327" s="7"/>
      <c r="O327" s="7"/>
      <c r="P327" s="7" t="s">
        <v>81</v>
      </c>
      <c r="Q327" s="7">
        <v>1</v>
      </c>
      <c r="R327" s="8" t="s">
        <v>37</v>
      </c>
      <c r="S327" s="7"/>
      <c r="T327" s="7" t="s">
        <v>38</v>
      </c>
      <c r="U327" s="7"/>
      <c r="V327" s="7" t="str">
        <f t="shared" si="5"/>
        <v>TCTN.DNS-26004</v>
      </c>
      <c r="W327" s="7"/>
      <c r="X327" s="7"/>
      <c r="Y327" s="7" t="s">
        <v>81</v>
      </c>
      <c r="Z327" s="7" t="s">
        <v>922</v>
      </c>
      <c r="AA327" s="7" t="s">
        <v>39</v>
      </c>
      <c r="AB327" s="7"/>
      <c r="AC327" s="7" t="s">
        <v>444</v>
      </c>
    </row>
    <row r="328" spans="1:29" hidden="1" x14ac:dyDescent="0.25">
      <c r="A328" s="5">
        <v>323</v>
      </c>
      <c r="B328" s="5" t="s">
        <v>441</v>
      </c>
      <c r="C328" s="5" t="s">
        <v>77</v>
      </c>
      <c r="D328" s="5" t="s">
        <v>407</v>
      </c>
      <c r="E328" s="5">
        <v>10</v>
      </c>
      <c r="F328" s="5">
        <v>380</v>
      </c>
      <c r="G328" s="5">
        <v>4577</v>
      </c>
      <c r="H328" s="5">
        <v>2</v>
      </c>
      <c r="I328" s="5">
        <v>135.07</v>
      </c>
      <c r="J328" s="5">
        <v>270.14999999999998</v>
      </c>
      <c r="K328" s="5" t="s">
        <v>360</v>
      </c>
      <c r="L328" s="5" t="s">
        <v>443</v>
      </c>
      <c r="M328" s="7"/>
      <c r="N328" s="7"/>
      <c r="O328" s="7"/>
      <c r="P328" s="7"/>
      <c r="Q328" s="7">
        <v>1</v>
      </c>
      <c r="R328" s="8" t="s">
        <v>37</v>
      </c>
      <c r="S328" s="7"/>
      <c r="T328" s="7" t="s">
        <v>38</v>
      </c>
      <c r="U328" s="7"/>
      <c r="V328" s="7" t="str">
        <f t="shared" si="5"/>
        <v>TCTN.DNS-26004</v>
      </c>
      <c r="W328" s="7"/>
      <c r="X328" s="7"/>
      <c r="Y328" s="7" t="s">
        <v>81</v>
      </c>
      <c r="Z328" s="7" t="s">
        <v>922</v>
      </c>
      <c r="AA328" s="7" t="s">
        <v>39</v>
      </c>
      <c r="AB328" s="7"/>
      <c r="AC328" s="7" t="s">
        <v>444</v>
      </c>
    </row>
    <row r="329" spans="1:29" hidden="1" x14ac:dyDescent="0.25">
      <c r="A329" s="5">
        <v>324</v>
      </c>
      <c r="B329" s="5" t="s">
        <v>451</v>
      </c>
      <c r="C329" s="5" t="s">
        <v>77</v>
      </c>
      <c r="D329" s="5" t="s">
        <v>452</v>
      </c>
      <c r="E329" s="5">
        <v>10</v>
      </c>
      <c r="F329" s="5">
        <v>127</v>
      </c>
      <c r="G329" s="5">
        <v>220</v>
      </c>
      <c r="H329" s="5">
        <v>1</v>
      </c>
      <c r="I329" s="5">
        <v>2.13</v>
      </c>
      <c r="J329" s="5">
        <v>2.13</v>
      </c>
      <c r="K329" s="5" t="s">
        <v>360</v>
      </c>
      <c r="L329" s="5" t="s">
        <v>443</v>
      </c>
      <c r="M329" s="7"/>
      <c r="N329" s="7" t="s">
        <v>228</v>
      </c>
      <c r="O329" s="7"/>
      <c r="P329" s="7"/>
      <c r="Q329" s="7">
        <v>1</v>
      </c>
      <c r="R329" s="8" t="s">
        <v>37</v>
      </c>
      <c r="S329" s="7"/>
      <c r="T329" s="7" t="s">
        <v>38</v>
      </c>
      <c r="U329" s="7"/>
      <c r="V329" s="7" t="str">
        <f t="shared" si="5"/>
        <v>TCTN.DNS-26004</v>
      </c>
      <c r="W329" s="7" t="s">
        <v>81</v>
      </c>
      <c r="X329" s="7"/>
      <c r="Y329" s="7"/>
      <c r="Z329" s="7" t="s">
        <v>922</v>
      </c>
      <c r="AA329" s="7" t="s">
        <v>39</v>
      </c>
      <c r="AB329" s="7"/>
      <c r="AC329" s="7" t="s">
        <v>444</v>
      </c>
    </row>
    <row r="330" spans="1:29" hidden="1" x14ac:dyDescent="0.25">
      <c r="A330" s="5">
        <v>325</v>
      </c>
      <c r="B330" s="5" t="s">
        <v>453</v>
      </c>
      <c r="C330" s="5" t="s">
        <v>77</v>
      </c>
      <c r="D330" s="5" t="s">
        <v>450</v>
      </c>
      <c r="E330" s="5">
        <v>10</v>
      </c>
      <c r="F330" s="5">
        <v>350</v>
      </c>
      <c r="G330" s="5">
        <v>4480</v>
      </c>
      <c r="H330" s="5">
        <v>1</v>
      </c>
      <c r="I330" s="5">
        <v>123.09</v>
      </c>
      <c r="J330" s="5">
        <v>123.09</v>
      </c>
      <c r="K330" s="5" t="s">
        <v>360</v>
      </c>
      <c r="L330" s="5" t="s">
        <v>443</v>
      </c>
      <c r="M330" s="7"/>
      <c r="N330" s="7"/>
      <c r="O330" s="7"/>
      <c r="P330" s="7" t="s">
        <v>81</v>
      </c>
      <c r="Q330" s="7">
        <v>1</v>
      </c>
      <c r="R330" s="8" t="s">
        <v>37</v>
      </c>
      <c r="S330" s="7"/>
      <c r="T330" s="7" t="s">
        <v>38</v>
      </c>
      <c r="U330" s="7"/>
      <c r="V330" s="7" t="str">
        <f t="shared" si="5"/>
        <v>TCTN.DNS-26004</v>
      </c>
      <c r="W330" s="7"/>
      <c r="X330" s="7"/>
      <c r="Y330" s="7" t="s">
        <v>81</v>
      </c>
      <c r="Z330" s="7" t="s">
        <v>922</v>
      </c>
      <c r="AA330" s="7" t="s">
        <v>39</v>
      </c>
      <c r="AB330" s="7"/>
      <c r="AC330" s="7" t="s">
        <v>444</v>
      </c>
    </row>
    <row r="331" spans="1:29" hidden="1" x14ac:dyDescent="0.25">
      <c r="A331" s="5">
        <v>326</v>
      </c>
      <c r="B331" s="5" t="s">
        <v>426</v>
      </c>
      <c r="C331" s="5" t="s">
        <v>77</v>
      </c>
      <c r="D331" s="5" t="s">
        <v>412</v>
      </c>
      <c r="E331" s="5">
        <v>10</v>
      </c>
      <c r="F331" s="5">
        <v>532</v>
      </c>
      <c r="G331" s="5">
        <v>4080</v>
      </c>
      <c r="H331" s="5">
        <v>2</v>
      </c>
      <c r="I331" s="5">
        <v>168.27</v>
      </c>
      <c r="J331" s="5">
        <v>336.54</v>
      </c>
      <c r="K331" s="5" t="s">
        <v>360</v>
      </c>
      <c r="L331" s="5" t="s">
        <v>454</v>
      </c>
      <c r="M331" s="7"/>
      <c r="N331" s="7"/>
      <c r="O331" s="7" t="s">
        <v>81</v>
      </c>
      <c r="P331" s="7" t="s">
        <v>81</v>
      </c>
      <c r="Q331" s="7">
        <v>1</v>
      </c>
      <c r="R331" s="8" t="s">
        <v>37</v>
      </c>
      <c r="S331" s="7"/>
      <c r="T331" s="7" t="s">
        <v>38</v>
      </c>
      <c r="U331" s="7"/>
      <c r="V331" s="7" t="str">
        <f t="shared" si="5"/>
        <v>TCTN.DNS-26004</v>
      </c>
      <c r="W331" s="7"/>
      <c r="X331" s="7"/>
      <c r="Y331" s="7"/>
      <c r="Z331" s="7" t="s">
        <v>922</v>
      </c>
      <c r="AA331" s="7" t="s">
        <v>39</v>
      </c>
      <c r="AB331" s="7"/>
      <c r="AC331" s="7" t="s">
        <v>455</v>
      </c>
    </row>
    <row r="332" spans="1:29" hidden="1" x14ac:dyDescent="0.25">
      <c r="A332" s="5">
        <v>327</v>
      </c>
      <c r="B332" s="5" t="s">
        <v>456</v>
      </c>
      <c r="C332" s="5" t="s">
        <v>77</v>
      </c>
      <c r="D332" s="5" t="s">
        <v>457</v>
      </c>
      <c r="E332" s="5">
        <v>10</v>
      </c>
      <c r="F332" s="5">
        <v>70</v>
      </c>
      <c r="G332" s="5">
        <v>120</v>
      </c>
      <c r="H332" s="5">
        <v>4</v>
      </c>
      <c r="I332" s="5">
        <v>0.63</v>
      </c>
      <c r="J332" s="5">
        <v>2.52</v>
      </c>
      <c r="K332" s="5" t="s">
        <v>360</v>
      </c>
      <c r="L332" s="5" t="s">
        <v>454</v>
      </c>
      <c r="M332" s="7"/>
      <c r="N332" s="7" t="s">
        <v>228</v>
      </c>
      <c r="O332" s="7"/>
      <c r="P332" s="7"/>
      <c r="Q332" s="7">
        <v>1</v>
      </c>
      <c r="R332" s="8" t="s">
        <v>37</v>
      </c>
      <c r="S332" s="7"/>
      <c r="T332" s="7" t="s">
        <v>38</v>
      </c>
      <c r="U332" s="7"/>
      <c r="V332" s="7" t="str">
        <f t="shared" si="5"/>
        <v>TCTN.DNS-26004</v>
      </c>
      <c r="W332" s="7" t="s">
        <v>81</v>
      </c>
      <c r="X332" s="7"/>
      <c r="Y332" s="7"/>
      <c r="Z332" s="7" t="s">
        <v>922</v>
      </c>
      <c r="AA332" s="7" t="s">
        <v>39</v>
      </c>
      <c r="AB332" s="7"/>
      <c r="AC332" s="7" t="s">
        <v>455</v>
      </c>
    </row>
    <row r="333" spans="1:29" hidden="1" x14ac:dyDescent="0.25">
      <c r="A333" s="5">
        <v>328</v>
      </c>
      <c r="B333" s="5" t="s">
        <v>429</v>
      </c>
      <c r="C333" s="5" t="s">
        <v>77</v>
      </c>
      <c r="D333" s="5" t="s">
        <v>402</v>
      </c>
      <c r="E333" s="5">
        <v>10</v>
      </c>
      <c r="F333" s="5">
        <v>80</v>
      </c>
      <c r="G333" s="5">
        <v>120</v>
      </c>
      <c r="H333" s="5">
        <v>4</v>
      </c>
      <c r="I333" s="5">
        <v>0.72</v>
      </c>
      <c r="J333" s="5">
        <v>2.9</v>
      </c>
      <c r="K333" s="5" t="s">
        <v>360</v>
      </c>
      <c r="L333" s="5" t="s">
        <v>454</v>
      </c>
      <c r="M333" s="7"/>
      <c r="N333" s="7" t="s">
        <v>228</v>
      </c>
      <c r="O333" s="7"/>
      <c r="P333" s="7"/>
      <c r="Q333" s="7">
        <v>1</v>
      </c>
      <c r="R333" s="8" t="s">
        <v>37</v>
      </c>
      <c r="S333" s="7"/>
      <c r="T333" s="7" t="s">
        <v>38</v>
      </c>
      <c r="U333" s="7"/>
      <c r="V333" s="7" t="str">
        <f t="shared" si="5"/>
        <v>TCTN.DNS-26004</v>
      </c>
      <c r="W333" s="7" t="s">
        <v>81</v>
      </c>
      <c r="X333" s="7"/>
      <c r="Y333" s="7"/>
      <c r="Z333" s="7" t="s">
        <v>922</v>
      </c>
      <c r="AA333" s="7" t="s">
        <v>39</v>
      </c>
      <c r="AB333" s="7"/>
      <c r="AC333" s="7" t="s">
        <v>455</v>
      </c>
    </row>
    <row r="334" spans="1:29" hidden="1" x14ac:dyDescent="0.25">
      <c r="A334" s="5">
        <v>329</v>
      </c>
      <c r="B334" s="5" t="s">
        <v>458</v>
      </c>
      <c r="C334" s="5" t="s">
        <v>77</v>
      </c>
      <c r="D334" s="5" t="s">
        <v>405</v>
      </c>
      <c r="E334" s="5">
        <v>10</v>
      </c>
      <c r="F334" s="5">
        <v>120</v>
      </c>
      <c r="G334" s="5">
        <v>220</v>
      </c>
      <c r="H334" s="5">
        <v>9</v>
      </c>
      <c r="I334" s="5">
        <v>2.0099999999999998</v>
      </c>
      <c r="J334" s="5">
        <v>18.11</v>
      </c>
      <c r="K334" s="5" t="s">
        <v>360</v>
      </c>
      <c r="L334" s="5" t="s">
        <v>454</v>
      </c>
      <c r="M334" s="7"/>
      <c r="N334" s="7" t="s">
        <v>228</v>
      </c>
      <c r="O334" s="7"/>
      <c r="P334" s="7"/>
      <c r="Q334" s="7">
        <v>1</v>
      </c>
      <c r="R334" s="8" t="s">
        <v>37</v>
      </c>
      <c r="S334" s="7"/>
      <c r="T334" s="7" t="s">
        <v>38</v>
      </c>
      <c r="U334" s="7"/>
      <c r="V334" s="7" t="str">
        <f t="shared" si="5"/>
        <v>TCTN.DNS-26004</v>
      </c>
      <c r="W334" s="7" t="s">
        <v>81</v>
      </c>
      <c r="X334" s="7"/>
      <c r="Y334" s="7"/>
      <c r="Z334" s="7" t="s">
        <v>922</v>
      </c>
      <c r="AA334" s="7" t="s">
        <v>39</v>
      </c>
      <c r="AB334" s="7"/>
      <c r="AC334" s="7" t="s">
        <v>455</v>
      </c>
    </row>
    <row r="335" spans="1:29" hidden="1" x14ac:dyDescent="0.25">
      <c r="A335" s="5">
        <v>330</v>
      </c>
      <c r="B335" s="5" t="s">
        <v>459</v>
      </c>
      <c r="C335" s="5" t="s">
        <v>77</v>
      </c>
      <c r="D335" s="5" t="s">
        <v>402</v>
      </c>
      <c r="E335" s="5">
        <v>10</v>
      </c>
      <c r="F335" s="5">
        <v>80</v>
      </c>
      <c r="G335" s="5">
        <v>120</v>
      </c>
      <c r="H335" s="5">
        <v>1</v>
      </c>
      <c r="I335" s="5">
        <v>0.72</v>
      </c>
      <c r="J335" s="5">
        <v>0.72</v>
      </c>
      <c r="K335" s="5" t="s">
        <v>360</v>
      </c>
      <c r="L335" s="5" t="s">
        <v>454</v>
      </c>
      <c r="M335" s="7"/>
      <c r="N335" s="7" t="s">
        <v>228</v>
      </c>
      <c r="O335" s="7"/>
      <c r="P335" s="7"/>
      <c r="Q335" s="7">
        <v>1</v>
      </c>
      <c r="R335" s="8" t="s">
        <v>37</v>
      </c>
      <c r="S335" s="7"/>
      <c r="T335" s="7" t="s">
        <v>38</v>
      </c>
      <c r="U335" s="7"/>
      <c r="V335" s="7" t="str">
        <f t="shared" si="5"/>
        <v>TCTN.DNS-26004</v>
      </c>
      <c r="W335" s="7" t="s">
        <v>81</v>
      </c>
      <c r="X335" s="7"/>
      <c r="Y335" s="7"/>
      <c r="Z335" s="7" t="s">
        <v>922</v>
      </c>
      <c r="AA335" s="7" t="s">
        <v>39</v>
      </c>
      <c r="AB335" s="7"/>
      <c r="AC335" s="7" t="s">
        <v>455</v>
      </c>
    </row>
    <row r="336" spans="1:29" hidden="1" x14ac:dyDescent="0.25">
      <c r="A336" s="5">
        <v>331</v>
      </c>
      <c r="B336" s="5" t="s">
        <v>446</v>
      </c>
      <c r="C336" s="5" t="s">
        <v>77</v>
      </c>
      <c r="D336" s="5" t="s">
        <v>387</v>
      </c>
      <c r="E336" s="5">
        <v>10</v>
      </c>
      <c r="F336" s="5">
        <v>148</v>
      </c>
      <c r="G336" s="5">
        <v>441</v>
      </c>
      <c r="H336" s="5">
        <v>4</v>
      </c>
      <c r="I336" s="5">
        <v>5.0599999999999996</v>
      </c>
      <c r="J336" s="5">
        <v>20.239999999999998</v>
      </c>
      <c r="K336" s="5" t="s">
        <v>360</v>
      </c>
      <c r="L336" s="5" t="s">
        <v>454</v>
      </c>
      <c r="M336" s="7"/>
      <c r="N336" s="7"/>
      <c r="O336" s="7"/>
      <c r="P336" s="7"/>
      <c r="Q336" s="7">
        <v>1</v>
      </c>
      <c r="R336" s="8" t="s">
        <v>37</v>
      </c>
      <c r="S336" s="7"/>
      <c r="T336" s="7" t="s">
        <v>38</v>
      </c>
      <c r="U336" s="7"/>
      <c r="V336" s="7" t="str">
        <f t="shared" si="5"/>
        <v>TCTN.DNS-26004</v>
      </c>
      <c r="W336" s="7" t="s">
        <v>81</v>
      </c>
      <c r="X336" s="7"/>
      <c r="Y336" s="7"/>
      <c r="Z336" s="7" t="s">
        <v>922</v>
      </c>
      <c r="AA336" s="7" t="s">
        <v>39</v>
      </c>
      <c r="AB336" s="7"/>
      <c r="AC336" s="7" t="s">
        <v>455</v>
      </c>
    </row>
    <row r="337" spans="1:29" hidden="1" x14ac:dyDescent="0.25">
      <c r="A337" s="5">
        <v>332</v>
      </c>
      <c r="B337" s="5" t="s">
        <v>460</v>
      </c>
      <c r="C337" s="5" t="s">
        <v>77</v>
      </c>
      <c r="D337" s="5" t="s">
        <v>435</v>
      </c>
      <c r="E337" s="5">
        <v>10</v>
      </c>
      <c r="F337" s="5">
        <v>148</v>
      </c>
      <c r="G337" s="5">
        <v>324</v>
      </c>
      <c r="H337" s="5">
        <v>40</v>
      </c>
      <c r="I337" s="5">
        <v>3.7</v>
      </c>
      <c r="J337" s="5">
        <v>148.06</v>
      </c>
      <c r="K337" s="5" t="s">
        <v>360</v>
      </c>
      <c r="L337" s="5" t="s">
        <v>454</v>
      </c>
      <c r="M337" s="7"/>
      <c r="N337" s="7"/>
      <c r="O337" s="7"/>
      <c r="P337" s="7"/>
      <c r="Q337" s="7">
        <v>1</v>
      </c>
      <c r="R337" s="8" t="s">
        <v>37</v>
      </c>
      <c r="S337" s="7"/>
      <c r="T337" s="7" t="s">
        <v>38</v>
      </c>
      <c r="U337" s="7"/>
      <c r="V337" s="7" t="str">
        <f t="shared" si="5"/>
        <v>TCTN.DNS-26004</v>
      </c>
      <c r="W337" s="7" t="s">
        <v>81</v>
      </c>
      <c r="X337" s="7"/>
      <c r="Y337" s="7"/>
      <c r="Z337" s="7" t="s">
        <v>922</v>
      </c>
      <c r="AA337" s="7" t="s">
        <v>39</v>
      </c>
      <c r="AB337" s="7"/>
      <c r="AC337" s="7" t="s">
        <v>455</v>
      </c>
    </row>
    <row r="338" spans="1:29" hidden="1" x14ac:dyDescent="0.25">
      <c r="A338" s="5">
        <v>333</v>
      </c>
      <c r="B338" s="5" t="s">
        <v>461</v>
      </c>
      <c r="C338" s="5" t="s">
        <v>77</v>
      </c>
      <c r="D338" s="5" t="s">
        <v>435</v>
      </c>
      <c r="E338" s="5">
        <v>10</v>
      </c>
      <c r="F338" s="5">
        <v>148</v>
      </c>
      <c r="G338" s="5">
        <v>324</v>
      </c>
      <c r="H338" s="5">
        <v>26</v>
      </c>
      <c r="I338" s="5">
        <v>3.7</v>
      </c>
      <c r="J338" s="5">
        <v>96.24</v>
      </c>
      <c r="K338" s="5" t="s">
        <v>360</v>
      </c>
      <c r="L338" s="5" t="s">
        <v>454</v>
      </c>
      <c r="M338" s="7"/>
      <c r="N338" s="7"/>
      <c r="O338" s="7"/>
      <c r="P338" s="7"/>
      <c r="Q338" s="7">
        <v>1</v>
      </c>
      <c r="R338" s="8" t="s">
        <v>37</v>
      </c>
      <c r="S338" s="7"/>
      <c r="T338" s="7" t="s">
        <v>38</v>
      </c>
      <c r="U338" s="7"/>
      <c r="V338" s="7" t="str">
        <f t="shared" si="5"/>
        <v>TCTN.DNS-26004</v>
      </c>
      <c r="W338" s="7" t="s">
        <v>81</v>
      </c>
      <c r="X338" s="7"/>
      <c r="Y338" s="7"/>
      <c r="Z338" s="7" t="s">
        <v>922</v>
      </c>
      <c r="AA338" s="7" t="s">
        <v>39</v>
      </c>
      <c r="AB338" s="7"/>
      <c r="AC338" s="7" t="s">
        <v>455</v>
      </c>
    </row>
    <row r="339" spans="1:29" hidden="1" x14ac:dyDescent="0.25">
      <c r="A339" s="5">
        <v>334</v>
      </c>
      <c r="B339" s="5" t="s">
        <v>462</v>
      </c>
      <c r="C339" s="5" t="s">
        <v>77</v>
      </c>
      <c r="D339" s="5" t="s">
        <v>435</v>
      </c>
      <c r="E339" s="5">
        <v>10</v>
      </c>
      <c r="F339" s="5">
        <v>148</v>
      </c>
      <c r="G339" s="5">
        <v>324</v>
      </c>
      <c r="H339" s="5">
        <v>28</v>
      </c>
      <c r="I339" s="5">
        <v>3.7</v>
      </c>
      <c r="J339" s="5">
        <v>103.64</v>
      </c>
      <c r="K339" s="5" t="s">
        <v>360</v>
      </c>
      <c r="L339" s="5" t="s">
        <v>454</v>
      </c>
      <c r="M339" s="7"/>
      <c r="N339" s="7"/>
      <c r="O339" s="7"/>
      <c r="P339" s="7"/>
      <c r="Q339" s="7">
        <v>1</v>
      </c>
      <c r="R339" s="8" t="s">
        <v>37</v>
      </c>
      <c r="S339" s="7"/>
      <c r="T339" s="7" t="s">
        <v>38</v>
      </c>
      <c r="U339" s="7"/>
      <c r="V339" s="7" t="str">
        <f t="shared" si="5"/>
        <v>TCTN.DNS-26004</v>
      </c>
      <c r="W339" s="7" t="s">
        <v>81</v>
      </c>
      <c r="X339" s="7"/>
      <c r="Y339" s="7"/>
      <c r="Z339" s="7" t="s">
        <v>922</v>
      </c>
      <c r="AA339" s="7" t="s">
        <v>39</v>
      </c>
      <c r="AB339" s="7"/>
      <c r="AC339" s="7" t="s">
        <v>455</v>
      </c>
    </row>
    <row r="340" spans="1:29" hidden="1" x14ac:dyDescent="0.25">
      <c r="A340" s="5">
        <v>335</v>
      </c>
      <c r="B340" s="5" t="s">
        <v>438</v>
      </c>
      <c r="C340" s="5" t="s">
        <v>77</v>
      </c>
      <c r="D340" s="5" t="s">
        <v>405</v>
      </c>
      <c r="E340" s="5">
        <v>10</v>
      </c>
      <c r="F340" s="5">
        <v>120</v>
      </c>
      <c r="G340" s="5">
        <v>220</v>
      </c>
      <c r="H340" s="5">
        <v>3</v>
      </c>
      <c r="I340" s="5">
        <v>2.0099999999999998</v>
      </c>
      <c r="J340" s="5">
        <v>6.04</v>
      </c>
      <c r="K340" s="5" t="s">
        <v>360</v>
      </c>
      <c r="L340" s="5" t="s">
        <v>454</v>
      </c>
      <c r="M340" s="7"/>
      <c r="N340" s="7" t="s">
        <v>228</v>
      </c>
      <c r="O340" s="7"/>
      <c r="P340" s="7"/>
      <c r="Q340" s="7">
        <v>1</v>
      </c>
      <c r="R340" s="8" t="s">
        <v>37</v>
      </c>
      <c r="S340" s="7"/>
      <c r="T340" s="7" t="s">
        <v>38</v>
      </c>
      <c r="U340" s="7"/>
      <c r="V340" s="7" t="str">
        <f t="shared" si="5"/>
        <v>TCTN.DNS-26004</v>
      </c>
      <c r="W340" s="7" t="s">
        <v>81</v>
      </c>
      <c r="X340" s="7"/>
      <c r="Y340" s="7"/>
      <c r="Z340" s="7" t="s">
        <v>922</v>
      </c>
      <c r="AA340" s="7" t="s">
        <v>39</v>
      </c>
      <c r="AB340" s="7"/>
      <c r="AC340" s="7" t="s">
        <v>455</v>
      </c>
    </row>
    <row r="341" spans="1:29" hidden="1" x14ac:dyDescent="0.25">
      <c r="A341" s="5">
        <v>336</v>
      </c>
      <c r="B341" s="5" t="s">
        <v>447</v>
      </c>
      <c r="C341" s="5" t="s">
        <v>77</v>
      </c>
      <c r="D341" s="5" t="s">
        <v>435</v>
      </c>
      <c r="E341" s="5">
        <v>10</v>
      </c>
      <c r="F341" s="5">
        <v>148</v>
      </c>
      <c r="G341" s="5">
        <v>324</v>
      </c>
      <c r="H341" s="5">
        <v>40</v>
      </c>
      <c r="I341" s="5">
        <v>3.7</v>
      </c>
      <c r="J341" s="5">
        <v>148.06</v>
      </c>
      <c r="K341" s="5" t="s">
        <v>360</v>
      </c>
      <c r="L341" s="5" t="s">
        <v>454</v>
      </c>
      <c r="M341" s="7"/>
      <c r="N341" s="7"/>
      <c r="O341" s="7"/>
      <c r="P341" s="7"/>
      <c r="Q341" s="7">
        <v>1</v>
      </c>
      <c r="R341" s="8" t="s">
        <v>37</v>
      </c>
      <c r="S341" s="7"/>
      <c r="T341" s="7" t="s">
        <v>38</v>
      </c>
      <c r="U341" s="7"/>
      <c r="V341" s="7" t="str">
        <f t="shared" si="5"/>
        <v>TCTN.DNS-26004</v>
      </c>
      <c r="W341" s="7" t="s">
        <v>81</v>
      </c>
      <c r="X341" s="7"/>
      <c r="Y341" s="7"/>
      <c r="Z341" s="7" t="s">
        <v>922</v>
      </c>
      <c r="AA341" s="7" t="s">
        <v>39</v>
      </c>
      <c r="AB341" s="7"/>
      <c r="AC341" s="7" t="s">
        <v>455</v>
      </c>
    </row>
    <row r="342" spans="1:29" hidden="1" x14ac:dyDescent="0.25">
      <c r="A342" s="5">
        <v>337</v>
      </c>
      <c r="B342" s="5" t="s">
        <v>463</v>
      </c>
      <c r="C342" s="5" t="s">
        <v>77</v>
      </c>
      <c r="D342" s="5" t="s">
        <v>440</v>
      </c>
      <c r="E342" s="5">
        <v>10</v>
      </c>
      <c r="F342" s="5">
        <v>350</v>
      </c>
      <c r="G342" s="5">
        <v>4580</v>
      </c>
      <c r="H342" s="5">
        <v>1</v>
      </c>
      <c r="I342" s="5">
        <v>125.84</v>
      </c>
      <c r="J342" s="5">
        <v>125.84</v>
      </c>
      <c r="K342" s="5" t="s">
        <v>360</v>
      </c>
      <c r="L342" s="5" t="s">
        <v>454</v>
      </c>
      <c r="M342" s="7"/>
      <c r="N342" s="7"/>
      <c r="O342" s="7"/>
      <c r="P342" s="7" t="s">
        <v>81</v>
      </c>
      <c r="Q342" s="7">
        <v>1</v>
      </c>
      <c r="R342" s="8" t="s">
        <v>37</v>
      </c>
      <c r="S342" s="7"/>
      <c r="T342" s="7" t="s">
        <v>38</v>
      </c>
      <c r="U342" s="7"/>
      <c r="V342" s="7" t="str">
        <f t="shared" si="5"/>
        <v>TCTN.DNS-26004</v>
      </c>
      <c r="W342" s="7"/>
      <c r="X342" s="7"/>
      <c r="Y342" s="7" t="s">
        <v>81</v>
      </c>
      <c r="Z342" s="7" t="s">
        <v>922</v>
      </c>
      <c r="AA342" s="7" t="s">
        <v>39</v>
      </c>
      <c r="AB342" s="7"/>
      <c r="AC342" s="7" t="s">
        <v>455</v>
      </c>
    </row>
    <row r="343" spans="1:29" hidden="1" x14ac:dyDescent="0.25">
      <c r="A343" s="5">
        <v>338</v>
      </c>
      <c r="B343" s="5" t="s">
        <v>464</v>
      </c>
      <c r="C343" s="5" t="s">
        <v>77</v>
      </c>
      <c r="D343" s="5" t="s">
        <v>450</v>
      </c>
      <c r="E343" s="5">
        <v>10</v>
      </c>
      <c r="F343" s="5">
        <v>350</v>
      </c>
      <c r="G343" s="5">
        <v>4480</v>
      </c>
      <c r="H343" s="5">
        <v>1</v>
      </c>
      <c r="I343" s="5">
        <v>123.09</v>
      </c>
      <c r="J343" s="5">
        <v>123.09</v>
      </c>
      <c r="K343" s="5" t="s">
        <v>360</v>
      </c>
      <c r="L343" s="5" t="s">
        <v>454</v>
      </c>
      <c r="M343" s="7"/>
      <c r="N343" s="7"/>
      <c r="O343" s="7"/>
      <c r="P343" s="7" t="s">
        <v>81</v>
      </c>
      <c r="Q343" s="7">
        <v>1</v>
      </c>
      <c r="R343" s="8" t="s">
        <v>37</v>
      </c>
      <c r="S343" s="7"/>
      <c r="T343" s="7" t="s">
        <v>38</v>
      </c>
      <c r="U343" s="7"/>
      <c r="V343" s="7" t="str">
        <f t="shared" si="5"/>
        <v>TCTN.DNS-26004</v>
      </c>
      <c r="W343" s="7"/>
      <c r="X343" s="7"/>
      <c r="Y343" s="7" t="s">
        <v>81</v>
      </c>
      <c r="Z343" s="7" t="s">
        <v>922</v>
      </c>
      <c r="AA343" s="7" t="s">
        <v>39</v>
      </c>
      <c r="AB343" s="7"/>
      <c r="AC343" s="7" t="s">
        <v>455</v>
      </c>
    </row>
    <row r="344" spans="1:29" hidden="1" x14ac:dyDescent="0.25">
      <c r="A344" s="5">
        <v>339</v>
      </c>
      <c r="B344" s="5" t="s">
        <v>419</v>
      </c>
      <c r="C344" s="5" t="s">
        <v>77</v>
      </c>
      <c r="D344" s="5" t="s">
        <v>420</v>
      </c>
      <c r="E344" s="5">
        <v>10</v>
      </c>
      <c r="F344" s="5">
        <v>200</v>
      </c>
      <c r="G344" s="5">
        <v>3586</v>
      </c>
      <c r="H344" s="5">
        <v>2</v>
      </c>
      <c r="I344" s="5">
        <v>56.3</v>
      </c>
      <c r="J344" s="5">
        <v>112.6</v>
      </c>
      <c r="K344" s="5" t="s">
        <v>360</v>
      </c>
      <c r="L344" s="5" t="s">
        <v>454</v>
      </c>
      <c r="M344" s="7"/>
      <c r="N344" s="7"/>
      <c r="O344" s="7"/>
      <c r="P344" s="7"/>
      <c r="Q344" s="7">
        <v>1</v>
      </c>
      <c r="R344" s="8" t="s">
        <v>37</v>
      </c>
      <c r="S344" s="7"/>
      <c r="T344" s="7" t="s">
        <v>38</v>
      </c>
      <c r="U344" s="7"/>
      <c r="V344" s="7" t="str">
        <f t="shared" si="5"/>
        <v>TCTN.DNS-26004</v>
      </c>
      <c r="W344" s="7"/>
      <c r="X344" s="7"/>
      <c r="Y344" s="7" t="s">
        <v>81</v>
      </c>
      <c r="Z344" s="7" t="s">
        <v>922</v>
      </c>
      <c r="AA344" s="7" t="s">
        <v>39</v>
      </c>
      <c r="AB344" s="7"/>
      <c r="AC344" s="7" t="s">
        <v>455</v>
      </c>
    </row>
    <row r="345" spans="1:29" hidden="1" x14ac:dyDescent="0.25">
      <c r="A345" s="5">
        <v>340</v>
      </c>
      <c r="B345" s="5" t="s">
        <v>421</v>
      </c>
      <c r="C345" s="5" t="s">
        <v>77</v>
      </c>
      <c r="D345" s="5" t="s">
        <v>422</v>
      </c>
      <c r="E345" s="5">
        <v>10</v>
      </c>
      <c r="F345" s="5">
        <v>230</v>
      </c>
      <c r="G345" s="5">
        <v>3586</v>
      </c>
      <c r="H345" s="5">
        <v>1</v>
      </c>
      <c r="I345" s="5">
        <v>64.75</v>
      </c>
      <c r="J345" s="5">
        <v>64.75</v>
      </c>
      <c r="K345" s="5" t="s">
        <v>360</v>
      </c>
      <c r="L345" s="5" t="s">
        <v>454</v>
      </c>
      <c r="M345" s="7"/>
      <c r="N345" s="7"/>
      <c r="O345" s="7"/>
      <c r="P345" s="7"/>
      <c r="Q345" s="7">
        <v>1</v>
      </c>
      <c r="R345" s="8" t="s">
        <v>37</v>
      </c>
      <c r="S345" s="7"/>
      <c r="T345" s="7" t="s">
        <v>38</v>
      </c>
      <c r="U345" s="7"/>
      <c r="V345" s="7" t="str">
        <f t="shared" si="5"/>
        <v>TCTN.DNS-26004</v>
      </c>
      <c r="W345" s="7"/>
      <c r="X345" s="7"/>
      <c r="Y345" s="7" t="s">
        <v>81</v>
      </c>
      <c r="Z345" s="7" t="s">
        <v>922</v>
      </c>
      <c r="AA345" s="7" t="s">
        <v>39</v>
      </c>
      <c r="AB345" s="7"/>
      <c r="AC345" s="7" t="s">
        <v>455</v>
      </c>
    </row>
    <row r="346" spans="1:29" hidden="1" x14ac:dyDescent="0.25">
      <c r="A346" s="5">
        <v>341</v>
      </c>
      <c r="B346" s="5" t="s">
        <v>456</v>
      </c>
      <c r="C346" s="5" t="s">
        <v>77</v>
      </c>
      <c r="D346" s="5" t="s">
        <v>457</v>
      </c>
      <c r="E346" s="5">
        <v>10</v>
      </c>
      <c r="F346" s="5">
        <v>70</v>
      </c>
      <c r="G346" s="5">
        <v>120</v>
      </c>
      <c r="H346" s="5">
        <v>2</v>
      </c>
      <c r="I346" s="5">
        <v>0.63</v>
      </c>
      <c r="J346" s="5">
        <v>1.26</v>
      </c>
      <c r="K346" s="5" t="s">
        <v>360</v>
      </c>
      <c r="L346" s="5" t="s">
        <v>465</v>
      </c>
      <c r="M346" s="7"/>
      <c r="N346" s="7" t="s">
        <v>228</v>
      </c>
      <c r="O346" s="7"/>
      <c r="P346" s="7"/>
      <c r="Q346" s="7">
        <v>1</v>
      </c>
      <c r="R346" s="8" t="s">
        <v>37</v>
      </c>
      <c r="S346" s="7"/>
      <c r="T346" s="7" t="s">
        <v>38</v>
      </c>
      <c r="U346" s="7"/>
      <c r="V346" s="7" t="str">
        <f t="shared" si="5"/>
        <v>TCTN.DNS-26004</v>
      </c>
      <c r="W346" s="7" t="s">
        <v>81</v>
      </c>
      <c r="X346" s="7"/>
      <c r="Y346" s="7"/>
      <c r="Z346" s="7" t="s">
        <v>922</v>
      </c>
      <c r="AA346" s="7" t="s">
        <v>39</v>
      </c>
      <c r="AB346" s="7"/>
      <c r="AC346" s="7" t="s">
        <v>466</v>
      </c>
    </row>
    <row r="347" spans="1:29" hidden="1" x14ac:dyDescent="0.25">
      <c r="A347" s="5">
        <v>342</v>
      </c>
      <c r="B347" s="5" t="s">
        <v>459</v>
      </c>
      <c r="C347" s="5" t="s">
        <v>77</v>
      </c>
      <c r="D347" s="5" t="s">
        <v>402</v>
      </c>
      <c r="E347" s="5">
        <v>10</v>
      </c>
      <c r="F347" s="5">
        <v>80</v>
      </c>
      <c r="G347" s="5">
        <v>120</v>
      </c>
      <c r="H347" s="5">
        <v>3</v>
      </c>
      <c r="I347" s="5">
        <v>0.72</v>
      </c>
      <c r="J347" s="5">
        <v>2.17</v>
      </c>
      <c r="K347" s="5" t="s">
        <v>360</v>
      </c>
      <c r="L347" s="5" t="s">
        <v>465</v>
      </c>
      <c r="M347" s="7"/>
      <c r="N347" s="7" t="s">
        <v>228</v>
      </c>
      <c r="O347" s="7"/>
      <c r="P347" s="7"/>
      <c r="Q347" s="7">
        <v>1</v>
      </c>
      <c r="R347" s="8" t="s">
        <v>37</v>
      </c>
      <c r="S347" s="7"/>
      <c r="T347" s="7" t="s">
        <v>38</v>
      </c>
      <c r="U347" s="7"/>
      <c r="V347" s="7" t="str">
        <f t="shared" si="5"/>
        <v>TCTN.DNS-26004</v>
      </c>
      <c r="W347" s="7" t="s">
        <v>81</v>
      </c>
      <c r="X347" s="7"/>
      <c r="Y347" s="7"/>
      <c r="Z347" s="7" t="s">
        <v>922</v>
      </c>
      <c r="AA347" s="7" t="s">
        <v>39</v>
      </c>
      <c r="AB347" s="7"/>
      <c r="AC347" s="7" t="s">
        <v>466</v>
      </c>
    </row>
    <row r="348" spans="1:29" hidden="1" x14ac:dyDescent="0.25">
      <c r="A348" s="5">
        <v>343</v>
      </c>
      <c r="B348" s="5" t="s">
        <v>467</v>
      </c>
      <c r="C348" s="5" t="s">
        <v>77</v>
      </c>
      <c r="D348" s="5" t="s">
        <v>405</v>
      </c>
      <c r="E348" s="5">
        <v>10</v>
      </c>
      <c r="F348" s="5">
        <v>120</v>
      </c>
      <c r="G348" s="5">
        <v>220</v>
      </c>
      <c r="H348" s="5">
        <v>7</v>
      </c>
      <c r="I348" s="5">
        <v>2.0099999999999998</v>
      </c>
      <c r="J348" s="5">
        <v>14.09</v>
      </c>
      <c r="K348" s="5" t="s">
        <v>360</v>
      </c>
      <c r="L348" s="5" t="s">
        <v>465</v>
      </c>
      <c r="M348" s="7"/>
      <c r="N348" s="7" t="s">
        <v>228</v>
      </c>
      <c r="O348" s="7"/>
      <c r="P348" s="7"/>
      <c r="Q348" s="7">
        <v>1</v>
      </c>
      <c r="R348" s="8" t="s">
        <v>37</v>
      </c>
      <c r="S348" s="7"/>
      <c r="T348" s="7" t="s">
        <v>38</v>
      </c>
      <c r="U348" s="7"/>
      <c r="V348" s="7" t="str">
        <f t="shared" si="5"/>
        <v>TCTN.DNS-26004</v>
      </c>
      <c r="W348" s="7" t="s">
        <v>81</v>
      </c>
      <c r="X348" s="7"/>
      <c r="Y348" s="7"/>
      <c r="Z348" s="7" t="s">
        <v>922</v>
      </c>
      <c r="AA348" s="7" t="s">
        <v>39</v>
      </c>
      <c r="AB348" s="7"/>
      <c r="AC348" s="7" t="s">
        <v>466</v>
      </c>
    </row>
    <row r="349" spans="1:29" hidden="1" x14ac:dyDescent="0.25">
      <c r="A349" s="5">
        <v>344</v>
      </c>
      <c r="B349" s="5" t="s">
        <v>460</v>
      </c>
      <c r="C349" s="5" t="s">
        <v>77</v>
      </c>
      <c r="D349" s="5" t="s">
        <v>435</v>
      </c>
      <c r="E349" s="5">
        <v>10</v>
      </c>
      <c r="F349" s="5">
        <v>148</v>
      </c>
      <c r="G349" s="5">
        <v>324</v>
      </c>
      <c r="H349" s="5">
        <v>2</v>
      </c>
      <c r="I349" s="5">
        <v>3.7</v>
      </c>
      <c r="J349" s="5">
        <v>7.4</v>
      </c>
      <c r="K349" s="5" t="s">
        <v>360</v>
      </c>
      <c r="L349" s="5" t="s">
        <v>465</v>
      </c>
      <c r="M349" s="7"/>
      <c r="N349" s="7"/>
      <c r="O349" s="7"/>
      <c r="P349" s="7"/>
      <c r="Q349" s="7">
        <v>1</v>
      </c>
      <c r="R349" s="8" t="s">
        <v>37</v>
      </c>
      <c r="S349" s="7"/>
      <c r="T349" s="7" t="s">
        <v>38</v>
      </c>
      <c r="U349" s="7"/>
      <c r="V349" s="7" t="str">
        <f t="shared" si="5"/>
        <v>TCTN.DNS-26004</v>
      </c>
      <c r="W349" s="7" t="s">
        <v>81</v>
      </c>
      <c r="X349" s="7"/>
      <c r="Y349" s="7"/>
      <c r="Z349" s="7" t="s">
        <v>922</v>
      </c>
      <c r="AA349" s="7" t="s">
        <v>39</v>
      </c>
      <c r="AB349" s="7"/>
      <c r="AC349" s="7" t="s">
        <v>466</v>
      </c>
    </row>
    <row r="350" spans="1:29" hidden="1" x14ac:dyDescent="0.25">
      <c r="A350" s="5">
        <v>345</v>
      </c>
      <c r="B350" s="5" t="s">
        <v>468</v>
      </c>
      <c r="C350" s="5" t="s">
        <v>77</v>
      </c>
      <c r="D350" s="5" t="s">
        <v>469</v>
      </c>
      <c r="E350" s="5">
        <v>10</v>
      </c>
      <c r="F350" s="5">
        <v>160</v>
      </c>
      <c r="G350" s="5">
        <v>160</v>
      </c>
      <c r="H350" s="5">
        <v>2</v>
      </c>
      <c r="I350" s="5">
        <v>0.96</v>
      </c>
      <c r="J350" s="5">
        <v>1.92</v>
      </c>
      <c r="K350" s="5" t="s">
        <v>360</v>
      </c>
      <c r="L350" s="5" t="s">
        <v>465</v>
      </c>
      <c r="M350" s="7"/>
      <c r="N350" s="7" t="s">
        <v>228</v>
      </c>
      <c r="O350" s="7"/>
      <c r="P350" s="7"/>
      <c r="Q350" s="7">
        <v>1</v>
      </c>
      <c r="R350" s="8" t="s">
        <v>37</v>
      </c>
      <c r="S350" s="7"/>
      <c r="T350" s="7" t="s">
        <v>38</v>
      </c>
      <c r="U350" s="7"/>
      <c r="V350" s="7" t="str">
        <f t="shared" si="5"/>
        <v>TCTN.DNS-26004</v>
      </c>
      <c r="W350" s="7"/>
      <c r="X350" s="7" t="s">
        <v>81</v>
      </c>
      <c r="Y350" s="7"/>
      <c r="Z350" s="7" t="s">
        <v>922</v>
      </c>
      <c r="AA350" s="7" t="s">
        <v>39</v>
      </c>
      <c r="AB350" s="7"/>
      <c r="AC350" s="7" t="s">
        <v>466</v>
      </c>
    </row>
    <row r="351" spans="1:29" hidden="1" x14ac:dyDescent="0.25">
      <c r="A351" s="5">
        <v>346</v>
      </c>
      <c r="B351" s="5" t="s">
        <v>470</v>
      </c>
      <c r="C351" s="5" t="s">
        <v>77</v>
      </c>
      <c r="D351" s="5" t="s">
        <v>469</v>
      </c>
      <c r="E351" s="5">
        <v>10</v>
      </c>
      <c r="F351" s="5">
        <v>160</v>
      </c>
      <c r="G351" s="5">
        <v>160</v>
      </c>
      <c r="H351" s="5">
        <v>4</v>
      </c>
      <c r="I351" s="5">
        <v>0.96</v>
      </c>
      <c r="J351" s="5">
        <v>3.85</v>
      </c>
      <c r="K351" s="5" t="s">
        <v>360</v>
      </c>
      <c r="L351" s="5" t="s">
        <v>465</v>
      </c>
      <c r="M351" s="7"/>
      <c r="N351" s="7" t="s">
        <v>228</v>
      </c>
      <c r="O351" s="7"/>
      <c r="P351" s="7"/>
      <c r="Q351" s="7">
        <v>1</v>
      </c>
      <c r="R351" s="8" t="s">
        <v>37</v>
      </c>
      <c r="S351" s="7"/>
      <c r="T351" s="7" t="s">
        <v>38</v>
      </c>
      <c r="U351" s="7"/>
      <c r="V351" s="7" t="str">
        <f t="shared" si="5"/>
        <v>TCTN.DNS-26004</v>
      </c>
      <c r="W351" s="7"/>
      <c r="X351" s="7" t="s">
        <v>81</v>
      </c>
      <c r="Y351" s="7"/>
      <c r="Z351" s="7" t="s">
        <v>922</v>
      </c>
      <c r="AA351" s="7" t="s">
        <v>39</v>
      </c>
      <c r="AB351" s="7"/>
      <c r="AC351" s="7" t="s">
        <v>466</v>
      </c>
    </row>
    <row r="352" spans="1:29" hidden="1" x14ac:dyDescent="0.25">
      <c r="A352" s="5">
        <v>347</v>
      </c>
      <c r="B352" s="5" t="s">
        <v>471</v>
      </c>
      <c r="C352" s="5" t="s">
        <v>77</v>
      </c>
      <c r="D352" s="5" t="s">
        <v>469</v>
      </c>
      <c r="E352" s="5">
        <v>10</v>
      </c>
      <c r="F352" s="5">
        <v>160</v>
      </c>
      <c r="G352" s="5">
        <v>160</v>
      </c>
      <c r="H352" s="5">
        <v>2</v>
      </c>
      <c r="I352" s="5">
        <v>0.96</v>
      </c>
      <c r="J352" s="5">
        <v>1.92</v>
      </c>
      <c r="K352" s="5" t="s">
        <v>360</v>
      </c>
      <c r="L352" s="5" t="s">
        <v>465</v>
      </c>
      <c r="M352" s="7"/>
      <c r="N352" s="7" t="s">
        <v>228</v>
      </c>
      <c r="O352" s="7"/>
      <c r="P352" s="7"/>
      <c r="Q352" s="7">
        <v>1</v>
      </c>
      <c r="R352" s="8" t="s">
        <v>37</v>
      </c>
      <c r="S352" s="7"/>
      <c r="T352" s="7" t="s">
        <v>38</v>
      </c>
      <c r="U352" s="7"/>
      <c r="V352" s="7" t="str">
        <f t="shared" si="5"/>
        <v>TCTN.DNS-26004</v>
      </c>
      <c r="W352" s="7"/>
      <c r="X352" s="7" t="s">
        <v>81</v>
      </c>
      <c r="Y352" s="7"/>
      <c r="Z352" s="7" t="s">
        <v>922</v>
      </c>
      <c r="AA352" s="7" t="s">
        <v>39</v>
      </c>
      <c r="AB352" s="7"/>
      <c r="AC352" s="7" t="s">
        <v>466</v>
      </c>
    </row>
    <row r="353" spans="1:29" hidden="1" x14ac:dyDescent="0.25">
      <c r="A353" s="5">
        <v>348</v>
      </c>
      <c r="B353" s="5" t="s">
        <v>472</v>
      </c>
      <c r="C353" s="5" t="s">
        <v>77</v>
      </c>
      <c r="D353" s="5" t="s">
        <v>469</v>
      </c>
      <c r="E353" s="5">
        <v>10</v>
      </c>
      <c r="F353" s="5">
        <v>160</v>
      </c>
      <c r="G353" s="5">
        <v>160</v>
      </c>
      <c r="H353" s="5">
        <v>4</v>
      </c>
      <c r="I353" s="5">
        <v>0.96</v>
      </c>
      <c r="J353" s="5">
        <v>3.85</v>
      </c>
      <c r="K353" s="5" t="s">
        <v>360</v>
      </c>
      <c r="L353" s="5" t="s">
        <v>465</v>
      </c>
      <c r="M353" s="7"/>
      <c r="N353" s="7" t="s">
        <v>228</v>
      </c>
      <c r="O353" s="7"/>
      <c r="P353" s="7"/>
      <c r="Q353" s="7">
        <v>1</v>
      </c>
      <c r="R353" s="8" t="s">
        <v>37</v>
      </c>
      <c r="S353" s="7"/>
      <c r="T353" s="7" t="s">
        <v>38</v>
      </c>
      <c r="U353" s="7"/>
      <c r="V353" s="7" t="str">
        <f t="shared" si="5"/>
        <v>TCTN.DNS-26004</v>
      </c>
      <c r="W353" s="7"/>
      <c r="X353" s="7" t="s">
        <v>81</v>
      </c>
      <c r="Y353" s="7"/>
      <c r="Z353" s="7" t="s">
        <v>922</v>
      </c>
      <c r="AA353" s="7" t="s">
        <v>39</v>
      </c>
      <c r="AB353" s="7"/>
      <c r="AC353" s="7" t="s">
        <v>466</v>
      </c>
    </row>
    <row r="354" spans="1:29" hidden="1" x14ac:dyDescent="0.25">
      <c r="A354" s="5">
        <v>349</v>
      </c>
      <c r="B354" s="5" t="s">
        <v>473</v>
      </c>
      <c r="C354" s="5" t="s">
        <v>77</v>
      </c>
      <c r="D354" s="5" t="s">
        <v>474</v>
      </c>
      <c r="E354" s="5">
        <v>12</v>
      </c>
      <c r="F354" s="5">
        <v>220</v>
      </c>
      <c r="G354" s="5">
        <v>12000</v>
      </c>
      <c r="H354" s="5">
        <v>2</v>
      </c>
      <c r="I354" s="5">
        <v>248.69</v>
      </c>
      <c r="J354" s="5">
        <v>497.38</v>
      </c>
      <c r="K354" s="5" t="s">
        <v>475</v>
      </c>
      <c r="L354" s="5" t="s">
        <v>476</v>
      </c>
      <c r="M354" s="7"/>
      <c r="N354" s="7"/>
      <c r="O354" s="7" t="s">
        <v>81</v>
      </c>
      <c r="P354" s="7"/>
      <c r="Q354" s="7">
        <v>1</v>
      </c>
      <c r="R354" s="8" t="s">
        <v>37</v>
      </c>
      <c r="S354" s="7"/>
      <c r="T354" s="7" t="s">
        <v>38</v>
      </c>
      <c r="U354" s="7"/>
      <c r="V354" s="7" t="str">
        <f t="shared" si="5"/>
        <v>TCTN.DNS-26004</v>
      </c>
      <c r="W354" s="7"/>
      <c r="X354" s="7"/>
      <c r="Y354" s="7" t="s">
        <v>81</v>
      </c>
      <c r="Z354" s="7" t="s">
        <v>922</v>
      </c>
      <c r="AA354" s="7" t="s">
        <v>39</v>
      </c>
      <c r="AB354" s="7"/>
      <c r="AC354" s="7" t="s">
        <v>477</v>
      </c>
    </row>
    <row r="355" spans="1:29" hidden="1" x14ac:dyDescent="0.25">
      <c r="A355" s="5">
        <v>350</v>
      </c>
      <c r="B355" s="5" t="s">
        <v>478</v>
      </c>
      <c r="C355" s="5" t="s">
        <v>77</v>
      </c>
      <c r="D355" s="5" t="s">
        <v>474</v>
      </c>
      <c r="E355" s="5">
        <v>12</v>
      </c>
      <c r="F355" s="5">
        <v>220</v>
      </c>
      <c r="G355" s="5">
        <v>12000</v>
      </c>
      <c r="H355" s="5">
        <v>2</v>
      </c>
      <c r="I355" s="5">
        <v>248.69</v>
      </c>
      <c r="J355" s="5">
        <v>497.38</v>
      </c>
      <c r="K355" s="5" t="s">
        <v>475</v>
      </c>
      <c r="L355" s="5" t="s">
        <v>476</v>
      </c>
      <c r="M355" s="7"/>
      <c r="N355" s="7"/>
      <c r="O355" s="7" t="s">
        <v>81</v>
      </c>
      <c r="P355" s="7"/>
      <c r="Q355" s="7">
        <v>1</v>
      </c>
      <c r="R355" s="8" t="s">
        <v>37</v>
      </c>
      <c r="S355" s="7"/>
      <c r="T355" s="7" t="s">
        <v>38</v>
      </c>
      <c r="U355" s="7"/>
      <c r="V355" s="7" t="str">
        <f t="shared" si="5"/>
        <v>TCTN.DNS-26004</v>
      </c>
      <c r="W355" s="7"/>
      <c r="X355" s="7"/>
      <c r="Y355" s="7" t="s">
        <v>81</v>
      </c>
      <c r="Z355" s="7" t="s">
        <v>922</v>
      </c>
      <c r="AA355" s="7" t="s">
        <v>39</v>
      </c>
      <c r="AB355" s="7"/>
      <c r="AC355" s="7" t="s">
        <v>477</v>
      </c>
    </row>
    <row r="356" spans="1:29" hidden="1" x14ac:dyDescent="0.25">
      <c r="A356" s="5">
        <v>351</v>
      </c>
      <c r="B356" s="5" t="s">
        <v>479</v>
      </c>
      <c r="C356" s="5" t="s">
        <v>77</v>
      </c>
      <c r="D356" s="5" t="s">
        <v>474</v>
      </c>
      <c r="E356" s="5">
        <v>12</v>
      </c>
      <c r="F356" s="5">
        <v>220</v>
      </c>
      <c r="G356" s="5">
        <v>12000</v>
      </c>
      <c r="H356" s="5">
        <v>2</v>
      </c>
      <c r="I356" s="5">
        <v>248.69</v>
      </c>
      <c r="J356" s="5">
        <v>497.38</v>
      </c>
      <c r="K356" s="5" t="s">
        <v>475</v>
      </c>
      <c r="L356" s="5" t="s">
        <v>476</v>
      </c>
      <c r="M356" s="7"/>
      <c r="N356" s="7"/>
      <c r="O356" s="7" t="s">
        <v>81</v>
      </c>
      <c r="P356" s="7"/>
      <c r="Q356" s="7">
        <v>1</v>
      </c>
      <c r="R356" s="8" t="s">
        <v>37</v>
      </c>
      <c r="S356" s="7"/>
      <c r="T356" s="7" t="s">
        <v>38</v>
      </c>
      <c r="U356" s="7"/>
      <c r="V356" s="7" t="str">
        <f t="shared" si="5"/>
        <v>TCTN.DNS-26004</v>
      </c>
      <c r="W356" s="7"/>
      <c r="X356" s="7"/>
      <c r="Y356" s="7" t="s">
        <v>81</v>
      </c>
      <c r="Z356" s="7" t="s">
        <v>922</v>
      </c>
      <c r="AA356" s="7" t="s">
        <v>39</v>
      </c>
      <c r="AB356" s="7"/>
      <c r="AC356" s="7" t="s">
        <v>477</v>
      </c>
    </row>
    <row r="357" spans="1:29" hidden="1" x14ac:dyDescent="0.25">
      <c r="A357" s="5">
        <v>352</v>
      </c>
      <c r="B357" s="5" t="s">
        <v>480</v>
      </c>
      <c r="C357" s="5" t="s">
        <v>77</v>
      </c>
      <c r="D357" s="5" t="s">
        <v>481</v>
      </c>
      <c r="E357" s="5">
        <v>12</v>
      </c>
      <c r="F357" s="5">
        <v>220</v>
      </c>
      <c r="G357" s="5">
        <v>11989</v>
      </c>
      <c r="H357" s="5">
        <v>2</v>
      </c>
      <c r="I357" s="5">
        <v>248.46</v>
      </c>
      <c r="J357" s="5">
        <v>496.92</v>
      </c>
      <c r="K357" s="5" t="s">
        <v>475</v>
      </c>
      <c r="L357" s="5" t="s">
        <v>482</v>
      </c>
      <c r="M357" s="7"/>
      <c r="N357" s="7"/>
      <c r="O357" s="7" t="s">
        <v>81</v>
      </c>
      <c r="P357" s="7"/>
      <c r="Q357" s="7">
        <v>1</v>
      </c>
      <c r="R357" s="8" t="s">
        <v>37</v>
      </c>
      <c r="S357" s="7"/>
      <c r="T357" s="7" t="s">
        <v>38</v>
      </c>
      <c r="U357" s="7"/>
      <c r="V357" s="7" t="str">
        <f t="shared" si="5"/>
        <v>TCTN.DNS-26004</v>
      </c>
      <c r="W357" s="7"/>
      <c r="X357" s="7"/>
      <c r="Y357" s="7" t="s">
        <v>81</v>
      </c>
      <c r="Z357" s="7" t="s">
        <v>922</v>
      </c>
      <c r="AA357" s="7" t="s">
        <v>39</v>
      </c>
      <c r="AB357" s="7"/>
      <c r="AC357" s="7" t="s">
        <v>483</v>
      </c>
    </row>
    <row r="358" spans="1:29" hidden="1" x14ac:dyDescent="0.25">
      <c r="A358" s="5">
        <v>353</v>
      </c>
      <c r="B358" s="5" t="s">
        <v>484</v>
      </c>
      <c r="C358" s="5" t="s">
        <v>77</v>
      </c>
      <c r="D358" s="5" t="s">
        <v>474</v>
      </c>
      <c r="E358" s="5">
        <v>12</v>
      </c>
      <c r="F358" s="5">
        <v>220</v>
      </c>
      <c r="G358" s="5">
        <v>12000</v>
      </c>
      <c r="H358" s="5">
        <v>2</v>
      </c>
      <c r="I358" s="5">
        <v>248.7</v>
      </c>
      <c r="J358" s="5">
        <v>497.39</v>
      </c>
      <c r="K358" s="5" t="s">
        <v>475</v>
      </c>
      <c r="L358" s="5" t="s">
        <v>482</v>
      </c>
      <c r="M358" s="7"/>
      <c r="N358" s="7"/>
      <c r="O358" s="7" t="s">
        <v>81</v>
      </c>
      <c r="P358" s="7"/>
      <c r="Q358" s="7">
        <v>1</v>
      </c>
      <c r="R358" s="8" t="s">
        <v>37</v>
      </c>
      <c r="S358" s="7"/>
      <c r="T358" s="7" t="s">
        <v>38</v>
      </c>
      <c r="U358" s="7"/>
      <c r="V358" s="7" t="str">
        <f t="shared" si="5"/>
        <v>TCTN.DNS-26004</v>
      </c>
      <c r="W358" s="7"/>
      <c r="X358" s="7"/>
      <c r="Y358" s="7" t="s">
        <v>81</v>
      </c>
      <c r="Z358" s="7" t="s">
        <v>922</v>
      </c>
      <c r="AA358" s="7" t="s">
        <v>39</v>
      </c>
      <c r="AB358" s="7"/>
      <c r="AC358" s="7" t="s">
        <v>483</v>
      </c>
    </row>
    <row r="359" spans="1:29" hidden="1" x14ac:dyDescent="0.25">
      <c r="A359" s="5">
        <v>354</v>
      </c>
      <c r="B359" s="5" t="s">
        <v>485</v>
      </c>
      <c r="C359" s="5" t="s">
        <v>77</v>
      </c>
      <c r="D359" s="5" t="s">
        <v>481</v>
      </c>
      <c r="E359" s="5">
        <v>12</v>
      </c>
      <c r="F359" s="5">
        <v>220</v>
      </c>
      <c r="G359" s="5">
        <v>11989</v>
      </c>
      <c r="H359" s="5">
        <v>2</v>
      </c>
      <c r="I359" s="5">
        <v>248.46</v>
      </c>
      <c r="J359" s="5">
        <v>496.92</v>
      </c>
      <c r="K359" s="5" t="s">
        <v>475</v>
      </c>
      <c r="L359" s="5" t="s">
        <v>482</v>
      </c>
      <c r="M359" s="7"/>
      <c r="N359" s="7"/>
      <c r="O359" s="7" t="s">
        <v>81</v>
      </c>
      <c r="P359" s="7"/>
      <c r="Q359" s="7">
        <v>1</v>
      </c>
      <c r="R359" s="8" t="s">
        <v>37</v>
      </c>
      <c r="S359" s="7"/>
      <c r="T359" s="7" t="s">
        <v>38</v>
      </c>
      <c r="U359" s="7"/>
      <c r="V359" s="7" t="str">
        <f t="shared" si="5"/>
        <v>TCTN.DNS-26004</v>
      </c>
      <c r="W359" s="7"/>
      <c r="X359" s="7"/>
      <c r="Y359" s="7" t="s">
        <v>81</v>
      </c>
      <c r="Z359" s="7" t="s">
        <v>922</v>
      </c>
      <c r="AA359" s="7" t="s">
        <v>39</v>
      </c>
      <c r="AB359" s="7"/>
      <c r="AC359" s="7" t="s">
        <v>483</v>
      </c>
    </row>
    <row r="360" spans="1:29" hidden="1" x14ac:dyDescent="0.25">
      <c r="A360" s="5">
        <v>355</v>
      </c>
      <c r="B360" s="5" t="s">
        <v>486</v>
      </c>
      <c r="C360" s="5" t="s">
        <v>77</v>
      </c>
      <c r="D360" s="5" t="s">
        <v>487</v>
      </c>
      <c r="E360" s="5">
        <v>12</v>
      </c>
      <c r="F360" s="5">
        <v>220</v>
      </c>
      <c r="G360" s="5">
        <v>7562</v>
      </c>
      <c r="H360" s="5">
        <v>2</v>
      </c>
      <c r="I360" s="5">
        <v>156.72</v>
      </c>
      <c r="J360" s="5">
        <v>313.44</v>
      </c>
      <c r="K360" s="5" t="s">
        <v>475</v>
      </c>
      <c r="L360" s="5" t="s">
        <v>488</v>
      </c>
      <c r="M360" s="7"/>
      <c r="N360" s="7"/>
      <c r="O360" s="7" t="s">
        <v>81</v>
      </c>
      <c r="P360" s="7"/>
      <c r="Q360" s="7">
        <v>1</v>
      </c>
      <c r="R360" s="8" t="s">
        <v>37</v>
      </c>
      <c r="S360" s="7"/>
      <c r="T360" s="7" t="s">
        <v>38</v>
      </c>
      <c r="U360" s="7"/>
      <c r="V360" s="7" t="str">
        <f t="shared" si="5"/>
        <v>TCTN.DNS-26004</v>
      </c>
      <c r="W360" s="7"/>
      <c r="X360" s="7"/>
      <c r="Y360" s="7" t="s">
        <v>81</v>
      </c>
      <c r="Z360" s="7" t="s">
        <v>922</v>
      </c>
      <c r="AA360" s="7" t="s">
        <v>39</v>
      </c>
      <c r="AB360" s="7"/>
      <c r="AC360" s="7" t="s">
        <v>489</v>
      </c>
    </row>
    <row r="361" spans="1:29" hidden="1" x14ac:dyDescent="0.25">
      <c r="A361" s="5">
        <v>356</v>
      </c>
      <c r="B361" s="5" t="s">
        <v>490</v>
      </c>
      <c r="C361" s="5" t="s">
        <v>77</v>
      </c>
      <c r="D361" s="5" t="s">
        <v>491</v>
      </c>
      <c r="E361" s="5">
        <v>12</v>
      </c>
      <c r="F361" s="5">
        <v>220</v>
      </c>
      <c r="G361" s="5">
        <v>7565</v>
      </c>
      <c r="H361" s="5">
        <v>2</v>
      </c>
      <c r="I361" s="5">
        <v>156.78</v>
      </c>
      <c r="J361" s="5">
        <v>313.56</v>
      </c>
      <c r="K361" s="5" t="s">
        <v>475</v>
      </c>
      <c r="L361" s="5" t="s">
        <v>488</v>
      </c>
      <c r="M361" s="7"/>
      <c r="N361" s="7"/>
      <c r="O361" s="7" t="s">
        <v>81</v>
      </c>
      <c r="P361" s="7"/>
      <c r="Q361" s="7">
        <v>1</v>
      </c>
      <c r="R361" s="8" t="s">
        <v>37</v>
      </c>
      <c r="S361" s="7"/>
      <c r="T361" s="7" t="s">
        <v>38</v>
      </c>
      <c r="U361" s="7"/>
      <c r="V361" s="7" t="str">
        <f t="shared" si="5"/>
        <v>TCTN.DNS-26004</v>
      </c>
      <c r="W361" s="7"/>
      <c r="X361" s="7"/>
      <c r="Y361" s="7" t="s">
        <v>81</v>
      </c>
      <c r="Z361" s="7" t="s">
        <v>922</v>
      </c>
      <c r="AA361" s="7" t="s">
        <v>39</v>
      </c>
      <c r="AB361" s="7"/>
      <c r="AC361" s="7" t="s">
        <v>489</v>
      </c>
    </row>
    <row r="362" spans="1:29" hidden="1" x14ac:dyDescent="0.25">
      <c r="A362" s="5">
        <v>357</v>
      </c>
      <c r="B362" s="5" t="s">
        <v>492</v>
      </c>
      <c r="C362" s="5" t="s">
        <v>77</v>
      </c>
      <c r="D362" s="5" t="s">
        <v>493</v>
      </c>
      <c r="E362" s="5">
        <v>12</v>
      </c>
      <c r="F362" s="5">
        <v>220</v>
      </c>
      <c r="G362" s="5">
        <v>7561</v>
      </c>
      <c r="H362" s="5">
        <v>2</v>
      </c>
      <c r="I362" s="5">
        <v>156.69999999999999</v>
      </c>
      <c r="J362" s="5">
        <v>313.39</v>
      </c>
      <c r="K362" s="5" t="s">
        <v>475</v>
      </c>
      <c r="L362" s="5" t="s">
        <v>488</v>
      </c>
      <c r="M362" s="7"/>
      <c r="N362" s="7"/>
      <c r="O362" s="7" t="s">
        <v>81</v>
      </c>
      <c r="P362" s="7"/>
      <c r="Q362" s="7">
        <v>1</v>
      </c>
      <c r="R362" s="8" t="s">
        <v>37</v>
      </c>
      <c r="S362" s="7"/>
      <c r="T362" s="7" t="s">
        <v>38</v>
      </c>
      <c r="U362" s="7"/>
      <c r="V362" s="7" t="str">
        <f t="shared" si="5"/>
        <v>TCTN.DNS-26004</v>
      </c>
      <c r="W362" s="7"/>
      <c r="X362" s="7"/>
      <c r="Y362" s="7" t="s">
        <v>81</v>
      </c>
      <c r="Z362" s="7" t="s">
        <v>922</v>
      </c>
      <c r="AA362" s="7" t="s">
        <v>39</v>
      </c>
      <c r="AB362" s="7"/>
      <c r="AC362" s="7" t="s">
        <v>489</v>
      </c>
    </row>
    <row r="363" spans="1:29" hidden="1" x14ac:dyDescent="0.25">
      <c r="A363" s="5">
        <v>358</v>
      </c>
      <c r="B363" s="5" t="s">
        <v>494</v>
      </c>
      <c r="C363" s="5" t="s">
        <v>77</v>
      </c>
      <c r="D363" s="5" t="s">
        <v>495</v>
      </c>
      <c r="E363" s="5">
        <v>12</v>
      </c>
      <c r="F363" s="5">
        <v>220</v>
      </c>
      <c r="G363" s="5">
        <v>11993</v>
      </c>
      <c r="H363" s="5">
        <v>2</v>
      </c>
      <c r="I363" s="5">
        <v>248.54</v>
      </c>
      <c r="J363" s="5">
        <v>497.09</v>
      </c>
      <c r="K363" s="5" t="s">
        <v>475</v>
      </c>
      <c r="L363" s="5" t="s">
        <v>496</v>
      </c>
      <c r="M363" s="7"/>
      <c r="N363" s="7"/>
      <c r="O363" s="7" t="s">
        <v>81</v>
      </c>
      <c r="P363" s="7"/>
      <c r="Q363" s="7">
        <v>1</v>
      </c>
      <c r="R363" s="8" t="s">
        <v>37</v>
      </c>
      <c r="S363" s="7"/>
      <c r="T363" s="7" t="s">
        <v>38</v>
      </c>
      <c r="U363" s="7"/>
      <c r="V363" s="7" t="str">
        <f t="shared" si="5"/>
        <v>TCTN.DNS-26004</v>
      </c>
      <c r="W363" s="7"/>
      <c r="X363" s="7"/>
      <c r="Y363" s="7" t="s">
        <v>81</v>
      </c>
      <c r="Z363" s="7" t="s">
        <v>922</v>
      </c>
      <c r="AA363" s="7" t="s">
        <v>39</v>
      </c>
      <c r="AB363" s="7"/>
      <c r="AC363" s="7" t="s">
        <v>497</v>
      </c>
    </row>
    <row r="364" spans="1:29" hidden="1" x14ac:dyDescent="0.25">
      <c r="A364" s="5">
        <v>359</v>
      </c>
      <c r="B364" s="5" t="s">
        <v>498</v>
      </c>
      <c r="C364" s="5" t="s">
        <v>77</v>
      </c>
      <c r="D364" s="5" t="s">
        <v>499</v>
      </c>
      <c r="E364" s="5">
        <v>12</v>
      </c>
      <c r="F364" s="5">
        <v>220</v>
      </c>
      <c r="G364" s="5">
        <v>11991</v>
      </c>
      <c r="H364" s="5">
        <v>2</v>
      </c>
      <c r="I364" s="5">
        <v>248.5</v>
      </c>
      <c r="J364" s="5">
        <v>497</v>
      </c>
      <c r="K364" s="5" t="s">
        <v>475</v>
      </c>
      <c r="L364" s="5" t="s">
        <v>496</v>
      </c>
      <c r="M364" s="7"/>
      <c r="N364" s="7"/>
      <c r="O364" s="7" t="s">
        <v>81</v>
      </c>
      <c r="P364" s="7"/>
      <c r="Q364" s="7">
        <v>1</v>
      </c>
      <c r="R364" s="8" t="s">
        <v>37</v>
      </c>
      <c r="S364" s="7"/>
      <c r="T364" s="7" t="s">
        <v>38</v>
      </c>
      <c r="U364" s="7"/>
      <c r="V364" s="7" t="str">
        <f t="shared" si="5"/>
        <v>TCTN.DNS-26004</v>
      </c>
      <c r="W364" s="7"/>
      <c r="X364" s="7"/>
      <c r="Y364" s="7" t="s">
        <v>81</v>
      </c>
      <c r="Z364" s="7" t="s">
        <v>922</v>
      </c>
      <c r="AA364" s="7" t="s">
        <v>39</v>
      </c>
      <c r="AB364" s="7"/>
      <c r="AC364" s="7" t="s">
        <v>497</v>
      </c>
    </row>
    <row r="365" spans="1:29" hidden="1" x14ac:dyDescent="0.25">
      <c r="A365" s="5">
        <v>360</v>
      </c>
      <c r="B365" s="5" t="s">
        <v>500</v>
      </c>
      <c r="C365" s="5" t="s">
        <v>77</v>
      </c>
      <c r="D365" s="5" t="s">
        <v>495</v>
      </c>
      <c r="E365" s="5">
        <v>12</v>
      </c>
      <c r="F365" s="5">
        <v>220</v>
      </c>
      <c r="G365" s="5">
        <v>11993</v>
      </c>
      <c r="H365" s="5">
        <v>2</v>
      </c>
      <c r="I365" s="5">
        <v>248.54</v>
      </c>
      <c r="J365" s="5">
        <v>497.09</v>
      </c>
      <c r="K365" s="5" t="s">
        <v>475</v>
      </c>
      <c r="L365" s="5" t="s">
        <v>496</v>
      </c>
      <c r="M365" s="7"/>
      <c r="N365" s="7"/>
      <c r="O365" s="7" t="s">
        <v>81</v>
      </c>
      <c r="P365" s="7"/>
      <c r="Q365" s="7">
        <v>1</v>
      </c>
      <c r="R365" s="8" t="s">
        <v>37</v>
      </c>
      <c r="S365" s="7"/>
      <c r="T365" s="7" t="s">
        <v>38</v>
      </c>
      <c r="U365" s="7"/>
      <c r="V365" s="7" t="str">
        <f t="shared" si="5"/>
        <v>TCTN.DNS-26004</v>
      </c>
      <c r="W365" s="7"/>
      <c r="X365" s="7"/>
      <c r="Y365" s="7" t="s">
        <v>81</v>
      </c>
      <c r="Z365" s="7" t="s">
        <v>922</v>
      </c>
      <c r="AA365" s="7" t="s">
        <v>39</v>
      </c>
      <c r="AB365" s="7"/>
      <c r="AC365" s="7" t="s">
        <v>497</v>
      </c>
    </row>
    <row r="366" spans="1:29" hidden="1" x14ac:dyDescent="0.25">
      <c r="A366" s="5">
        <v>361</v>
      </c>
      <c r="B366" s="5" t="s">
        <v>501</v>
      </c>
      <c r="C366" s="5" t="s">
        <v>77</v>
      </c>
      <c r="D366" s="5" t="s">
        <v>499</v>
      </c>
      <c r="E366" s="5">
        <v>12</v>
      </c>
      <c r="F366" s="5">
        <v>220</v>
      </c>
      <c r="G366" s="5">
        <v>11991</v>
      </c>
      <c r="H366" s="5">
        <v>2</v>
      </c>
      <c r="I366" s="5">
        <v>248.5</v>
      </c>
      <c r="J366" s="5">
        <v>497</v>
      </c>
      <c r="K366" s="5" t="s">
        <v>475</v>
      </c>
      <c r="L366" s="5" t="s">
        <v>502</v>
      </c>
      <c r="M366" s="7"/>
      <c r="N366" s="7"/>
      <c r="O366" s="7" t="s">
        <v>81</v>
      </c>
      <c r="P366" s="7"/>
      <c r="Q366" s="7">
        <v>1</v>
      </c>
      <c r="R366" s="8" t="s">
        <v>37</v>
      </c>
      <c r="S366" s="7"/>
      <c r="T366" s="7" t="s">
        <v>38</v>
      </c>
      <c r="U366" s="7"/>
      <c r="V366" s="7" t="str">
        <f t="shared" si="5"/>
        <v>TCTN.DNS-26004</v>
      </c>
      <c r="W366" s="7"/>
      <c r="X366" s="7"/>
      <c r="Y366" s="7" t="s">
        <v>81</v>
      </c>
      <c r="Z366" s="7" t="s">
        <v>922</v>
      </c>
      <c r="AA366" s="7" t="s">
        <v>39</v>
      </c>
      <c r="AB366" s="7"/>
      <c r="AC366" s="7" t="s">
        <v>503</v>
      </c>
    </row>
    <row r="367" spans="1:29" hidden="1" x14ac:dyDescent="0.25">
      <c r="A367" s="5">
        <v>362</v>
      </c>
      <c r="B367" s="5" t="s">
        <v>504</v>
      </c>
      <c r="C367" s="5" t="s">
        <v>77</v>
      </c>
      <c r="D367" s="5" t="s">
        <v>499</v>
      </c>
      <c r="E367" s="5">
        <v>12</v>
      </c>
      <c r="F367" s="5">
        <v>220</v>
      </c>
      <c r="G367" s="5">
        <v>11991</v>
      </c>
      <c r="H367" s="5">
        <v>2</v>
      </c>
      <c r="I367" s="5">
        <v>248.5</v>
      </c>
      <c r="J367" s="5">
        <v>497</v>
      </c>
      <c r="K367" s="5" t="s">
        <v>475</v>
      </c>
      <c r="L367" s="5" t="s">
        <v>502</v>
      </c>
      <c r="M367" s="7"/>
      <c r="N367" s="7"/>
      <c r="O367" s="7" t="s">
        <v>81</v>
      </c>
      <c r="P367" s="7"/>
      <c r="Q367" s="7">
        <v>1</v>
      </c>
      <c r="R367" s="8" t="s">
        <v>37</v>
      </c>
      <c r="S367" s="7"/>
      <c r="T367" s="7" t="s">
        <v>38</v>
      </c>
      <c r="U367" s="7"/>
      <c r="V367" s="7" t="str">
        <f t="shared" si="5"/>
        <v>TCTN.DNS-26004</v>
      </c>
      <c r="W367" s="7"/>
      <c r="X367" s="7"/>
      <c r="Y367" s="7" t="s">
        <v>81</v>
      </c>
      <c r="Z367" s="7" t="s">
        <v>922</v>
      </c>
      <c r="AA367" s="7" t="s">
        <v>39</v>
      </c>
      <c r="AB367" s="7"/>
      <c r="AC367" s="7" t="s">
        <v>503</v>
      </c>
    </row>
    <row r="368" spans="1:29" hidden="1" x14ac:dyDescent="0.25">
      <c r="A368" s="5">
        <v>363</v>
      </c>
      <c r="B368" s="5" t="s">
        <v>505</v>
      </c>
      <c r="C368" s="5" t="s">
        <v>77</v>
      </c>
      <c r="D368" s="5" t="s">
        <v>499</v>
      </c>
      <c r="E368" s="5">
        <v>12</v>
      </c>
      <c r="F368" s="5">
        <v>220</v>
      </c>
      <c r="G368" s="5">
        <v>11991</v>
      </c>
      <c r="H368" s="5">
        <v>2</v>
      </c>
      <c r="I368" s="5">
        <v>248.5</v>
      </c>
      <c r="J368" s="5">
        <v>497</v>
      </c>
      <c r="K368" s="5" t="s">
        <v>475</v>
      </c>
      <c r="L368" s="5" t="s">
        <v>502</v>
      </c>
      <c r="M368" s="7"/>
      <c r="N368" s="7"/>
      <c r="O368" s="7" t="s">
        <v>81</v>
      </c>
      <c r="P368" s="7"/>
      <c r="Q368" s="7">
        <v>1</v>
      </c>
      <c r="R368" s="8" t="s">
        <v>37</v>
      </c>
      <c r="S368" s="7"/>
      <c r="T368" s="7" t="s">
        <v>38</v>
      </c>
      <c r="U368" s="7"/>
      <c r="V368" s="7" t="str">
        <f t="shared" si="5"/>
        <v>TCTN.DNS-26004</v>
      </c>
      <c r="W368" s="7"/>
      <c r="X368" s="7"/>
      <c r="Y368" s="7" t="s">
        <v>81</v>
      </c>
      <c r="Z368" s="7" t="s">
        <v>922</v>
      </c>
      <c r="AA368" s="7" t="s">
        <v>39</v>
      </c>
      <c r="AB368" s="7"/>
      <c r="AC368" s="7" t="s">
        <v>503</v>
      </c>
    </row>
    <row r="369" spans="1:29" hidden="1" x14ac:dyDescent="0.25">
      <c r="A369" s="5">
        <v>364</v>
      </c>
      <c r="B369" s="5" t="s">
        <v>506</v>
      </c>
      <c r="C369" s="5" t="s">
        <v>77</v>
      </c>
      <c r="D369" s="5" t="s">
        <v>507</v>
      </c>
      <c r="E369" s="5">
        <v>12</v>
      </c>
      <c r="F369" s="5">
        <v>220</v>
      </c>
      <c r="G369" s="5">
        <v>7564</v>
      </c>
      <c r="H369" s="5">
        <v>2</v>
      </c>
      <c r="I369" s="5">
        <v>156.76</v>
      </c>
      <c r="J369" s="5">
        <v>313.51</v>
      </c>
      <c r="K369" s="5" t="s">
        <v>475</v>
      </c>
      <c r="L369" s="5" t="s">
        <v>508</v>
      </c>
      <c r="M369" s="7"/>
      <c r="N369" s="7"/>
      <c r="O369" s="7" t="s">
        <v>81</v>
      </c>
      <c r="P369" s="7"/>
      <c r="Q369" s="7">
        <v>1</v>
      </c>
      <c r="R369" s="8" t="s">
        <v>37</v>
      </c>
      <c r="S369" s="7"/>
      <c r="T369" s="7" t="s">
        <v>38</v>
      </c>
      <c r="U369" s="7"/>
      <c r="V369" s="7" t="str">
        <f t="shared" si="5"/>
        <v>TCTN.DNS-26004</v>
      </c>
      <c r="W369" s="7"/>
      <c r="X369" s="7"/>
      <c r="Y369" s="7" t="s">
        <v>81</v>
      </c>
      <c r="Z369" s="7" t="s">
        <v>922</v>
      </c>
      <c r="AA369" s="7" t="s">
        <v>39</v>
      </c>
      <c r="AB369" s="7"/>
      <c r="AC369" s="7" t="s">
        <v>509</v>
      </c>
    </row>
    <row r="370" spans="1:29" hidden="1" x14ac:dyDescent="0.25">
      <c r="A370" s="5">
        <v>365</v>
      </c>
      <c r="B370" s="5" t="s">
        <v>510</v>
      </c>
      <c r="C370" s="5" t="s">
        <v>77</v>
      </c>
      <c r="D370" s="5" t="s">
        <v>511</v>
      </c>
      <c r="E370" s="5">
        <v>16</v>
      </c>
      <c r="F370" s="5">
        <v>50</v>
      </c>
      <c r="G370" s="5">
        <v>120</v>
      </c>
      <c r="H370" s="5">
        <v>16</v>
      </c>
      <c r="I370" s="5">
        <v>0.7</v>
      </c>
      <c r="J370" s="5">
        <v>11.15</v>
      </c>
      <c r="K370" s="5" t="s">
        <v>512</v>
      </c>
      <c r="L370" s="5" t="s">
        <v>513</v>
      </c>
      <c r="M370" s="7"/>
      <c r="N370" s="7" t="s">
        <v>228</v>
      </c>
      <c r="O370" s="7"/>
      <c r="P370" s="7"/>
      <c r="Q370" s="7">
        <v>1</v>
      </c>
      <c r="R370" s="8" t="s">
        <v>37</v>
      </c>
      <c r="S370" s="7"/>
      <c r="T370" s="7" t="s">
        <v>38</v>
      </c>
      <c r="U370" s="7"/>
      <c r="V370" s="7" t="str">
        <f t="shared" si="5"/>
        <v>TCTN.DNS-26004</v>
      </c>
      <c r="W370" s="7"/>
      <c r="X370" s="7" t="s">
        <v>81</v>
      </c>
      <c r="Y370" s="7"/>
      <c r="Z370" s="7" t="s">
        <v>922</v>
      </c>
      <c r="AA370" s="7" t="s">
        <v>39</v>
      </c>
      <c r="AB370" s="7"/>
      <c r="AC370" s="7" t="s">
        <v>514</v>
      </c>
    </row>
    <row r="371" spans="1:29" hidden="1" x14ac:dyDescent="0.25">
      <c r="A371" s="5">
        <v>366</v>
      </c>
      <c r="B371" s="5" t="s">
        <v>515</v>
      </c>
      <c r="C371" s="5" t="s">
        <v>77</v>
      </c>
      <c r="D371" s="5" t="s">
        <v>516</v>
      </c>
      <c r="E371" s="5">
        <v>16</v>
      </c>
      <c r="F371" s="5">
        <v>220</v>
      </c>
      <c r="G371" s="5">
        <v>280</v>
      </c>
      <c r="H371" s="5">
        <v>4</v>
      </c>
      <c r="I371" s="5">
        <v>7.71</v>
      </c>
      <c r="J371" s="5">
        <v>30.85</v>
      </c>
      <c r="K371" s="5" t="s">
        <v>512</v>
      </c>
      <c r="L371" s="5" t="s">
        <v>513</v>
      </c>
      <c r="M371" s="7"/>
      <c r="N371" s="7"/>
      <c r="O371" s="7"/>
      <c r="P371" s="7"/>
      <c r="Q371" s="7">
        <v>1</v>
      </c>
      <c r="R371" s="8" t="s">
        <v>37</v>
      </c>
      <c r="S371" s="7"/>
      <c r="T371" s="7" t="s">
        <v>38</v>
      </c>
      <c r="U371" s="7"/>
      <c r="V371" s="7" t="str">
        <f t="shared" si="5"/>
        <v>TCTN.DNS-26004</v>
      </c>
      <c r="W371" s="7" t="s">
        <v>81</v>
      </c>
      <c r="X371" s="7"/>
      <c r="Y371" s="7"/>
      <c r="Z371" s="7" t="s">
        <v>922</v>
      </c>
      <c r="AA371" s="7" t="s">
        <v>39</v>
      </c>
      <c r="AB371" s="7"/>
      <c r="AC371" s="7" t="s">
        <v>514</v>
      </c>
    </row>
    <row r="372" spans="1:29" hidden="1" x14ac:dyDescent="0.25">
      <c r="A372" s="5">
        <v>367</v>
      </c>
      <c r="B372" s="5" t="s">
        <v>517</v>
      </c>
      <c r="C372" s="5" t="s">
        <v>77</v>
      </c>
      <c r="D372" s="5" t="s">
        <v>518</v>
      </c>
      <c r="E372" s="5">
        <v>16</v>
      </c>
      <c r="F372" s="5">
        <v>200</v>
      </c>
      <c r="G372" s="5">
        <v>300</v>
      </c>
      <c r="H372" s="5">
        <v>2</v>
      </c>
      <c r="I372" s="5">
        <v>4.8600000000000003</v>
      </c>
      <c r="J372" s="5">
        <v>9.73</v>
      </c>
      <c r="K372" s="5" t="s">
        <v>512</v>
      </c>
      <c r="L372" s="5" t="s">
        <v>513</v>
      </c>
      <c r="M372" s="7"/>
      <c r="N372" s="7"/>
      <c r="O372" s="7"/>
      <c r="P372" s="7"/>
      <c r="Q372" s="7">
        <v>1</v>
      </c>
      <c r="R372" s="8" t="s">
        <v>37</v>
      </c>
      <c r="S372" s="7"/>
      <c r="T372" s="7" t="s">
        <v>38</v>
      </c>
      <c r="U372" s="7"/>
      <c r="V372" s="7" t="str">
        <f t="shared" si="5"/>
        <v>TCTN.DNS-26004</v>
      </c>
      <c r="W372" s="7" t="s">
        <v>81</v>
      </c>
      <c r="X372" s="7"/>
      <c r="Y372" s="7"/>
      <c r="Z372" s="7" t="s">
        <v>922</v>
      </c>
      <c r="AA372" s="7" t="s">
        <v>39</v>
      </c>
      <c r="AB372" s="7"/>
      <c r="AC372" s="7" t="s">
        <v>514</v>
      </c>
    </row>
    <row r="373" spans="1:29" hidden="1" x14ac:dyDescent="0.25">
      <c r="A373" s="5">
        <v>368</v>
      </c>
      <c r="B373" s="5" t="s">
        <v>519</v>
      </c>
      <c r="C373" s="5" t="s">
        <v>77</v>
      </c>
      <c r="D373" s="5" t="s">
        <v>518</v>
      </c>
      <c r="E373" s="5">
        <v>16</v>
      </c>
      <c r="F373" s="5">
        <v>200</v>
      </c>
      <c r="G373" s="5">
        <v>300</v>
      </c>
      <c r="H373" s="5">
        <v>2</v>
      </c>
      <c r="I373" s="5">
        <v>4.8600000000000003</v>
      </c>
      <c r="J373" s="5">
        <v>9.73</v>
      </c>
      <c r="K373" s="5" t="s">
        <v>512</v>
      </c>
      <c r="L373" s="5" t="s">
        <v>513</v>
      </c>
      <c r="M373" s="7"/>
      <c r="N373" s="7"/>
      <c r="O373" s="7"/>
      <c r="P373" s="7"/>
      <c r="Q373" s="7">
        <v>1</v>
      </c>
      <c r="R373" s="8" t="s">
        <v>37</v>
      </c>
      <c r="S373" s="7"/>
      <c r="T373" s="7" t="s">
        <v>38</v>
      </c>
      <c r="U373" s="7"/>
      <c r="V373" s="7" t="str">
        <f t="shared" si="5"/>
        <v>TCTN.DNS-26004</v>
      </c>
      <c r="W373" s="7" t="s">
        <v>81</v>
      </c>
      <c r="X373" s="7"/>
      <c r="Y373" s="7"/>
      <c r="Z373" s="7" t="s">
        <v>922</v>
      </c>
      <c r="AA373" s="7" t="s">
        <v>39</v>
      </c>
      <c r="AB373" s="7"/>
      <c r="AC373" s="7" t="s">
        <v>514</v>
      </c>
    </row>
    <row r="374" spans="1:29" hidden="1" x14ac:dyDescent="0.25">
      <c r="A374" s="5">
        <v>369</v>
      </c>
      <c r="B374" s="5" t="s">
        <v>520</v>
      </c>
      <c r="C374" s="5" t="s">
        <v>77</v>
      </c>
      <c r="D374" s="5" t="s">
        <v>521</v>
      </c>
      <c r="E374" s="5">
        <v>16</v>
      </c>
      <c r="F374" s="5">
        <v>275</v>
      </c>
      <c r="G374" s="5">
        <v>12000</v>
      </c>
      <c r="H374" s="5">
        <v>1</v>
      </c>
      <c r="I374" s="5">
        <v>414.49</v>
      </c>
      <c r="J374" s="5">
        <v>414.49</v>
      </c>
      <c r="K374" s="5" t="s">
        <v>512</v>
      </c>
      <c r="L374" s="5" t="s">
        <v>513</v>
      </c>
      <c r="M374" s="7"/>
      <c r="N374" s="7"/>
      <c r="O374" s="7" t="s">
        <v>81</v>
      </c>
      <c r="P374" s="7"/>
      <c r="Q374" s="7">
        <v>1</v>
      </c>
      <c r="R374" s="8" t="s">
        <v>37</v>
      </c>
      <c r="S374" s="7"/>
      <c r="T374" s="7" t="s">
        <v>38</v>
      </c>
      <c r="U374" s="7"/>
      <c r="V374" s="7" t="str">
        <f t="shared" si="5"/>
        <v>TCTN.DNS-26004</v>
      </c>
      <c r="W374" s="7"/>
      <c r="X374" s="7"/>
      <c r="Y374" s="7" t="s">
        <v>81</v>
      </c>
      <c r="Z374" s="7" t="s">
        <v>922</v>
      </c>
      <c r="AA374" s="7" t="s">
        <v>39</v>
      </c>
      <c r="AB374" s="7"/>
      <c r="AC374" s="7" t="s">
        <v>514</v>
      </c>
    </row>
    <row r="375" spans="1:29" hidden="1" x14ac:dyDescent="0.25">
      <c r="A375" s="5">
        <v>370</v>
      </c>
      <c r="B375" s="5" t="s">
        <v>522</v>
      </c>
      <c r="C375" s="5" t="s">
        <v>77</v>
      </c>
      <c r="D375" s="5" t="s">
        <v>521</v>
      </c>
      <c r="E375" s="5">
        <v>16</v>
      </c>
      <c r="F375" s="5">
        <v>275</v>
      </c>
      <c r="G375" s="5">
        <v>12000</v>
      </c>
      <c r="H375" s="5">
        <v>1</v>
      </c>
      <c r="I375" s="5">
        <v>414.48</v>
      </c>
      <c r="J375" s="5">
        <v>414.48</v>
      </c>
      <c r="K375" s="5" t="s">
        <v>512</v>
      </c>
      <c r="L375" s="5" t="s">
        <v>513</v>
      </c>
      <c r="M375" s="7"/>
      <c r="N375" s="7"/>
      <c r="O375" s="7" t="s">
        <v>81</v>
      </c>
      <c r="P375" s="7"/>
      <c r="Q375" s="7">
        <v>1</v>
      </c>
      <c r="R375" s="8" t="s">
        <v>37</v>
      </c>
      <c r="S375" s="7"/>
      <c r="T375" s="7" t="s">
        <v>38</v>
      </c>
      <c r="U375" s="7"/>
      <c r="V375" s="7" t="str">
        <f t="shared" si="5"/>
        <v>TCTN.DNS-26004</v>
      </c>
      <c r="W375" s="7"/>
      <c r="X375" s="7"/>
      <c r="Y375" s="7" t="s">
        <v>81</v>
      </c>
      <c r="Z375" s="7" t="s">
        <v>922</v>
      </c>
      <c r="AA375" s="7" t="s">
        <v>39</v>
      </c>
      <c r="AB375" s="7"/>
      <c r="AC375" s="7" t="s">
        <v>514</v>
      </c>
    </row>
    <row r="376" spans="1:29" hidden="1" x14ac:dyDescent="0.25">
      <c r="A376" s="5">
        <v>371</v>
      </c>
      <c r="B376" s="5" t="s">
        <v>523</v>
      </c>
      <c r="C376" s="5" t="s">
        <v>77</v>
      </c>
      <c r="D376" s="5" t="s">
        <v>524</v>
      </c>
      <c r="E376" s="5">
        <v>16</v>
      </c>
      <c r="F376" s="5">
        <v>275</v>
      </c>
      <c r="G376" s="5">
        <v>11976</v>
      </c>
      <c r="H376" s="5">
        <v>1</v>
      </c>
      <c r="I376" s="5">
        <v>413.65</v>
      </c>
      <c r="J376" s="5">
        <v>413.65</v>
      </c>
      <c r="K376" s="5" t="s">
        <v>512</v>
      </c>
      <c r="L376" s="5" t="s">
        <v>513</v>
      </c>
      <c r="M376" s="7"/>
      <c r="N376" s="7"/>
      <c r="O376" s="7" t="s">
        <v>81</v>
      </c>
      <c r="P376" s="7"/>
      <c r="Q376" s="7">
        <v>1</v>
      </c>
      <c r="R376" s="8" t="s">
        <v>37</v>
      </c>
      <c r="S376" s="7"/>
      <c r="T376" s="7" t="s">
        <v>38</v>
      </c>
      <c r="U376" s="7"/>
      <c r="V376" s="7" t="str">
        <f t="shared" si="5"/>
        <v>TCTN.DNS-26004</v>
      </c>
      <c r="W376" s="7"/>
      <c r="X376" s="7"/>
      <c r="Y376" s="7" t="s">
        <v>81</v>
      </c>
      <c r="Z376" s="7" t="s">
        <v>922</v>
      </c>
      <c r="AA376" s="7" t="s">
        <v>39</v>
      </c>
      <c r="AB376" s="7"/>
      <c r="AC376" s="7" t="s">
        <v>514</v>
      </c>
    </row>
    <row r="377" spans="1:29" hidden="1" x14ac:dyDescent="0.25">
      <c r="A377" s="5">
        <v>372</v>
      </c>
      <c r="B377" s="5" t="s">
        <v>525</v>
      </c>
      <c r="C377" s="5" t="s">
        <v>77</v>
      </c>
      <c r="D377" s="5" t="s">
        <v>518</v>
      </c>
      <c r="E377" s="5">
        <v>16</v>
      </c>
      <c r="F377" s="5">
        <v>200</v>
      </c>
      <c r="G377" s="5">
        <v>300</v>
      </c>
      <c r="H377" s="5">
        <v>2</v>
      </c>
      <c r="I377" s="5">
        <v>4.8600000000000003</v>
      </c>
      <c r="J377" s="5">
        <v>9.73</v>
      </c>
      <c r="K377" s="5" t="s">
        <v>512</v>
      </c>
      <c r="L377" s="5" t="s">
        <v>513</v>
      </c>
      <c r="M377" s="7"/>
      <c r="N377" s="7"/>
      <c r="O377" s="7"/>
      <c r="P377" s="7"/>
      <c r="Q377" s="7">
        <v>1</v>
      </c>
      <c r="R377" s="8" t="s">
        <v>37</v>
      </c>
      <c r="S377" s="7"/>
      <c r="T377" s="7" t="s">
        <v>38</v>
      </c>
      <c r="U377" s="7"/>
      <c r="V377" s="7" t="str">
        <f t="shared" si="5"/>
        <v>TCTN.DNS-26004</v>
      </c>
      <c r="W377" s="7" t="s">
        <v>81</v>
      </c>
      <c r="X377" s="7"/>
      <c r="Y377" s="7"/>
      <c r="Z377" s="7" t="s">
        <v>922</v>
      </c>
      <c r="AA377" s="7" t="s">
        <v>39</v>
      </c>
      <c r="AB377" s="7"/>
      <c r="AC377" s="7" t="s">
        <v>514</v>
      </c>
    </row>
    <row r="378" spans="1:29" hidden="1" x14ac:dyDescent="0.25">
      <c r="A378" s="5">
        <v>373</v>
      </c>
      <c r="B378" s="5" t="s">
        <v>526</v>
      </c>
      <c r="C378" s="5" t="s">
        <v>77</v>
      </c>
      <c r="D378" s="5" t="s">
        <v>518</v>
      </c>
      <c r="E378" s="5">
        <v>16</v>
      </c>
      <c r="F378" s="5">
        <v>200</v>
      </c>
      <c r="G378" s="5">
        <v>300</v>
      </c>
      <c r="H378" s="5">
        <v>2</v>
      </c>
      <c r="I378" s="5">
        <v>4.8600000000000003</v>
      </c>
      <c r="J378" s="5">
        <v>9.73</v>
      </c>
      <c r="K378" s="5" t="s">
        <v>512</v>
      </c>
      <c r="L378" s="5" t="s">
        <v>513</v>
      </c>
      <c r="M378" s="7"/>
      <c r="N378" s="7"/>
      <c r="O378" s="7"/>
      <c r="P378" s="7"/>
      <c r="Q378" s="7">
        <v>1</v>
      </c>
      <c r="R378" s="8" t="s">
        <v>37</v>
      </c>
      <c r="S378" s="7"/>
      <c r="T378" s="7" t="s">
        <v>38</v>
      </c>
      <c r="U378" s="7"/>
      <c r="V378" s="7" t="str">
        <f t="shared" si="5"/>
        <v>TCTN.DNS-26004</v>
      </c>
      <c r="W378" s="7" t="s">
        <v>81</v>
      </c>
      <c r="X378" s="7"/>
      <c r="Y378" s="7"/>
      <c r="Z378" s="7" t="s">
        <v>922</v>
      </c>
      <c r="AA378" s="7" t="s">
        <v>39</v>
      </c>
      <c r="AB378" s="7"/>
      <c r="AC378" s="7" t="s">
        <v>514</v>
      </c>
    </row>
    <row r="379" spans="1:29" hidden="1" x14ac:dyDescent="0.25">
      <c r="A379" s="5">
        <v>374</v>
      </c>
      <c r="B379" s="5" t="s">
        <v>527</v>
      </c>
      <c r="C379" s="5" t="s">
        <v>77</v>
      </c>
      <c r="D379" s="5" t="s">
        <v>521</v>
      </c>
      <c r="E379" s="5">
        <v>16</v>
      </c>
      <c r="F379" s="5">
        <v>275</v>
      </c>
      <c r="G379" s="5">
        <v>12000</v>
      </c>
      <c r="H379" s="5">
        <v>1</v>
      </c>
      <c r="I379" s="5">
        <v>414.48</v>
      </c>
      <c r="J379" s="5">
        <v>414.48</v>
      </c>
      <c r="K379" s="5" t="s">
        <v>512</v>
      </c>
      <c r="L379" s="5" t="s">
        <v>513</v>
      </c>
      <c r="M379" s="7"/>
      <c r="N379" s="7"/>
      <c r="O379" s="7" t="s">
        <v>81</v>
      </c>
      <c r="P379" s="7"/>
      <c r="Q379" s="7">
        <v>1</v>
      </c>
      <c r="R379" s="8" t="s">
        <v>37</v>
      </c>
      <c r="S379" s="7"/>
      <c r="T379" s="7" t="s">
        <v>38</v>
      </c>
      <c r="U379" s="7"/>
      <c r="V379" s="7" t="str">
        <f t="shared" si="5"/>
        <v>TCTN.DNS-26004</v>
      </c>
      <c r="W379" s="7"/>
      <c r="X379" s="7"/>
      <c r="Y379" s="7" t="s">
        <v>81</v>
      </c>
      <c r="Z379" s="7" t="s">
        <v>922</v>
      </c>
      <c r="AA379" s="7" t="s">
        <v>39</v>
      </c>
      <c r="AB379" s="7"/>
      <c r="AC379" s="7" t="s">
        <v>514</v>
      </c>
    </row>
    <row r="380" spans="1:29" hidden="1" x14ac:dyDescent="0.25">
      <c r="A380" s="5">
        <v>375</v>
      </c>
      <c r="B380" s="5" t="s">
        <v>528</v>
      </c>
      <c r="C380" s="5" t="s">
        <v>77</v>
      </c>
      <c r="D380" s="5" t="s">
        <v>529</v>
      </c>
      <c r="E380" s="5">
        <v>16</v>
      </c>
      <c r="F380" s="5">
        <v>275</v>
      </c>
      <c r="G380" s="5">
        <v>7587</v>
      </c>
      <c r="H380" s="5">
        <v>1</v>
      </c>
      <c r="I380" s="5">
        <v>262.06</v>
      </c>
      <c r="J380" s="5">
        <v>262.06</v>
      </c>
      <c r="K380" s="5" t="s">
        <v>512</v>
      </c>
      <c r="L380" s="5" t="s">
        <v>513</v>
      </c>
      <c r="M380" s="7"/>
      <c r="N380" s="7"/>
      <c r="O380" s="7" t="s">
        <v>81</v>
      </c>
      <c r="P380" s="7"/>
      <c r="Q380" s="7">
        <v>1</v>
      </c>
      <c r="R380" s="8" t="s">
        <v>37</v>
      </c>
      <c r="S380" s="7"/>
      <c r="T380" s="7" t="s">
        <v>38</v>
      </c>
      <c r="U380" s="7"/>
      <c r="V380" s="7" t="str">
        <f t="shared" si="5"/>
        <v>TCTN.DNS-26004</v>
      </c>
      <c r="W380" s="7"/>
      <c r="X380" s="7"/>
      <c r="Y380" s="7" t="s">
        <v>81</v>
      </c>
      <c r="Z380" s="7" t="s">
        <v>922</v>
      </c>
      <c r="AA380" s="7" t="s">
        <v>39</v>
      </c>
      <c r="AB380" s="7"/>
      <c r="AC380" s="7" t="s">
        <v>514</v>
      </c>
    </row>
    <row r="381" spans="1:29" hidden="1" x14ac:dyDescent="0.25">
      <c r="A381" s="5">
        <v>376</v>
      </c>
      <c r="B381" s="5" t="s">
        <v>530</v>
      </c>
      <c r="C381" s="5" t="s">
        <v>77</v>
      </c>
      <c r="D381" s="5" t="s">
        <v>521</v>
      </c>
      <c r="E381" s="5">
        <v>16</v>
      </c>
      <c r="F381" s="5">
        <v>275</v>
      </c>
      <c r="G381" s="5">
        <v>12000</v>
      </c>
      <c r="H381" s="5">
        <v>1</v>
      </c>
      <c r="I381" s="5">
        <v>414.48</v>
      </c>
      <c r="J381" s="5">
        <v>414.48</v>
      </c>
      <c r="K381" s="5" t="s">
        <v>512</v>
      </c>
      <c r="L381" s="5" t="s">
        <v>513</v>
      </c>
      <c r="M381" s="7"/>
      <c r="N381" s="7"/>
      <c r="O381" s="7" t="s">
        <v>81</v>
      </c>
      <c r="P381" s="7"/>
      <c r="Q381" s="7">
        <v>1</v>
      </c>
      <c r="R381" s="8" t="s">
        <v>37</v>
      </c>
      <c r="S381" s="7"/>
      <c r="T381" s="7" t="s">
        <v>38</v>
      </c>
      <c r="U381" s="7"/>
      <c r="V381" s="7" t="str">
        <f t="shared" si="5"/>
        <v>TCTN.DNS-26004</v>
      </c>
      <c r="W381" s="7"/>
      <c r="X381" s="7"/>
      <c r="Y381" s="7" t="s">
        <v>81</v>
      </c>
      <c r="Z381" s="7" t="s">
        <v>922</v>
      </c>
      <c r="AA381" s="7" t="s">
        <v>39</v>
      </c>
      <c r="AB381" s="7"/>
      <c r="AC381" s="7" t="s">
        <v>514</v>
      </c>
    </row>
    <row r="382" spans="1:29" hidden="1" x14ac:dyDescent="0.25">
      <c r="A382" s="5">
        <v>377</v>
      </c>
      <c r="B382" s="5" t="s">
        <v>531</v>
      </c>
      <c r="C382" s="5" t="s">
        <v>77</v>
      </c>
      <c r="D382" s="5" t="s">
        <v>532</v>
      </c>
      <c r="E382" s="5">
        <v>16</v>
      </c>
      <c r="F382" s="5">
        <v>275</v>
      </c>
      <c r="G382" s="5">
        <v>7583</v>
      </c>
      <c r="H382" s="5">
        <v>1</v>
      </c>
      <c r="I382" s="5">
        <v>261.92</v>
      </c>
      <c r="J382" s="5">
        <v>261.92</v>
      </c>
      <c r="K382" s="5" t="s">
        <v>512</v>
      </c>
      <c r="L382" s="5" t="s">
        <v>513</v>
      </c>
      <c r="M382" s="7"/>
      <c r="N382" s="7"/>
      <c r="O382" s="7" t="s">
        <v>81</v>
      </c>
      <c r="P382" s="7"/>
      <c r="Q382" s="7">
        <v>1</v>
      </c>
      <c r="R382" s="8" t="s">
        <v>37</v>
      </c>
      <c r="S382" s="7"/>
      <c r="T382" s="7" t="s">
        <v>38</v>
      </c>
      <c r="U382" s="7"/>
      <c r="V382" s="7" t="str">
        <f t="shared" si="5"/>
        <v>TCTN.DNS-26004</v>
      </c>
      <c r="W382" s="7"/>
      <c r="X382" s="7"/>
      <c r="Y382" s="7" t="s">
        <v>81</v>
      </c>
      <c r="Z382" s="7" t="s">
        <v>922</v>
      </c>
      <c r="AA382" s="7" t="s">
        <v>39</v>
      </c>
      <c r="AB382" s="7"/>
      <c r="AC382" s="7" t="s">
        <v>514</v>
      </c>
    </row>
    <row r="383" spans="1:29" hidden="1" x14ac:dyDescent="0.25">
      <c r="A383" s="5">
        <v>378</v>
      </c>
      <c r="B383" s="5" t="s">
        <v>533</v>
      </c>
      <c r="C383" s="5" t="s">
        <v>77</v>
      </c>
      <c r="D383" s="5" t="s">
        <v>534</v>
      </c>
      <c r="E383" s="5">
        <v>16</v>
      </c>
      <c r="F383" s="5">
        <v>240</v>
      </c>
      <c r="G383" s="5">
        <v>240</v>
      </c>
      <c r="H383" s="5">
        <v>2</v>
      </c>
      <c r="I383" s="5">
        <v>4.01</v>
      </c>
      <c r="J383" s="5">
        <v>8.0299999999999994</v>
      </c>
      <c r="K383" s="5" t="s">
        <v>512</v>
      </c>
      <c r="L383" s="5" t="s">
        <v>513</v>
      </c>
      <c r="M383" s="7"/>
      <c r="N383" s="7" t="s">
        <v>228</v>
      </c>
      <c r="O383" s="7"/>
      <c r="P383" s="7"/>
      <c r="Q383" s="7">
        <v>1</v>
      </c>
      <c r="R383" s="8" t="s">
        <v>37</v>
      </c>
      <c r="S383" s="7"/>
      <c r="T383" s="7" t="s">
        <v>38</v>
      </c>
      <c r="U383" s="7"/>
      <c r="V383" s="7" t="str">
        <f t="shared" si="5"/>
        <v>TCTN.DNS-26004</v>
      </c>
      <c r="W383" s="7"/>
      <c r="X383" s="7" t="s">
        <v>81</v>
      </c>
      <c r="Y383" s="7"/>
      <c r="Z383" s="7" t="s">
        <v>922</v>
      </c>
      <c r="AA383" s="7" t="s">
        <v>39</v>
      </c>
      <c r="AB383" s="7"/>
      <c r="AC383" s="7" t="s">
        <v>514</v>
      </c>
    </row>
    <row r="384" spans="1:29" hidden="1" x14ac:dyDescent="0.25">
      <c r="A384" s="5">
        <v>379</v>
      </c>
      <c r="B384" s="5" t="s">
        <v>535</v>
      </c>
      <c r="C384" s="5" t="s">
        <v>77</v>
      </c>
      <c r="D384" s="5" t="s">
        <v>516</v>
      </c>
      <c r="E384" s="5">
        <v>16</v>
      </c>
      <c r="F384" s="5">
        <v>220</v>
      </c>
      <c r="G384" s="5">
        <v>280</v>
      </c>
      <c r="H384" s="5">
        <v>4</v>
      </c>
      <c r="I384" s="5">
        <v>7.71</v>
      </c>
      <c r="J384" s="5">
        <v>30.85</v>
      </c>
      <c r="K384" s="5" t="s">
        <v>512</v>
      </c>
      <c r="L384" s="5" t="s">
        <v>513</v>
      </c>
      <c r="M384" s="7"/>
      <c r="N384" s="7"/>
      <c r="O384" s="7"/>
      <c r="P384" s="7"/>
      <c r="Q384" s="7">
        <v>1</v>
      </c>
      <c r="R384" s="8" t="s">
        <v>37</v>
      </c>
      <c r="S384" s="7"/>
      <c r="T384" s="7" t="s">
        <v>38</v>
      </c>
      <c r="U384" s="7"/>
      <c r="V384" s="7" t="str">
        <f t="shared" si="5"/>
        <v>TCTN.DNS-26004</v>
      </c>
      <c r="W384" s="7" t="s">
        <v>81</v>
      </c>
      <c r="X384" s="7"/>
      <c r="Y384" s="7"/>
      <c r="Z384" s="7" t="s">
        <v>922</v>
      </c>
      <c r="AA384" s="7" t="s">
        <v>39</v>
      </c>
      <c r="AB384" s="7"/>
      <c r="AC384" s="7" t="s">
        <v>514</v>
      </c>
    </row>
    <row r="385" spans="1:29" hidden="1" x14ac:dyDescent="0.25">
      <c r="A385" s="5">
        <v>380</v>
      </c>
      <c r="B385" s="5" t="s">
        <v>536</v>
      </c>
      <c r="C385" s="5" t="s">
        <v>77</v>
      </c>
      <c r="D385" s="5" t="s">
        <v>537</v>
      </c>
      <c r="E385" s="5">
        <v>16</v>
      </c>
      <c r="F385" s="5">
        <v>170</v>
      </c>
      <c r="G385" s="5">
        <v>170</v>
      </c>
      <c r="H385" s="5">
        <v>6</v>
      </c>
      <c r="I385" s="5">
        <v>3.6</v>
      </c>
      <c r="J385" s="5">
        <v>21.63</v>
      </c>
      <c r="K385" s="5" t="s">
        <v>512</v>
      </c>
      <c r="L385" s="5" t="s">
        <v>513</v>
      </c>
      <c r="M385" s="7"/>
      <c r="N385" s="7"/>
      <c r="O385" s="7"/>
      <c r="P385" s="7"/>
      <c r="Q385" s="7">
        <v>1</v>
      </c>
      <c r="R385" s="8" t="s">
        <v>37</v>
      </c>
      <c r="S385" s="7"/>
      <c r="T385" s="7" t="s">
        <v>38</v>
      </c>
      <c r="U385" s="7"/>
      <c r="V385" s="7" t="str">
        <f t="shared" si="5"/>
        <v>TCTN.DNS-26004</v>
      </c>
      <c r="W385" s="7" t="s">
        <v>81</v>
      </c>
      <c r="X385" s="7"/>
      <c r="Y385" s="7"/>
      <c r="Z385" s="7" t="s">
        <v>922</v>
      </c>
      <c r="AA385" s="7" t="s">
        <v>39</v>
      </c>
      <c r="AB385" s="7"/>
      <c r="AC385" s="7" t="s">
        <v>514</v>
      </c>
    </row>
    <row r="386" spans="1:29" hidden="1" x14ac:dyDescent="0.25">
      <c r="A386" s="5">
        <v>381</v>
      </c>
      <c r="B386" s="5" t="s">
        <v>538</v>
      </c>
      <c r="C386" s="5" t="s">
        <v>77</v>
      </c>
      <c r="D386" s="5" t="s">
        <v>537</v>
      </c>
      <c r="E386" s="5">
        <v>16</v>
      </c>
      <c r="F386" s="5">
        <v>170</v>
      </c>
      <c r="G386" s="5">
        <v>170</v>
      </c>
      <c r="H386" s="5">
        <v>4</v>
      </c>
      <c r="I386" s="5">
        <v>3.6</v>
      </c>
      <c r="J386" s="5">
        <v>14.42</v>
      </c>
      <c r="K386" s="5" t="s">
        <v>512</v>
      </c>
      <c r="L386" s="5" t="s">
        <v>513</v>
      </c>
      <c r="M386" s="7"/>
      <c r="N386" s="7"/>
      <c r="O386" s="7"/>
      <c r="P386" s="7"/>
      <c r="Q386" s="7">
        <v>1</v>
      </c>
      <c r="R386" s="8" t="s">
        <v>37</v>
      </c>
      <c r="S386" s="7"/>
      <c r="T386" s="7" t="s">
        <v>38</v>
      </c>
      <c r="U386" s="7"/>
      <c r="V386" s="7" t="str">
        <f t="shared" si="5"/>
        <v>TCTN.DNS-26004</v>
      </c>
      <c r="W386" s="7" t="s">
        <v>81</v>
      </c>
      <c r="X386" s="7"/>
      <c r="Y386" s="7"/>
      <c r="Z386" s="7" t="s">
        <v>922</v>
      </c>
      <c r="AA386" s="7" t="s">
        <v>39</v>
      </c>
      <c r="AB386" s="7"/>
      <c r="AC386" s="7" t="s">
        <v>514</v>
      </c>
    </row>
    <row r="387" spans="1:29" hidden="1" x14ac:dyDescent="0.25">
      <c r="A387" s="5">
        <v>382</v>
      </c>
      <c r="B387" s="5" t="s">
        <v>539</v>
      </c>
      <c r="C387" s="5" t="s">
        <v>77</v>
      </c>
      <c r="D387" s="5" t="s">
        <v>537</v>
      </c>
      <c r="E387" s="5">
        <v>16</v>
      </c>
      <c r="F387" s="5">
        <v>170</v>
      </c>
      <c r="G387" s="5">
        <v>170</v>
      </c>
      <c r="H387" s="5">
        <v>4</v>
      </c>
      <c r="I387" s="5">
        <v>3.6</v>
      </c>
      <c r="J387" s="5">
        <v>14.42</v>
      </c>
      <c r="K387" s="5" t="s">
        <v>512</v>
      </c>
      <c r="L387" s="5" t="s">
        <v>513</v>
      </c>
      <c r="M387" s="7"/>
      <c r="N387" s="7"/>
      <c r="O387" s="7"/>
      <c r="P387" s="7"/>
      <c r="Q387" s="7">
        <v>1</v>
      </c>
      <c r="R387" s="8" t="s">
        <v>37</v>
      </c>
      <c r="S387" s="7"/>
      <c r="T387" s="7" t="s">
        <v>38</v>
      </c>
      <c r="U387" s="7"/>
      <c r="V387" s="7" t="str">
        <f t="shared" si="5"/>
        <v>TCTN.DNS-26004</v>
      </c>
      <c r="W387" s="7" t="s">
        <v>81</v>
      </c>
      <c r="X387" s="7"/>
      <c r="Y387" s="7"/>
      <c r="Z387" s="7" t="s">
        <v>922</v>
      </c>
      <c r="AA387" s="7" t="s">
        <v>39</v>
      </c>
      <c r="AB387" s="7"/>
      <c r="AC387" s="7" t="s">
        <v>514</v>
      </c>
    </row>
    <row r="388" spans="1:29" hidden="1" x14ac:dyDescent="0.25">
      <c r="A388" s="5">
        <v>383</v>
      </c>
      <c r="B388" s="5" t="s">
        <v>540</v>
      </c>
      <c r="C388" s="5" t="s">
        <v>77</v>
      </c>
      <c r="D388" s="5" t="s">
        <v>537</v>
      </c>
      <c r="E388" s="5">
        <v>16</v>
      </c>
      <c r="F388" s="5">
        <v>170</v>
      </c>
      <c r="G388" s="5">
        <v>170</v>
      </c>
      <c r="H388" s="5">
        <v>4</v>
      </c>
      <c r="I388" s="5">
        <v>3.6</v>
      </c>
      <c r="J388" s="5">
        <v>14.42</v>
      </c>
      <c r="K388" s="5" t="s">
        <v>512</v>
      </c>
      <c r="L388" s="5" t="s">
        <v>513</v>
      </c>
      <c r="M388" s="7"/>
      <c r="N388" s="7"/>
      <c r="O388" s="7"/>
      <c r="P388" s="7"/>
      <c r="Q388" s="7">
        <v>1</v>
      </c>
      <c r="R388" s="8" t="s">
        <v>37</v>
      </c>
      <c r="S388" s="7"/>
      <c r="T388" s="7" t="s">
        <v>38</v>
      </c>
      <c r="U388" s="7"/>
      <c r="V388" s="7" t="str">
        <f t="shared" si="5"/>
        <v>TCTN.DNS-26004</v>
      </c>
      <c r="W388" s="7" t="s">
        <v>81</v>
      </c>
      <c r="X388" s="7"/>
      <c r="Y388" s="7"/>
      <c r="Z388" s="7" t="s">
        <v>922</v>
      </c>
      <c r="AA388" s="7" t="s">
        <v>39</v>
      </c>
      <c r="AB388" s="7"/>
      <c r="AC388" s="7" t="s">
        <v>514</v>
      </c>
    </row>
    <row r="389" spans="1:29" hidden="1" x14ac:dyDescent="0.25">
      <c r="A389" s="5">
        <v>384</v>
      </c>
      <c r="B389" s="5" t="s">
        <v>541</v>
      </c>
      <c r="C389" s="5" t="s">
        <v>77</v>
      </c>
      <c r="D389" s="5" t="s">
        <v>537</v>
      </c>
      <c r="E389" s="5">
        <v>16</v>
      </c>
      <c r="F389" s="5">
        <v>170</v>
      </c>
      <c r="G389" s="5">
        <v>170</v>
      </c>
      <c r="H389" s="5">
        <v>4</v>
      </c>
      <c r="I389" s="5">
        <v>3.6</v>
      </c>
      <c r="J389" s="5">
        <v>14.42</v>
      </c>
      <c r="K389" s="5" t="s">
        <v>512</v>
      </c>
      <c r="L389" s="5" t="s">
        <v>513</v>
      </c>
      <c r="M389" s="7"/>
      <c r="N389" s="7"/>
      <c r="O389" s="7"/>
      <c r="P389" s="7"/>
      <c r="Q389" s="7">
        <v>1</v>
      </c>
      <c r="R389" s="8" t="s">
        <v>37</v>
      </c>
      <c r="S389" s="7"/>
      <c r="T389" s="7" t="s">
        <v>38</v>
      </c>
      <c r="U389" s="7"/>
      <c r="V389" s="7" t="str">
        <f t="shared" si="5"/>
        <v>TCTN.DNS-26004</v>
      </c>
      <c r="W389" s="7" t="s">
        <v>81</v>
      </c>
      <c r="X389" s="7"/>
      <c r="Y389" s="7"/>
      <c r="Z389" s="7" t="s">
        <v>922</v>
      </c>
      <c r="AA389" s="7" t="s">
        <v>39</v>
      </c>
      <c r="AB389" s="7"/>
      <c r="AC389" s="7" t="s">
        <v>514</v>
      </c>
    </row>
    <row r="390" spans="1:29" hidden="1" x14ac:dyDescent="0.25">
      <c r="A390" s="5">
        <v>385</v>
      </c>
      <c r="B390" s="5" t="s">
        <v>542</v>
      </c>
      <c r="C390" s="5" t="s">
        <v>77</v>
      </c>
      <c r="D390" s="5" t="s">
        <v>537</v>
      </c>
      <c r="E390" s="5">
        <v>16</v>
      </c>
      <c r="F390" s="5">
        <v>170</v>
      </c>
      <c r="G390" s="5">
        <v>170</v>
      </c>
      <c r="H390" s="5">
        <v>4</v>
      </c>
      <c r="I390" s="5">
        <v>3.6</v>
      </c>
      <c r="J390" s="5">
        <v>14.42</v>
      </c>
      <c r="K390" s="5" t="s">
        <v>512</v>
      </c>
      <c r="L390" s="5" t="s">
        <v>513</v>
      </c>
      <c r="M390" s="7"/>
      <c r="N390" s="7"/>
      <c r="O390" s="7"/>
      <c r="P390" s="7"/>
      <c r="Q390" s="7">
        <v>1</v>
      </c>
      <c r="R390" s="8" t="s">
        <v>37</v>
      </c>
      <c r="S390" s="7"/>
      <c r="T390" s="7" t="s">
        <v>38</v>
      </c>
      <c r="U390" s="7"/>
      <c r="V390" s="7" t="str">
        <f t="shared" ref="V390:V453" si="6">IF(LEN($B$3)=0,"",$B$3)</f>
        <v>TCTN.DNS-26004</v>
      </c>
      <c r="W390" s="7" t="s">
        <v>81</v>
      </c>
      <c r="X390" s="7"/>
      <c r="Y390" s="7"/>
      <c r="Z390" s="7" t="s">
        <v>922</v>
      </c>
      <c r="AA390" s="7" t="s">
        <v>39</v>
      </c>
      <c r="AB390" s="7"/>
      <c r="AC390" s="7" t="s">
        <v>514</v>
      </c>
    </row>
    <row r="391" spans="1:29" hidden="1" x14ac:dyDescent="0.25">
      <c r="A391" s="5">
        <v>386</v>
      </c>
      <c r="B391" s="5" t="s">
        <v>543</v>
      </c>
      <c r="C391" s="5" t="s">
        <v>77</v>
      </c>
      <c r="D391" s="5" t="s">
        <v>537</v>
      </c>
      <c r="E391" s="5">
        <v>16</v>
      </c>
      <c r="F391" s="5">
        <v>170</v>
      </c>
      <c r="G391" s="5">
        <v>170</v>
      </c>
      <c r="H391" s="5">
        <v>4</v>
      </c>
      <c r="I391" s="5">
        <v>3.6</v>
      </c>
      <c r="J391" s="5">
        <v>14.42</v>
      </c>
      <c r="K391" s="5" t="s">
        <v>512</v>
      </c>
      <c r="L391" s="5" t="s">
        <v>513</v>
      </c>
      <c r="M391" s="7"/>
      <c r="N391" s="7"/>
      <c r="O391" s="7"/>
      <c r="P391" s="7"/>
      <c r="Q391" s="7">
        <v>1</v>
      </c>
      <c r="R391" s="8" t="s">
        <v>37</v>
      </c>
      <c r="S391" s="7"/>
      <c r="T391" s="7" t="s">
        <v>38</v>
      </c>
      <c r="U391" s="7"/>
      <c r="V391" s="7" t="str">
        <f t="shared" si="6"/>
        <v>TCTN.DNS-26004</v>
      </c>
      <c r="W391" s="7" t="s">
        <v>81</v>
      </c>
      <c r="X391" s="7"/>
      <c r="Y391" s="7"/>
      <c r="Z391" s="7" t="s">
        <v>922</v>
      </c>
      <c r="AA391" s="7" t="s">
        <v>39</v>
      </c>
      <c r="AB391" s="7"/>
      <c r="AC391" s="7" t="s">
        <v>514</v>
      </c>
    </row>
    <row r="392" spans="1:29" hidden="1" x14ac:dyDescent="0.25">
      <c r="A392" s="5">
        <v>387</v>
      </c>
      <c r="B392" s="5" t="s">
        <v>544</v>
      </c>
      <c r="C392" s="5" t="s">
        <v>77</v>
      </c>
      <c r="D392" s="5" t="s">
        <v>537</v>
      </c>
      <c r="E392" s="5">
        <v>16</v>
      </c>
      <c r="F392" s="5">
        <v>170</v>
      </c>
      <c r="G392" s="5">
        <v>170</v>
      </c>
      <c r="H392" s="5">
        <v>4</v>
      </c>
      <c r="I392" s="5">
        <v>3.6</v>
      </c>
      <c r="J392" s="5">
        <v>14.42</v>
      </c>
      <c r="K392" s="5" t="s">
        <v>512</v>
      </c>
      <c r="L392" s="5" t="s">
        <v>513</v>
      </c>
      <c r="M392" s="7"/>
      <c r="N392" s="7"/>
      <c r="O392" s="7"/>
      <c r="P392" s="7"/>
      <c r="Q392" s="7">
        <v>1</v>
      </c>
      <c r="R392" s="8" t="s">
        <v>37</v>
      </c>
      <c r="S392" s="7"/>
      <c r="T392" s="7" t="s">
        <v>38</v>
      </c>
      <c r="U392" s="7"/>
      <c r="V392" s="7" t="str">
        <f t="shared" si="6"/>
        <v>TCTN.DNS-26004</v>
      </c>
      <c r="W392" s="7" t="s">
        <v>81</v>
      </c>
      <c r="X392" s="7"/>
      <c r="Y392" s="7"/>
      <c r="Z392" s="7" t="s">
        <v>922</v>
      </c>
      <c r="AA392" s="7" t="s">
        <v>39</v>
      </c>
      <c r="AB392" s="7"/>
      <c r="AC392" s="7" t="s">
        <v>514</v>
      </c>
    </row>
    <row r="393" spans="1:29" hidden="1" x14ac:dyDescent="0.25">
      <c r="A393" s="5">
        <v>388</v>
      </c>
      <c r="B393" s="5" t="s">
        <v>545</v>
      </c>
      <c r="C393" s="5" t="s">
        <v>77</v>
      </c>
      <c r="D393" s="5" t="s">
        <v>537</v>
      </c>
      <c r="E393" s="5">
        <v>16</v>
      </c>
      <c r="F393" s="5">
        <v>170</v>
      </c>
      <c r="G393" s="5">
        <v>170</v>
      </c>
      <c r="H393" s="5">
        <v>4</v>
      </c>
      <c r="I393" s="5">
        <v>3.6</v>
      </c>
      <c r="J393" s="5">
        <v>14.42</v>
      </c>
      <c r="K393" s="5" t="s">
        <v>512</v>
      </c>
      <c r="L393" s="5" t="s">
        <v>513</v>
      </c>
      <c r="M393" s="7"/>
      <c r="N393" s="7"/>
      <c r="O393" s="7"/>
      <c r="P393" s="7"/>
      <c r="Q393" s="7">
        <v>1</v>
      </c>
      <c r="R393" s="8" t="s">
        <v>37</v>
      </c>
      <c r="S393" s="7"/>
      <c r="T393" s="7" t="s">
        <v>38</v>
      </c>
      <c r="U393" s="7"/>
      <c r="V393" s="7" t="str">
        <f t="shared" si="6"/>
        <v>TCTN.DNS-26004</v>
      </c>
      <c r="W393" s="7" t="s">
        <v>81</v>
      </c>
      <c r="X393" s="7"/>
      <c r="Y393" s="7"/>
      <c r="Z393" s="7" t="s">
        <v>922</v>
      </c>
      <c r="AA393" s="7" t="s">
        <v>39</v>
      </c>
      <c r="AB393" s="7"/>
      <c r="AC393" s="7" t="s">
        <v>514</v>
      </c>
    </row>
    <row r="394" spans="1:29" hidden="1" x14ac:dyDescent="0.25">
      <c r="A394" s="5">
        <v>389</v>
      </c>
      <c r="B394" s="5" t="s">
        <v>546</v>
      </c>
      <c r="C394" s="5" t="s">
        <v>77</v>
      </c>
      <c r="D394" s="5" t="s">
        <v>537</v>
      </c>
      <c r="E394" s="5">
        <v>16</v>
      </c>
      <c r="F394" s="5">
        <v>170</v>
      </c>
      <c r="G394" s="5">
        <v>170</v>
      </c>
      <c r="H394" s="5">
        <v>6</v>
      </c>
      <c r="I394" s="5">
        <v>3.6</v>
      </c>
      <c r="J394" s="5">
        <v>21.63</v>
      </c>
      <c r="K394" s="5" t="s">
        <v>512</v>
      </c>
      <c r="L394" s="5" t="s">
        <v>513</v>
      </c>
      <c r="M394" s="7"/>
      <c r="N394" s="7"/>
      <c r="O394" s="7"/>
      <c r="P394" s="7"/>
      <c r="Q394" s="7">
        <v>1</v>
      </c>
      <c r="R394" s="8" t="s">
        <v>37</v>
      </c>
      <c r="S394" s="7"/>
      <c r="T394" s="7" t="s">
        <v>38</v>
      </c>
      <c r="U394" s="7"/>
      <c r="V394" s="7" t="str">
        <f t="shared" si="6"/>
        <v>TCTN.DNS-26004</v>
      </c>
      <c r="W394" s="7" t="s">
        <v>81</v>
      </c>
      <c r="X394" s="7"/>
      <c r="Y394" s="7"/>
      <c r="Z394" s="7" t="s">
        <v>922</v>
      </c>
      <c r="AA394" s="7" t="s">
        <v>39</v>
      </c>
      <c r="AB394" s="7"/>
      <c r="AC394" s="7" t="s">
        <v>514</v>
      </c>
    </row>
    <row r="395" spans="1:29" hidden="1" x14ac:dyDescent="0.25">
      <c r="A395" s="5">
        <v>390</v>
      </c>
      <c r="B395" s="5" t="s">
        <v>547</v>
      </c>
      <c r="C395" s="5" t="s">
        <v>77</v>
      </c>
      <c r="D395" s="5" t="s">
        <v>524</v>
      </c>
      <c r="E395" s="5">
        <v>16</v>
      </c>
      <c r="F395" s="5">
        <v>275</v>
      </c>
      <c r="G395" s="5">
        <v>11976</v>
      </c>
      <c r="H395" s="5">
        <v>1</v>
      </c>
      <c r="I395" s="5">
        <v>413.65</v>
      </c>
      <c r="J395" s="5">
        <v>413.65</v>
      </c>
      <c r="K395" s="5" t="s">
        <v>512</v>
      </c>
      <c r="L395" s="5" t="s">
        <v>548</v>
      </c>
      <c r="M395" s="7"/>
      <c r="N395" s="7"/>
      <c r="O395" s="7" t="s">
        <v>81</v>
      </c>
      <c r="P395" s="7"/>
      <c r="Q395" s="7">
        <v>1</v>
      </c>
      <c r="R395" s="8" t="s">
        <v>37</v>
      </c>
      <c r="S395" s="7"/>
      <c r="T395" s="7" t="s">
        <v>38</v>
      </c>
      <c r="U395" s="7"/>
      <c r="V395" s="7" t="str">
        <f t="shared" si="6"/>
        <v>TCTN.DNS-26004</v>
      </c>
      <c r="W395" s="7"/>
      <c r="X395" s="7"/>
      <c r="Y395" s="7" t="s">
        <v>81</v>
      </c>
      <c r="Z395" s="7" t="s">
        <v>922</v>
      </c>
      <c r="AA395" s="7" t="s">
        <v>39</v>
      </c>
      <c r="AB395" s="7"/>
      <c r="AC395" s="7" t="s">
        <v>549</v>
      </c>
    </row>
    <row r="396" spans="1:29" hidden="1" x14ac:dyDescent="0.25">
      <c r="A396" s="5">
        <v>391</v>
      </c>
      <c r="B396" s="5" t="s">
        <v>550</v>
      </c>
      <c r="C396" s="5" t="s">
        <v>77</v>
      </c>
      <c r="D396" s="5" t="s">
        <v>551</v>
      </c>
      <c r="E396" s="5">
        <v>16</v>
      </c>
      <c r="F396" s="5">
        <v>275</v>
      </c>
      <c r="G396" s="5">
        <v>11978</v>
      </c>
      <c r="H396" s="5">
        <v>1</v>
      </c>
      <c r="I396" s="5">
        <v>413.72</v>
      </c>
      <c r="J396" s="5">
        <v>413.72</v>
      </c>
      <c r="K396" s="5" t="s">
        <v>512</v>
      </c>
      <c r="L396" s="5" t="s">
        <v>548</v>
      </c>
      <c r="M396" s="7"/>
      <c r="N396" s="7"/>
      <c r="O396" s="7" t="s">
        <v>81</v>
      </c>
      <c r="P396" s="7"/>
      <c r="Q396" s="7">
        <v>1</v>
      </c>
      <c r="R396" s="8" t="s">
        <v>37</v>
      </c>
      <c r="S396" s="7"/>
      <c r="T396" s="7" t="s">
        <v>38</v>
      </c>
      <c r="U396" s="7"/>
      <c r="V396" s="7" t="str">
        <f t="shared" si="6"/>
        <v>TCTN.DNS-26004</v>
      </c>
      <c r="W396" s="7"/>
      <c r="X396" s="7"/>
      <c r="Y396" s="7" t="s">
        <v>81</v>
      </c>
      <c r="Z396" s="7" t="s">
        <v>922</v>
      </c>
      <c r="AA396" s="7" t="s">
        <v>39</v>
      </c>
      <c r="AB396" s="7"/>
      <c r="AC396" s="7" t="s">
        <v>549</v>
      </c>
    </row>
    <row r="397" spans="1:29" hidden="1" x14ac:dyDescent="0.25">
      <c r="A397" s="5">
        <v>392</v>
      </c>
      <c r="B397" s="5" t="s">
        <v>552</v>
      </c>
      <c r="C397" s="5" t="s">
        <v>77</v>
      </c>
      <c r="D397" s="5" t="s">
        <v>553</v>
      </c>
      <c r="E397" s="5">
        <v>16</v>
      </c>
      <c r="F397" s="5">
        <v>275</v>
      </c>
      <c r="G397" s="5">
        <v>12007</v>
      </c>
      <c r="H397" s="5">
        <v>1</v>
      </c>
      <c r="I397" s="5">
        <v>414.72</v>
      </c>
      <c r="J397" s="5">
        <v>414.72</v>
      </c>
      <c r="K397" s="5" t="s">
        <v>512</v>
      </c>
      <c r="L397" s="5" t="s">
        <v>548</v>
      </c>
      <c r="M397" s="7"/>
      <c r="N397" s="7"/>
      <c r="O397" s="7" t="s">
        <v>81</v>
      </c>
      <c r="P397" s="7"/>
      <c r="Q397" s="7">
        <v>1</v>
      </c>
      <c r="R397" s="8" t="s">
        <v>37</v>
      </c>
      <c r="S397" s="7"/>
      <c r="T397" s="7" t="s">
        <v>38</v>
      </c>
      <c r="U397" s="7"/>
      <c r="V397" s="7" t="str">
        <f t="shared" si="6"/>
        <v>TCTN.DNS-26004</v>
      </c>
      <c r="W397" s="7"/>
      <c r="X397" s="7"/>
      <c r="Y397" s="7" t="s">
        <v>81</v>
      </c>
      <c r="Z397" s="7" t="s">
        <v>922</v>
      </c>
      <c r="AA397" s="7" t="s">
        <v>39</v>
      </c>
      <c r="AB397" s="7"/>
      <c r="AC397" s="7" t="s">
        <v>549</v>
      </c>
    </row>
    <row r="398" spans="1:29" hidden="1" x14ac:dyDescent="0.25">
      <c r="A398" s="5">
        <v>393</v>
      </c>
      <c r="B398" s="5" t="s">
        <v>554</v>
      </c>
      <c r="C398" s="5" t="s">
        <v>77</v>
      </c>
      <c r="D398" s="5" t="s">
        <v>555</v>
      </c>
      <c r="E398" s="5">
        <v>16</v>
      </c>
      <c r="F398" s="5">
        <v>275</v>
      </c>
      <c r="G398" s="5">
        <v>12005</v>
      </c>
      <c r="H398" s="5">
        <v>1</v>
      </c>
      <c r="I398" s="5">
        <v>414.65</v>
      </c>
      <c r="J398" s="5">
        <v>414.65</v>
      </c>
      <c r="K398" s="5" t="s">
        <v>512</v>
      </c>
      <c r="L398" s="5" t="s">
        <v>548</v>
      </c>
      <c r="M398" s="7"/>
      <c r="N398" s="7"/>
      <c r="O398" s="7" t="s">
        <v>81</v>
      </c>
      <c r="P398" s="7"/>
      <c r="Q398" s="7">
        <v>1</v>
      </c>
      <c r="R398" s="8" t="s">
        <v>37</v>
      </c>
      <c r="S398" s="7"/>
      <c r="T398" s="7" t="s">
        <v>38</v>
      </c>
      <c r="U398" s="7"/>
      <c r="V398" s="7" t="str">
        <f t="shared" si="6"/>
        <v>TCTN.DNS-26004</v>
      </c>
      <c r="W398" s="7"/>
      <c r="X398" s="7"/>
      <c r="Y398" s="7" t="s">
        <v>81</v>
      </c>
      <c r="Z398" s="7" t="s">
        <v>922</v>
      </c>
      <c r="AA398" s="7" t="s">
        <v>39</v>
      </c>
      <c r="AB398" s="7"/>
      <c r="AC398" s="7" t="s">
        <v>549</v>
      </c>
    </row>
    <row r="399" spans="1:29" hidden="1" x14ac:dyDescent="0.25">
      <c r="A399" s="5">
        <v>394</v>
      </c>
      <c r="B399" s="5" t="s">
        <v>556</v>
      </c>
      <c r="C399" s="5" t="s">
        <v>77</v>
      </c>
      <c r="D399" s="5" t="s">
        <v>551</v>
      </c>
      <c r="E399" s="5">
        <v>16</v>
      </c>
      <c r="F399" s="5">
        <v>275</v>
      </c>
      <c r="G399" s="5">
        <v>11978</v>
      </c>
      <c r="H399" s="5">
        <v>1</v>
      </c>
      <c r="I399" s="5">
        <v>413.72</v>
      </c>
      <c r="J399" s="5">
        <v>413.72</v>
      </c>
      <c r="K399" s="5" t="s">
        <v>512</v>
      </c>
      <c r="L399" s="5" t="s">
        <v>548</v>
      </c>
      <c r="M399" s="7"/>
      <c r="N399" s="7"/>
      <c r="O399" s="7" t="s">
        <v>81</v>
      </c>
      <c r="P399" s="7"/>
      <c r="Q399" s="7">
        <v>1</v>
      </c>
      <c r="R399" s="8" t="s">
        <v>37</v>
      </c>
      <c r="S399" s="7"/>
      <c r="T399" s="7" t="s">
        <v>38</v>
      </c>
      <c r="U399" s="7"/>
      <c r="V399" s="7" t="str">
        <f t="shared" si="6"/>
        <v>TCTN.DNS-26004</v>
      </c>
      <c r="W399" s="7"/>
      <c r="X399" s="7"/>
      <c r="Y399" s="7" t="s">
        <v>81</v>
      </c>
      <c r="Z399" s="7" t="s">
        <v>922</v>
      </c>
      <c r="AA399" s="7" t="s">
        <v>39</v>
      </c>
      <c r="AB399" s="7"/>
      <c r="AC399" s="7" t="s">
        <v>549</v>
      </c>
    </row>
    <row r="400" spans="1:29" hidden="1" x14ac:dyDescent="0.25">
      <c r="A400" s="5">
        <v>395</v>
      </c>
      <c r="B400" s="5" t="s">
        <v>557</v>
      </c>
      <c r="C400" s="5" t="s">
        <v>77</v>
      </c>
      <c r="D400" s="5" t="s">
        <v>553</v>
      </c>
      <c r="E400" s="5">
        <v>16</v>
      </c>
      <c r="F400" s="5">
        <v>275</v>
      </c>
      <c r="G400" s="5">
        <v>12007</v>
      </c>
      <c r="H400" s="5">
        <v>1</v>
      </c>
      <c r="I400" s="5">
        <v>414.72</v>
      </c>
      <c r="J400" s="5">
        <v>414.72</v>
      </c>
      <c r="K400" s="5" t="s">
        <v>512</v>
      </c>
      <c r="L400" s="5" t="s">
        <v>548</v>
      </c>
      <c r="M400" s="7"/>
      <c r="N400" s="7"/>
      <c r="O400" s="7" t="s">
        <v>81</v>
      </c>
      <c r="P400" s="7"/>
      <c r="Q400" s="7">
        <v>1</v>
      </c>
      <c r="R400" s="8" t="s">
        <v>37</v>
      </c>
      <c r="S400" s="7"/>
      <c r="T400" s="7" t="s">
        <v>38</v>
      </c>
      <c r="U400" s="7"/>
      <c r="V400" s="7" t="str">
        <f t="shared" si="6"/>
        <v>TCTN.DNS-26004</v>
      </c>
      <c r="W400" s="7"/>
      <c r="X400" s="7"/>
      <c r="Y400" s="7" t="s">
        <v>81</v>
      </c>
      <c r="Z400" s="7" t="s">
        <v>922</v>
      </c>
      <c r="AA400" s="7" t="s">
        <v>39</v>
      </c>
      <c r="AB400" s="7"/>
      <c r="AC400" s="7" t="s">
        <v>549</v>
      </c>
    </row>
    <row r="401" spans="1:29" hidden="1" x14ac:dyDescent="0.25">
      <c r="A401" s="5">
        <v>396</v>
      </c>
      <c r="B401" s="5" t="s">
        <v>558</v>
      </c>
      <c r="C401" s="5" t="s">
        <v>77</v>
      </c>
      <c r="D401" s="5" t="s">
        <v>555</v>
      </c>
      <c r="E401" s="5">
        <v>16</v>
      </c>
      <c r="F401" s="5">
        <v>275</v>
      </c>
      <c r="G401" s="5">
        <v>12005</v>
      </c>
      <c r="H401" s="5">
        <v>1</v>
      </c>
      <c r="I401" s="5">
        <v>414.65</v>
      </c>
      <c r="J401" s="5">
        <v>414.65</v>
      </c>
      <c r="K401" s="5" t="s">
        <v>512</v>
      </c>
      <c r="L401" s="5" t="s">
        <v>548</v>
      </c>
      <c r="M401" s="7"/>
      <c r="N401" s="7"/>
      <c r="O401" s="7" t="s">
        <v>81</v>
      </c>
      <c r="P401" s="7"/>
      <c r="Q401" s="7">
        <v>1</v>
      </c>
      <c r="R401" s="8" t="s">
        <v>37</v>
      </c>
      <c r="S401" s="7"/>
      <c r="T401" s="7" t="s">
        <v>38</v>
      </c>
      <c r="U401" s="7"/>
      <c r="V401" s="7" t="str">
        <f t="shared" si="6"/>
        <v>TCTN.DNS-26004</v>
      </c>
      <c r="W401" s="7"/>
      <c r="X401" s="7"/>
      <c r="Y401" s="7" t="s">
        <v>81</v>
      </c>
      <c r="Z401" s="7" t="s">
        <v>922</v>
      </c>
      <c r="AA401" s="7" t="s">
        <v>39</v>
      </c>
      <c r="AB401" s="7"/>
      <c r="AC401" s="7" t="s">
        <v>549</v>
      </c>
    </row>
    <row r="402" spans="1:29" hidden="1" x14ac:dyDescent="0.25">
      <c r="A402" s="5">
        <v>397</v>
      </c>
      <c r="B402" s="5" t="s">
        <v>559</v>
      </c>
      <c r="C402" s="5" t="s">
        <v>77</v>
      </c>
      <c r="D402" s="5" t="s">
        <v>560</v>
      </c>
      <c r="E402" s="5">
        <v>16</v>
      </c>
      <c r="F402" s="5">
        <v>275</v>
      </c>
      <c r="G402" s="5">
        <v>7588</v>
      </c>
      <c r="H402" s="5">
        <v>1</v>
      </c>
      <c r="I402" s="5">
        <v>262.08999999999997</v>
      </c>
      <c r="J402" s="5">
        <v>262.08999999999997</v>
      </c>
      <c r="K402" s="5" t="s">
        <v>512</v>
      </c>
      <c r="L402" s="5" t="s">
        <v>561</v>
      </c>
      <c r="M402" s="7"/>
      <c r="N402" s="7"/>
      <c r="O402" s="7" t="s">
        <v>81</v>
      </c>
      <c r="P402" s="7"/>
      <c r="Q402" s="7">
        <v>1</v>
      </c>
      <c r="R402" s="8" t="s">
        <v>37</v>
      </c>
      <c r="S402" s="7"/>
      <c r="T402" s="7" t="s">
        <v>38</v>
      </c>
      <c r="U402" s="7"/>
      <c r="V402" s="7" t="str">
        <f t="shared" si="6"/>
        <v>TCTN.DNS-26004</v>
      </c>
      <c r="W402" s="7"/>
      <c r="X402" s="7"/>
      <c r="Y402" s="7" t="s">
        <v>81</v>
      </c>
      <c r="Z402" s="7" t="s">
        <v>922</v>
      </c>
      <c r="AA402" s="7" t="s">
        <v>39</v>
      </c>
      <c r="AB402" s="7"/>
      <c r="AC402" s="7" t="s">
        <v>562</v>
      </c>
    </row>
    <row r="403" spans="1:29" hidden="1" x14ac:dyDescent="0.25">
      <c r="A403" s="5">
        <v>398</v>
      </c>
      <c r="B403" s="5" t="s">
        <v>563</v>
      </c>
      <c r="C403" s="5" t="s">
        <v>77</v>
      </c>
      <c r="D403" s="5" t="s">
        <v>532</v>
      </c>
      <c r="E403" s="5">
        <v>16</v>
      </c>
      <c r="F403" s="5">
        <v>275</v>
      </c>
      <c r="G403" s="5">
        <v>7583</v>
      </c>
      <c r="H403" s="5">
        <v>1</v>
      </c>
      <c r="I403" s="5">
        <v>261.92</v>
      </c>
      <c r="J403" s="5">
        <v>261.92</v>
      </c>
      <c r="K403" s="5" t="s">
        <v>512</v>
      </c>
      <c r="L403" s="5" t="s">
        <v>561</v>
      </c>
      <c r="M403" s="7"/>
      <c r="N403" s="7"/>
      <c r="O403" s="7" t="s">
        <v>81</v>
      </c>
      <c r="P403" s="7"/>
      <c r="Q403" s="7">
        <v>1</v>
      </c>
      <c r="R403" s="8" t="s">
        <v>37</v>
      </c>
      <c r="S403" s="7"/>
      <c r="T403" s="7" t="s">
        <v>38</v>
      </c>
      <c r="U403" s="7"/>
      <c r="V403" s="7" t="str">
        <f t="shared" si="6"/>
        <v>TCTN.DNS-26004</v>
      </c>
      <c r="W403" s="7"/>
      <c r="X403" s="7"/>
      <c r="Y403" s="7" t="s">
        <v>81</v>
      </c>
      <c r="Z403" s="7" t="s">
        <v>922</v>
      </c>
      <c r="AA403" s="7" t="s">
        <v>39</v>
      </c>
      <c r="AB403" s="7"/>
      <c r="AC403" s="7" t="s">
        <v>562</v>
      </c>
    </row>
    <row r="404" spans="1:29" hidden="1" x14ac:dyDescent="0.25">
      <c r="A404" s="5">
        <v>399</v>
      </c>
      <c r="B404" s="5" t="s">
        <v>564</v>
      </c>
      <c r="C404" s="5" t="s">
        <v>77</v>
      </c>
      <c r="D404" s="5" t="s">
        <v>534</v>
      </c>
      <c r="E404" s="5">
        <v>16</v>
      </c>
      <c r="F404" s="5">
        <v>240</v>
      </c>
      <c r="G404" s="5">
        <v>240</v>
      </c>
      <c r="H404" s="5">
        <v>2</v>
      </c>
      <c r="I404" s="5">
        <v>4.01</v>
      </c>
      <c r="J404" s="5">
        <v>8.0299999999999994</v>
      </c>
      <c r="K404" s="5" t="s">
        <v>512</v>
      </c>
      <c r="L404" s="5" t="s">
        <v>561</v>
      </c>
      <c r="M404" s="7"/>
      <c r="N404" s="7" t="s">
        <v>228</v>
      </c>
      <c r="O404" s="7"/>
      <c r="P404" s="7"/>
      <c r="Q404" s="7">
        <v>1</v>
      </c>
      <c r="R404" s="8" t="s">
        <v>37</v>
      </c>
      <c r="S404" s="7"/>
      <c r="T404" s="7" t="s">
        <v>38</v>
      </c>
      <c r="U404" s="7"/>
      <c r="V404" s="7" t="str">
        <f t="shared" si="6"/>
        <v>TCTN.DNS-26004</v>
      </c>
      <c r="W404" s="7"/>
      <c r="X404" s="7" t="s">
        <v>81</v>
      </c>
      <c r="Y404" s="7"/>
      <c r="Z404" s="7" t="s">
        <v>922</v>
      </c>
      <c r="AA404" s="7" t="s">
        <v>39</v>
      </c>
      <c r="AB404" s="7"/>
      <c r="AC404" s="7" t="s">
        <v>562</v>
      </c>
    </row>
    <row r="405" spans="1:29" hidden="1" x14ac:dyDescent="0.25">
      <c r="A405" s="5">
        <v>400</v>
      </c>
      <c r="B405" s="5" t="s">
        <v>565</v>
      </c>
      <c r="C405" s="5" t="s">
        <v>77</v>
      </c>
      <c r="D405" s="5" t="s">
        <v>534</v>
      </c>
      <c r="E405" s="5">
        <v>16</v>
      </c>
      <c r="F405" s="5">
        <v>240</v>
      </c>
      <c r="G405" s="5">
        <v>240</v>
      </c>
      <c r="H405" s="5">
        <v>4</v>
      </c>
      <c r="I405" s="5">
        <v>4.01</v>
      </c>
      <c r="J405" s="5">
        <v>16.05</v>
      </c>
      <c r="K405" s="5" t="s">
        <v>512</v>
      </c>
      <c r="L405" s="5" t="s">
        <v>561</v>
      </c>
      <c r="M405" s="7"/>
      <c r="N405" s="7" t="s">
        <v>228</v>
      </c>
      <c r="O405" s="7"/>
      <c r="P405" s="7"/>
      <c r="Q405" s="7">
        <v>1</v>
      </c>
      <c r="R405" s="8" t="s">
        <v>37</v>
      </c>
      <c r="S405" s="7"/>
      <c r="T405" s="7" t="s">
        <v>38</v>
      </c>
      <c r="U405" s="7"/>
      <c r="V405" s="7" t="str">
        <f t="shared" si="6"/>
        <v>TCTN.DNS-26004</v>
      </c>
      <c r="W405" s="7"/>
      <c r="X405" s="7" t="s">
        <v>81</v>
      </c>
      <c r="Y405" s="7"/>
      <c r="Z405" s="7" t="s">
        <v>922</v>
      </c>
      <c r="AA405" s="7" t="s">
        <v>39</v>
      </c>
      <c r="AB405" s="7"/>
      <c r="AC405" s="7" t="s">
        <v>562</v>
      </c>
    </row>
    <row r="406" spans="1:29" hidden="1" x14ac:dyDescent="0.25">
      <c r="A406" s="5">
        <v>401</v>
      </c>
      <c r="B406" s="5" t="s">
        <v>566</v>
      </c>
      <c r="C406" s="5" t="s">
        <v>77</v>
      </c>
      <c r="D406" s="5" t="s">
        <v>567</v>
      </c>
      <c r="E406" s="5">
        <v>20</v>
      </c>
      <c r="F406" s="5">
        <v>240</v>
      </c>
      <c r="G406" s="5">
        <v>250</v>
      </c>
      <c r="H406" s="5">
        <v>8</v>
      </c>
      <c r="I406" s="5">
        <v>6.68</v>
      </c>
      <c r="J406" s="5">
        <v>53.41</v>
      </c>
      <c r="K406" s="5" t="s">
        <v>568</v>
      </c>
      <c r="L406" s="5" t="s">
        <v>569</v>
      </c>
      <c r="M406" s="7"/>
      <c r="N406" s="7" t="s">
        <v>228</v>
      </c>
      <c r="O406" s="7"/>
      <c r="P406" s="7"/>
      <c r="Q406" s="7">
        <v>1</v>
      </c>
      <c r="R406" s="8" t="s">
        <v>37</v>
      </c>
      <c r="S406" s="7"/>
      <c r="T406" s="7" t="s">
        <v>38</v>
      </c>
      <c r="U406" s="7"/>
      <c r="V406" s="7" t="str">
        <f t="shared" si="6"/>
        <v>TCTN.DNS-26004</v>
      </c>
      <c r="W406" s="7"/>
      <c r="X406" s="7" t="s">
        <v>81</v>
      </c>
      <c r="Y406" s="7"/>
      <c r="Z406" s="7" t="s">
        <v>922</v>
      </c>
      <c r="AA406" s="7" t="s">
        <v>39</v>
      </c>
      <c r="AB406" s="7"/>
      <c r="AC406" s="7" t="s">
        <v>570</v>
      </c>
    </row>
    <row r="407" spans="1:29" hidden="1" x14ac:dyDescent="0.25">
      <c r="A407" s="5">
        <v>402</v>
      </c>
      <c r="B407" s="5" t="s">
        <v>571</v>
      </c>
      <c r="C407" s="5" t="s">
        <v>77</v>
      </c>
      <c r="D407" s="5" t="s">
        <v>572</v>
      </c>
      <c r="E407" s="5">
        <v>20</v>
      </c>
      <c r="F407" s="5">
        <v>400</v>
      </c>
      <c r="G407" s="5">
        <v>780</v>
      </c>
      <c r="H407" s="5">
        <v>8</v>
      </c>
      <c r="I407" s="5">
        <v>47.98</v>
      </c>
      <c r="J407" s="5">
        <v>383.87</v>
      </c>
      <c r="K407" s="5" t="s">
        <v>568</v>
      </c>
      <c r="L407" s="5" t="s">
        <v>569</v>
      </c>
      <c r="M407" s="7"/>
      <c r="N407" s="7" t="s">
        <v>228</v>
      </c>
      <c r="O407" s="7"/>
      <c r="P407" s="7"/>
      <c r="Q407" s="7">
        <v>1</v>
      </c>
      <c r="R407" s="8" t="s">
        <v>37</v>
      </c>
      <c r="S407" s="7"/>
      <c r="T407" s="7" t="s">
        <v>38</v>
      </c>
      <c r="U407" s="7"/>
      <c r="V407" s="7" t="str">
        <f t="shared" si="6"/>
        <v>TCTN.DNS-26004</v>
      </c>
      <c r="W407" s="7"/>
      <c r="X407" s="7" t="s">
        <v>81</v>
      </c>
      <c r="Y407" s="7"/>
      <c r="Z407" s="7" t="s">
        <v>922</v>
      </c>
      <c r="AA407" s="7" t="s">
        <v>39</v>
      </c>
      <c r="AB407" s="7"/>
      <c r="AC407" s="7" t="s">
        <v>570</v>
      </c>
    </row>
    <row r="408" spans="1:29" hidden="1" x14ac:dyDescent="0.25">
      <c r="A408" s="5">
        <v>403</v>
      </c>
      <c r="B408" s="5" t="s">
        <v>573</v>
      </c>
      <c r="C408" s="5" t="s">
        <v>77</v>
      </c>
      <c r="D408" s="5" t="s">
        <v>572</v>
      </c>
      <c r="E408" s="5">
        <v>20</v>
      </c>
      <c r="F408" s="5">
        <v>400</v>
      </c>
      <c r="G408" s="5">
        <v>780</v>
      </c>
      <c r="H408" s="5">
        <v>4</v>
      </c>
      <c r="I408" s="5">
        <v>47.98</v>
      </c>
      <c r="J408" s="5">
        <v>191.93</v>
      </c>
      <c r="K408" s="5" t="s">
        <v>568</v>
      </c>
      <c r="L408" s="5" t="s">
        <v>569</v>
      </c>
      <c r="M408" s="7"/>
      <c r="N408" s="7" t="s">
        <v>228</v>
      </c>
      <c r="O408" s="7"/>
      <c r="P408" s="7"/>
      <c r="Q408" s="7">
        <v>1</v>
      </c>
      <c r="R408" s="8" t="s">
        <v>37</v>
      </c>
      <c r="S408" s="7"/>
      <c r="T408" s="7" t="s">
        <v>38</v>
      </c>
      <c r="U408" s="7"/>
      <c r="V408" s="7" t="str">
        <f t="shared" si="6"/>
        <v>TCTN.DNS-26004</v>
      </c>
      <c r="W408" s="7"/>
      <c r="X408" s="7" t="s">
        <v>81</v>
      </c>
      <c r="Y408" s="7"/>
      <c r="Z408" s="7" t="s">
        <v>922</v>
      </c>
      <c r="AA408" s="7" t="s">
        <v>39</v>
      </c>
      <c r="AB408" s="7"/>
      <c r="AC408" s="7" t="s">
        <v>570</v>
      </c>
    </row>
    <row r="409" spans="1:29" hidden="1" x14ac:dyDescent="0.25">
      <c r="A409" s="5">
        <v>404</v>
      </c>
      <c r="B409" s="5" t="s">
        <v>574</v>
      </c>
      <c r="C409" s="5" t="s">
        <v>77</v>
      </c>
      <c r="D409" s="5" t="s">
        <v>572</v>
      </c>
      <c r="E409" s="5">
        <v>20</v>
      </c>
      <c r="F409" s="5">
        <v>400</v>
      </c>
      <c r="G409" s="5">
        <v>780</v>
      </c>
      <c r="H409" s="5">
        <v>4</v>
      </c>
      <c r="I409" s="5">
        <v>47.98</v>
      </c>
      <c r="J409" s="5">
        <v>191.93</v>
      </c>
      <c r="K409" s="5" t="s">
        <v>568</v>
      </c>
      <c r="L409" s="5" t="s">
        <v>569</v>
      </c>
      <c r="M409" s="7"/>
      <c r="N409" s="7" t="s">
        <v>228</v>
      </c>
      <c r="O409" s="7"/>
      <c r="P409" s="7"/>
      <c r="Q409" s="7">
        <v>1</v>
      </c>
      <c r="R409" s="8" t="s">
        <v>37</v>
      </c>
      <c r="S409" s="7"/>
      <c r="T409" s="7" t="s">
        <v>38</v>
      </c>
      <c r="U409" s="7"/>
      <c r="V409" s="7" t="str">
        <f t="shared" si="6"/>
        <v>TCTN.DNS-26004</v>
      </c>
      <c r="W409" s="7"/>
      <c r="X409" s="7" t="s">
        <v>81</v>
      </c>
      <c r="Y409" s="7"/>
      <c r="Z409" s="7" t="s">
        <v>922</v>
      </c>
      <c r="AA409" s="7" t="s">
        <v>39</v>
      </c>
      <c r="AB409" s="7"/>
      <c r="AC409" s="7" t="s">
        <v>570</v>
      </c>
    </row>
    <row r="410" spans="1:29" hidden="1" x14ac:dyDescent="0.25">
      <c r="A410" s="5">
        <v>405</v>
      </c>
      <c r="B410" s="5" t="s">
        <v>575</v>
      </c>
      <c r="C410" s="5" t="s">
        <v>77</v>
      </c>
      <c r="D410" s="5" t="s">
        <v>576</v>
      </c>
      <c r="E410" s="5">
        <v>20</v>
      </c>
      <c r="F410" s="5">
        <v>326</v>
      </c>
      <c r="G410" s="5">
        <v>525</v>
      </c>
      <c r="H410" s="5">
        <v>4</v>
      </c>
      <c r="I410" s="5">
        <v>23.66</v>
      </c>
      <c r="J410" s="5">
        <v>94.66</v>
      </c>
      <c r="K410" s="5" t="s">
        <v>568</v>
      </c>
      <c r="L410" s="5" t="s">
        <v>569</v>
      </c>
      <c r="M410" s="7"/>
      <c r="N410" s="7" t="s">
        <v>228</v>
      </c>
      <c r="O410" s="7"/>
      <c r="P410" s="7"/>
      <c r="Q410" s="7">
        <v>1</v>
      </c>
      <c r="R410" s="8" t="s">
        <v>37</v>
      </c>
      <c r="S410" s="7"/>
      <c r="T410" s="7" t="s">
        <v>38</v>
      </c>
      <c r="U410" s="7"/>
      <c r="V410" s="7" t="str">
        <f t="shared" si="6"/>
        <v>TCTN.DNS-26004</v>
      </c>
      <c r="W410" s="7"/>
      <c r="X410" s="7" t="s">
        <v>81</v>
      </c>
      <c r="Y410" s="7"/>
      <c r="Z410" s="7" t="s">
        <v>922</v>
      </c>
      <c r="AA410" s="7" t="s">
        <v>39</v>
      </c>
      <c r="AB410" s="7"/>
      <c r="AC410" s="7" t="s">
        <v>570</v>
      </c>
    </row>
    <row r="411" spans="1:29" hidden="1" x14ac:dyDescent="0.25">
      <c r="A411" s="5">
        <v>406</v>
      </c>
      <c r="B411" s="5" t="s">
        <v>577</v>
      </c>
      <c r="C411" s="5" t="s">
        <v>77</v>
      </c>
      <c r="D411" s="5" t="s">
        <v>578</v>
      </c>
      <c r="E411" s="5">
        <v>20</v>
      </c>
      <c r="F411" s="5">
        <v>175</v>
      </c>
      <c r="G411" s="5">
        <v>180</v>
      </c>
      <c r="H411" s="5">
        <v>8</v>
      </c>
      <c r="I411" s="5">
        <v>4.4400000000000004</v>
      </c>
      <c r="J411" s="5">
        <v>35.51</v>
      </c>
      <c r="K411" s="5" t="s">
        <v>568</v>
      </c>
      <c r="L411" s="5" t="s">
        <v>569</v>
      </c>
      <c r="M411" s="7"/>
      <c r="N411" s="7" t="s">
        <v>228</v>
      </c>
      <c r="O411" s="7"/>
      <c r="P411" s="7"/>
      <c r="Q411" s="7">
        <v>1</v>
      </c>
      <c r="R411" s="8" t="s">
        <v>37</v>
      </c>
      <c r="S411" s="7"/>
      <c r="T411" s="7" t="s">
        <v>38</v>
      </c>
      <c r="U411" s="7"/>
      <c r="V411" s="7" t="str">
        <f t="shared" si="6"/>
        <v>TCTN.DNS-26004</v>
      </c>
      <c r="W411" s="7"/>
      <c r="X411" s="7" t="s">
        <v>81</v>
      </c>
      <c r="Y411" s="7"/>
      <c r="Z411" s="7" t="s">
        <v>922</v>
      </c>
      <c r="AA411" s="7" t="s">
        <v>39</v>
      </c>
      <c r="AB411" s="7"/>
      <c r="AC411" s="7" t="s">
        <v>570</v>
      </c>
    </row>
    <row r="412" spans="1:29" hidden="1" x14ac:dyDescent="0.25">
      <c r="A412" s="5">
        <v>407</v>
      </c>
      <c r="B412" s="5" t="s">
        <v>579</v>
      </c>
      <c r="C412" s="5" t="s">
        <v>77</v>
      </c>
      <c r="D412" s="5" t="s">
        <v>580</v>
      </c>
      <c r="E412" s="5">
        <v>20</v>
      </c>
      <c r="F412" s="5">
        <v>180</v>
      </c>
      <c r="G412" s="5">
        <v>300</v>
      </c>
      <c r="H412" s="5">
        <v>1</v>
      </c>
      <c r="I412" s="5">
        <v>8.48</v>
      </c>
      <c r="J412" s="5">
        <v>8.48</v>
      </c>
      <c r="K412" s="5" t="s">
        <v>568</v>
      </c>
      <c r="L412" s="5" t="s">
        <v>569</v>
      </c>
      <c r="M412" s="7"/>
      <c r="N412" s="7"/>
      <c r="O412" s="7"/>
      <c r="P412" s="7"/>
      <c r="Q412" s="7">
        <v>1</v>
      </c>
      <c r="R412" s="8" t="s">
        <v>37</v>
      </c>
      <c r="S412" s="7"/>
      <c r="T412" s="7" t="s">
        <v>38</v>
      </c>
      <c r="U412" s="7"/>
      <c r="V412" s="7" t="str">
        <f t="shared" si="6"/>
        <v>TCTN.DNS-26004</v>
      </c>
      <c r="W412" s="7" t="s">
        <v>81</v>
      </c>
      <c r="X412" s="7"/>
      <c r="Y412" s="7"/>
      <c r="Z412" s="7" t="s">
        <v>922</v>
      </c>
      <c r="AA412" s="7" t="s">
        <v>39</v>
      </c>
      <c r="AB412" s="7"/>
      <c r="AC412" s="7" t="s">
        <v>570</v>
      </c>
    </row>
    <row r="413" spans="1:29" hidden="1" x14ac:dyDescent="0.25">
      <c r="A413" s="5">
        <v>408</v>
      </c>
      <c r="B413" s="5" t="s">
        <v>581</v>
      </c>
      <c r="C413" s="5" t="s">
        <v>77</v>
      </c>
      <c r="D413" s="5" t="s">
        <v>576</v>
      </c>
      <c r="E413" s="5">
        <v>20</v>
      </c>
      <c r="F413" s="5">
        <v>326</v>
      </c>
      <c r="G413" s="5">
        <v>525</v>
      </c>
      <c r="H413" s="5">
        <v>4</v>
      </c>
      <c r="I413" s="5">
        <v>26.87</v>
      </c>
      <c r="J413" s="5">
        <v>107.48</v>
      </c>
      <c r="K413" s="5" t="s">
        <v>568</v>
      </c>
      <c r="L413" s="5" t="s">
        <v>569</v>
      </c>
      <c r="M413" s="7"/>
      <c r="N413" s="7"/>
      <c r="O413" s="7"/>
      <c r="P413" s="7"/>
      <c r="Q413" s="7">
        <v>1</v>
      </c>
      <c r="R413" s="8" t="s">
        <v>37</v>
      </c>
      <c r="S413" s="7"/>
      <c r="T413" s="7" t="s">
        <v>38</v>
      </c>
      <c r="U413" s="7"/>
      <c r="V413" s="7" t="str">
        <f t="shared" si="6"/>
        <v>TCTN.DNS-26004</v>
      </c>
      <c r="W413" s="7" t="s">
        <v>81</v>
      </c>
      <c r="X413" s="7"/>
      <c r="Y413" s="7"/>
      <c r="Z413" s="7" t="s">
        <v>922</v>
      </c>
      <c r="AA413" s="7" t="s">
        <v>39</v>
      </c>
      <c r="AB413" s="7"/>
      <c r="AC413" s="7" t="s">
        <v>570</v>
      </c>
    </row>
    <row r="414" spans="1:29" hidden="1" x14ac:dyDescent="0.25">
      <c r="A414" s="5">
        <v>409</v>
      </c>
      <c r="B414" s="5" t="s">
        <v>582</v>
      </c>
      <c r="C414" s="5" t="s">
        <v>77</v>
      </c>
      <c r="D414" s="5" t="s">
        <v>583</v>
      </c>
      <c r="E414" s="5">
        <v>20</v>
      </c>
      <c r="F414" s="5">
        <v>200</v>
      </c>
      <c r="G414" s="5">
        <v>200</v>
      </c>
      <c r="H414" s="5">
        <v>2</v>
      </c>
      <c r="I414" s="5">
        <v>6.28</v>
      </c>
      <c r="J414" s="5">
        <v>12.56</v>
      </c>
      <c r="K414" s="5" t="s">
        <v>568</v>
      </c>
      <c r="L414" s="5" t="s">
        <v>569</v>
      </c>
      <c r="M414" s="7"/>
      <c r="N414" s="7"/>
      <c r="O414" s="7"/>
      <c r="P414" s="7"/>
      <c r="Q414" s="7">
        <v>1</v>
      </c>
      <c r="R414" s="8" t="s">
        <v>37</v>
      </c>
      <c r="S414" s="7"/>
      <c r="T414" s="7" t="s">
        <v>38</v>
      </c>
      <c r="U414" s="7"/>
      <c r="V414" s="7" t="str">
        <f t="shared" si="6"/>
        <v>TCTN.DNS-26004</v>
      </c>
      <c r="W414" s="7" t="s">
        <v>81</v>
      </c>
      <c r="X414" s="7"/>
      <c r="Y414" s="7"/>
      <c r="Z414" s="7" t="s">
        <v>922</v>
      </c>
      <c r="AA414" s="7" t="s">
        <v>39</v>
      </c>
      <c r="AB414" s="7"/>
      <c r="AC414" s="7" t="s">
        <v>570</v>
      </c>
    </row>
    <row r="415" spans="1:29" hidden="1" x14ac:dyDescent="0.25">
      <c r="A415" s="5">
        <v>410</v>
      </c>
      <c r="B415" s="5" t="s">
        <v>584</v>
      </c>
      <c r="C415" s="5" t="s">
        <v>77</v>
      </c>
      <c r="D415" s="5" t="s">
        <v>572</v>
      </c>
      <c r="E415" s="5">
        <v>20</v>
      </c>
      <c r="F415" s="5">
        <v>400</v>
      </c>
      <c r="G415" s="5">
        <v>780</v>
      </c>
      <c r="H415" s="5">
        <v>2</v>
      </c>
      <c r="I415" s="5">
        <v>47.98</v>
      </c>
      <c r="J415" s="5">
        <v>95.97</v>
      </c>
      <c r="K415" s="5" t="s">
        <v>568</v>
      </c>
      <c r="L415" s="5" t="s">
        <v>569</v>
      </c>
      <c r="M415" s="7"/>
      <c r="N415" s="7" t="s">
        <v>228</v>
      </c>
      <c r="O415" s="7"/>
      <c r="P415" s="7"/>
      <c r="Q415" s="7">
        <v>1</v>
      </c>
      <c r="R415" s="8" t="s">
        <v>37</v>
      </c>
      <c r="S415" s="7"/>
      <c r="T415" s="7" t="s">
        <v>38</v>
      </c>
      <c r="U415" s="7"/>
      <c r="V415" s="7" t="str">
        <f t="shared" si="6"/>
        <v>TCTN.DNS-26004</v>
      </c>
      <c r="W415" s="7"/>
      <c r="X415" s="7" t="s">
        <v>81</v>
      </c>
      <c r="Y415" s="7"/>
      <c r="Z415" s="7" t="s">
        <v>922</v>
      </c>
      <c r="AA415" s="7" t="s">
        <v>39</v>
      </c>
      <c r="AB415" s="7"/>
      <c r="AC415" s="7" t="s">
        <v>570</v>
      </c>
    </row>
    <row r="416" spans="1:29" hidden="1" x14ac:dyDescent="0.25">
      <c r="A416" s="5">
        <v>411</v>
      </c>
      <c r="B416" s="5" t="s">
        <v>585</v>
      </c>
      <c r="C416" s="5" t="s">
        <v>77</v>
      </c>
      <c r="D416" s="5" t="s">
        <v>578</v>
      </c>
      <c r="E416" s="5">
        <v>20</v>
      </c>
      <c r="F416" s="5">
        <v>175</v>
      </c>
      <c r="G416" s="5">
        <v>180</v>
      </c>
      <c r="H416" s="5">
        <v>4</v>
      </c>
      <c r="I416" s="5">
        <v>4.4400000000000004</v>
      </c>
      <c r="J416" s="5">
        <v>17.760000000000002</v>
      </c>
      <c r="K416" s="5" t="s">
        <v>568</v>
      </c>
      <c r="L416" s="5" t="s">
        <v>569</v>
      </c>
      <c r="M416" s="7"/>
      <c r="N416" s="7" t="s">
        <v>228</v>
      </c>
      <c r="O416" s="7"/>
      <c r="P416" s="7"/>
      <c r="Q416" s="7">
        <v>1</v>
      </c>
      <c r="R416" s="8" t="s">
        <v>37</v>
      </c>
      <c r="S416" s="7"/>
      <c r="T416" s="7" t="s">
        <v>38</v>
      </c>
      <c r="U416" s="7"/>
      <c r="V416" s="7" t="str">
        <f t="shared" si="6"/>
        <v>TCTN.DNS-26004</v>
      </c>
      <c r="W416" s="7"/>
      <c r="X416" s="7" t="s">
        <v>81</v>
      </c>
      <c r="Y416" s="7"/>
      <c r="Z416" s="7" t="s">
        <v>922</v>
      </c>
      <c r="AA416" s="7" t="s">
        <v>39</v>
      </c>
      <c r="AB416" s="7"/>
      <c r="AC416" s="7" t="s">
        <v>570</v>
      </c>
    </row>
    <row r="417" spans="1:29" hidden="1" x14ac:dyDescent="0.25">
      <c r="A417" s="5">
        <v>412</v>
      </c>
      <c r="B417" s="5" t="s">
        <v>586</v>
      </c>
      <c r="C417" s="5" t="s">
        <v>77</v>
      </c>
      <c r="D417" s="5" t="s">
        <v>580</v>
      </c>
      <c r="E417" s="5">
        <v>20</v>
      </c>
      <c r="F417" s="5">
        <v>180</v>
      </c>
      <c r="G417" s="5">
        <v>300</v>
      </c>
      <c r="H417" s="5">
        <v>1</v>
      </c>
      <c r="I417" s="5">
        <v>8.48</v>
      </c>
      <c r="J417" s="5">
        <v>8.48</v>
      </c>
      <c r="K417" s="5" t="s">
        <v>568</v>
      </c>
      <c r="L417" s="5" t="s">
        <v>569</v>
      </c>
      <c r="M417" s="7"/>
      <c r="N417" s="7"/>
      <c r="O417" s="7"/>
      <c r="P417" s="7"/>
      <c r="Q417" s="7">
        <v>1</v>
      </c>
      <c r="R417" s="8" t="s">
        <v>37</v>
      </c>
      <c r="S417" s="7"/>
      <c r="T417" s="7" t="s">
        <v>38</v>
      </c>
      <c r="U417" s="7"/>
      <c r="V417" s="7" t="str">
        <f t="shared" si="6"/>
        <v>TCTN.DNS-26004</v>
      </c>
      <c r="W417" s="7" t="s">
        <v>81</v>
      </c>
      <c r="X417" s="7"/>
      <c r="Y417" s="7"/>
      <c r="Z417" s="7" t="s">
        <v>922</v>
      </c>
      <c r="AA417" s="7" t="s">
        <v>39</v>
      </c>
      <c r="AB417" s="7"/>
      <c r="AC417" s="7" t="s">
        <v>570</v>
      </c>
    </row>
    <row r="418" spans="1:29" hidden="1" x14ac:dyDescent="0.25">
      <c r="A418" s="5">
        <v>413</v>
      </c>
      <c r="B418" s="5" t="s">
        <v>587</v>
      </c>
      <c r="C418" s="5" t="s">
        <v>77</v>
      </c>
      <c r="D418" s="5" t="s">
        <v>588</v>
      </c>
      <c r="E418" s="5">
        <v>20</v>
      </c>
      <c r="F418" s="5">
        <v>326</v>
      </c>
      <c r="G418" s="5">
        <v>500</v>
      </c>
      <c r="H418" s="5">
        <v>2</v>
      </c>
      <c r="I418" s="5">
        <v>21.2</v>
      </c>
      <c r="J418" s="5">
        <v>42.39</v>
      </c>
      <c r="K418" s="5" t="s">
        <v>568</v>
      </c>
      <c r="L418" s="5" t="s">
        <v>569</v>
      </c>
      <c r="M418" s="7"/>
      <c r="N418" s="7"/>
      <c r="O418" s="7"/>
      <c r="P418" s="7"/>
      <c r="Q418" s="7">
        <v>1</v>
      </c>
      <c r="R418" s="8" t="s">
        <v>37</v>
      </c>
      <c r="S418" s="7"/>
      <c r="T418" s="7" t="s">
        <v>38</v>
      </c>
      <c r="U418" s="7"/>
      <c r="V418" s="7" t="str">
        <f t="shared" si="6"/>
        <v>TCTN.DNS-26004</v>
      </c>
      <c r="W418" s="7" t="s">
        <v>81</v>
      </c>
      <c r="X418" s="7"/>
      <c r="Y418" s="7"/>
      <c r="Z418" s="7" t="s">
        <v>922</v>
      </c>
      <c r="AA418" s="7" t="s">
        <v>39</v>
      </c>
      <c r="AB418" s="7"/>
      <c r="AC418" s="7" t="s">
        <v>570</v>
      </c>
    </row>
    <row r="419" spans="1:29" hidden="1" x14ac:dyDescent="0.25">
      <c r="A419" s="5">
        <v>414</v>
      </c>
      <c r="B419" s="5" t="s">
        <v>589</v>
      </c>
      <c r="C419" s="5" t="s">
        <v>77</v>
      </c>
      <c r="D419" s="5" t="s">
        <v>588</v>
      </c>
      <c r="E419" s="5">
        <v>20</v>
      </c>
      <c r="F419" s="5">
        <v>326</v>
      </c>
      <c r="G419" s="5">
        <v>500</v>
      </c>
      <c r="H419" s="5">
        <v>2</v>
      </c>
      <c r="I419" s="5">
        <v>25.59</v>
      </c>
      <c r="J419" s="5">
        <v>51.18</v>
      </c>
      <c r="K419" s="5" t="s">
        <v>568</v>
      </c>
      <c r="L419" s="5" t="s">
        <v>569</v>
      </c>
      <c r="M419" s="7"/>
      <c r="N419" s="7"/>
      <c r="O419" s="7"/>
      <c r="P419" s="7"/>
      <c r="Q419" s="7">
        <v>1</v>
      </c>
      <c r="R419" s="8" t="s">
        <v>37</v>
      </c>
      <c r="S419" s="7"/>
      <c r="T419" s="7" t="s">
        <v>38</v>
      </c>
      <c r="U419" s="7"/>
      <c r="V419" s="7" t="str">
        <f t="shared" si="6"/>
        <v>TCTN.DNS-26004</v>
      </c>
      <c r="W419" s="7" t="s">
        <v>81</v>
      </c>
      <c r="X419" s="7"/>
      <c r="Y419" s="7"/>
      <c r="Z419" s="7" t="s">
        <v>922</v>
      </c>
      <c r="AA419" s="7" t="s">
        <v>39</v>
      </c>
      <c r="AB419" s="7"/>
      <c r="AC419" s="7" t="s">
        <v>570</v>
      </c>
    </row>
    <row r="420" spans="1:29" hidden="1" x14ac:dyDescent="0.25">
      <c r="A420" s="5">
        <v>415</v>
      </c>
      <c r="B420" s="5" t="s">
        <v>590</v>
      </c>
      <c r="C420" s="5" t="s">
        <v>77</v>
      </c>
      <c r="D420" s="5" t="s">
        <v>583</v>
      </c>
      <c r="E420" s="5">
        <v>20</v>
      </c>
      <c r="F420" s="5">
        <v>200</v>
      </c>
      <c r="G420" s="5">
        <v>200</v>
      </c>
      <c r="H420" s="5">
        <v>2</v>
      </c>
      <c r="I420" s="5">
        <v>6.28</v>
      </c>
      <c r="J420" s="5">
        <v>12.56</v>
      </c>
      <c r="K420" s="5" t="s">
        <v>568</v>
      </c>
      <c r="L420" s="5" t="s">
        <v>569</v>
      </c>
      <c r="M420" s="7"/>
      <c r="N420" s="7"/>
      <c r="O420" s="7"/>
      <c r="P420" s="7"/>
      <c r="Q420" s="7">
        <v>1</v>
      </c>
      <c r="R420" s="8" t="s">
        <v>37</v>
      </c>
      <c r="S420" s="7"/>
      <c r="T420" s="7" t="s">
        <v>38</v>
      </c>
      <c r="U420" s="7"/>
      <c r="V420" s="7" t="str">
        <f t="shared" si="6"/>
        <v>TCTN.DNS-26004</v>
      </c>
      <c r="W420" s="7" t="s">
        <v>81</v>
      </c>
      <c r="X420" s="7"/>
      <c r="Y420" s="7"/>
      <c r="Z420" s="7" t="s">
        <v>922</v>
      </c>
      <c r="AA420" s="7" t="s">
        <v>39</v>
      </c>
      <c r="AB420" s="7"/>
      <c r="AC420" s="7" t="s">
        <v>570</v>
      </c>
    </row>
    <row r="421" spans="1:29" hidden="1" x14ac:dyDescent="0.25">
      <c r="A421" s="5">
        <v>416</v>
      </c>
      <c r="B421" s="5" t="s">
        <v>591</v>
      </c>
      <c r="C421" s="5" t="s">
        <v>77</v>
      </c>
      <c r="D421" s="5" t="s">
        <v>592</v>
      </c>
      <c r="E421" s="5">
        <v>20</v>
      </c>
      <c r="F421" s="5">
        <v>326</v>
      </c>
      <c r="G421" s="5">
        <v>550</v>
      </c>
      <c r="H421" s="5">
        <v>4</v>
      </c>
      <c r="I421" s="5">
        <v>24.94</v>
      </c>
      <c r="J421" s="5">
        <v>99.78</v>
      </c>
      <c r="K421" s="5" t="s">
        <v>568</v>
      </c>
      <c r="L421" s="5" t="s">
        <v>569</v>
      </c>
      <c r="M421" s="7"/>
      <c r="N421" s="7" t="s">
        <v>228</v>
      </c>
      <c r="O421" s="7"/>
      <c r="P421" s="7"/>
      <c r="Q421" s="7">
        <v>1</v>
      </c>
      <c r="R421" s="8" t="s">
        <v>37</v>
      </c>
      <c r="S421" s="7"/>
      <c r="T421" s="7" t="s">
        <v>38</v>
      </c>
      <c r="U421" s="7"/>
      <c r="V421" s="7" t="str">
        <f t="shared" si="6"/>
        <v>TCTN.DNS-26004</v>
      </c>
      <c r="W421" s="7"/>
      <c r="X421" s="7" t="s">
        <v>81</v>
      </c>
      <c r="Y421" s="7"/>
      <c r="Z421" s="7" t="s">
        <v>922</v>
      </c>
      <c r="AA421" s="7" t="s">
        <v>39</v>
      </c>
      <c r="AB421" s="7"/>
      <c r="AC421" s="7" t="s">
        <v>570</v>
      </c>
    </row>
    <row r="422" spans="1:29" hidden="1" x14ac:dyDescent="0.25">
      <c r="A422" s="5">
        <v>417</v>
      </c>
      <c r="B422" s="5" t="s">
        <v>593</v>
      </c>
      <c r="C422" s="5" t="s">
        <v>77</v>
      </c>
      <c r="D422" s="5" t="s">
        <v>592</v>
      </c>
      <c r="E422" s="5">
        <v>20</v>
      </c>
      <c r="F422" s="5">
        <v>326</v>
      </c>
      <c r="G422" s="5">
        <v>550</v>
      </c>
      <c r="H422" s="5">
        <v>4</v>
      </c>
      <c r="I422" s="5">
        <v>28.15</v>
      </c>
      <c r="J422" s="5">
        <v>112.6</v>
      </c>
      <c r="K422" s="5" t="s">
        <v>568</v>
      </c>
      <c r="L422" s="5" t="s">
        <v>569</v>
      </c>
      <c r="M422" s="7"/>
      <c r="N422" s="7"/>
      <c r="O422" s="7"/>
      <c r="P422" s="7"/>
      <c r="Q422" s="7">
        <v>1</v>
      </c>
      <c r="R422" s="8" t="s">
        <v>37</v>
      </c>
      <c r="S422" s="7"/>
      <c r="T422" s="7" t="s">
        <v>38</v>
      </c>
      <c r="U422" s="7"/>
      <c r="V422" s="7" t="str">
        <f t="shared" si="6"/>
        <v>TCTN.DNS-26004</v>
      </c>
      <c r="W422" s="7" t="s">
        <v>81</v>
      </c>
      <c r="X422" s="7"/>
      <c r="Y422" s="7"/>
      <c r="Z422" s="7" t="s">
        <v>922</v>
      </c>
      <c r="AA422" s="7" t="s">
        <v>39</v>
      </c>
      <c r="AB422" s="7"/>
      <c r="AC422" s="7" t="s">
        <v>570</v>
      </c>
    </row>
    <row r="423" spans="1:29" hidden="1" x14ac:dyDescent="0.25">
      <c r="A423" s="5">
        <v>418</v>
      </c>
      <c r="B423" s="5" t="s">
        <v>594</v>
      </c>
      <c r="C423" s="5" t="s">
        <v>77</v>
      </c>
      <c r="D423" s="5" t="s">
        <v>572</v>
      </c>
      <c r="E423" s="5">
        <v>20</v>
      </c>
      <c r="F423" s="5">
        <v>400</v>
      </c>
      <c r="G423" s="5">
        <v>780</v>
      </c>
      <c r="H423" s="5">
        <v>4</v>
      </c>
      <c r="I423" s="5">
        <v>47.98</v>
      </c>
      <c r="J423" s="5">
        <v>191.93</v>
      </c>
      <c r="K423" s="5" t="s">
        <v>568</v>
      </c>
      <c r="L423" s="5" t="s">
        <v>569</v>
      </c>
      <c r="M423" s="7"/>
      <c r="N423" s="7" t="s">
        <v>228</v>
      </c>
      <c r="O423" s="7"/>
      <c r="P423" s="7"/>
      <c r="Q423" s="7">
        <v>1</v>
      </c>
      <c r="R423" s="8" t="s">
        <v>37</v>
      </c>
      <c r="S423" s="7"/>
      <c r="T423" s="7" t="s">
        <v>38</v>
      </c>
      <c r="U423" s="7"/>
      <c r="V423" s="7" t="str">
        <f t="shared" si="6"/>
        <v>TCTN.DNS-26004</v>
      </c>
      <c r="W423" s="7"/>
      <c r="X423" s="7" t="s">
        <v>81</v>
      </c>
      <c r="Y423" s="7"/>
      <c r="Z423" s="7" t="s">
        <v>922</v>
      </c>
      <c r="AA423" s="7" t="s">
        <v>39</v>
      </c>
      <c r="AB423" s="7"/>
      <c r="AC423" s="7" t="s">
        <v>570</v>
      </c>
    </row>
    <row r="424" spans="1:29" hidden="1" x14ac:dyDescent="0.25">
      <c r="A424" s="5">
        <v>419</v>
      </c>
      <c r="B424" s="5" t="s">
        <v>595</v>
      </c>
      <c r="C424" s="5" t="s">
        <v>77</v>
      </c>
      <c r="D424" s="5" t="s">
        <v>576</v>
      </c>
      <c r="E424" s="5">
        <v>20</v>
      </c>
      <c r="F424" s="5">
        <v>326</v>
      </c>
      <c r="G424" s="5">
        <v>525</v>
      </c>
      <c r="H424" s="5">
        <v>4</v>
      </c>
      <c r="I424" s="5">
        <v>23.66</v>
      </c>
      <c r="J424" s="5">
        <v>94.66</v>
      </c>
      <c r="K424" s="5" t="s">
        <v>568</v>
      </c>
      <c r="L424" s="5" t="s">
        <v>569</v>
      </c>
      <c r="M424" s="7"/>
      <c r="N424" s="7" t="s">
        <v>228</v>
      </c>
      <c r="O424" s="7"/>
      <c r="P424" s="7"/>
      <c r="Q424" s="7">
        <v>1</v>
      </c>
      <c r="R424" s="8" t="s">
        <v>37</v>
      </c>
      <c r="S424" s="7"/>
      <c r="T424" s="7" t="s">
        <v>38</v>
      </c>
      <c r="U424" s="7"/>
      <c r="V424" s="7" t="str">
        <f t="shared" si="6"/>
        <v>TCTN.DNS-26004</v>
      </c>
      <c r="W424" s="7"/>
      <c r="X424" s="7" t="s">
        <v>81</v>
      </c>
      <c r="Y424" s="7"/>
      <c r="Z424" s="7" t="s">
        <v>922</v>
      </c>
      <c r="AA424" s="7" t="s">
        <v>39</v>
      </c>
      <c r="AB424" s="7"/>
      <c r="AC424" s="7" t="s">
        <v>570</v>
      </c>
    </row>
    <row r="425" spans="1:29" hidden="1" x14ac:dyDescent="0.25">
      <c r="A425" s="5">
        <v>420</v>
      </c>
      <c r="B425" s="5" t="s">
        <v>596</v>
      </c>
      <c r="C425" s="5" t="s">
        <v>77</v>
      </c>
      <c r="D425" s="5" t="s">
        <v>578</v>
      </c>
      <c r="E425" s="5">
        <v>20</v>
      </c>
      <c r="F425" s="5">
        <v>175</v>
      </c>
      <c r="G425" s="5">
        <v>180</v>
      </c>
      <c r="H425" s="5">
        <v>8</v>
      </c>
      <c r="I425" s="5">
        <v>4.4400000000000004</v>
      </c>
      <c r="J425" s="5">
        <v>35.51</v>
      </c>
      <c r="K425" s="5" t="s">
        <v>568</v>
      </c>
      <c r="L425" s="5" t="s">
        <v>569</v>
      </c>
      <c r="M425" s="7"/>
      <c r="N425" s="7" t="s">
        <v>228</v>
      </c>
      <c r="O425" s="7"/>
      <c r="P425" s="7"/>
      <c r="Q425" s="7">
        <v>1</v>
      </c>
      <c r="R425" s="8" t="s">
        <v>37</v>
      </c>
      <c r="S425" s="7"/>
      <c r="T425" s="7" t="s">
        <v>38</v>
      </c>
      <c r="U425" s="7"/>
      <c r="V425" s="7" t="str">
        <f t="shared" si="6"/>
        <v>TCTN.DNS-26004</v>
      </c>
      <c r="W425" s="7"/>
      <c r="X425" s="7" t="s">
        <v>81</v>
      </c>
      <c r="Y425" s="7"/>
      <c r="Z425" s="7" t="s">
        <v>922</v>
      </c>
      <c r="AA425" s="7" t="s">
        <v>39</v>
      </c>
      <c r="AB425" s="7"/>
      <c r="AC425" s="7" t="s">
        <v>570</v>
      </c>
    </row>
    <row r="426" spans="1:29" hidden="1" x14ac:dyDescent="0.25">
      <c r="A426" s="5">
        <v>421</v>
      </c>
      <c r="B426" s="5" t="s">
        <v>597</v>
      </c>
      <c r="C426" s="5" t="s">
        <v>77</v>
      </c>
      <c r="D426" s="5" t="s">
        <v>580</v>
      </c>
      <c r="E426" s="5">
        <v>20</v>
      </c>
      <c r="F426" s="5">
        <v>180</v>
      </c>
      <c r="G426" s="5">
        <v>300</v>
      </c>
      <c r="H426" s="5">
        <v>1</v>
      </c>
      <c r="I426" s="5">
        <v>8.48</v>
      </c>
      <c r="J426" s="5">
        <v>8.48</v>
      </c>
      <c r="K426" s="5" t="s">
        <v>568</v>
      </c>
      <c r="L426" s="5" t="s">
        <v>569</v>
      </c>
      <c r="M426" s="7"/>
      <c r="N426" s="7"/>
      <c r="O426" s="7"/>
      <c r="P426" s="7"/>
      <c r="Q426" s="7">
        <v>1</v>
      </c>
      <c r="R426" s="8" t="s">
        <v>37</v>
      </c>
      <c r="S426" s="7"/>
      <c r="T426" s="7" t="s">
        <v>38</v>
      </c>
      <c r="U426" s="7"/>
      <c r="V426" s="7" t="str">
        <f t="shared" si="6"/>
        <v>TCTN.DNS-26004</v>
      </c>
      <c r="W426" s="7" t="s">
        <v>81</v>
      </c>
      <c r="X426" s="7"/>
      <c r="Y426" s="7"/>
      <c r="Z426" s="7" t="s">
        <v>922</v>
      </c>
      <c r="AA426" s="7" t="s">
        <v>39</v>
      </c>
      <c r="AB426" s="7"/>
      <c r="AC426" s="7" t="s">
        <v>570</v>
      </c>
    </row>
    <row r="427" spans="1:29" hidden="1" x14ac:dyDescent="0.25">
      <c r="A427" s="5">
        <v>422</v>
      </c>
      <c r="B427" s="5" t="s">
        <v>598</v>
      </c>
      <c r="C427" s="5" t="s">
        <v>77</v>
      </c>
      <c r="D427" s="5" t="s">
        <v>576</v>
      </c>
      <c r="E427" s="5">
        <v>20</v>
      </c>
      <c r="F427" s="5">
        <v>326</v>
      </c>
      <c r="G427" s="5">
        <v>525</v>
      </c>
      <c r="H427" s="5">
        <v>4</v>
      </c>
      <c r="I427" s="5">
        <v>26.87</v>
      </c>
      <c r="J427" s="5">
        <v>107.48</v>
      </c>
      <c r="K427" s="5" t="s">
        <v>568</v>
      </c>
      <c r="L427" s="5" t="s">
        <v>569</v>
      </c>
      <c r="M427" s="7"/>
      <c r="N427" s="7"/>
      <c r="O427" s="7"/>
      <c r="P427" s="7"/>
      <c r="Q427" s="7">
        <v>1</v>
      </c>
      <c r="R427" s="8" t="s">
        <v>37</v>
      </c>
      <c r="S427" s="7"/>
      <c r="T427" s="7" t="s">
        <v>38</v>
      </c>
      <c r="U427" s="7"/>
      <c r="V427" s="7" t="str">
        <f t="shared" si="6"/>
        <v>TCTN.DNS-26004</v>
      </c>
      <c r="W427" s="7" t="s">
        <v>81</v>
      </c>
      <c r="X427" s="7"/>
      <c r="Y427" s="7"/>
      <c r="Z427" s="7" t="s">
        <v>922</v>
      </c>
      <c r="AA427" s="7" t="s">
        <v>39</v>
      </c>
      <c r="AB427" s="7"/>
      <c r="AC427" s="7" t="s">
        <v>570</v>
      </c>
    </row>
    <row r="428" spans="1:29" hidden="1" x14ac:dyDescent="0.25">
      <c r="A428" s="5">
        <v>423</v>
      </c>
      <c r="B428" s="5" t="s">
        <v>599</v>
      </c>
      <c r="C428" s="5" t="s">
        <v>77</v>
      </c>
      <c r="D428" s="5" t="s">
        <v>583</v>
      </c>
      <c r="E428" s="5">
        <v>20</v>
      </c>
      <c r="F428" s="5">
        <v>200</v>
      </c>
      <c r="G428" s="5">
        <v>200</v>
      </c>
      <c r="H428" s="5">
        <v>2</v>
      </c>
      <c r="I428" s="5">
        <v>6.28</v>
      </c>
      <c r="J428" s="5">
        <v>12.56</v>
      </c>
      <c r="K428" s="5" t="s">
        <v>568</v>
      </c>
      <c r="L428" s="5" t="s">
        <v>569</v>
      </c>
      <c r="M428" s="7"/>
      <c r="N428" s="7"/>
      <c r="O428" s="7"/>
      <c r="P428" s="7"/>
      <c r="Q428" s="7">
        <v>1</v>
      </c>
      <c r="R428" s="8" t="s">
        <v>37</v>
      </c>
      <c r="S428" s="7"/>
      <c r="T428" s="7" t="s">
        <v>38</v>
      </c>
      <c r="U428" s="7"/>
      <c r="V428" s="7" t="str">
        <f t="shared" si="6"/>
        <v>TCTN.DNS-26004</v>
      </c>
      <c r="W428" s="7" t="s">
        <v>81</v>
      </c>
      <c r="X428" s="7"/>
      <c r="Y428" s="7"/>
      <c r="Z428" s="7" t="s">
        <v>922</v>
      </c>
      <c r="AA428" s="7" t="s">
        <v>39</v>
      </c>
      <c r="AB428" s="7"/>
      <c r="AC428" s="7" t="s">
        <v>570</v>
      </c>
    </row>
    <row r="429" spans="1:29" hidden="1" x14ac:dyDescent="0.25">
      <c r="A429" s="5">
        <v>424</v>
      </c>
      <c r="B429" s="5" t="s">
        <v>600</v>
      </c>
      <c r="C429" s="5" t="s">
        <v>77</v>
      </c>
      <c r="D429" s="5" t="s">
        <v>572</v>
      </c>
      <c r="E429" s="5">
        <v>20</v>
      </c>
      <c r="F429" s="5">
        <v>400</v>
      </c>
      <c r="G429" s="5">
        <v>780</v>
      </c>
      <c r="H429" s="5">
        <v>2</v>
      </c>
      <c r="I429" s="5">
        <v>47.98</v>
      </c>
      <c r="J429" s="5">
        <v>95.97</v>
      </c>
      <c r="K429" s="5" t="s">
        <v>568</v>
      </c>
      <c r="L429" s="5" t="s">
        <v>569</v>
      </c>
      <c r="M429" s="7"/>
      <c r="N429" s="7" t="s">
        <v>228</v>
      </c>
      <c r="O429" s="7"/>
      <c r="P429" s="7"/>
      <c r="Q429" s="7">
        <v>1</v>
      </c>
      <c r="R429" s="8" t="s">
        <v>37</v>
      </c>
      <c r="S429" s="7"/>
      <c r="T429" s="7" t="s">
        <v>38</v>
      </c>
      <c r="U429" s="7"/>
      <c r="V429" s="7" t="str">
        <f t="shared" si="6"/>
        <v>TCTN.DNS-26004</v>
      </c>
      <c r="W429" s="7"/>
      <c r="X429" s="7" t="s">
        <v>81</v>
      </c>
      <c r="Y429" s="7"/>
      <c r="Z429" s="7" t="s">
        <v>922</v>
      </c>
      <c r="AA429" s="7" t="s">
        <v>39</v>
      </c>
      <c r="AB429" s="7"/>
      <c r="AC429" s="7" t="s">
        <v>570</v>
      </c>
    </row>
    <row r="430" spans="1:29" hidden="1" x14ac:dyDescent="0.25">
      <c r="A430" s="5">
        <v>425</v>
      </c>
      <c r="B430" s="5" t="s">
        <v>601</v>
      </c>
      <c r="C430" s="5" t="s">
        <v>77</v>
      </c>
      <c r="D430" s="5" t="s">
        <v>578</v>
      </c>
      <c r="E430" s="5">
        <v>20</v>
      </c>
      <c r="F430" s="5">
        <v>175</v>
      </c>
      <c r="G430" s="5">
        <v>180</v>
      </c>
      <c r="H430" s="5">
        <v>4</v>
      </c>
      <c r="I430" s="5">
        <v>4.4400000000000004</v>
      </c>
      <c r="J430" s="5">
        <v>17.760000000000002</v>
      </c>
      <c r="K430" s="5" t="s">
        <v>568</v>
      </c>
      <c r="L430" s="5" t="s">
        <v>569</v>
      </c>
      <c r="M430" s="7"/>
      <c r="N430" s="7" t="s">
        <v>228</v>
      </c>
      <c r="O430" s="7"/>
      <c r="P430" s="7"/>
      <c r="Q430" s="7">
        <v>1</v>
      </c>
      <c r="R430" s="8" t="s">
        <v>37</v>
      </c>
      <c r="S430" s="7"/>
      <c r="T430" s="7" t="s">
        <v>38</v>
      </c>
      <c r="U430" s="7"/>
      <c r="V430" s="7" t="str">
        <f t="shared" si="6"/>
        <v>TCTN.DNS-26004</v>
      </c>
      <c r="W430" s="7"/>
      <c r="X430" s="7" t="s">
        <v>81</v>
      </c>
      <c r="Y430" s="7"/>
      <c r="Z430" s="7" t="s">
        <v>922</v>
      </c>
      <c r="AA430" s="7" t="s">
        <v>39</v>
      </c>
      <c r="AB430" s="7"/>
      <c r="AC430" s="7" t="s">
        <v>570</v>
      </c>
    </row>
    <row r="431" spans="1:29" hidden="1" x14ac:dyDescent="0.25">
      <c r="A431" s="5">
        <v>426</v>
      </c>
      <c r="B431" s="5" t="s">
        <v>602</v>
      </c>
      <c r="C431" s="5" t="s">
        <v>77</v>
      </c>
      <c r="D431" s="5" t="s">
        <v>580</v>
      </c>
      <c r="E431" s="5">
        <v>20</v>
      </c>
      <c r="F431" s="5">
        <v>180</v>
      </c>
      <c r="G431" s="5">
        <v>300</v>
      </c>
      <c r="H431" s="5">
        <v>1</v>
      </c>
      <c r="I431" s="5">
        <v>8.48</v>
      </c>
      <c r="J431" s="5">
        <v>8.48</v>
      </c>
      <c r="K431" s="5" t="s">
        <v>568</v>
      </c>
      <c r="L431" s="5" t="s">
        <v>569</v>
      </c>
      <c r="M431" s="7"/>
      <c r="N431" s="7"/>
      <c r="O431" s="7"/>
      <c r="P431" s="7"/>
      <c r="Q431" s="7">
        <v>1</v>
      </c>
      <c r="R431" s="8" t="s">
        <v>37</v>
      </c>
      <c r="S431" s="7"/>
      <c r="T431" s="7" t="s">
        <v>38</v>
      </c>
      <c r="U431" s="7"/>
      <c r="V431" s="7" t="str">
        <f t="shared" si="6"/>
        <v>TCTN.DNS-26004</v>
      </c>
      <c r="W431" s="7" t="s">
        <v>81</v>
      </c>
      <c r="X431" s="7"/>
      <c r="Y431" s="7"/>
      <c r="Z431" s="7" t="s">
        <v>922</v>
      </c>
      <c r="AA431" s="7" t="s">
        <v>39</v>
      </c>
      <c r="AB431" s="7"/>
      <c r="AC431" s="7" t="s">
        <v>570</v>
      </c>
    </row>
    <row r="432" spans="1:29" hidden="1" x14ac:dyDescent="0.25">
      <c r="A432" s="5">
        <v>427</v>
      </c>
      <c r="B432" s="5" t="s">
        <v>603</v>
      </c>
      <c r="C432" s="5" t="s">
        <v>77</v>
      </c>
      <c r="D432" s="5" t="s">
        <v>588</v>
      </c>
      <c r="E432" s="5">
        <v>20</v>
      </c>
      <c r="F432" s="5">
        <v>326</v>
      </c>
      <c r="G432" s="5">
        <v>500</v>
      </c>
      <c r="H432" s="5">
        <v>2</v>
      </c>
      <c r="I432" s="5">
        <v>21.2</v>
      </c>
      <c r="J432" s="5">
        <v>42.39</v>
      </c>
      <c r="K432" s="5" t="s">
        <v>568</v>
      </c>
      <c r="L432" s="5" t="s">
        <v>569</v>
      </c>
      <c r="M432" s="7"/>
      <c r="N432" s="7"/>
      <c r="O432" s="7"/>
      <c r="P432" s="7"/>
      <c r="Q432" s="7">
        <v>1</v>
      </c>
      <c r="R432" s="8" t="s">
        <v>37</v>
      </c>
      <c r="S432" s="7"/>
      <c r="T432" s="7" t="s">
        <v>38</v>
      </c>
      <c r="U432" s="7"/>
      <c r="V432" s="7" t="str">
        <f t="shared" si="6"/>
        <v>TCTN.DNS-26004</v>
      </c>
      <c r="W432" s="7" t="s">
        <v>81</v>
      </c>
      <c r="X432" s="7"/>
      <c r="Y432" s="7"/>
      <c r="Z432" s="7" t="s">
        <v>922</v>
      </c>
      <c r="AA432" s="7" t="s">
        <v>39</v>
      </c>
      <c r="AB432" s="7"/>
      <c r="AC432" s="7" t="s">
        <v>570</v>
      </c>
    </row>
    <row r="433" spans="1:29" hidden="1" x14ac:dyDescent="0.25">
      <c r="A433" s="5">
        <v>428</v>
      </c>
      <c r="B433" s="5" t="s">
        <v>604</v>
      </c>
      <c r="C433" s="5" t="s">
        <v>77</v>
      </c>
      <c r="D433" s="5" t="s">
        <v>588</v>
      </c>
      <c r="E433" s="5">
        <v>20</v>
      </c>
      <c r="F433" s="5">
        <v>326</v>
      </c>
      <c r="G433" s="5">
        <v>500</v>
      </c>
      <c r="H433" s="5">
        <v>2</v>
      </c>
      <c r="I433" s="5">
        <v>25.59</v>
      </c>
      <c r="J433" s="5">
        <v>51.18</v>
      </c>
      <c r="K433" s="5" t="s">
        <v>568</v>
      </c>
      <c r="L433" s="5" t="s">
        <v>569</v>
      </c>
      <c r="M433" s="7"/>
      <c r="N433" s="7"/>
      <c r="O433" s="7"/>
      <c r="P433" s="7"/>
      <c r="Q433" s="7">
        <v>1</v>
      </c>
      <c r="R433" s="8" t="s">
        <v>37</v>
      </c>
      <c r="S433" s="7"/>
      <c r="T433" s="7" t="s">
        <v>38</v>
      </c>
      <c r="U433" s="7"/>
      <c r="V433" s="7" t="str">
        <f t="shared" si="6"/>
        <v>TCTN.DNS-26004</v>
      </c>
      <c r="W433" s="7" t="s">
        <v>81</v>
      </c>
      <c r="X433" s="7"/>
      <c r="Y433" s="7"/>
      <c r="Z433" s="7" t="s">
        <v>922</v>
      </c>
      <c r="AA433" s="7" t="s">
        <v>39</v>
      </c>
      <c r="AB433" s="7"/>
      <c r="AC433" s="7" t="s">
        <v>570</v>
      </c>
    </row>
    <row r="434" spans="1:29" hidden="1" x14ac:dyDescent="0.25">
      <c r="A434" s="5">
        <v>429</v>
      </c>
      <c r="B434" s="5" t="s">
        <v>605</v>
      </c>
      <c r="C434" s="5" t="s">
        <v>77</v>
      </c>
      <c r="D434" s="5" t="s">
        <v>583</v>
      </c>
      <c r="E434" s="5">
        <v>20</v>
      </c>
      <c r="F434" s="5">
        <v>200</v>
      </c>
      <c r="G434" s="5">
        <v>200</v>
      </c>
      <c r="H434" s="5">
        <v>2</v>
      </c>
      <c r="I434" s="5">
        <v>6.28</v>
      </c>
      <c r="J434" s="5">
        <v>12.56</v>
      </c>
      <c r="K434" s="5" t="s">
        <v>568</v>
      </c>
      <c r="L434" s="5" t="s">
        <v>569</v>
      </c>
      <c r="M434" s="7"/>
      <c r="N434" s="7"/>
      <c r="O434" s="7"/>
      <c r="P434" s="7"/>
      <c r="Q434" s="7">
        <v>1</v>
      </c>
      <c r="R434" s="8" t="s">
        <v>37</v>
      </c>
      <c r="S434" s="7"/>
      <c r="T434" s="7" t="s">
        <v>38</v>
      </c>
      <c r="U434" s="7"/>
      <c r="V434" s="7" t="str">
        <f t="shared" si="6"/>
        <v>TCTN.DNS-26004</v>
      </c>
      <c r="W434" s="7" t="s">
        <v>81</v>
      </c>
      <c r="X434" s="7"/>
      <c r="Y434" s="7"/>
      <c r="Z434" s="7" t="s">
        <v>922</v>
      </c>
      <c r="AA434" s="7" t="s">
        <v>39</v>
      </c>
      <c r="AB434" s="7"/>
      <c r="AC434" s="7" t="s">
        <v>570</v>
      </c>
    </row>
    <row r="435" spans="1:29" hidden="1" x14ac:dyDescent="0.25">
      <c r="A435" s="5">
        <v>430</v>
      </c>
      <c r="B435" s="5" t="s">
        <v>606</v>
      </c>
      <c r="C435" s="5" t="s">
        <v>77</v>
      </c>
      <c r="D435" s="5" t="s">
        <v>592</v>
      </c>
      <c r="E435" s="5">
        <v>20</v>
      </c>
      <c r="F435" s="5">
        <v>326</v>
      </c>
      <c r="G435" s="5">
        <v>550</v>
      </c>
      <c r="H435" s="5">
        <v>4</v>
      </c>
      <c r="I435" s="5">
        <v>24.94</v>
      </c>
      <c r="J435" s="5">
        <v>99.78</v>
      </c>
      <c r="K435" s="5" t="s">
        <v>568</v>
      </c>
      <c r="L435" s="5" t="s">
        <v>569</v>
      </c>
      <c r="M435" s="7"/>
      <c r="N435" s="7" t="s">
        <v>228</v>
      </c>
      <c r="O435" s="7"/>
      <c r="P435" s="7"/>
      <c r="Q435" s="7">
        <v>1</v>
      </c>
      <c r="R435" s="8" t="s">
        <v>37</v>
      </c>
      <c r="S435" s="7"/>
      <c r="T435" s="7" t="s">
        <v>38</v>
      </c>
      <c r="U435" s="7"/>
      <c r="V435" s="7" t="str">
        <f t="shared" si="6"/>
        <v>TCTN.DNS-26004</v>
      </c>
      <c r="W435" s="7"/>
      <c r="X435" s="7" t="s">
        <v>81</v>
      </c>
      <c r="Y435" s="7"/>
      <c r="Z435" s="7" t="s">
        <v>922</v>
      </c>
      <c r="AA435" s="7" t="s">
        <v>39</v>
      </c>
      <c r="AB435" s="7"/>
      <c r="AC435" s="7" t="s">
        <v>570</v>
      </c>
    </row>
    <row r="436" spans="1:29" hidden="1" x14ac:dyDescent="0.25">
      <c r="A436" s="5">
        <v>431</v>
      </c>
      <c r="B436" s="5" t="s">
        <v>607</v>
      </c>
      <c r="C436" s="5" t="s">
        <v>77</v>
      </c>
      <c r="D436" s="5" t="s">
        <v>592</v>
      </c>
      <c r="E436" s="5">
        <v>20</v>
      </c>
      <c r="F436" s="5">
        <v>326</v>
      </c>
      <c r="G436" s="5">
        <v>550</v>
      </c>
      <c r="H436" s="5">
        <v>4</v>
      </c>
      <c r="I436" s="5">
        <v>28.15</v>
      </c>
      <c r="J436" s="5">
        <v>112.6</v>
      </c>
      <c r="K436" s="5" t="s">
        <v>568</v>
      </c>
      <c r="L436" s="5" t="s">
        <v>569</v>
      </c>
      <c r="M436" s="7"/>
      <c r="N436" s="7"/>
      <c r="O436" s="7"/>
      <c r="P436" s="7"/>
      <c r="Q436" s="7">
        <v>1</v>
      </c>
      <c r="R436" s="8" t="s">
        <v>37</v>
      </c>
      <c r="S436" s="7"/>
      <c r="T436" s="7" t="s">
        <v>38</v>
      </c>
      <c r="U436" s="7"/>
      <c r="V436" s="7" t="str">
        <f t="shared" si="6"/>
        <v>TCTN.DNS-26004</v>
      </c>
      <c r="W436" s="7" t="s">
        <v>81</v>
      </c>
      <c r="X436" s="7"/>
      <c r="Y436" s="7"/>
      <c r="Z436" s="7" t="s">
        <v>922</v>
      </c>
      <c r="AA436" s="7" t="s">
        <v>39</v>
      </c>
      <c r="AB436" s="7"/>
      <c r="AC436" s="7" t="s">
        <v>570</v>
      </c>
    </row>
    <row r="437" spans="1:29" hidden="1" x14ac:dyDescent="0.25">
      <c r="A437" s="5">
        <v>432</v>
      </c>
      <c r="B437" s="5" t="s">
        <v>608</v>
      </c>
      <c r="C437" s="5" t="s">
        <v>77</v>
      </c>
      <c r="D437" s="5" t="s">
        <v>609</v>
      </c>
      <c r="E437" s="5">
        <v>20</v>
      </c>
      <c r="F437" s="5">
        <v>348</v>
      </c>
      <c r="G437" s="5">
        <v>350</v>
      </c>
      <c r="H437" s="5">
        <v>2</v>
      </c>
      <c r="I437" s="5">
        <v>14.42</v>
      </c>
      <c r="J437" s="5">
        <v>28.83</v>
      </c>
      <c r="K437" s="5" t="s">
        <v>568</v>
      </c>
      <c r="L437" s="5" t="s">
        <v>569</v>
      </c>
      <c r="M437" s="7"/>
      <c r="N437" s="7" t="s">
        <v>228</v>
      </c>
      <c r="O437" s="7"/>
      <c r="P437" s="7"/>
      <c r="Q437" s="7">
        <v>1</v>
      </c>
      <c r="R437" s="8" t="s">
        <v>37</v>
      </c>
      <c r="S437" s="7"/>
      <c r="T437" s="7" t="s">
        <v>38</v>
      </c>
      <c r="U437" s="7"/>
      <c r="V437" s="7" t="str">
        <f t="shared" si="6"/>
        <v>TCTN.DNS-26004</v>
      </c>
      <c r="W437" s="7"/>
      <c r="X437" s="7" t="s">
        <v>81</v>
      </c>
      <c r="Y437" s="7"/>
      <c r="Z437" s="7" t="s">
        <v>922</v>
      </c>
      <c r="AA437" s="7" t="s">
        <v>39</v>
      </c>
      <c r="AB437" s="7"/>
      <c r="AC437" s="7" t="s">
        <v>570</v>
      </c>
    </row>
    <row r="438" spans="1:29" hidden="1" x14ac:dyDescent="0.25">
      <c r="A438" s="5">
        <v>433</v>
      </c>
      <c r="B438" s="5" t="s">
        <v>610</v>
      </c>
      <c r="C438" s="5" t="s">
        <v>77</v>
      </c>
      <c r="D438" s="5" t="s">
        <v>567</v>
      </c>
      <c r="E438" s="5">
        <v>20</v>
      </c>
      <c r="F438" s="5">
        <v>240</v>
      </c>
      <c r="G438" s="5">
        <v>250</v>
      </c>
      <c r="H438" s="5">
        <v>12</v>
      </c>
      <c r="I438" s="5">
        <v>6.68</v>
      </c>
      <c r="J438" s="5">
        <v>80.11</v>
      </c>
      <c r="K438" s="5" t="s">
        <v>568</v>
      </c>
      <c r="L438" s="5" t="s">
        <v>569</v>
      </c>
      <c r="M438" s="7"/>
      <c r="N438" s="7" t="s">
        <v>228</v>
      </c>
      <c r="O438" s="7"/>
      <c r="P438" s="7"/>
      <c r="Q438" s="7">
        <v>1</v>
      </c>
      <c r="R438" s="8" t="s">
        <v>37</v>
      </c>
      <c r="S438" s="7"/>
      <c r="T438" s="7" t="s">
        <v>38</v>
      </c>
      <c r="U438" s="7"/>
      <c r="V438" s="7" t="str">
        <f t="shared" si="6"/>
        <v>TCTN.DNS-26004</v>
      </c>
      <c r="W438" s="7"/>
      <c r="X438" s="7" t="s">
        <v>81</v>
      </c>
      <c r="Y438" s="7"/>
      <c r="Z438" s="7" t="s">
        <v>922</v>
      </c>
      <c r="AA438" s="7" t="s">
        <v>39</v>
      </c>
      <c r="AB438" s="7"/>
      <c r="AC438" s="7" t="s">
        <v>570</v>
      </c>
    </row>
    <row r="439" spans="1:29" hidden="1" x14ac:dyDescent="0.25">
      <c r="A439" s="5">
        <v>434</v>
      </c>
      <c r="B439" s="5" t="s">
        <v>611</v>
      </c>
      <c r="C439" s="5" t="s">
        <v>77</v>
      </c>
      <c r="D439" s="5" t="s">
        <v>609</v>
      </c>
      <c r="E439" s="5">
        <v>20</v>
      </c>
      <c r="F439" s="5">
        <v>348</v>
      </c>
      <c r="G439" s="5">
        <v>350</v>
      </c>
      <c r="H439" s="5">
        <v>4</v>
      </c>
      <c r="I439" s="5">
        <v>14.41</v>
      </c>
      <c r="J439" s="5">
        <v>57.65</v>
      </c>
      <c r="K439" s="5" t="s">
        <v>568</v>
      </c>
      <c r="L439" s="5" t="s">
        <v>569</v>
      </c>
      <c r="M439" s="7"/>
      <c r="N439" s="7" t="s">
        <v>228</v>
      </c>
      <c r="O439" s="7"/>
      <c r="P439" s="7"/>
      <c r="Q439" s="7">
        <v>1</v>
      </c>
      <c r="R439" s="8" t="s">
        <v>37</v>
      </c>
      <c r="S439" s="7"/>
      <c r="T439" s="7" t="s">
        <v>38</v>
      </c>
      <c r="U439" s="7"/>
      <c r="V439" s="7" t="str">
        <f t="shared" si="6"/>
        <v>TCTN.DNS-26004</v>
      </c>
      <c r="W439" s="7"/>
      <c r="X439" s="7" t="s">
        <v>81</v>
      </c>
      <c r="Y439" s="7"/>
      <c r="Z439" s="7" t="s">
        <v>922</v>
      </c>
      <c r="AA439" s="7" t="s">
        <v>39</v>
      </c>
      <c r="AB439" s="7"/>
      <c r="AC439" s="7" t="s">
        <v>570</v>
      </c>
    </row>
    <row r="440" spans="1:29" hidden="1" x14ac:dyDescent="0.25">
      <c r="A440" s="5">
        <v>435</v>
      </c>
      <c r="B440" s="5" t="s">
        <v>612</v>
      </c>
      <c r="C440" s="5" t="s">
        <v>77</v>
      </c>
      <c r="D440" s="5" t="s">
        <v>567</v>
      </c>
      <c r="E440" s="5">
        <v>20</v>
      </c>
      <c r="F440" s="5">
        <v>240</v>
      </c>
      <c r="G440" s="5">
        <v>250</v>
      </c>
      <c r="H440" s="5">
        <v>16</v>
      </c>
      <c r="I440" s="5">
        <v>6.68</v>
      </c>
      <c r="J440" s="5">
        <v>106.81</v>
      </c>
      <c r="K440" s="5" t="s">
        <v>568</v>
      </c>
      <c r="L440" s="5" t="s">
        <v>569</v>
      </c>
      <c r="M440" s="7"/>
      <c r="N440" s="7" t="s">
        <v>228</v>
      </c>
      <c r="O440" s="7"/>
      <c r="P440" s="7"/>
      <c r="Q440" s="7">
        <v>1</v>
      </c>
      <c r="R440" s="8" t="s">
        <v>37</v>
      </c>
      <c r="S440" s="7"/>
      <c r="T440" s="7" t="s">
        <v>38</v>
      </c>
      <c r="U440" s="7"/>
      <c r="V440" s="7" t="str">
        <f t="shared" si="6"/>
        <v>TCTN.DNS-26004</v>
      </c>
      <c r="W440" s="7"/>
      <c r="X440" s="7" t="s">
        <v>81</v>
      </c>
      <c r="Y440" s="7"/>
      <c r="Z440" s="7" t="s">
        <v>922</v>
      </c>
      <c r="AA440" s="7" t="s">
        <v>39</v>
      </c>
      <c r="AB440" s="7"/>
      <c r="AC440" s="7" t="s">
        <v>570</v>
      </c>
    </row>
    <row r="441" spans="1:29" hidden="1" x14ac:dyDescent="0.25">
      <c r="A441" s="5">
        <v>436</v>
      </c>
      <c r="B441" s="5" t="s">
        <v>613</v>
      </c>
      <c r="C441" s="5" t="s">
        <v>77</v>
      </c>
      <c r="D441" s="5" t="s">
        <v>609</v>
      </c>
      <c r="E441" s="5">
        <v>20</v>
      </c>
      <c r="F441" s="5">
        <v>348</v>
      </c>
      <c r="G441" s="5">
        <v>350</v>
      </c>
      <c r="H441" s="5">
        <v>2</v>
      </c>
      <c r="I441" s="5">
        <v>14.42</v>
      </c>
      <c r="J441" s="5">
        <v>28.83</v>
      </c>
      <c r="K441" s="5" t="s">
        <v>568</v>
      </c>
      <c r="L441" s="5" t="s">
        <v>569</v>
      </c>
      <c r="M441" s="7"/>
      <c r="N441" s="7" t="s">
        <v>228</v>
      </c>
      <c r="O441" s="7"/>
      <c r="P441" s="7"/>
      <c r="Q441" s="7">
        <v>1</v>
      </c>
      <c r="R441" s="8" t="s">
        <v>37</v>
      </c>
      <c r="S441" s="7"/>
      <c r="T441" s="7" t="s">
        <v>38</v>
      </c>
      <c r="U441" s="7"/>
      <c r="V441" s="7" t="str">
        <f t="shared" si="6"/>
        <v>TCTN.DNS-26004</v>
      </c>
      <c r="W441" s="7"/>
      <c r="X441" s="7" t="s">
        <v>81</v>
      </c>
      <c r="Y441" s="7"/>
      <c r="Z441" s="7" t="s">
        <v>922</v>
      </c>
      <c r="AA441" s="7" t="s">
        <v>39</v>
      </c>
      <c r="AB441" s="7"/>
      <c r="AC441" s="7" t="s">
        <v>570</v>
      </c>
    </row>
    <row r="442" spans="1:29" hidden="1" x14ac:dyDescent="0.25">
      <c r="A442" s="5">
        <v>437</v>
      </c>
      <c r="B442" s="5" t="s">
        <v>614</v>
      </c>
      <c r="C442" s="5" t="s">
        <v>77</v>
      </c>
      <c r="D442" s="5" t="s">
        <v>567</v>
      </c>
      <c r="E442" s="5">
        <v>20</v>
      </c>
      <c r="F442" s="5">
        <v>240</v>
      </c>
      <c r="G442" s="5">
        <v>250</v>
      </c>
      <c r="H442" s="5">
        <v>12</v>
      </c>
      <c r="I442" s="5">
        <v>6.68</v>
      </c>
      <c r="J442" s="5">
        <v>80.11</v>
      </c>
      <c r="K442" s="5" t="s">
        <v>568</v>
      </c>
      <c r="L442" s="5" t="s">
        <v>569</v>
      </c>
      <c r="M442" s="7"/>
      <c r="N442" s="7" t="s">
        <v>228</v>
      </c>
      <c r="O442" s="7"/>
      <c r="P442" s="7"/>
      <c r="Q442" s="7">
        <v>1</v>
      </c>
      <c r="R442" s="8" t="s">
        <v>37</v>
      </c>
      <c r="S442" s="7"/>
      <c r="T442" s="7" t="s">
        <v>38</v>
      </c>
      <c r="U442" s="7"/>
      <c r="V442" s="7" t="str">
        <f t="shared" si="6"/>
        <v>TCTN.DNS-26004</v>
      </c>
      <c r="W442" s="7"/>
      <c r="X442" s="7" t="s">
        <v>81</v>
      </c>
      <c r="Y442" s="7"/>
      <c r="Z442" s="7" t="s">
        <v>922</v>
      </c>
      <c r="AA442" s="7" t="s">
        <v>39</v>
      </c>
      <c r="AB442" s="7"/>
      <c r="AC442" s="7" t="s">
        <v>570</v>
      </c>
    </row>
    <row r="443" spans="1:29" hidden="1" x14ac:dyDescent="0.25">
      <c r="A443" s="5">
        <v>438</v>
      </c>
      <c r="B443" s="5" t="s">
        <v>615</v>
      </c>
      <c r="C443" s="5" t="s">
        <v>77</v>
      </c>
      <c r="D443" s="5" t="s">
        <v>567</v>
      </c>
      <c r="E443" s="5">
        <v>20</v>
      </c>
      <c r="F443" s="5">
        <v>240</v>
      </c>
      <c r="G443" s="5">
        <v>250</v>
      </c>
      <c r="H443" s="5">
        <v>8</v>
      </c>
      <c r="I443" s="5">
        <v>6.68</v>
      </c>
      <c r="J443" s="5">
        <v>53.41</v>
      </c>
      <c r="K443" s="5" t="s">
        <v>568</v>
      </c>
      <c r="L443" s="5" t="s">
        <v>569</v>
      </c>
      <c r="M443" s="7"/>
      <c r="N443" s="7" t="s">
        <v>228</v>
      </c>
      <c r="O443" s="7"/>
      <c r="P443" s="7"/>
      <c r="Q443" s="7">
        <v>1</v>
      </c>
      <c r="R443" s="8" t="s">
        <v>37</v>
      </c>
      <c r="S443" s="7"/>
      <c r="T443" s="7" t="s">
        <v>38</v>
      </c>
      <c r="U443" s="7"/>
      <c r="V443" s="7" t="str">
        <f t="shared" si="6"/>
        <v>TCTN.DNS-26004</v>
      </c>
      <c r="W443" s="7"/>
      <c r="X443" s="7" t="s">
        <v>81</v>
      </c>
      <c r="Y443" s="7"/>
      <c r="Z443" s="7" t="s">
        <v>922</v>
      </c>
      <c r="AA443" s="7" t="s">
        <v>39</v>
      </c>
      <c r="AB443" s="7"/>
      <c r="AC443" s="7" t="s">
        <v>570</v>
      </c>
    </row>
    <row r="444" spans="1:29" hidden="1" x14ac:dyDescent="0.25">
      <c r="A444" s="5">
        <v>439</v>
      </c>
      <c r="B444" s="5" t="s">
        <v>616</v>
      </c>
      <c r="C444" s="5" t="s">
        <v>77</v>
      </c>
      <c r="D444" s="5" t="s">
        <v>617</v>
      </c>
      <c r="E444" s="5">
        <v>20</v>
      </c>
      <c r="F444" s="5">
        <v>140</v>
      </c>
      <c r="G444" s="5">
        <v>200</v>
      </c>
      <c r="H444" s="5">
        <v>12</v>
      </c>
      <c r="I444" s="5">
        <v>3.81</v>
      </c>
      <c r="J444" s="5">
        <v>45.73</v>
      </c>
      <c r="K444" s="5" t="s">
        <v>568</v>
      </c>
      <c r="L444" s="5" t="s">
        <v>569</v>
      </c>
      <c r="M444" s="7"/>
      <c r="N444" s="7" t="s">
        <v>228</v>
      </c>
      <c r="O444" s="7"/>
      <c r="P444" s="7"/>
      <c r="Q444" s="7">
        <v>1</v>
      </c>
      <c r="R444" s="8" t="s">
        <v>37</v>
      </c>
      <c r="S444" s="7"/>
      <c r="T444" s="7" t="s">
        <v>38</v>
      </c>
      <c r="U444" s="7"/>
      <c r="V444" s="7" t="str">
        <f t="shared" si="6"/>
        <v>TCTN.DNS-26004</v>
      </c>
      <c r="W444" s="7"/>
      <c r="X444" s="7" t="s">
        <v>81</v>
      </c>
      <c r="Y444" s="7"/>
      <c r="Z444" s="7" t="s">
        <v>922</v>
      </c>
      <c r="AA444" s="7" t="s">
        <v>39</v>
      </c>
      <c r="AB444" s="7"/>
      <c r="AC444" s="7" t="s">
        <v>570</v>
      </c>
    </row>
    <row r="445" spans="1:29" hidden="1" x14ac:dyDescent="0.25">
      <c r="A445" s="5">
        <v>440</v>
      </c>
      <c r="B445" s="5" t="s">
        <v>618</v>
      </c>
      <c r="C445" s="5" t="s">
        <v>77</v>
      </c>
      <c r="D445" s="5" t="s">
        <v>617</v>
      </c>
      <c r="E445" s="5">
        <v>20</v>
      </c>
      <c r="F445" s="5">
        <v>140</v>
      </c>
      <c r="G445" s="5">
        <v>200</v>
      </c>
      <c r="H445" s="5">
        <v>8</v>
      </c>
      <c r="I445" s="5">
        <v>3.81</v>
      </c>
      <c r="J445" s="5">
        <v>30.49</v>
      </c>
      <c r="K445" s="5" t="s">
        <v>568</v>
      </c>
      <c r="L445" s="5" t="s">
        <v>569</v>
      </c>
      <c r="M445" s="7"/>
      <c r="N445" s="7" t="s">
        <v>228</v>
      </c>
      <c r="O445" s="7"/>
      <c r="P445" s="7"/>
      <c r="Q445" s="7">
        <v>1</v>
      </c>
      <c r="R445" s="8" t="s">
        <v>37</v>
      </c>
      <c r="S445" s="7"/>
      <c r="T445" s="7" t="s">
        <v>38</v>
      </c>
      <c r="U445" s="7"/>
      <c r="V445" s="7" t="str">
        <f t="shared" si="6"/>
        <v>TCTN.DNS-26004</v>
      </c>
      <c r="W445" s="7"/>
      <c r="X445" s="7" t="s">
        <v>81</v>
      </c>
      <c r="Y445" s="7"/>
      <c r="Z445" s="7" t="s">
        <v>922</v>
      </c>
      <c r="AA445" s="7" t="s">
        <v>39</v>
      </c>
      <c r="AB445" s="7"/>
      <c r="AC445" s="7" t="s">
        <v>570</v>
      </c>
    </row>
    <row r="446" spans="1:29" hidden="1" x14ac:dyDescent="0.25">
      <c r="A446" s="5">
        <v>441</v>
      </c>
      <c r="B446" s="5" t="s">
        <v>619</v>
      </c>
      <c r="C446" s="5" t="s">
        <v>77</v>
      </c>
      <c r="D446" s="5" t="s">
        <v>617</v>
      </c>
      <c r="E446" s="5">
        <v>20</v>
      </c>
      <c r="F446" s="5">
        <v>140</v>
      </c>
      <c r="G446" s="5">
        <v>200</v>
      </c>
      <c r="H446" s="5">
        <v>8</v>
      </c>
      <c r="I446" s="5">
        <v>3.81</v>
      </c>
      <c r="J446" s="5">
        <v>30.49</v>
      </c>
      <c r="K446" s="5" t="s">
        <v>568</v>
      </c>
      <c r="L446" s="5" t="s">
        <v>569</v>
      </c>
      <c r="M446" s="7"/>
      <c r="N446" s="7" t="s">
        <v>228</v>
      </c>
      <c r="O446" s="7"/>
      <c r="P446" s="7"/>
      <c r="Q446" s="7">
        <v>1</v>
      </c>
      <c r="R446" s="8" t="s">
        <v>37</v>
      </c>
      <c r="S446" s="7"/>
      <c r="T446" s="7" t="s">
        <v>38</v>
      </c>
      <c r="U446" s="7"/>
      <c r="V446" s="7" t="str">
        <f t="shared" si="6"/>
        <v>TCTN.DNS-26004</v>
      </c>
      <c r="W446" s="7"/>
      <c r="X446" s="7" t="s">
        <v>81</v>
      </c>
      <c r="Y446" s="7"/>
      <c r="Z446" s="7" t="s">
        <v>922</v>
      </c>
      <c r="AA446" s="7" t="s">
        <v>39</v>
      </c>
      <c r="AB446" s="7"/>
      <c r="AC446" s="7" t="s">
        <v>570</v>
      </c>
    </row>
    <row r="447" spans="1:29" hidden="1" x14ac:dyDescent="0.25">
      <c r="A447" s="5">
        <v>442</v>
      </c>
      <c r="B447" s="5" t="s">
        <v>620</v>
      </c>
      <c r="C447" s="5" t="s">
        <v>77</v>
      </c>
      <c r="D447" s="5" t="s">
        <v>617</v>
      </c>
      <c r="E447" s="5">
        <v>20</v>
      </c>
      <c r="F447" s="5">
        <v>140</v>
      </c>
      <c r="G447" s="5">
        <v>200</v>
      </c>
      <c r="H447" s="5">
        <v>8</v>
      </c>
      <c r="I447" s="5">
        <v>3.81</v>
      </c>
      <c r="J447" s="5">
        <v>30.49</v>
      </c>
      <c r="K447" s="5" t="s">
        <v>568</v>
      </c>
      <c r="L447" s="5" t="s">
        <v>569</v>
      </c>
      <c r="M447" s="7"/>
      <c r="N447" s="7" t="s">
        <v>228</v>
      </c>
      <c r="O447" s="7"/>
      <c r="P447" s="7"/>
      <c r="Q447" s="7">
        <v>1</v>
      </c>
      <c r="R447" s="8" t="s">
        <v>37</v>
      </c>
      <c r="S447" s="7"/>
      <c r="T447" s="7" t="s">
        <v>38</v>
      </c>
      <c r="U447" s="7"/>
      <c r="V447" s="7" t="str">
        <f t="shared" si="6"/>
        <v>TCTN.DNS-26004</v>
      </c>
      <c r="W447" s="7"/>
      <c r="X447" s="7" t="s">
        <v>81</v>
      </c>
      <c r="Y447" s="7"/>
      <c r="Z447" s="7" t="s">
        <v>922</v>
      </c>
      <c r="AA447" s="7" t="s">
        <v>39</v>
      </c>
      <c r="AB447" s="7"/>
      <c r="AC447" s="7" t="s">
        <v>570</v>
      </c>
    </row>
    <row r="448" spans="1:29" hidden="1" x14ac:dyDescent="0.25">
      <c r="A448" s="5">
        <v>443</v>
      </c>
      <c r="B448" s="5" t="s">
        <v>621</v>
      </c>
      <c r="C448" s="5" t="s">
        <v>77</v>
      </c>
      <c r="D448" s="5" t="s">
        <v>617</v>
      </c>
      <c r="E448" s="5">
        <v>20</v>
      </c>
      <c r="F448" s="5">
        <v>140</v>
      </c>
      <c r="G448" s="5">
        <v>200</v>
      </c>
      <c r="H448" s="5">
        <v>8</v>
      </c>
      <c r="I448" s="5">
        <v>3.81</v>
      </c>
      <c r="J448" s="5">
        <v>30.49</v>
      </c>
      <c r="K448" s="5" t="s">
        <v>568</v>
      </c>
      <c r="L448" s="5" t="s">
        <v>569</v>
      </c>
      <c r="M448" s="7"/>
      <c r="N448" s="7" t="s">
        <v>228</v>
      </c>
      <c r="O448" s="7"/>
      <c r="P448" s="7"/>
      <c r="Q448" s="7">
        <v>1</v>
      </c>
      <c r="R448" s="8" t="s">
        <v>37</v>
      </c>
      <c r="S448" s="7"/>
      <c r="T448" s="7" t="s">
        <v>38</v>
      </c>
      <c r="U448" s="7"/>
      <c r="V448" s="7" t="str">
        <f t="shared" si="6"/>
        <v>TCTN.DNS-26004</v>
      </c>
      <c r="W448" s="7"/>
      <c r="X448" s="7" t="s">
        <v>81</v>
      </c>
      <c r="Y448" s="7"/>
      <c r="Z448" s="7" t="s">
        <v>922</v>
      </c>
      <c r="AA448" s="7" t="s">
        <v>39</v>
      </c>
      <c r="AB448" s="7"/>
      <c r="AC448" s="7" t="s">
        <v>570</v>
      </c>
    </row>
    <row r="449" spans="1:29" hidden="1" x14ac:dyDescent="0.25">
      <c r="A449" s="5">
        <v>444</v>
      </c>
      <c r="B449" s="5" t="s">
        <v>622</v>
      </c>
      <c r="C449" s="5" t="s">
        <v>77</v>
      </c>
      <c r="D449" s="5" t="s">
        <v>617</v>
      </c>
      <c r="E449" s="5">
        <v>20</v>
      </c>
      <c r="F449" s="5">
        <v>140</v>
      </c>
      <c r="G449" s="5">
        <v>200</v>
      </c>
      <c r="H449" s="5">
        <v>8</v>
      </c>
      <c r="I449" s="5">
        <v>3.81</v>
      </c>
      <c r="J449" s="5">
        <v>30.49</v>
      </c>
      <c r="K449" s="5" t="s">
        <v>568</v>
      </c>
      <c r="L449" s="5" t="s">
        <v>569</v>
      </c>
      <c r="M449" s="7"/>
      <c r="N449" s="7" t="s">
        <v>228</v>
      </c>
      <c r="O449" s="7"/>
      <c r="P449" s="7"/>
      <c r="Q449" s="7">
        <v>1</v>
      </c>
      <c r="R449" s="8" t="s">
        <v>37</v>
      </c>
      <c r="S449" s="7"/>
      <c r="T449" s="7" t="s">
        <v>38</v>
      </c>
      <c r="U449" s="7"/>
      <c r="V449" s="7" t="str">
        <f t="shared" si="6"/>
        <v>TCTN.DNS-26004</v>
      </c>
      <c r="W449" s="7"/>
      <c r="X449" s="7" t="s">
        <v>81</v>
      </c>
      <c r="Y449" s="7"/>
      <c r="Z449" s="7" t="s">
        <v>922</v>
      </c>
      <c r="AA449" s="7" t="s">
        <v>39</v>
      </c>
      <c r="AB449" s="7"/>
      <c r="AC449" s="7" t="s">
        <v>570</v>
      </c>
    </row>
    <row r="450" spans="1:29" hidden="1" x14ac:dyDescent="0.25">
      <c r="A450" s="5">
        <v>445</v>
      </c>
      <c r="B450" s="5" t="s">
        <v>623</v>
      </c>
      <c r="C450" s="5" t="s">
        <v>77</v>
      </c>
      <c r="D450" s="5" t="s">
        <v>617</v>
      </c>
      <c r="E450" s="5">
        <v>20</v>
      </c>
      <c r="F450" s="5">
        <v>140</v>
      </c>
      <c r="G450" s="5">
        <v>200</v>
      </c>
      <c r="H450" s="5">
        <v>8</v>
      </c>
      <c r="I450" s="5">
        <v>3.81</v>
      </c>
      <c r="J450" s="5">
        <v>30.49</v>
      </c>
      <c r="K450" s="5" t="s">
        <v>568</v>
      </c>
      <c r="L450" s="5" t="s">
        <v>569</v>
      </c>
      <c r="M450" s="7"/>
      <c r="N450" s="7" t="s">
        <v>228</v>
      </c>
      <c r="O450" s="7"/>
      <c r="P450" s="7"/>
      <c r="Q450" s="7">
        <v>1</v>
      </c>
      <c r="R450" s="8" t="s">
        <v>37</v>
      </c>
      <c r="S450" s="7"/>
      <c r="T450" s="7" t="s">
        <v>38</v>
      </c>
      <c r="U450" s="7"/>
      <c r="V450" s="7" t="str">
        <f t="shared" si="6"/>
        <v>TCTN.DNS-26004</v>
      </c>
      <c r="W450" s="7"/>
      <c r="X450" s="7" t="s">
        <v>81</v>
      </c>
      <c r="Y450" s="7"/>
      <c r="Z450" s="7" t="s">
        <v>922</v>
      </c>
      <c r="AA450" s="7" t="s">
        <v>39</v>
      </c>
      <c r="AB450" s="7"/>
      <c r="AC450" s="7" t="s">
        <v>570</v>
      </c>
    </row>
    <row r="451" spans="1:29" hidden="1" x14ac:dyDescent="0.25">
      <c r="A451" s="5">
        <v>446</v>
      </c>
      <c r="B451" s="5" t="s">
        <v>624</v>
      </c>
      <c r="C451" s="5" t="s">
        <v>77</v>
      </c>
      <c r="D451" s="5" t="s">
        <v>617</v>
      </c>
      <c r="E451" s="5">
        <v>20</v>
      </c>
      <c r="F451" s="5">
        <v>140</v>
      </c>
      <c r="G451" s="5">
        <v>200</v>
      </c>
      <c r="H451" s="5">
        <v>8</v>
      </c>
      <c r="I451" s="5">
        <v>3.81</v>
      </c>
      <c r="J451" s="5">
        <v>30.49</v>
      </c>
      <c r="K451" s="5" t="s">
        <v>568</v>
      </c>
      <c r="L451" s="5" t="s">
        <v>569</v>
      </c>
      <c r="M451" s="7"/>
      <c r="N451" s="7" t="s">
        <v>228</v>
      </c>
      <c r="O451" s="7"/>
      <c r="P451" s="7"/>
      <c r="Q451" s="7">
        <v>1</v>
      </c>
      <c r="R451" s="8" t="s">
        <v>37</v>
      </c>
      <c r="S451" s="7"/>
      <c r="T451" s="7" t="s">
        <v>38</v>
      </c>
      <c r="U451" s="7"/>
      <c r="V451" s="7" t="str">
        <f t="shared" si="6"/>
        <v>TCTN.DNS-26004</v>
      </c>
      <c r="W451" s="7"/>
      <c r="X451" s="7" t="s">
        <v>81</v>
      </c>
      <c r="Y451" s="7"/>
      <c r="Z451" s="7" t="s">
        <v>922</v>
      </c>
      <c r="AA451" s="7" t="s">
        <v>39</v>
      </c>
      <c r="AB451" s="7"/>
      <c r="AC451" s="7" t="s">
        <v>570</v>
      </c>
    </row>
    <row r="452" spans="1:29" hidden="1" x14ac:dyDescent="0.25">
      <c r="A452" s="5">
        <v>447</v>
      </c>
      <c r="B452" s="5" t="s">
        <v>625</v>
      </c>
      <c r="C452" s="5" t="s">
        <v>77</v>
      </c>
      <c r="D452" s="5" t="s">
        <v>617</v>
      </c>
      <c r="E452" s="5">
        <v>20</v>
      </c>
      <c r="F452" s="5">
        <v>140</v>
      </c>
      <c r="G452" s="5">
        <v>200</v>
      </c>
      <c r="H452" s="5">
        <v>8</v>
      </c>
      <c r="I452" s="5">
        <v>3.81</v>
      </c>
      <c r="J452" s="5">
        <v>30.49</v>
      </c>
      <c r="K452" s="5" t="s">
        <v>568</v>
      </c>
      <c r="L452" s="5" t="s">
        <v>569</v>
      </c>
      <c r="M452" s="7"/>
      <c r="N452" s="7" t="s">
        <v>228</v>
      </c>
      <c r="O452" s="7"/>
      <c r="P452" s="7"/>
      <c r="Q452" s="7">
        <v>1</v>
      </c>
      <c r="R452" s="8" t="s">
        <v>37</v>
      </c>
      <c r="S452" s="7"/>
      <c r="T452" s="7" t="s">
        <v>38</v>
      </c>
      <c r="U452" s="7"/>
      <c r="V452" s="7" t="str">
        <f t="shared" si="6"/>
        <v>TCTN.DNS-26004</v>
      </c>
      <c r="W452" s="7"/>
      <c r="X452" s="7" t="s">
        <v>81</v>
      </c>
      <c r="Y452" s="7"/>
      <c r="Z452" s="7" t="s">
        <v>922</v>
      </c>
      <c r="AA452" s="7" t="s">
        <v>39</v>
      </c>
      <c r="AB452" s="7"/>
      <c r="AC452" s="7" t="s">
        <v>570</v>
      </c>
    </row>
    <row r="453" spans="1:29" hidden="1" x14ac:dyDescent="0.25">
      <c r="A453" s="5">
        <v>448</v>
      </c>
      <c r="B453" s="5" t="s">
        <v>626</v>
      </c>
      <c r="C453" s="5" t="s">
        <v>77</v>
      </c>
      <c r="D453" s="5" t="s">
        <v>617</v>
      </c>
      <c r="E453" s="5">
        <v>20</v>
      </c>
      <c r="F453" s="5">
        <v>140</v>
      </c>
      <c r="G453" s="5">
        <v>200</v>
      </c>
      <c r="H453" s="5">
        <v>12</v>
      </c>
      <c r="I453" s="5">
        <v>3.81</v>
      </c>
      <c r="J453" s="5">
        <v>45.73</v>
      </c>
      <c r="K453" s="5" t="s">
        <v>568</v>
      </c>
      <c r="L453" s="5" t="s">
        <v>569</v>
      </c>
      <c r="M453" s="7"/>
      <c r="N453" s="7" t="s">
        <v>228</v>
      </c>
      <c r="O453" s="7"/>
      <c r="P453" s="7"/>
      <c r="Q453" s="7">
        <v>1</v>
      </c>
      <c r="R453" s="8" t="s">
        <v>37</v>
      </c>
      <c r="S453" s="7"/>
      <c r="T453" s="7" t="s">
        <v>38</v>
      </c>
      <c r="U453" s="7"/>
      <c r="V453" s="7" t="str">
        <f t="shared" si="6"/>
        <v>TCTN.DNS-26004</v>
      </c>
      <c r="W453" s="7"/>
      <c r="X453" s="7" t="s">
        <v>81</v>
      </c>
      <c r="Y453" s="7"/>
      <c r="Z453" s="7" t="s">
        <v>922</v>
      </c>
      <c r="AA453" s="7" t="s">
        <v>39</v>
      </c>
      <c r="AB453" s="7"/>
      <c r="AC453" s="7" t="s">
        <v>570</v>
      </c>
    </row>
    <row r="454" spans="1:29" hidden="1" x14ac:dyDescent="0.25">
      <c r="A454" s="5">
        <v>449</v>
      </c>
      <c r="B454" s="5" t="s">
        <v>627</v>
      </c>
      <c r="C454" s="5" t="s">
        <v>77</v>
      </c>
      <c r="D454" s="5" t="s">
        <v>628</v>
      </c>
      <c r="E454" s="5">
        <v>25</v>
      </c>
      <c r="F454" s="5">
        <v>486</v>
      </c>
      <c r="G454" s="5">
        <v>770</v>
      </c>
      <c r="H454" s="5">
        <v>4</v>
      </c>
      <c r="I454" s="5">
        <v>44.99</v>
      </c>
      <c r="J454" s="5">
        <v>179.95</v>
      </c>
      <c r="K454" s="5" t="s">
        <v>629</v>
      </c>
      <c r="L454" s="5" t="s">
        <v>630</v>
      </c>
      <c r="M454" s="7"/>
      <c r="N454" s="7" t="s">
        <v>228</v>
      </c>
      <c r="O454" s="7"/>
      <c r="P454" s="7"/>
      <c r="Q454" s="7">
        <v>1</v>
      </c>
      <c r="R454" s="8" t="s">
        <v>37</v>
      </c>
      <c r="S454" s="7"/>
      <c r="T454" s="7" t="s">
        <v>38</v>
      </c>
      <c r="U454" s="7"/>
      <c r="V454" s="7" t="str">
        <f t="shared" ref="V454:V511" si="7">IF(LEN($B$3)=0,"",$B$3)</f>
        <v>TCTN.DNS-26004</v>
      </c>
      <c r="W454" s="7"/>
      <c r="X454" s="7" t="s">
        <v>81</v>
      </c>
      <c r="Y454" s="7"/>
      <c r="Z454" s="7" t="s">
        <v>922</v>
      </c>
      <c r="AA454" s="7" t="s">
        <v>39</v>
      </c>
      <c r="AB454" s="7"/>
      <c r="AC454" s="7" t="s">
        <v>631</v>
      </c>
    </row>
    <row r="455" spans="1:29" hidden="1" x14ac:dyDescent="0.25">
      <c r="A455" s="5">
        <v>450</v>
      </c>
      <c r="B455" s="5" t="s">
        <v>632</v>
      </c>
      <c r="C455" s="5" t="s">
        <v>77</v>
      </c>
      <c r="D455" s="5" t="s">
        <v>633</v>
      </c>
      <c r="E455" s="5">
        <v>25</v>
      </c>
      <c r="F455" s="5">
        <v>500</v>
      </c>
      <c r="G455" s="5">
        <v>550</v>
      </c>
      <c r="H455" s="5">
        <v>1</v>
      </c>
      <c r="I455" s="5">
        <v>52.99</v>
      </c>
      <c r="J455" s="5">
        <v>52.99</v>
      </c>
      <c r="K455" s="5" t="s">
        <v>629</v>
      </c>
      <c r="L455" s="5" t="s">
        <v>630</v>
      </c>
      <c r="M455" s="7"/>
      <c r="N455" s="7"/>
      <c r="O455" s="7"/>
      <c r="P455" s="7"/>
      <c r="Q455" s="7">
        <v>1</v>
      </c>
      <c r="R455" s="8" t="s">
        <v>37</v>
      </c>
      <c r="S455" s="7"/>
      <c r="T455" s="7" t="s">
        <v>38</v>
      </c>
      <c r="U455" s="7"/>
      <c r="V455" s="7" t="str">
        <f t="shared" si="7"/>
        <v>TCTN.DNS-26004</v>
      </c>
      <c r="W455" s="7" t="s">
        <v>81</v>
      </c>
      <c r="X455" s="7"/>
      <c r="Y455" s="7"/>
      <c r="Z455" s="7" t="s">
        <v>922</v>
      </c>
      <c r="AA455" s="7" t="s">
        <v>39</v>
      </c>
      <c r="AB455" s="7"/>
      <c r="AC455" s="7" t="s">
        <v>631</v>
      </c>
    </row>
    <row r="456" spans="1:29" hidden="1" x14ac:dyDescent="0.25">
      <c r="A456" s="5">
        <v>451</v>
      </c>
      <c r="B456" s="5" t="s">
        <v>634</v>
      </c>
      <c r="C456" s="5" t="s">
        <v>77</v>
      </c>
      <c r="D456" s="5" t="s">
        <v>635</v>
      </c>
      <c r="E456" s="5">
        <v>25</v>
      </c>
      <c r="F456" s="5">
        <v>120</v>
      </c>
      <c r="G456" s="5">
        <v>240</v>
      </c>
      <c r="H456" s="5">
        <v>8</v>
      </c>
      <c r="I456" s="5">
        <v>5.0999999999999996</v>
      </c>
      <c r="J456" s="5">
        <v>40.78</v>
      </c>
      <c r="K456" s="5" t="s">
        <v>629</v>
      </c>
      <c r="L456" s="5" t="s">
        <v>630</v>
      </c>
      <c r="M456" s="7"/>
      <c r="N456" s="7"/>
      <c r="O456" s="7"/>
      <c r="P456" s="7"/>
      <c r="Q456" s="7">
        <v>1</v>
      </c>
      <c r="R456" s="8" t="s">
        <v>37</v>
      </c>
      <c r="S456" s="7"/>
      <c r="T456" s="7" t="s">
        <v>38</v>
      </c>
      <c r="U456" s="7"/>
      <c r="V456" s="7" t="str">
        <f t="shared" si="7"/>
        <v>TCTN.DNS-26004</v>
      </c>
      <c r="W456" s="7"/>
      <c r="X456" s="7" t="s">
        <v>81</v>
      </c>
      <c r="Y456" s="7"/>
      <c r="Z456" s="7" t="s">
        <v>922</v>
      </c>
      <c r="AA456" s="7" t="s">
        <v>39</v>
      </c>
      <c r="AB456" s="7"/>
      <c r="AC456" s="7" t="s">
        <v>631</v>
      </c>
    </row>
    <row r="457" spans="1:29" hidden="1" x14ac:dyDescent="0.25">
      <c r="A457" s="5">
        <v>452</v>
      </c>
      <c r="B457" s="5" t="s">
        <v>636</v>
      </c>
      <c r="C457" s="5" t="s">
        <v>77</v>
      </c>
      <c r="D457" s="5" t="s">
        <v>633</v>
      </c>
      <c r="E457" s="5">
        <v>25</v>
      </c>
      <c r="F457" s="5">
        <v>500</v>
      </c>
      <c r="G457" s="5">
        <v>550</v>
      </c>
      <c r="H457" s="5">
        <v>2</v>
      </c>
      <c r="I457" s="5">
        <v>52.98</v>
      </c>
      <c r="J457" s="5">
        <v>105.97</v>
      </c>
      <c r="K457" s="5" t="s">
        <v>629</v>
      </c>
      <c r="L457" s="5" t="s">
        <v>630</v>
      </c>
      <c r="M457" s="7"/>
      <c r="N457" s="7"/>
      <c r="O457" s="7"/>
      <c r="P457" s="7"/>
      <c r="Q457" s="7">
        <v>1</v>
      </c>
      <c r="R457" s="8" t="s">
        <v>37</v>
      </c>
      <c r="S457" s="7"/>
      <c r="T457" s="7" t="s">
        <v>38</v>
      </c>
      <c r="U457" s="7"/>
      <c r="V457" s="7" t="str">
        <f t="shared" si="7"/>
        <v>TCTN.DNS-26004</v>
      </c>
      <c r="W457" s="7" t="s">
        <v>81</v>
      </c>
      <c r="X457" s="7"/>
      <c r="Y457" s="7"/>
      <c r="Z457" s="7" t="s">
        <v>922</v>
      </c>
      <c r="AA457" s="7" t="s">
        <v>39</v>
      </c>
      <c r="AB457" s="7"/>
      <c r="AC457" s="7" t="s">
        <v>631</v>
      </c>
    </row>
    <row r="458" spans="1:29" hidden="1" x14ac:dyDescent="0.25">
      <c r="A458" s="5">
        <v>453</v>
      </c>
      <c r="B458" s="5" t="s">
        <v>637</v>
      </c>
      <c r="C458" s="5" t="s">
        <v>77</v>
      </c>
      <c r="D458" s="5" t="s">
        <v>635</v>
      </c>
      <c r="E458" s="5">
        <v>25</v>
      </c>
      <c r="F458" s="5">
        <v>120</v>
      </c>
      <c r="G458" s="5">
        <v>240</v>
      </c>
      <c r="H458" s="5">
        <v>4</v>
      </c>
      <c r="I458" s="5">
        <v>5.0999999999999996</v>
      </c>
      <c r="J458" s="5">
        <v>20.39</v>
      </c>
      <c r="K458" s="5" t="s">
        <v>629</v>
      </c>
      <c r="L458" s="5" t="s">
        <v>630</v>
      </c>
      <c r="M458" s="7"/>
      <c r="N458" s="7"/>
      <c r="O458" s="7"/>
      <c r="P458" s="7"/>
      <c r="Q458" s="7">
        <v>1</v>
      </c>
      <c r="R458" s="8" t="s">
        <v>37</v>
      </c>
      <c r="S458" s="7"/>
      <c r="T458" s="7" t="s">
        <v>38</v>
      </c>
      <c r="U458" s="7"/>
      <c r="V458" s="7" t="str">
        <f t="shared" si="7"/>
        <v>TCTN.DNS-26004</v>
      </c>
      <c r="W458" s="7"/>
      <c r="X458" s="7" t="s">
        <v>81</v>
      </c>
      <c r="Y458" s="7"/>
      <c r="Z458" s="7" t="s">
        <v>922</v>
      </c>
      <c r="AA458" s="7" t="s">
        <v>39</v>
      </c>
      <c r="AB458" s="7"/>
      <c r="AC458" s="7" t="s">
        <v>631</v>
      </c>
    </row>
    <row r="459" spans="1:29" hidden="1" x14ac:dyDescent="0.25">
      <c r="A459" s="5">
        <v>454</v>
      </c>
      <c r="B459" s="5" t="s">
        <v>638</v>
      </c>
      <c r="C459" s="5" t="s">
        <v>77</v>
      </c>
      <c r="D459" s="5" t="s">
        <v>628</v>
      </c>
      <c r="E459" s="5">
        <v>25</v>
      </c>
      <c r="F459" s="5">
        <v>486</v>
      </c>
      <c r="G459" s="5">
        <v>770</v>
      </c>
      <c r="H459" s="5">
        <v>4</v>
      </c>
      <c r="I459" s="5">
        <v>44.99</v>
      </c>
      <c r="J459" s="5">
        <v>179.95</v>
      </c>
      <c r="K459" s="5" t="s">
        <v>629</v>
      </c>
      <c r="L459" s="5" t="s">
        <v>630</v>
      </c>
      <c r="M459" s="7"/>
      <c r="N459" s="7" t="s">
        <v>228</v>
      </c>
      <c r="O459" s="7"/>
      <c r="P459" s="7"/>
      <c r="Q459" s="7">
        <v>1</v>
      </c>
      <c r="R459" s="8" t="s">
        <v>37</v>
      </c>
      <c r="S459" s="7"/>
      <c r="T459" s="7" t="s">
        <v>38</v>
      </c>
      <c r="U459" s="7"/>
      <c r="V459" s="7" t="str">
        <f t="shared" si="7"/>
        <v>TCTN.DNS-26004</v>
      </c>
      <c r="W459" s="7"/>
      <c r="X459" s="7" t="s">
        <v>81</v>
      </c>
      <c r="Y459" s="7"/>
      <c r="Z459" s="7" t="s">
        <v>922</v>
      </c>
      <c r="AA459" s="7" t="s">
        <v>39</v>
      </c>
      <c r="AB459" s="7"/>
      <c r="AC459" s="7" t="s">
        <v>631</v>
      </c>
    </row>
    <row r="460" spans="1:29" hidden="1" x14ac:dyDescent="0.25">
      <c r="A460" s="5">
        <v>455</v>
      </c>
      <c r="B460" s="5" t="s">
        <v>639</v>
      </c>
      <c r="C460" s="5" t="s">
        <v>77</v>
      </c>
      <c r="D460" s="5" t="s">
        <v>640</v>
      </c>
      <c r="E460" s="5">
        <v>25</v>
      </c>
      <c r="F460" s="5">
        <v>443</v>
      </c>
      <c r="G460" s="5">
        <v>525</v>
      </c>
      <c r="H460" s="5">
        <v>2</v>
      </c>
      <c r="I460" s="5">
        <v>45.64</v>
      </c>
      <c r="J460" s="5">
        <v>91.29</v>
      </c>
      <c r="K460" s="5" t="s">
        <v>629</v>
      </c>
      <c r="L460" s="5" t="s">
        <v>630</v>
      </c>
      <c r="M460" s="7"/>
      <c r="N460" s="7"/>
      <c r="O460" s="7"/>
      <c r="P460" s="7"/>
      <c r="Q460" s="7">
        <v>1</v>
      </c>
      <c r="R460" s="8" t="s">
        <v>37</v>
      </c>
      <c r="S460" s="7"/>
      <c r="T460" s="7" t="s">
        <v>38</v>
      </c>
      <c r="U460" s="7"/>
      <c r="V460" s="7" t="str">
        <f t="shared" si="7"/>
        <v>TCTN.DNS-26004</v>
      </c>
      <c r="W460" s="7" t="s">
        <v>81</v>
      </c>
      <c r="X460" s="7"/>
      <c r="Y460" s="7"/>
      <c r="Z460" s="7" t="s">
        <v>922</v>
      </c>
      <c r="AA460" s="7" t="s">
        <v>39</v>
      </c>
      <c r="AB460" s="7"/>
      <c r="AC460" s="7" t="s">
        <v>631</v>
      </c>
    </row>
    <row r="461" spans="1:29" hidden="1" x14ac:dyDescent="0.25">
      <c r="A461" s="5">
        <v>456</v>
      </c>
      <c r="B461" s="5" t="s">
        <v>641</v>
      </c>
      <c r="C461" s="5" t="s">
        <v>77</v>
      </c>
      <c r="D461" s="5" t="s">
        <v>628</v>
      </c>
      <c r="E461" s="5">
        <v>25</v>
      </c>
      <c r="F461" s="5">
        <v>486</v>
      </c>
      <c r="G461" s="5">
        <v>770</v>
      </c>
      <c r="H461" s="5">
        <v>2</v>
      </c>
      <c r="I461" s="5">
        <v>44.98</v>
      </c>
      <c r="J461" s="5">
        <v>89.97</v>
      </c>
      <c r="K461" s="5" t="s">
        <v>629</v>
      </c>
      <c r="L461" s="5" t="s">
        <v>630</v>
      </c>
      <c r="M461" s="7"/>
      <c r="N461" s="7" t="s">
        <v>228</v>
      </c>
      <c r="O461" s="7"/>
      <c r="P461" s="7"/>
      <c r="Q461" s="7">
        <v>1</v>
      </c>
      <c r="R461" s="8" t="s">
        <v>37</v>
      </c>
      <c r="S461" s="7"/>
      <c r="T461" s="7" t="s">
        <v>38</v>
      </c>
      <c r="U461" s="7"/>
      <c r="V461" s="7" t="str">
        <f t="shared" si="7"/>
        <v>TCTN.DNS-26004</v>
      </c>
      <c r="W461" s="7"/>
      <c r="X461" s="7" t="s">
        <v>81</v>
      </c>
      <c r="Y461" s="7"/>
      <c r="Z461" s="7" t="s">
        <v>922</v>
      </c>
      <c r="AA461" s="7" t="s">
        <v>39</v>
      </c>
      <c r="AB461" s="7"/>
      <c r="AC461" s="7" t="s">
        <v>631</v>
      </c>
    </row>
    <row r="462" spans="1:29" hidden="1" x14ac:dyDescent="0.25">
      <c r="A462" s="5">
        <v>457</v>
      </c>
      <c r="B462" s="5" t="s">
        <v>642</v>
      </c>
      <c r="C462" s="5" t="s">
        <v>77</v>
      </c>
      <c r="D462" s="5" t="s">
        <v>643</v>
      </c>
      <c r="E462" s="5">
        <v>25</v>
      </c>
      <c r="F462" s="5">
        <v>443</v>
      </c>
      <c r="G462" s="5">
        <v>550</v>
      </c>
      <c r="H462" s="5">
        <v>2</v>
      </c>
      <c r="I462" s="5">
        <v>47.82</v>
      </c>
      <c r="J462" s="5">
        <v>95.63</v>
      </c>
      <c r="K462" s="5" t="s">
        <v>629</v>
      </c>
      <c r="L462" s="5" t="s">
        <v>630</v>
      </c>
      <c r="M462" s="7"/>
      <c r="N462" s="7"/>
      <c r="O462" s="7"/>
      <c r="P462" s="7"/>
      <c r="Q462" s="7">
        <v>1</v>
      </c>
      <c r="R462" s="8" t="s">
        <v>37</v>
      </c>
      <c r="S462" s="7"/>
      <c r="T462" s="7" t="s">
        <v>38</v>
      </c>
      <c r="U462" s="7"/>
      <c r="V462" s="7" t="str">
        <f t="shared" si="7"/>
        <v>TCTN.DNS-26004</v>
      </c>
      <c r="W462" s="7" t="s">
        <v>81</v>
      </c>
      <c r="X462" s="7"/>
      <c r="Y462" s="7"/>
      <c r="Z462" s="7" t="s">
        <v>922</v>
      </c>
      <c r="AA462" s="7" t="s">
        <v>39</v>
      </c>
      <c r="AB462" s="7"/>
      <c r="AC462" s="7" t="s">
        <v>631</v>
      </c>
    </row>
    <row r="463" spans="1:29" hidden="1" x14ac:dyDescent="0.25">
      <c r="A463" s="5">
        <v>458</v>
      </c>
      <c r="B463" s="5" t="s">
        <v>644</v>
      </c>
      <c r="C463" s="5" t="s">
        <v>77</v>
      </c>
      <c r="D463" s="5" t="s">
        <v>643</v>
      </c>
      <c r="E463" s="5">
        <v>25</v>
      </c>
      <c r="F463" s="5">
        <v>443</v>
      </c>
      <c r="G463" s="5">
        <v>550</v>
      </c>
      <c r="H463" s="5">
        <v>2</v>
      </c>
      <c r="I463" s="5">
        <v>43.81</v>
      </c>
      <c r="J463" s="5">
        <v>87.62</v>
      </c>
      <c r="K463" s="5" t="s">
        <v>629</v>
      </c>
      <c r="L463" s="5" t="s">
        <v>630</v>
      </c>
      <c r="M463" s="7"/>
      <c r="N463" s="7" t="s">
        <v>228</v>
      </c>
      <c r="O463" s="7"/>
      <c r="P463" s="7"/>
      <c r="Q463" s="7">
        <v>1</v>
      </c>
      <c r="R463" s="8" t="s">
        <v>37</v>
      </c>
      <c r="S463" s="7"/>
      <c r="T463" s="7" t="s">
        <v>38</v>
      </c>
      <c r="U463" s="7"/>
      <c r="V463" s="7" t="str">
        <f t="shared" si="7"/>
        <v>TCTN.DNS-26004</v>
      </c>
      <c r="W463" s="7"/>
      <c r="X463" s="7" t="s">
        <v>81</v>
      </c>
      <c r="Y463" s="7"/>
      <c r="Z463" s="7" t="s">
        <v>922</v>
      </c>
      <c r="AA463" s="7" t="s">
        <v>39</v>
      </c>
      <c r="AB463" s="7"/>
      <c r="AC463" s="7" t="s">
        <v>631</v>
      </c>
    </row>
    <row r="464" spans="1:29" hidden="1" x14ac:dyDescent="0.25">
      <c r="A464" s="5">
        <v>459</v>
      </c>
      <c r="B464" s="5" t="s">
        <v>645</v>
      </c>
      <c r="C464" s="5" t="s">
        <v>77</v>
      </c>
      <c r="D464" s="5" t="s">
        <v>643</v>
      </c>
      <c r="E464" s="5">
        <v>25</v>
      </c>
      <c r="F464" s="5">
        <v>443</v>
      </c>
      <c r="G464" s="5">
        <v>550</v>
      </c>
      <c r="H464" s="5">
        <v>2</v>
      </c>
      <c r="I464" s="5">
        <v>47.82</v>
      </c>
      <c r="J464" s="5">
        <v>95.63</v>
      </c>
      <c r="K464" s="5" t="s">
        <v>629</v>
      </c>
      <c r="L464" s="5" t="s">
        <v>630</v>
      </c>
      <c r="M464" s="7"/>
      <c r="N464" s="7"/>
      <c r="O464" s="7"/>
      <c r="P464" s="7"/>
      <c r="Q464" s="7">
        <v>1</v>
      </c>
      <c r="R464" s="8" t="s">
        <v>37</v>
      </c>
      <c r="S464" s="7"/>
      <c r="T464" s="7" t="s">
        <v>38</v>
      </c>
      <c r="U464" s="7"/>
      <c r="V464" s="7" t="str">
        <f t="shared" si="7"/>
        <v>TCTN.DNS-26004</v>
      </c>
      <c r="W464" s="7" t="s">
        <v>81</v>
      </c>
      <c r="X464" s="7"/>
      <c r="Y464" s="7"/>
      <c r="Z464" s="7" t="s">
        <v>922</v>
      </c>
      <c r="AA464" s="7" t="s">
        <v>39</v>
      </c>
      <c r="AB464" s="7"/>
      <c r="AC464" s="7" t="s">
        <v>631</v>
      </c>
    </row>
    <row r="465" spans="1:29" hidden="1" x14ac:dyDescent="0.25">
      <c r="A465" s="5">
        <v>460</v>
      </c>
      <c r="B465" s="5" t="s">
        <v>646</v>
      </c>
      <c r="C465" s="5" t="s">
        <v>77</v>
      </c>
      <c r="D465" s="5" t="s">
        <v>628</v>
      </c>
      <c r="E465" s="5">
        <v>25</v>
      </c>
      <c r="F465" s="5">
        <v>486</v>
      </c>
      <c r="G465" s="5">
        <v>770</v>
      </c>
      <c r="H465" s="5">
        <v>2</v>
      </c>
      <c r="I465" s="5">
        <v>44.98</v>
      </c>
      <c r="J465" s="5">
        <v>89.97</v>
      </c>
      <c r="K465" s="5" t="s">
        <v>629</v>
      </c>
      <c r="L465" s="5" t="s">
        <v>630</v>
      </c>
      <c r="M465" s="7"/>
      <c r="N465" s="7" t="s">
        <v>228</v>
      </c>
      <c r="O465" s="7"/>
      <c r="P465" s="7"/>
      <c r="Q465" s="7">
        <v>1</v>
      </c>
      <c r="R465" s="8" t="s">
        <v>37</v>
      </c>
      <c r="S465" s="7"/>
      <c r="T465" s="7" t="s">
        <v>38</v>
      </c>
      <c r="U465" s="7"/>
      <c r="V465" s="7" t="str">
        <f t="shared" si="7"/>
        <v>TCTN.DNS-26004</v>
      </c>
      <c r="W465" s="7"/>
      <c r="X465" s="7" t="s">
        <v>81</v>
      </c>
      <c r="Y465" s="7"/>
      <c r="Z465" s="7" t="s">
        <v>922</v>
      </c>
      <c r="AA465" s="7" t="s">
        <v>39</v>
      </c>
      <c r="AB465" s="7"/>
      <c r="AC465" s="7" t="s">
        <v>631</v>
      </c>
    </row>
    <row r="466" spans="1:29" hidden="1" x14ac:dyDescent="0.25">
      <c r="A466" s="5">
        <v>461</v>
      </c>
      <c r="B466" s="5" t="s">
        <v>647</v>
      </c>
      <c r="C466" s="5" t="s">
        <v>77</v>
      </c>
      <c r="D466" s="5" t="s">
        <v>640</v>
      </c>
      <c r="E466" s="5">
        <v>25</v>
      </c>
      <c r="F466" s="5">
        <v>443</v>
      </c>
      <c r="G466" s="5">
        <v>525</v>
      </c>
      <c r="H466" s="5">
        <v>2</v>
      </c>
      <c r="I466" s="5">
        <v>45.64</v>
      </c>
      <c r="J466" s="5">
        <v>91.29</v>
      </c>
      <c r="K466" s="5" t="s">
        <v>629</v>
      </c>
      <c r="L466" s="5" t="s">
        <v>630</v>
      </c>
      <c r="M466" s="7"/>
      <c r="N466" s="7"/>
      <c r="O466" s="7"/>
      <c r="P466" s="7"/>
      <c r="Q466" s="7">
        <v>1</v>
      </c>
      <c r="R466" s="8" t="s">
        <v>37</v>
      </c>
      <c r="S466" s="7"/>
      <c r="T466" s="7" t="s">
        <v>38</v>
      </c>
      <c r="U466" s="7"/>
      <c r="V466" s="7" t="str">
        <f t="shared" si="7"/>
        <v>TCTN.DNS-26004</v>
      </c>
      <c r="W466" s="7" t="s">
        <v>81</v>
      </c>
      <c r="X466" s="7"/>
      <c r="Y466" s="7"/>
      <c r="Z466" s="7" t="s">
        <v>922</v>
      </c>
      <c r="AA466" s="7" t="s">
        <v>39</v>
      </c>
      <c r="AB466" s="7"/>
      <c r="AC466" s="7" t="s">
        <v>631</v>
      </c>
    </row>
    <row r="467" spans="1:29" hidden="1" x14ac:dyDescent="0.25">
      <c r="A467" s="5">
        <v>462</v>
      </c>
      <c r="B467" s="5" t="s">
        <v>648</v>
      </c>
      <c r="C467" s="5" t="s">
        <v>77</v>
      </c>
      <c r="D467" s="5" t="s">
        <v>633</v>
      </c>
      <c r="E467" s="5">
        <v>25</v>
      </c>
      <c r="F467" s="5">
        <v>500</v>
      </c>
      <c r="G467" s="5">
        <v>550</v>
      </c>
      <c r="H467" s="5">
        <v>1</v>
      </c>
      <c r="I467" s="5">
        <v>52.99</v>
      </c>
      <c r="J467" s="5">
        <v>52.99</v>
      </c>
      <c r="K467" s="5" t="s">
        <v>629</v>
      </c>
      <c r="L467" s="5" t="s">
        <v>630</v>
      </c>
      <c r="M467" s="7"/>
      <c r="N467" s="7"/>
      <c r="O467" s="7"/>
      <c r="P467" s="7"/>
      <c r="Q467" s="7">
        <v>1</v>
      </c>
      <c r="R467" s="8" t="s">
        <v>37</v>
      </c>
      <c r="S467" s="7"/>
      <c r="T467" s="7" t="s">
        <v>38</v>
      </c>
      <c r="U467" s="7"/>
      <c r="V467" s="7" t="str">
        <f t="shared" si="7"/>
        <v>TCTN.DNS-26004</v>
      </c>
      <c r="W467" s="7" t="s">
        <v>81</v>
      </c>
      <c r="X467" s="7"/>
      <c r="Y467" s="7"/>
      <c r="Z467" s="7" t="s">
        <v>922</v>
      </c>
      <c r="AA467" s="7" t="s">
        <v>39</v>
      </c>
      <c r="AB467" s="7"/>
      <c r="AC467" s="7" t="s">
        <v>631</v>
      </c>
    </row>
    <row r="468" spans="1:29" hidden="1" x14ac:dyDescent="0.25">
      <c r="A468" s="5">
        <v>463</v>
      </c>
      <c r="B468" s="5" t="s">
        <v>649</v>
      </c>
      <c r="C468" s="5" t="s">
        <v>77</v>
      </c>
      <c r="D468" s="5" t="s">
        <v>643</v>
      </c>
      <c r="E468" s="5">
        <v>25</v>
      </c>
      <c r="F468" s="5">
        <v>443</v>
      </c>
      <c r="G468" s="5">
        <v>550</v>
      </c>
      <c r="H468" s="5">
        <v>2</v>
      </c>
      <c r="I468" s="5">
        <v>43.81</v>
      </c>
      <c r="J468" s="5">
        <v>87.62</v>
      </c>
      <c r="K468" s="5" t="s">
        <v>629</v>
      </c>
      <c r="L468" s="5" t="s">
        <v>630</v>
      </c>
      <c r="M468" s="7"/>
      <c r="N468" s="7" t="s">
        <v>228</v>
      </c>
      <c r="O468" s="7"/>
      <c r="P468" s="7"/>
      <c r="Q468" s="7">
        <v>1</v>
      </c>
      <c r="R468" s="8" t="s">
        <v>37</v>
      </c>
      <c r="S468" s="7"/>
      <c r="T468" s="7" t="s">
        <v>38</v>
      </c>
      <c r="U468" s="7"/>
      <c r="V468" s="7" t="str">
        <f t="shared" si="7"/>
        <v>TCTN.DNS-26004</v>
      </c>
      <c r="W468" s="7"/>
      <c r="X468" s="7" t="s">
        <v>81</v>
      </c>
      <c r="Y468" s="7"/>
      <c r="Z468" s="7" t="s">
        <v>922</v>
      </c>
      <c r="AA468" s="7" t="s">
        <v>39</v>
      </c>
      <c r="AB468" s="7"/>
      <c r="AC468" s="7" t="s">
        <v>631</v>
      </c>
    </row>
    <row r="469" spans="1:29" hidden="1" x14ac:dyDescent="0.25">
      <c r="A469" s="5">
        <v>464</v>
      </c>
      <c r="B469" s="5" t="s">
        <v>650</v>
      </c>
      <c r="C469" s="5" t="s">
        <v>77</v>
      </c>
      <c r="D469" s="5" t="s">
        <v>651</v>
      </c>
      <c r="E469" s="5">
        <v>25</v>
      </c>
      <c r="F469" s="5">
        <v>200</v>
      </c>
      <c r="G469" s="5">
        <v>200</v>
      </c>
      <c r="H469" s="5">
        <v>2</v>
      </c>
      <c r="I469" s="5">
        <v>7.85</v>
      </c>
      <c r="J469" s="5">
        <v>15.7</v>
      </c>
      <c r="K469" s="5" t="s">
        <v>629</v>
      </c>
      <c r="L469" s="5" t="s">
        <v>630</v>
      </c>
      <c r="M469" s="7"/>
      <c r="N469" s="7"/>
      <c r="O469" s="7"/>
      <c r="P469" s="7"/>
      <c r="Q469" s="7">
        <v>1</v>
      </c>
      <c r="R469" s="8" t="s">
        <v>37</v>
      </c>
      <c r="S469" s="7"/>
      <c r="T469" s="7" t="s">
        <v>38</v>
      </c>
      <c r="U469" s="7"/>
      <c r="V469" s="7" t="str">
        <f t="shared" si="7"/>
        <v>TCTN.DNS-26004</v>
      </c>
      <c r="W469" s="7" t="s">
        <v>81</v>
      </c>
      <c r="X469" s="7"/>
      <c r="Y469" s="7"/>
      <c r="Z469" s="7" t="s">
        <v>922</v>
      </c>
      <c r="AA469" s="7" t="s">
        <v>39</v>
      </c>
      <c r="AB469" s="7"/>
      <c r="AC469" s="7" t="s">
        <v>631</v>
      </c>
    </row>
    <row r="470" spans="1:29" hidden="1" x14ac:dyDescent="0.25">
      <c r="A470" s="5">
        <v>465</v>
      </c>
      <c r="B470" s="5" t="s">
        <v>652</v>
      </c>
      <c r="C470" s="5" t="s">
        <v>77</v>
      </c>
      <c r="D470" s="5" t="s">
        <v>640</v>
      </c>
      <c r="E470" s="5">
        <v>25</v>
      </c>
      <c r="F470" s="5">
        <v>443</v>
      </c>
      <c r="G470" s="5">
        <v>525</v>
      </c>
      <c r="H470" s="5">
        <v>2</v>
      </c>
      <c r="I470" s="5">
        <v>41.64</v>
      </c>
      <c r="J470" s="5">
        <v>83.27</v>
      </c>
      <c r="K470" s="5" t="s">
        <v>629</v>
      </c>
      <c r="L470" s="5" t="s">
        <v>630</v>
      </c>
      <c r="M470" s="7"/>
      <c r="N470" s="7" t="s">
        <v>228</v>
      </c>
      <c r="O470" s="7"/>
      <c r="P470" s="7"/>
      <c r="Q470" s="7">
        <v>1</v>
      </c>
      <c r="R470" s="8" t="s">
        <v>37</v>
      </c>
      <c r="S470" s="7"/>
      <c r="T470" s="7" t="s">
        <v>38</v>
      </c>
      <c r="U470" s="7"/>
      <c r="V470" s="7" t="str">
        <f t="shared" si="7"/>
        <v>TCTN.DNS-26004</v>
      </c>
      <c r="W470" s="7"/>
      <c r="X470" s="7" t="s">
        <v>81</v>
      </c>
      <c r="Y470" s="7"/>
      <c r="Z470" s="7" t="s">
        <v>922</v>
      </c>
      <c r="AA470" s="7" t="s">
        <v>39</v>
      </c>
      <c r="AB470" s="7"/>
      <c r="AC470" s="7" t="s">
        <v>631</v>
      </c>
    </row>
    <row r="471" spans="1:29" hidden="1" x14ac:dyDescent="0.25">
      <c r="A471" s="5">
        <v>466</v>
      </c>
      <c r="B471" s="5" t="s">
        <v>653</v>
      </c>
      <c r="C471" s="5" t="s">
        <v>77</v>
      </c>
      <c r="D471" s="5" t="s">
        <v>640</v>
      </c>
      <c r="E471" s="5">
        <v>25</v>
      </c>
      <c r="F471" s="5">
        <v>443</v>
      </c>
      <c r="G471" s="5">
        <v>525</v>
      </c>
      <c r="H471" s="5">
        <v>2</v>
      </c>
      <c r="I471" s="5">
        <v>41.64</v>
      </c>
      <c r="J471" s="5">
        <v>83.27</v>
      </c>
      <c r="K471" s="5" t="s">
        <v>629</v>
      </c>
      <c r="L471" s="5" t="s">
        <v>630</v>
      </c>
      <c r="M471" s="7"/>
      <c r="N471" s="7" t="s">
        <v>228</v>
      </c>
      <c r="O471" s="7"/>
      <c r="P471" s="7"/>
      <c r="Q471" s="7">
        <v>1</v>
      </c>
      <c r="R471" s="8" t="s">
        <v>37</v>
      </c>
      <c r="S471" s="7"/>
      <c r="T471" s="7" t="s">
        <v>38</v>
      </c>
      <c r="U471" s="7"/>
      <c r="V471" s="7" t="str">
        <f t="shared" si="7"/>
        <v>TCTN.DNS-26004</v>
      </c>
      <c r="W471" s="7"/>
      <c r="X471" s="7" t="s">
        <v>81</v>
      </c>
      <c r="Y471" s="7"/>
      <c r="Z471" s="7" t="s">
        <v>922</v>
      </c>
      <c r="AA471" s="7" t="s">
        <v>39</v>
      </c>
      <c r="AB471" s="7"/>
      <c r="AC471" s="7" t="s">
        <v>631</v>
      </c>
    </row>
    <row r="472" spans="1:29" hidden="1" x14ac:dyDescent="0.25">
      <c r="A472" s="5">
        <v>467</v>
      </c>
      <c r="B472" s="5" t="s">
        <v>654</v>
      </c>
      <c r="C472" s="5" t="s">
        <v>77</v>
      </c>
      <c r="D472" s="5" t="s">
        <v>651</v>
      </c>
      <c r="E472" s="5">
        <v>25</v>
      </c>
      <c r="F472" s="5">
        <v>200</v>
      </c>
      <c r="G472" s="5">
        <v>200</v>
      </c>
      <c r="H472" s="5">
        <v>2</v>
      </c>
      <c r="I472" s="5">
        <v>7.85</v>
      </c>
      <c r="J472" s="5">
        <v>15.7</v>
      </c>
      <c r="K472" s="5" t="s">
        <v>629</v>
      </c>
      <c r="L472" s="5" t="s">
        <v>630</v>
      </c>
      <c r="M472" s="7"/>
      <c r="N472" s="7"/>
      <c r="O472" s="7"/>
      <c r="P472" s="7"/>
      <c r="Q472" s="7">
        <v>1</v>
      </c>
      <c r="R472" s="8" t="s">
        <v>37</v>
      </c>
      <c r="S472" s="7"/>
      <c r="T472" s="7" t="s">
        <v>38</v>
      </c>
      <c r="U472" s="7"/>
      <c r="V472" s="7" t="str">
        <f t="shared" si="7"/>
        <v>TCTN.DNS-26004</v>
      </c>
      <c r="W472" s="7" t="s">
        <v>81</v>
      </c>
      <c r="X472" s="7"/>
      <c r="Y472" s="7"/>
      <c r="Z472" s="7" t="s">
        <v>922</v>
      </c>
      <c r="AA472" s="7" t="s">
        <v>39</v>
      </c>
      <c r="AB472" s="7"/>
      <c r="AC472" s="7" t="s">
        <v>631</v>
      </c>
    </row>
    <row r="473" spans="1:29" hidden="1" x14ac:dyDescent="0.25">
      <c r="A473" s="5">
        <v>468</v>
      </c>
      <c r="B473" s="5" t="s">
        <v>655</v>
      </c>
      <c r="C473" s="5" t="s">
        <v>77</v>
      </c>
      <c r="D473" s="5" t="s">
        <v>651</v>
      </c>
      <c r="E473" s="5">
        <v>25</v>
      </c>
      <c r="F473" s="5">
        <v>200</v>
      </c>
      <c r="G473" s="5">
        <v>200</v>
      </c>
      <c r="H473" s="5">
        <v>2</v>
      </c>
      <c r="I473" s="5">
        <v>7.85</v>
      </c>
      <c r="J473" s="5">
        <v>15.7</v>
      </c>
      <c r="K473" s="5" t="s">
        <v>629</v>
      </c>
      <c r="L473" s="5" t="s">
        <v>630</v>
      </c>
      <c r="M473" s="7"/>
      <c r="N473" s="7"/>
      <c r="O473" s="7"/>
      <c r="P473" s="7"/>
      <c r="Q473" s="7">
        <v>1</v>
      </c>
      <c r="R473" s="8" t="s">
        <v>37</v>
      </c>
      <c r="S473" s="7"/>
      <c r="T473" s="7" t="s">
        <v>38</v>
      </c>
      <c r="U473" s="7"/>
      <c r="V473" s="7" t="str">
        <f t="shared" si="7"/>
        <v>TCTN.DNS-26004</v>
      </c>
      <c r="W473" s="7" t="s">
        <v>81</v>
      </c>
      <c r="X473" s="7"/>
      <c r="Y473" s="7"/>
      <c r="Z473" s="7" t="s">
        <v>922</v>
      </c>
      <c r="AA473" s="7" t="s">
        <v>39</v>
      </c>
      <c r="AB473" s="7"/>
      <c r="AC473" s="7" t="s">
        <v>631</v>
      </c>
    </row>
    <row r="474" spans="1:29" hidden="1" x14ac:dyDescent="0.25">
      <c r="A474" s="5">
        <v>469</v>
      </c>
      <c r="B474" s="5" t="s">
        <v>656</v>
      </c>
      <c r="C474" s="5" t="s">
        <v>77</v>
      </c>
      <c r="D474" s="5" t="s">
        <v>657</v>
      </c>
      <c r="E474" s="5">
        <v>25</v>
      </c>
      <c r="F474" s="5">
        <v>443</v>
      </c>
      <c r="G474" s="5">
        <v>500</v>
      </c>
      <c r="H474" s="5">
        <v>2</v>
      </c>
      <c r="I474" s="5">
        <v>43.47</v>
      </c>
      <c r="J474" s="5">
        <v>86.94</v>
      </c>
      <c r="K474" s="5" t="s">
        <v>629</v>
      </c>
      <c r="L474" s="5" t="s">
        <v>630</v>
      </c>
      <c r="M474" s="7"/>
      <c r="N474" s="7"/>
      <c r="O474" s="7"/>
      <c r="P474" s="7"/>
      <c r="Q474" s="7">
        <v>1</v>
      </c>
      <c r="R474" s="8" t="s">
        <v>37</v>
      </c>
      <c r="S474" s="7"/>
      <c r="T474" s="7" t="s">
        <v>38</v>
      </c>
      <c r="U474" s="7"/>
      <c r="V474" s="7" t="str">
        <f t="shared" si="7"/>
        <v>TCTN.DNS-26004</v>
      </c>
      <c r="W474" s="7" t="s">
        <v>81</v>
      </c>
      <c r="X474" s="7"/>
      <c r="Y474" s="7"/>
      <c r="Z474" s="7" t="s">
        <v>922</v>
      </c>
      <c r="AA474" s="7" t="s">
        <v>39</v>
      </c>
      <c r="AB474" s="7"/>
      <c r="AC474" s="7" t="s">
        <v>631</v>
      </c>
    </row>
    <row r="475" spans="1:29" hidden="1" x14ac:dyDescent="0.25">
      <c r="A475" s="5">
        <v>470</v>
      </c>
      <c r="B475" s="5" t="s">
        <v>658</v>
      </c>
      <c r="C475" s="5" t="s">
        <v>77</v>
      </c>
      <c r="D475" s="5" t="s">
        <v>657</v>
      </c>
      <c r="E475" s="5">
        <v>25</v>
      </c>
      <c r="F475" s="5">
        <v>443</v>
      </c>
      <c r="G475" s="5">
        <v>500</v>
      </c>
      <c r="H475" s="5">
        <v>2</v>
      </c>
      <c r="I475" s="5">
        <v>43.47</v>
      </c>
      <c r="J475" s="5">
        <v>86.94</v>
      </c>
      <c r="K475" s="5" t="s">
        <v>629</v>
      </c>
      <c r="L475" s="5" t="s">
        <v>630</v>
      </c>
      <c r="M475" s="7"/>
      <c r="N475" s="7"/>
      <c r="O475" s="7"/>
      <c r="P475" s="7"/>
      <c r="Q475" s="7">
        <v>1</v>
      </c>
      <c r="R475" s="8" t="s">
        <v>37</v>
      </c>
      <c r="S475" s="7"/>
      <c r="T475" s="7" t="s">
        <v>38</v>
      </c>
      <c r="U475" s="7"/>
      <c r="V475" s="7" t="str">
        <f t="shared" si="7"/>
        <v>TCTN.DNS-26004</v>
      </c>
      <c r="W475" s="7" t="s">
        <v>81</v>
      </c>
      <c r="X475" s="7"/>
      <c r="Y475" s="7"/>
      <c r="Z475" s="7" t="s">
        <v>922</v>
      </c>
      <c r="AA475" s="7" t="s">
        <v>39</v>
      </c>
      <c r="AB475" s="7"/>
      <c r="AC475" s="7" t="s">
        <v>631</v>
      </c>
    </row>
    <row r="476" spans="1:29" hidden="1" x14ac:dyDescent="0.25">
      <c r="A476" s="5">
        <v>471</v>
      </c>
      <c r="B476" s="5" t="s">
        <v>659</v>
      </c>
      <c r="C476" s="5" t="s">
        <v>77</v>
      </c>
      <c r="D476" s="5" t="s">
        <v>660</v>
      </c>
      <c r="E476" s="5">
        <v>25</v>
      </c>
      <c r="F476" s="5">
        <v>375</v>
      </c>
      <c r="G476" s="5">
        <v>500</v>
      </c>
      <c r="H476" s="5">
        <v>2</v>
      </c>
      <c r="I476" s="5">
        <v>35.82</v>
      </c>
      <c r="J476" s="5">
        <v>71.63</v>
      </c>
      <c r="K476" s="5" t="s">
        <v>629</v>
      </c>
      <c r="L476" s="5" t="s">
        <v>630</v>
      </c>
      <c r="M476" s="7"/>
      <c r="N476" s="7"/>
      <c r="O476" s="7"/>
      <c r="P476" s="7"/>
      <c r="Q476" s="7">
        <v>1</v>
      </c>
      <c r="R476" s="8" t="s">
        <v>37</v>
      </c>
      <c r="S476" s="7"/>
      <c r="T476" s="7" t="s">
        <v>38</v>
      </c>
      <c r="U476" s="7"/>
      <c r="V476" s="7" t="str">
        <f t="shared" si="7"/>
        <v>TCTN.DNS-26004</v>
      </c>
      <c r="W476" s="7" t="s">
        <v>81</v>
      </c>
      <c r="X476" s="7"/>
      <c r="Y476" s="7"/>
      <c r="Z476" s="7" t="s">
        <v>922</v>
      </c>
      <c r="AA476" s="7" t="s">
        <v>39</v>
      </c>
      <c r="AB476" s="7"/>
      <c r="AC476" s="7" t="s">
        <v>631</v>
      </c>
    </row>
    <row r="477" spans="1:29" hidden="1" x14ac:dyDescent="0.25">
      <c r="A477" s="5">
        <v>472</v>
      </c>
      <c r="B477" s="5" t="s">
        <v>661</v>
      </c>
      <c r="C477" s="5" t="s">
        <v>77</v>
      </c>
      <c r="D477" s="5" t="s">
        <v>660</v>
      </c>
      <c r="E477" s="5">
        <v>25</v>
      </c>
      <c r="F477" s="5">
        <v>375</v>
      </c>
      <c r="G477" s="5">
        <v>500</v>
      </c>
      <c r="H477" s="5">
        <v>1</v>
      </c>
      <c r="I477" s="5">
        <v>35.82</v>
      </c>
      <c r="J477" s="5">
        <v>35.82</v>
      </c>
      <c r="K477" s="5" t="s">
        <v>629</v>
      </c>
      <c r="L477" s="5" t="s">
        <v>630</v>
      </c>
      <c r="M477" s="7"/>
      <c r="N477" s="7"/>
      <c r="O477" s="7"/>
      <c r="P477" s="7"/>
      <c r="Q477" s="7">
        <v>1</v>
      </c>
      <c r="R477" s="8" t="s">
        <v>37</v>
      </c>
      <c r="S477" s="7"/>
      <c r="T477" s="7" t="s">
        <v>38</v>
      </c>
      <c r="U477" s="7"/>
      <c r="V477" s="7" t="str">
        <f t="shared" si="7"/>
        <v>TCTN.DNS-26004</v>
      </c>
      <c r="W477" s="7" t="s">
        <v>81</v>
      </c>
      <c r="X477" s="7"/>
      <c r="Y477" s="7"/>
      <c r="Z477" s="7" t="s">
        <v>922</v>
      </c>
      <c r="AA477" s="7" t="s">
        <v>39</v>
      </c>
      <c r="AB477" s="7"/>
      <c r="AC477" s="7" t="s">
        <v>631</v>
      </c>
    </row>
    <row r="478" spans="1:29" hidden="1" x14ac:dyDescent="0.25">
      <c r="A478" s="5">
        <v>473</v>
      </c>
      <c r="B478" s="5" t="s">
        <v>662</v>
      </c>
      <c r="C478" s="5" t="s">
        <v>77</v>
      </c>
      <c r="D478" s="5" t="s">
        <v>660</v>
      </c>
      <c r="E478" s="5">
        <v>25</v>
      </c>
      <c r="F478" s="5">
        <v>375</v>
      </c>
      <c r="G478" s="5">
        <v>500</v>
      </c>
      <c r="H478" s="5">
        <v>2</v>
      </c>
      <c r="I478" s="5">
        <v>35.82</v>
      </c>
      <c r="J478" s="5">
        <v>71.63</v>
      </c>
      <c r="K478" s="5" t="s">
        <v>629</v>
      </c>
      <c r="L478" s="5" t="s">
        <v>630</v>
      </c>
      <c r="M478" s="7"/>
      <c r="N478" s="7"/>
      <c r="O478" s="7"/>
      <c r="P478" s="7"/>
      <c r="Q478" s="7">
        <v>1</v>
      </c>
      <c r="R478" s="8" t="s">
        <v>37</v>
      </c>
      <c r="S478" s="7"/>
      <c r="T478" s="7" t="s">
        <v>38</v>
      </c>
      <c r="U478" s="7"/>
      <c r="V478" s="7" t="str">
        <f t="shared" si="7"/>
        <v>TCTN.DNS-26004</v>
      </c>
      <c r="W478" s="7" t="s">
        <v>81</v>
      </c>
      <c r="X478" s="7"/>
      <c r="Y478" s="7"/>
      <c r="Z478" s="7" t="s">
        <v>922</v>
      </c>
      <c r="AA478" s="7" t="s">
        <v>39</v>
      </c>
      <c r="AB478" s="7"/>
      <c r="AC478" s="7" t="s">
        <v>631</v>
      </c>
    </row>
    <row r="479" spans="1:29" hidden="1" x14ac:dyDescent="0.25">
      <c r="A479" s="5">
        <v>474</v>
      </c>
      <c r="B479" s="5" t="s">
        <v>663</v>
      </c>
      <c r="C479" s="5" t="s">
        <v>77</v>
      </c>
      <c r="D479" s="5" t="s">
        <v>664</v>
      </c>
      <c r="E479" s="5">
        <v>25</v>
      </c>
      <c r="F479" s="5">
        <v>250</v>
      </c>
      <c r="G479" s="5">
        <v>300</v>
      </c>
      <c r="H479" s="5">
        <v>8</v>
      </c>
      <c r="I479" s="5">
        <v>13.42</v>
      </c>
      <c r="J479" s="5">
        <v>107.35</v>
      </c>
      <c r="K479" s="5" t="s">
        <v>629</v>
      </c>
      <c r="L479" s="5" t="s">
        <v>630</v>
      </c>
      <c r="M479" s="7"/>
      <c r="N479" s="7" t="s">
        <v>228</v>
      </c>
      <c r="O479" s="7"/>
      <c r="P479" s="7"/>
      <c r="Q479" s="7">
        <v>1</v>
      </c>
      <c r="R479" s="8" t="s">
        <v>37</v>
      </c>
      <c r="S479" s="7"/>
      <c r="T479" s="7" t="s">
        <v>38</v>
      </c>
      <c r="U479" s="7"/>
      <c r="V479" s="7" t="str">
        <f t="shared" si="7"/>
        <v>TCTN.DNS-26004</v>
      </c>
      <c r="W479" s="7"/>
      <c r="X479" s="7" t="s">
        <v>81</v>
      </c>
      <c r="Y479" s="7"/>
      <c r="Z479" s="7" t="s">
        <v>922</v>
      </c>
      <c r="AA479" s="7" t="s">
        <v>39</v>
      </c>
      <c r="AB479" s="7"/>
      <c r="AC479" s="7" t="s">
        <v>631</v>
      </c>
    </row>
    <row r="480" spans="1:29" hidden="1" x14ac:dyDescent="0.25">
      <c r="A480" s="5">
        <v>475</v>
      </c>
      <c r="B480" s="5" t="s">
        <v>665</v>
      </c>
      <c r="C480" s="5" t="s">
        <v>77</v>
      </c>
      <c r="D480" s="5" t="s">
        <v>660</v>
      </c>
      <c r="E480" s="5">
        <v>25</v>
      </c>
      <c r="F480" s="5">
        <v>375</v>
      </c>
      <c r="G480" s="5">
        <v>500</v>
      </c>
      <c r="H480" s="5">
        <v>1</v>
      </c>
      <c r="I480" s="5">
        <v>35.82</v>
      </c>
      <c r="J480" s="5">
        <v>35.82</v>
      </c>
      <c r="K480" s="5" t="s">
        <v>629</v>
      </c>
      <c r="L480" s="5" t="s">
        <v>630</v>
      </c>
      <c r="M480" s="7"/>
      <c r="N480" s="7"/>
      <c r="O480" s="7"/>
      <c r="P480" s="7"/>
      <c r="Q480" s="7">
        <v>1</v>
      </c>
      <c r="R480" s="8" t="s">
        <v>37</v>
      </c>
      <c r="S480" s="7"/>
      <c r="T480" s="7" t="s">
        <v>38</v>
      </c>
      <c r="U480" s="7"/>
      <c r="V480" s="7" t="str">
        <f t="shared" si="7"/>
        <v>TCTN.DNS-26004</v>
      </c>
      <c r="W480" s="7" t="s">
        <v>81</v>
      </c>
      <c r="X480" s="7"/>
      <c r="Y480" s="7"/>
      <c r="Z480" s="7" t="s">
        <v>922</v>
      </c>
      <c r="AA480" s="7" t="s">
        <v>39</v>
      </c>
      <c r="AB480" s="7"/>
      <c r="AC480" s="7" t="s">
        <v>631</v>
      </c>
    </row>
    <row r="481" spans="1:29" hidden="1" x14ac:dyDescent="0.25">
      <c r="A481" s="5">
        <v>476</v>
      </c>
      <c r="B481" s="5" t="s">
        <v>666</v>
      </c>
      <c r="C481" s="5" t="s">
        <v>77</v>
      </c>
      <c r="D481" s="5" t="s">
        <v>664</v>
      </c>
      <c r="E481" s="5">
        <v>25</v>
      </c>
      <c r="F481" s="5">
        <v>250</v>
      </c>
      <c r="G481" s="5">
        <v>300</v>
      </c>
      <c r="H481" s="5">
        <v>8</v>
      </c>
      <c r="I481" s="5">
        <v>12.86</v>
      </c>
      <c r="J481" s="5">
        <v>102.91</v>
      </c>
      <c r="K481" s="5" t="s">
        <v>629</v>
      </c>
      <c r="L481" s="5" t="s">
        <v>630</v>
      </c>
      <c r="M481" s="7"/>
      <c r="N481" s="7" t="s">
        <v>228</v>
      </c>
      <c r="O481" s="7"/>
      <c r="P481" s="7"/>
      <c r="Q481" s="7">
        <v>1</v>
      </c>
      <c r="R481" s="8" t="s">
        <v>37</v>
      </c>
      <c r="S481" s="7"/>
      <c r="T481" s="7" t="s">
        <v>38</v>
      </c>
      <c r="U481" s="7"/>
      <c r="V481" s="7" t="str">
        <f t="shared" si="7"/>
        <v>TCTN.DNS-26004</v>
      </c>
      <c r="W481" s="7"/>
      <c r="X481" s="7" t="s">
        <v>81</v>
      </c>
      <c r="Y481" s="7"/>
      <c r="Z481" s="7" t="s">
        <v>922</v>
      </c>
      <c r="AA481" s="7" t="s">
        <v>39</v>
      </c>
      <c r="AB481" s="7"/>
      <c r="AC481" s="7" t="s">
        <v>631</v>
      </c>
    </row>
    <row r="482" spans="1:29" hidden="1" x14ac:dyDescent="0.25">
      <c r="A482" s="5">
        <v>477</v>
      </c>
      <c r="B482" s="5" t="s">
        <v>667</v>
      </c>
      <c r="C482" s="5" t="s">
        <v>77</v>
      </c>
      <c r="D482" s="5" t="s">
        <v>668</v>
      </c>
      <c r="E482" s="5">
        <v>25</v>
      </c>
      <c r="F482" s="5">
        <v>240</v>
      </c>
      <c r="G482" s="5">
        <v>300</v>
      </c>
      <c r="H482" s="5">
        <v>8</v>
      </c>
      <c r="I482" s="5">
        <v>12.59</v>
      </c>
      <c r="J482" s="5">
        <v>100.71</v>
      </c>
      <c r="K482" s="5" t="s">
        <v>629</v>
      </c>
      <c r="L482" s="5" t="s">
        <v>630</v>
      </c>
      <c r="M482" s="7"/>
      <c r="N482" s="7" t="s">
        <v>228</v>
      </c>
      <c r="O482" s="7"/>
      <c r="P482" s="7"/>
      <c r="Q482" s="7">
        <v>1</v>
      </c>
      <c r="R482" s="8" t="s">
        <v>37</v>
      </c>
      <c r="S482" s="7"/>
      <c r="T482" s="7" t="s">
        <v>38</v>
      </c>
      <c r="U482" s="7"/>
      <c r="V482" s="7" t="str">
        <f t="shared" si="7"/>
        <v>TCTN.DNS-26004</v>
      </c>
      <c r="W482" s="7"/>
      <c r="X482" s="7" t="s">
        <v>81</v>
      </c>
      <c r="Y482" s="7"/>
      <c r="Z482" s="7" t="s">
        <v>922</v>
      </c>
      <c r="AA482" s="7" t="s">
        <v>39</v>
      </c>
      <c r="AB482" s="7"/>
      <c r="AC482" s="7" t="s">
        <v>631</v>
      </c>
    </row>
    <row r="483" spans="1:29" hidden="1" x14ac:dyDescent="0.25">
      <c r="A483" s="5">
        <v>478</v>
      </c>
      <c r="B483" s="5" t="s">
        <v>669</v>
      </c>
      <c r="C483" s="5" t="s">
        <v>77</v>
      </c>
      <c r="D483" s="5" t="s">
        <v>668</v>
      </c>
      <c r="E483" s="5">
        <v>25</v>
      </c>
      <c r="F483" s="5">
        <v>240</v>
      </c>
      <c r="G483" s="5">
        <v>300</v>
      </c>
      <c r="H483" s="5">
        <v>8</v>
      </c>
      <c r="I483" s="5">
        <v>13.58</v>
      </c>
      <c r="J483" s="5">
        <v>108.6</v>
      </c>
      <c r="K483" s="5" t="s">
        <v>629</v>
      </c>
      <c r="L483" s="5" t="s">
        <v>630</v>
      </c>
      <c r="M483" s="7"/>
      <c r="N483" s="7" t="s">
        <v>228</v>
      </c>
      <c r="O483" s="7"/>
      <c r="P483" s="7"/>
      <c r="Q483" s="7">
        <v>1</v>
      </c>
      <c r="R483" s="8" t="s">
        <v>37</v>
      </c>
      <c r="S483" s="7"/>
      <c r="T483" s="7" t="s">
        <v>38</v>
      </c>
      <c r="U483" s="7"/>
      <c r="V483" s="7" t="str">
        <f t="shared" si="7"/>
        <v>TCTN.DNS-26004</v>
      </c>
      <c r="W483" s="7"/>
      <c r="X483" s="7" t="s">
        <v>81</v>
      </c>
      <c r="Y483" s="7"/>
      <c r="Z483" s="7" t="s">
        <v>922</v>
      </c>
      <c r="AA483" s="7" t="s">
        <v>39</v>
      </c>
      <c r="AB483" s="7"/>
      <c r="AC483" s="7" t="s">
        <v>631</v>
      </c>
    </row>
    <row r="484" spans="1:29" hidden="1" x14ac:dyDescent="0.25">
      <c r="A484" s="5">
        <v>479</v>
      </c>
      <c r="B484" s="5" t="s">
        <v>670</v>
      </c>
      <c r="C484" s="5" t="s">
        <v>77</v>
      </c>
      <c r="D484" s="5" t="s">
        <v>668</v>
      </c>
      <c r="E484" s="5">
        <v>25</v>
      </c>
      <c r="F484" s="5">
        <v>240</v>
      </c>
      <c r="G484" s="5">
        <v>300</v>
      </c>
      <c r="H484" s="5">
        <v>4</v>
      </c>
      <c r="I484" s="5">
        <v>12.59</v>
      </c>
      <c r="J484" s="5">
        <v>50.35</v>
      </c>
      <c r="K484" s="5" t="s">
        <v>629</v>
      </c>
      <c r="L484" s="5" t="s">
        <v>630</v>
      </c>
      <c r="M484" s="7"/>
      <c r="N484" s="7" t="s">
        <v>228</v>
      </c>
      <c r="O484" s="7"/>
      <c r="P484" s="7"/>
      <c r="Q484" s="7">
        <v>1</v>
      </c>
      <c r="R484" s="8" t="s">
        <v>37</v>
      </c>
      <c r="S484" s="7"/>
      <c r="T484" s="7" t="s">
        <v>38</v>
      </c>
      <c r="U484" s="7"/>
      <c r="V484" s="7" t="str">
        <f t="shared" si="7"/>
        <v>TCTN.DNS-26004</v>
      </c>
      <c r="W484" s="7"/>
      <c r="X484" s="7" t="s">
        <v>81</v>
      </c>
      <c r="Y484" s="7"/>
      <c r="Z484" s="7" t="s">
        <v>922</v>
      </c>
      <c r="AA484" s="7" t="s">
        <v>39</v>
      </c>
      <c r="AB484" s="7"/>
      <c r="AC484" s="7" t="s">
        <v>631</v>
      </c>
    </row>
    <row r="485" spans="1:29" hidden="1" x14ac:dyDescent="0.25">
      <c r="A485" s="5">
        <v>480</v>
      </c>
      <c r="B485" s="5" t="s">
        <v>671</v>
      </c>
      <c r="C485" s="5" t="s">
        <v>77</v>
      </c>
      <c r="D485" s="5" t="s">
        <v>651</v>
      </c>
      <c r="E485" s="5">
        <v>25</v>
      </c>
      <c r="F485" s="5">
        <v>200</v>
      </c>
      <c r="G485" s="5">
        <v>200</v>
      </c>
      <c r="H485" s="5">
        <v>2</v>
      </c>
      <c r="I485" s="5">
        <v>7.85</v>
      </c>
      <c r="J485" s="5">
        <v>15.7</v>
      </c>
      <c r="K485" s="5" t="s">
        <v>629</v>
      </c>
      <c r="L485" s="5" t="s">
        <v>630</v>
      </c>
      <c r="M485" s="7"/>
      <c r="N485" s="7"/>
      <c r="O485" s="7"/>
      <c r="P485" s="7"/>
      <c r="Q485" s="7">
        <v>1</v>
      </c>
      <c r="R485" s="8" t="s">
        <v>37</v>
      </c>
      <c r="S485" s="7"/>
      <c r="T485" s="7" t="s">
        <v>38</v>
      </c>
      <c r="U485" s="7"/>
      <c r="V485" s="7" t="str">
        <f t="shared" si="7"/>
        <v>TCTN.DNS-26004</v>
      </c>
      <c r="W485" s="7" t="s">
        <v>81</v>
      </c>
      <c r="X485" s="7"/>
      <c r="Y485" s="7"/>
      <c r="Z485" s="7" t="s">
        <v>922</v>
      </c>
      <c r="AA485" s="7" t="s">
        <v>39</v>
      </c>
      <c r="AB485" s="7"/>
      <c r="AC485" s="7" t="s">
        <v>631</v>
      </c>
    </row>
    <row r="486" spans="1:29" hidden="1" x14ac:dyDescent="0.25">
      <c r="A486" s="5">
        <v>481</v>
      </c>
      <c r="B486" s="5" t="s">
        <v>672</v>
      </c>
      <c r="C486" s="5" t="s">
        <v>77</v>
      </c>
      <c r="D486" s="5" t="s">
        <v>668</v>
      </c>
      <c r="E486" s="5">
        <v>25</v>
      </c>
      <c r="F486" s="5">
        <v>240</v>
      </c>
      <c r="G486" s="5">
        <v>300</v>
      </c>
      <c r="H486" s="5">
        <v>4</v>
      </c>
      <c r="I486" s="5">
        <v>13.58</v>
      </c>
      <c r="J486" s="5">
        <v>54.3</v>
      </c>
      <c r="K486" s="5" t="s">
        <v>629</v>
      </c>
      <c r="L486" s="5" t="s">
        <v>630</v>
      </c>
      <c r="M486" s="7"/>
      <c r="N486" s="7" t="s">
        <v>228</v>
      </c>
      <c r="O486" s="7"/>
      <c r="P486" s="7"/>
      <c r="Q486" s="7">
        <v>1</v>
      </c>
      <c r="R486" s="8" t="s">
        <v>37</v>
      </c>
      <c r="S486" s="7"/>
      <c r="T486" s="7" t="s">
        <v>38</v>
      </c>
      <c r="U486" s="7"/>
      <c r="V486" s="7" t="str">
        <f t="shared" si="7"/>
        <v>TCTN.DNS-26004</v>
      </c>
      <c r="W486" s="7"/>
      <c r="X486" s="7" t="s">
        <v>81</v>
      </c>
      <c r="Y486" s="7"/>
      <c r="Z486" s="7" t="s">
        <v>922</v>
      </c>
      <c r="AA486" s="7" t="s">
        <v>39</v>
      </c>
      <c r="AB486" s="7"/>
      <c r="AC486" s="7" t="s">
        <v>631</v>
      </c>
    </row>
    <row r="487" spans="1:29" hidden="1" x14ac:dyDescent="0.25">
      <c r="A487" s="5">
        <v>482</v>
      </c>
      <c r="B487" s="5" t="s">
        <v>673</v>
      </c>
      <c r="C487" s="5" t="s">
        <v>77</v>
      </c>
      <c r="D487" s="5" t="s">
        <v>674</v>
      </c>
      <c r="E487" s="5">
        <v>30</v>
      </c>
      <c r="F487" s="5">
        <v>390</v>
      </c>
      <c r="G487" s="5">
        <v>670</v>
      </c>
      <c r="H487" s="5">
        <v>2</v>
      </c>
      <c r="I487" s="5">
        <v>55.65</v>
      </c>
      <c r="J487" s="5">
        <v>111.3</v>
      </c>
      <c r="K487" s="5" t="s">
        <v>675</v>
      </c>
      <c r="L487" s="5" t="s">
        <v>676</v>
      </c>
      <c r="M487" s="7"/>
      <c r="N487" s="7" t="s">
        <v>228</v>
      </c>
      <c r="O487" s="7"/>
      <c r="P487" s="7"/>
      <c r="Q487" s="7">
        <v>1</v>
      </c>
      <c r="R487" s="8" t="s">
        <v>37</v>
      </c>
      <c r="S487" s="7"/>
      <c r="T487" s="7" t="s">
        <v>38</v>
      </c>
      <c r="U487" s="7"/>
      <c r="V487" s="7" t="str">
        <f t="shared" si="7"/>
        <v>TCTN.DNS-26004</v>
      </c>
      <c r="W487" s="7"/>
      <c r="X487" s="7" t="s">
        <v>81</v>
      </c>
      <c r="Y487" s="7"/>
      <c r="Z487" s="7" t="s">
        <v>922</v>
      </c>
      <c r="AA487" s="7" t="s">
        <v>39</v>
      </c>
      <c r="AB487" s="7"/>
      <c r="AC487" s="7" t="s">
        <v>677</v>
      </c>
    </row>
    <row r="488" spans="1:29" hidden="1" x14ac:dyDescent="0.25">
      <c r="A488" s="5">
        <v>483</v>
      </c>
      <c r="B488" s="5" t="s">
        <v>678</v>
      </c>
      <c r="C488" s="5" t="s">
        <v>77</v>
      </c>
      <c r="D488" s="5" t="s">
        <v>679</v>
      </c>
      <c r="E488" s="5">
        <v>30</v>
      </c>
      <c r="F488" s="5">
        <v>290</v>
      </c>
      <c r="G488" s="5">
        <v>670</v>
      </c>
      <c r="H488" s="5">
        <v>4</v>
      </c>
      <c r="I488" s="5">
        <v>41.82</v>
      </c>
      <c r="J488" s="5">
        <v>167.26</v>
      </c>
      <c r="K488" s="5" t="s">
        <v>675</v>
      </c>
      <c r="L488" s="5" t="s">
        <v>676</v>
      </c>
      <c r="M488" s="7"/>
      <c r="N488" s="7" t="s">
        <v>228</v>
      </c>
      <c r="O488" s="7"/>
      <c r="P488" s="7"/>
      <c r="Q488" s="7">
        <v>1</v>
      </c>
      <c r="R488" s="8" t="s">
        <v>37</v>
      </c>
      <c r="S488" s="7"/>
      <c r="T488" s="7" t="s">
        <v>38</v>
      </c>
      <c r="U488" s="7"/>
      <c r="V488" s="7" t="str">
        <f t="shared" si="7"/>
        <v>TCTN.DNS-26004</v>
      </c>
      <c r="W488" s="7"/>
      <c r="X488" s="7" t="s">
        <v>81</v>
      </c>
      <c r="Y488" s="7"/>
      <c r="Z488" s="7" t="s">
        <v>922</v>
      </c>
      <c r="AA488" s="7" t="s">
        <v>39</v>
      </c>
      <c r="AB488" s="7"/>
      <c r="AC488" s="7" t="s">
        <v>677</v>
      </c>
    </row>
    <row r="489" spans="1:29" hidden="1" x14ac:dyDescent="0.25">
      <c r="A489" s="5">
        <v>484</v>
      </c>
      <c r="B489" s="5" t="s">
        <v>680</v>
      </c>
      <c r="C489" s="5" t="s">
        <v>77</v>
      </c>
      <c r="D489" s="5" t="s">
        <v>674</v>
      </c>
      <c r="E489" s="5">
        <v>30</v>
      </c>
      <c r="F489" s="5">
        <v>390</v>
      </c>
      <c r="G489" s="5">
        <v>670</v>
      </c>
      <c r="H489" s="5">
        <v>2</v>
      </c>
      <c r="I489" s="5">
        <v>55.65</v>
      </c>
      <c r="J489" s="5">
        <v>111.3</v>
      </c>
      <c r="K489" s="5" t="s">
        <v>675</v>
      </c>
      <c r="L489" s="5" t="s">
        <v>676</v>
      </c>
      <c r="M489" s="7"/>
      <c r="N489" s="7" t="s">
        <v>228</v>
      </c>
      <c r="O489" s="7"/>
      <c r="P489" s="7"/>
      <c r="Q489" s="7">
        <v>1</v>
      </c>
      <c r="R489" s="8" t="s">
        <v>37</v>
      </c>
      <c r="S489" s="7"/>
      <c r="T489" s="7" t="s">
        <v>38</v>
      </c>
      <c r="U489" s="7"/>
      <c r="V489" s="7" t="str">
        <f t="shared" si="7"/>
        <v>TCTN.DNS-26004</v>
      </c>
      <c r="W489" s="7"/>
      <c r="X489" s="7" t="s">
        <v>81</v>
      </c>
      <c r="Y489" s="7"/>
      <c r="Z489" s="7" t="s">
        <v>922</v>
      </c>
      <c r="AA489" s="7" t="s">
        <v>39</v>
      </c>
      <c r="AB489" s="7"/>
      <c r="AC489" s="7" t="s">
        <v>677</v>
      </c>
    </row>
    <row r="490" spans="1:29" hidden="1" x14ac:dyDescent="0.25">
      <c r="A490" s="5">
        <v>485</v>
      </c>
      <c r="B490" s="5" t="s">
        <v>681</v>
      </c>
      <c r="C490" s="5" t="s">
        <v>77</v>
      </c>
      <c r="D490" s="5" t="s">
        <v>679</v>
      </c>
      <c r="E490" s="5">
        <v>30</v>
      </c>
      <c r="F490" s="5">
        <v>290</v>
      </c>
      <c r="G490" s="5">
        <v>670</v>
      </c>
      <c r="H490" s="5">
        <v>4</v>
      </c>
      <c r="I490" s="5">
        <v>41.82</v>
      </c>
      <c r="J490" s="5">
        <v>167.26</v>
      </c>
      <c r="K490" s="5" t="s">
        <v>675</v>
      </c>
      <c r="L490" s="5" t="s">
        <v>676</v>
      </c>
      <c r="M490" s="7"/>
      <c r="N490" s="7" t="s">
        <v>228</v>
      </c>
      <c r="O490" s="7"/>
      <c r="P490" s="7"/>
      <c r="Q490" s="7">
        <v>1</v>
      </c>
      <c r="R490" s="8" t="s">
        <v>37</v>
      </c>
      <c r="S490" s="7"/>
      <c r="T490" s="7" t="s">
        <v>38</v>
      </c>
      <c r="U490" s="7"/>
      <c r="V490" s="7" t="str">
        <f t="shared" si="7"/>
        <v>TCTN.DNS-26004</v>
      </c>
      <c r="W490" s="7"/>
      <c r="X490" s="7" t="s">
        <v>81</v>
      </c>
      <c r="Y490" s="7"/>
      <c r="Z490" s="7" t="s">
        <v>922</v>
      </c>
      <c r="AA490" s="7" t="s">
        <v>39</v>
      </c>
      <c r="AB490" s="7"/>
      <c r="AC490" s="7" t="s">
        <v>677</v>
      </c>
    </row>
    <row r="491" spans="1:29" hidden="1" x14ac:dyDescent="0.25">
      <c r="A491" s="5">
        <v>486</v>
      </c>
      <c r="B491" s="5" t="s">
        <v>682</v>
      </c>
      <c r="C491" s="5" t="s">
        <v>77</v>
      </c>
      <c r="D491" s="5" t="s">
        <v>674</v>
      </c>
      <c r="E491" s="5">
        <v>30</v>
      </c>
      <c r="F491" s="5">
        <v>390</v>
      </c>
      <c r="G491" s="5">
        <v>670</v>
      </c>
      <c r="H491" s="5">
        <v>2</v>
      </c>
      <c r="I491" s="5">
        <v>55.65</v>
      </c>
      <c r="J491" s="5">
        <v>111.3</v>
      </c>
      <c r="K491" s="5" t="s">
        <v>675</v>
      </c>
      <c r="L491" s="5" t="s">
        <v>676</v>
      </c>
      <c r="M491" s="7"/>
      <c r="N491" s="7" t="s">
        <v>228</v>
      </c>
      <c r="O491" s="7"/>
      <c r="P491" s="7"/>
      <c r="Q491" s="7">
        <v>1</v>
      </c>
      <c r="R491" s="8" t="s">
        <v>37</v>
      </c>
      <c r="S491" s="7"/>
      <c r="T491" s="7" t="s">
        <v>38</v>
      </c>
      <c r="U491" s="7"/>
      <c r="V491" s="7" t="str">
        <f t="shared" si="7"/>
        <v>TCTN.DNS-26004</v>
      </c>
      <c r="W491" s="7"/>
      <c r="X491" s="7" t="s">
        <v>81</v>
      </c>
      <c r="Y491" s="7"/>
      <c r="Z491" s="7" t="s">
        <v>922</v>
      </c>
      <c r="AA491" s="7" t="s">
        <v>39</v>
      </c>
      <c r="AB491" s="7"/>
      <c r="AC491" s="7" t="s">
        <v>677</v>
      </c>
    </row>
    <row r="492" spans="1:29" hidden="1" x14ac:dyDescent="0.25">
      <c r="A492" s="5">
        <v>487</v>
      </c>
      <c r="B492" s="5" t="s">
        <v>683</v>
      </c>
      <c r="C492" s="5" t="s">
        <v>77</v>
      </c>
      <c r="D492" s="5" t="s">
        <v>679</v>
      </c>
      <c r="E492" s="5">
        <v>30</v>
      </c>
      <c r="F492" s="5">
        <v>290</v>
      </c>
      <c r="G492" s="5">
        <v>670</v>
      </c>
      <c r="H492" s="5">
        <v>4</v>
      </c>
      <c r="I492" s="5">
        <v>41.82</v>
      </c>
      <c r="J492" s="5">
        <v>167.26</v>
      </c>
      <c r="K492" s="5" t="s">
        <v>675</v>
      </c>
      <c r="L492" s="5" t="s">
        <v>676</v>
      </c>
      <c r="M492" s="7"/>
      <c r="N492" s="7" t="s">
        <v>228</v>
      </c>
      <c r="O492" s="7"/>
      <c r="P492" s="7"/>
      <c r="Q492" s="7">
        <v>1</v>
      </c>
      <c r="R492" s="8" t="s">
        <v>37</v>
      </c>
      <c r="S492" s="7"/>
      <c r="T492" s="7" t="s">
        <v>38</v>
      </c>
      <c r="U492" s="7"/>
      <c r="V492" s="7" t="str">
        <f t="shared" si="7"/>
        <v>TCTN.DNS-26004</v>
      </c>
      <c r="W492" s="7"/>
      <c r="X492" s="7" t="s">
        <v>81</v>
      </c>
      <c r="Y492" s="7"/>
      <c r="Z492" s="7" t="s">
        <v>922</v>
      </c>
      <c r="AA492" s="7" t="s">
        <v>39</v>
      </c>
      <c r="AB492" s="7"/>
      <c r="AC492" s="7" t="s">
        <v>677</v>
      </c>
    </row>
    <row r="493" spans="1:29" hidden="1" x14ac:dyDescent="0.25">
      <c r="A493" s="5">
        <v>488</v>
      </c>
      <c r="B493" s="5" t="s">
        <v>684</v>
      </c>
      <c r="C493" s="5" t="s">
        <v>77</v>
      </c>
      <c r="D493" s="5" t="s">
        <v>674</v>
      </c>
      <c r="E493" s="5">
        <v>30</v>
      </c>
      <c r="F493" s="5">
        <v>390</v>
      </c>
      <c r="G493" s="5">
        <v>670</v>
      </c>
      <c r="H493" s="5">
        <v>2</v>
      </c>
      <c r="I493" s="5">
        <v>55.65</v>
      </c>
      <c r="J493" s="5">
        <v>111.3</v>
      </c>
      <c r="K493" s="5" t="s">
        <v>675</v>
      </c>
      <c r="L493" s="5" t="s">
        <v>676</v>
      </c>
      <c r="M493" s="7"/>
      <c r="N493" s="7" t="s">
        <v>228</v>
      </c>
      <c r="O493" s="7"/>
      <c r="P493" s="7"/>
      <c r="Q493" s="7">
        <v>1</v>
      </c>
      <c r="R493" s="8" t="s">
        <v>37</v>
      </c>
      <c r="S493" s="7"/>
      <c r="T493" s="7" t="s">
        <v>38</v>
      </c>
      <c r="U493" s="7"/>
      <c r="V493" s="7" t="str">
        <f t="shared" si="7"/>
        <v>TCTN.DNS-26004</v>
      </c>
      <c r="W493" s="7"/>
      <c r="X493" s="7" t="s">
        <v>81</v>
      </c>
      <c r="Y493" s="7"/>
      <c r="Z493" s="7" t="s">
        <v>922</v>
      </c>
      <c r="AA493" s="7" t="s">
        <v>39</v>
      </c>
      <c r="AB493" s="7"/>
      <c r="AC493" s="7" t="s">
        <v>677</v>
      </c>
    </row>
    <row r="494" spans="1:29" hidden="1" x14ac:dyDescent="0.25">
      <c r="A494" s="5">
        <v>489</v>
      </c>
      <c r="B494" s="5" t="s">
        <v>685</v>
      </c>
      <c r="C494" s="5" t="s">
        <v>77</v>
      </c>
      <c r="D494" s="5" t="s">
        <v>679</v>
      </c>
      <c r="E494" s="5">
        <v>30</v>
      </c>
      <c r="F494" s="5">
        <v>290</v>
      </c>
      <c r="G494" s="5">
        <v>670</v>
      </c>
      <c r="H494" s="5">
        <v>4</v>
      </c>
      <c r="I494" s="5">
        <v>41.82</v>
      </c>
      <c r="J494" s="5">
        <v>167.26</v>
      </c>
      <c r="K494" s="5" t="s">
        <v>675</v>
      </c>
      <c r="L494" s="5" t="s">
        <v>676</v>
      </c>
      <c r="M494" s="7"/>
      <c r="N494" s="7" t="s">
        <v>228</v>
      </c>
      <c r="O494" s="7"/>
      <c r="P494" s="7"/>
      <c r="Q494" s="7">
        <v>1</v>
      </c>
      <c r="R494" s="8" t="s">
        <v>37</v>
      </c>
      <c r="S494" s="7"/>
      <c r="T494" s="7" t="s">
        <v>38</v>
      </c>
      <c r="U494" s="7"/>
      <c r="V494" s="7" t="str">
        <f t="shared" si="7"/>
        <v>TCTN.DNS-26004</v>
      </c>
      <c r="W494" s="7"/>
      <c r="X494" s="7" t="s">
        <v>81</v>
      </c>
      <c r="Y494" s="7"/>
      <c r="Z494" s="7" t="s">
        <v>922</v>
      </c>
      <c r="AA494" s="7" t="s">
        <v>39</v>
      </c>
      <c r="AB494" s="7"/>
      <c r="AC494" s="7" t="s">
        <v>677</v>
      </c>
    </row>
    <row r="495" spans="1:29" hidden="1" x14ac:dyDescent="0.25">
      <c r="A495" s="5">
        <v>490</v>
      </c>
      <c r="B495" s="5" t="s">
        <v>686</v>
      </c>
      <c r="C495" s="5" t="s">
        <v>77</v>
      </c>
      <c r="D495" s="5" t="s">
        <v>687</v>
      </c>
      <c r="E495" s="5">
        <v>30</v>
      </c>
      <c r="F495" s="5">
        <v>315</v>
      </c>
      <c r="G495" s="5">
        <v>460</v>
      </c>
      <c r="H495" s="5">
        <v>2</v>
      </c>
      <c r="I495" s="5">
        <v>22.86</v>
      </c>
      <c r="J495" s="5">
        <v>45.73</v>
      </c>
      <c r="K495" s="5" t="s">
        <v>675</v>
      </c>
      <c r="L495" s="5" t="s">
        <v>676</v>
      </c>
      <c r="M495" s="7"/>
      <c r="N495" s="7" t="s">
        <v>228</v>
      </c>
      <c r="O495" s="7"/>
      <c r="P495" s="7"/>
      <c r="Q495" s="7">
        <v>1</v>
      </c>
      <c r="R495" s="8" t="s">
        <v>37</v>
      </c>
      <c r="S495" s="7"/>
      <c r="T495" s="7" t="s">
        <v>38</v>
      </c>
      <c r="U495" s="7"/>
      <c r="V495" s="7" t="str">
        <f t="shared" si="7"/>
        <v>TCTN.DNS-26004</v>
      </c>
      <c r="W495" s="7"/>
      <c r="X495" s="7" t="s">
        <v>81</v>
      </c>
      <c r="Y495" s="7"/>
      <c r="Z495" s="7" t="s">
        <v>922</v>
      </c>
      <c r="AA495" s="7" t="s">
        <v>39</v>
      </c>
      <c r="AB495" s="7"/>
      <c r="AC495" s="7" t="s">
        <v>677</v>
      </c>
    </row>
    <row r="496" spans="1:29" hidden="1" x14ac:dyDescent="0.25">
      <c r="A496" s="5">
        <v>491</v>
      </c>
      <c r="B496" s="5" t="s">
        <v>688</v>
      </c>
      <c r="C496" s="5" t="s">
        <v>77</v>
      </c>
      <c r="D496" s="5" t="s">
        <v>689</v>
      </c>
      <c r="E496" s="5">
        <v>30</v>
      </c>
      <c r="F496" s="5">
        <v>260</v>
      </c>
      <c r="G496" s="5">
        <v>400</v>
      </c>
      <c r="H496" s="5">
        <v>2</v>
      </c>
      <c r="I496" s="5">
        <v>16.329999999999998</v>
      </c>
      <c r="J496" s="5">
        <v>32.659999999999997</v>
      </c>
      <c r="K496" s="5" t="s">
        <v>675</v>
      </c>
      <c r="L496" s="5" t="s">
        <v>676</v>
      </c>
      <c r="M496" s="7"/>
      <c r="N496" s="7" t="s">
        <v>228</v>
      </c>
      <c r="O496" s="7"/>
      <c r="P496" s="7"/>
      <c r="Q496" s="7">
        <v>1</v>
      </c>
      <c r="R496" s="8" t="s">
        <v>37</v>
      </c>
      <c r="S496" s="7"/>
      <c r="T496" s="7" t="s">
        <v>38</v>
      </c>
      <c r="U496" s="7"/>
      <c r="V496" s="7" t="str">
        <f t="shared" si="7"/>
        <v>TCTN.DNS-26004</v>
      </c>
      <c r="W496" s="7"/>
      <c r="X496" s="7" t="s">
        <v>81</v>
      </c>
      <c r="Y496" s="7"/>
      <c r="Z496" s="7" t="s">
        <v>922</v>
      </c>
      <c r="AA496" s="7" t="s">
        <v>39</v>
      </c>
      <c r="AB496" s="7"/>
      <c r="AC496" s="7" t="s">
        <v>677</v>
      </c>
    </row>
    <row r="497" spans="1:29" hidden="1" x14ac:dyDescent="0.25">
      <c r="A497" s="5">
        <v>492</v>
      </c>
      <c r="B497" s="5" t="s">
        <v>690</v>
      </c>
      <c r="C497" s="5" t="s">
        <v>77</v>
      </c>
      <c r="D497" s="5" t="s">
        <v>691</v>
      </c>
      <c r="E497" s="5">
        <v>30</v>
      </c>
      <c r="F497" s="5">
        <v>69</v>
      </c>
      <c r="G497" s="5">
        <v>100</v>
      </c>
      <c r="H497" s="5">
        <v>2</v>
      </c>
      <c r="I497" s="5">
        <v>1.62</v>
      </c>
      <c r="J497" s="5">
        <v>3.25</v>
      </c>
      <c r="K497" s="5" t="s">
        <v>675</v>
      </c>
      <c r="L497" s="5" t="s">
        <v>676</v>
      </c>
      <c r="M497" s="7"/>
      <c r="N497" s="7"/>
      <c r="O497" s="7"/>
      <c r="P497" s="7"/>
      <c r="Q497" s="7">
        <v>1</v>
      </c>
      <c r="R497" s="8" t="s">
        <v>37</v>
      </c>
      <c r="S497" s="7"/>
      <c r="T497" s="7" t="s">
        <v>38</v>
      </c>
      <c r="U497" s="7"/>
      <c r="V497" s="7" t="str">
        <f t="shared" si="7"/>
        <v>TCTN.DNS-26004</v>
      </c>
      <c r="W497" s="7" t="s">
        <v>81</v>
      </c>
      <c r="X497" s="7"/>
      <c r="Y497" s="7"/>
      <c r="Z497" s="7" t="s">
        <v>922</v>
      </c>
      <c r="AA497" s="7" t="s">
        <v>39</v>
      </c>
      <c r="AB497" s="7"/>
      <c r="AC497" s="7" t="s">
        <v>677</v>
      </c>
    </row>
    <row r="498" spans="1:29" hidden="1" x14ac:dyDescent="0.25">
      <c r="A498" s="5">
        <v>493</v>
      </c>
      <c r="B498" s="5" t="s">
        <v>692</v>
      </c>
      <c r="C498" s="5" t="s">
        <v>77</v>
      </c>
      <c r="D498" s="5" t="s">
        <v>687</v>
      </c>
      <c r="E498" s="5">
        <v>30</v>
      </c>
      <c r="F498" s="5">
        <v>315</v>
      </c>
      <c r="G498" s="5">
        <v>460</v>
      </c>
      <c r="H498" s="5">
        <v>4</v>
      </c>
      <c r="I498" s="5">
        <v>22.86</v>
      </c>
      <c r="J498" s="5">
        <v>91.45</v>
      </c>
      <c r="K498" s="5" t="s">
        <v>675</v>
      </c>
      <c r="L498" s="5" t="s">
        <v>676</v>
      </c>
      <c r="M498" s="7"/>
      <c r="N498" s="7" t="s">
        <v>228</v>
      </c>
      <c r="O498" s="7"/>
      <c r="P498" s="7"/>
      <c r="Q498" s="7">
        <v>1</v>
      </c>
      <c r="R498" s="8" t="s">
        <v>37</v>
      </c>
      <c r="S498" s="7"/>
      <c r="T498" s="7" t="s">
        <v>38</v>
      </c>
      <c r="U498" s="7"/>
      <c r="V498" s="7" t="str">
        <f t="shared" si="7"/>
        <v>TCTN.DNS-26004</v>
      </c>
      <c r="W498" s="7"/>
      <c r="X498" s="7" t="s">
        <v>81</v>
      </c>
      <c r="Y498" s="7"/>
      <c r="Z498" s="7" t="s">
        <v>922</v>
      </c>
      <c r="AA498" s="7" t="s">
        <v>39</v>
      </c>
      <c r="AB498" s="7"/>
      <c r="AC498" s="7" t="s">
        <v>677</v>
      </c>
    </row>
    <row r="499" spans="1:29" hidden="1" x14ac:dyDescent="0.25">
      <c r="A499" s="5">
        <v>494</v>
      </c>
      <c r="B499" s="5" t="s">
        <v>693</v>
      </c>
      <c r="C499" s="5" t="s">
        <v>77</v>
      </c>
      <c r="D499" s="5" t="s">
        <v>691</v>
      </c>
      <c r="E499" s="5">
        <v>30</v>
      </c>
      <c r="F499" s="5">
        <v>69</v>
      </c>
      <c r="G499" s="5">
        <v>100</v>
      </c>
      <c r="H499" s="5">
        <v>4</v>
      </c>
      <c r="I499" s="5">
        <v>1.62</v>
      </c>
      <c r="J499" s="5">
        <v>6.5</v>
      </c>
      <c r="K499" s="5" t="s">
        <v>675</v>
      </c>
      <c r="L499" s="5" t="s">
        <v>676</v>
      </c>
      <c r="M499" s="7"/>
      <c r="N499" s="7"/>
      <c r="O499" s="7"/>
      <c r="P499" s="7"/>
      <c r="Q499" s="7">
        <v>1</v>
      </c>
      <c r="R499" s="8" t="s">
        <v>37</v>
      </c>
      <c r="S499" s="7"/>
      <c r="T499" s="7" t="s">
        <v>38</v>
      </c>
      <c r="U499" s="7"/>
      <c r="V499" s="7" t="str">
        <f t="shared" si="7"/>
        <v>TCTN.DNS-26004</v>
      </c>
      <c r="W499" s="7" t="s">
        <v>81</v>
      </c>
      <c r="X499" s="7"/>
      <c r="Y499" s="7"/>
      <c r="Z499" s="7" t="s">
        <v>922</v>
      </c>
      <c r="AA499" s="7" t="s">
        <v>39</v>
      </c>
      <c r="AB499" s="7"/>
      <c r="AC499" s="7" t="s">
        <v>677</v>
      </c>
    </row>
    <row r="500" spans="1:29" hidden="1" x14ac:dyDescent="0.25">
      <c r="A500" s="5">
        <v>495</v>
      </c>
      <c r="B500" s="5" t="s">
        <v>694</v>
      </c>
      <c r="C500" s="5" t="s">
        <v>77</v>
      </c>
      <c r="D500" s="5" t="s">
        <v>687</v>
      </c>
      <c r="E500" s="5">
        <v>30</v>
      </c>
      <c r="F500" s="5">
        <v>315</v>
      </c>
      <c r="G500" s="5">
        <v>460</v>
      </c>
      <c r="H500" s="5">
        <v>2</v>
      </c>
      <c r="I500" s="5">
        <v>22.86</v>
      </c>
      <c r="J500" s="5">
        <v>45.73</v>
      </c>
      <c r="K500" s="5" t="s">
        <v>675</v>
      </c>
      <c r="L500" s="5" t="s">
        <v>676</v>
      </c>
      <c r="M500" s="7"/>
      <c r="N500" s="7" t="s">
        <v>228</v>
      </c>
      <c r="O500" s="7"/>
      <c r="P500" s="7"/>
      <c r="Q500" s="7">
        <v>1</v>
      </c>
      <c r="R500" s="8" t="s">
        <v>37</v>
      </c>
      <c r="S500" s="7"/>
      <c r="T500" s="7" t="s">
        <v>38</v>
      </c>
      <c r="U500" s="7"/>
      <c r="V500" s="7" t="str">
        <f t="shared" si="7"/>
        <v>TCTN.DNS-26004</v>
      </c>
      <c r="W500" s="7"/>
      <c r="X500" s="7" t="s">
        <v>81</v>
      </c>
      <c r="Y500" s="7"/>
      <c r="Z500" s="7" t="s">
        <v>922</v>
      </c>
      <c r="AA500" s="7" t="s">
        <v>39</v>
      </c>
      <c r="AB500" s="7"/>
      <c r="AC500" s="7" t="s">
        <v>677</v>
      </c>
    </row>
    <row r="501" spans="1:29" hidden="1" x14ac:dyDescent="0.25">
      <c r="A501" s="5">
        <v>496</v>
      </c>
      <c r="B501" s="5" t="s">
        <v>695</v>
      </c>
      <c r="C501" s="5" t="s">
        <v>77</v>
      </c>
      <c r="D501" s="5" t="s">
        <v>689</v>
      </c>
      <c r="E501" s="5">
        <v>30</v>
      </c>
      <c r="F501" s="5">
        <v>260</v>
      </c>
      <c r="G501" s="5">
        <v>400</v>
      </c>
      <c r="H501" s="5">
        <v>2</v>
      </c>
      <c r="I501" s="5">
        <v>16.329999999999998</v>
      </c>
      <c r="J501" s="5">
        <v>32.659999999999997</v>
      </c>
      <c r="K501" s="5" t="s">
        <v>675</v>
      </c>
      <c r="L501" s="5" t="s">
        <v>676</v>
      </c>
      <c r="M501" s="7"/>
      <c r="N501" s="7" t="s">
        <v>228</v>
      </c>
      <c r="O501" s="7"/>
      <c r="P501" s="7"/>
      <c r="Q501" s="7">
        <v>1</v>
      </c>
      <c r="R501" s="8" t="s">
        <v>37</v>
      </c>
      <c r="S501" s="7"/>
      <c r="T501" s="7" t="s">
        <v>38</v>
      </c>
      <c r="U501" s="7"/>
      <c r="V501" s="7" t="str">
        <f t="shared" si="7"/>
        <v>TCTN.DNS-26004</v>
      </c>
      <c r="W501" s="7"/>
      <c r="X501" s="7" t="s">
        <v>81</v>
      </c>
      <c r="Y501" s="7"/>
      <c r="Z501" s="7" t="s">
        <v>922</v>
      </c>
      <c r="AA501" s="7" t="s">
        <v>39</v>
      </c>
      <c r="AB501" s="7"/>
      <c r="AC501" s="7" t="s">
        <v>677</v>
      </c>
    </row>
    <row r="502" spans="1:29" hidden="1" x14ac:dyDescent="0.25">
      <c r="A502" s="5">
        <v>497</v>
      </c>
      <c r="B502" s="5" t="s">
        <v>696</v>
      </c>
      <c r="C502" s="5" t="s">
        <v>77</v>
      </c>
      <c r="D502" s="5" t="s">
        <v>691</v>
      </c>
      <c r="E502" s="5">
        <v>30</v>
      </c>
      <c r="F502" s="5">
        <v>69</v>
      </c>
      <c r="G502" s="5">
        <v>100</v>
      </c>
      <c r="H502" s="5">
        <v>2</v>
      </c>
      <c r="I502" s="5">
        <v>1.62</v>
      </c>
      <c r="J502" s="5">
        <v>3.25</v>
      </c>
      <c r="K502" s="5" t="s">
        <v>675</v>
      </c>
      <c r="L502" s="5" t="s">
        <v>676</v>
      </c>
      <c r="M502" s="7"/>
      <c r="N502" s="7"/>
      <c r="O502" s="7"/>
      <c r="P502" s="7"/>
      <c r="Q502" s="7">
        <v>1</v>
      </c>
      <c r="R502" s="8" t="s">
        <v>37</v>
      </c>
      <c r="S502" s="7"/>
      <c r="T502" s="7" t="s">
        <v>38</v>
      </c>
      <c r="U502" s="7"/>
      <c r="V502" s="7" t="str">
        <f t="shared" si="7"/>
        <v>TCTN.DNS-26004</v>
      </c>
      <c r="W502" s="7" t="s">
        <v>81</v>
      </c>
      <c r="X502" s="7"/>
      <c r="Y502" s="7"/>
      <c r="Z502" s="7" t="s">
        <v>922</v>
      </c>
      <c r="AA502" s="7" t="s">
        <v>39</v>
      </c>
      <c r="AB502" s="7"/>
      <c r="AC502" s="7" t="s">
        <v>677</v>
      </c>
    </row>
    <row r="503" spans="1:29" hidden="1" x14ac:dyDescent="0.25">
      <c r="A503" s="5">
        <v>498</v>
      </c>
      <c r="B503" s="5" t="s">
        <v>697</v>
      </c>
      <c r="C503" s="5" t="s">
        <v>77</v>
      </c>
      <c r="D503" s="5" t="s">
        <v>698</v>
      </c>
      <c r="E503" s="5">
        <v>30</v>
      </c>
      <c r="F503" s="5">
        <v>275</v>
      </c>
      <c r="G503" s="5">
        <v>300</v>
      </c>
      <c r="H503" s="5">
        <v>4</v>
      </c>
      <c r="I503" s="5">
        <v>14.01</v>
      </c>
      <c r="J503" s="5">
        <v>56.03</v>
      </c>
      <c r="K503" s="5" t="s">
        <v>675</v>
      </c>
      <c r="L503" s="5" t="s">
        <v>676</v>
      </c>
      <c r="M503" s="7"/>
      <c r="N503" s="7" t="s">
        <v>228</v>
      </c>
      <c r="O503" s="7"/>
      <c r="P503" s="7"/>
      <c r="Q503" s="7">
        <v>1</v>
      </c>
      <c r="R503" s="8" t="s">
        <v>37</v>
      </c>
      <c r="S503" s="7"/>
      <c r="T503" s="7" t="s">
        <v>38</v>
      </c>
      <c r="U503" s="7"/>
      <c r="V503" s="7" t="str">
        <f t="shared" si="7"/>
        <v>TCTN.DNS-26004</v>
      </c>
      <c r="W503" s="7"/>
      <c r="X503" s="7" t="s">
        <v>81</v>
      </c>
      <c r="Y503" s="7"/>
      <c r="Z503" s="7" t="s">
        <v>922</v>
      </c>
      <c r="AA503" s="7" t="s">
        <v>39</v>
      </c>
      <c r="AB503" s="7"/>
      <c r="AC503" s="7" t="s">
        <v>677</v>
      </c>
    </row>
    <row r="504" spans="1:29" hidden="1" x14ac:dyDescent="0.25">
      <c r="A504" s="5">
        <v>499</v>
      </c>
      <c r="B504" s="5" t="s">
        <v>699</v>
      </c>
      <c r="C504" s="5" t="s">
        <v>700</v>
      </c>
      <c r="D504" s="5" t="s">
        <v>701</v>
      </c>
      <c r="E504" s="5">
        <v>60</v>
      </c>
      <c r="F504" s="5">
        <v>70</v>
      </c>
      <c r="G504" s="5">
        <v>8980</v>
      </c>
      <c r="H504" s="5">
        <v>1</v>
      </c>
      <c r="I504" s="5">
        <v>296.07</v>
      </c>
      <c r="J504" s="5">
        <v>296.07</v>
      </c>
      <c r="K504" s="5" t="s">
        <v>702</v>
      </c>
      <c r="L504" s="5" t="s">
        <v>703</v>
      </c>
      <c r="M504" s="7"/>
      <c r="N504" s="7"/>
      <c r="O504" s="7" t="s">
        <v>81</v>
      </c>
      <c r="P504" s="7"/>
      <c r="Q504" s="7">
        <v>1</v>
      </c>
      <c r="R504" s="8" t="s">
        <v>37</v>
      </c>
      <c r="S504" s="7"/>
      <c r="T504" s="7" t="s">
        <v>38</v>
      </c>
      <c r="U504" s="7"/>
      <c r="V504" s="7" t="str">
        <f t="shared" si="7"/>
        <v>TCTN.DNS-26004</v>
      </c>
      <c r="W504" s="7" t="s">
        <v>81</v>
      </c>
      <c r="X504" s="7"/>
      <c r="Y504" s="7"/>
      <c r="Z504" s="7" t="s">
        <v>922</v>
      </c>
      <c r="AA504" s="7" t="s">
        <v>704</v>
      </c>
      <c r="AB504" s="7"/>
      <c r="AC504" s="7" t="s">
        <v>705</v>
      </c>
    </row>
    <row r="505" spans="1:29" hidden="1" x14ac:dyDescent="0.25">
      <c r="A505" s="5">
        <v>500</v>
      </c>
      <c r="B505" s="5" t="s">
        <v>706</v>
      </c>
      <c r="C505" s="5" t="s">
        <v>700</v>
      </c>
      <c r="D505" s="5" t="s">
        <v>707</v>
      </c>
      <c r="E505" s="5">
        <v>60</v>
      </c>
      <c r="F505" s="5">
        <v>70</v>
      </c>
      <c r="G505" s="5">
        <v>11303</v>
      </c>
      <c r="H505" s="5">
        <v>1</v>
      </c>
      <c r="I505" s="5">
        <v>372.66</v>
      </c>
      <c r="J505" s="5">
        <v>372.66</v>
      </c>
      <c r="K505" s="5" t="s">
        <v>702</v>
      </c>
      <c r="L505" s="5" t="s">
        <v>703</v>
      </c>
      <c r="M505" s="7"/>
      <c r="N505" s="7"/>
      <c r="O505" s="7" t="s">
        <v>81</v>
      </c>
      <c r="P505" s="7"/>
      <c r="Q505" s="7">
        <v>1</v>
      </c>
      <c r="R505" s="8" t="s">
        <v>37</v>
      </c>
      <c r="S505" s="7"/>
      <c r="T505" s="7" t="s">
        <v>38</v>
      </c>
      <c r="U505" s="7"/>
      <c r="V505" s="7" t="str">
        <f t="shared" si="7"/>
        <v>TCTN.DNS-26004</v>
      </c>
      <c r="W505" s="7" t="s">
        <v>81</v>
      </c>
      <c r="X505" s="7"/>
      <c r="Y505" s="7"/>
      <c r="Z505" s="7" t="s">
        <v>922</v>
      </c>
      <c r="AA505" s="7" t="s">
        <v>704</v>
      </c>
      <c r="AB505" s="7"/>
      <c r="AC505" s="7" t="s">
        <v>705</v>
      </c>
    </row>
    <row r="506" spans="1:29" hidden="1" x14ac:dyDescent="0.25">
      <c r="A506" s="5">
        <v>501</v>
      </c>
      <c r="B506" s="5" t="s">
        <v>708</v>
      </c>
      <c r="C506" s="5" t="s">
        <v>700</v>
      </c>
      <c r="D506" s="5" t="s">
        <v>709</v>
      </c>
      <c r="E506" s="5">
        <v>60</v>
      </c>
      <c r="F506" s="5">
        <v>68</v>
      </c>
      <c r="G506" s="5">
        <v>12000</v>
      </c>
      <c r="H506" s="5">
        <v>1</v>
      </c>
      <c r="I506" s="5">
        <v>339.12</v>
      </c>
      <c r="J506" s="5">
        <v>339.12</v>
      </c>
      <c r="K506" s="5" t="s">
        <v>702</v>
      </c>
      <c r="L506" s="5" t="s">
        <v>703</v>
      </c>
      <c r="M506" s="7"/>
      <c r="N506" s="7"/>
      <c r="O506" s="7" t="s">
        <v>81</v>
      </c>
      <c r="P506" s="7"/>
      <c r="Q506" s="7">
        <v>1</v>
      </c>
      <c r="R506" s="8" t="s">
        <v>37</v>
      </c>
      <c r="S506" s="7"/>
      <c r="T506" s="7" t="s">
        <v>38</v>
      </c>
      <c r="U506" s="7"/>
      <c r="V506" s="7" t="str">
        <f t="shared" si="7"/>
        <v>TCTN.DNS-26004</v>
      </c>
      <c r="W506" s="7" t="s">
        <v>81</v>
      </c>
      <c r="X506" s="7"/>
      <c r="Y506" s="7"/>
      <c r="Z506" s="7" t="s">
        <v>922</v>
      </c>
      <c r="AA506" s="7" t="s">
        <v>704</v>
      </c>
      <c r="AB506" s="7"/>
      <c r="AC506" s="7" t="s">
        <v>705</v>
      </c>
    </row>
    <row r="507" spans="1:29" hidden="1" x14ac:dyDescent="0.25">
      <c r="A507" s="5">
        <v>502</v>
      </c>
      <c r="B507" s="5" t="s">
        <v>710</v>
      </c>
      <c r="C507" s="5" t="s">
        <v>700</v>
      </c>
      <c r="D507" s="5" t="s">
        <v>711</v>
      </c>
      <c r="E507" s="5">
        <v>60</v>
      </c>
      <c r="F507" s="5">
        <v>63</v>
      </c>
      <c r="G507" s="5">
        <v>7588</v>
      </c>
      <c r="H507" s="5">
        <v>1</v>
      </c>
      <c r="I507" s="5">
        <v>214.44</v>
      </c>
      <c r="J507" s="5">
        <v>214.44</v>
      </c>
      <c r="K507" s="5" t="s">
        <v>702</v>
      </c>
      <c r="L507" s="5" t="s">
        <v>703</v>
      </c>
      <c r="M507" s="7"/>
      <c r="N507" s="7"/>
      <c r="O507" s="7" t="s">
        <v>81</v>
      </c>
      <c r="P507" s="7"/>
      <c r="Q507" s="7">
        <v>1</v>
      </c>
      <c r="R507" s="8" t="s">
        <v>37</v>
      </c>
      <c r="S507" s="7"/>
      <c r="T507" s="7" t="s">
        <v>38</v>
      </c>
      <c r="U507" s="7"/>
      <c r="V507" s="7" t="str">
        <f t="shared" si="7"/>
        <v>TCTN.DNS-26004</v>
      </c>
      <c r="W507" s="7" t="s">
        <v>81</v>
      </c>
      <c r="X507" s="7"/>
      <c r="Y507" s="7"/>
      <c r="Z507" s="7" t="s">
        <v>922</v>
      </c>
      <c r="AA507" s="7" t="s">
        <v>704</v>
      </c>
      <c r="AB507" s="7"/>
      <c r="AC507" s="7" t="s">
        <v>705</v>
      </c>
    </row>
    <row r="508" spans="1:29" hidden="1" x14ac:dyDescent="0.25">
      <c r="A508" s="5">
        <v>503</v>
      </c>
      <c r="B508" s="5" t="s">
        <v>712</v>
      </c>
      <c r="C508" s="5" t="s">
        <v>700</v>
      </c>
      <c r="D508" s="5" t="s">
        <v>701</v>
      </c>
      <c r="E508" s="5">
        <v>60</v>
      </c>
      <c r="F508" s="5">
        <v>70</v>
      </c>
      <c r="G508" s="5">
        <v>8980</v>
      </c>
      <c r="H508" s="5">
        <v>1</v>
      </c>
      <c r="I508" s="5">
        <v>296.07</v>
      </c>
      <c r="J508" s="5">
        <v>296.07</v>
      </c>
      <c r="K508" s="5" t="s">
        <v>702</v>
      </c>
      <c r="L508" s="5" t="s">
        <v>703</v>
      </c>
      <c r="M508" s="7"/>
      <c r="N508" s="7"/>
      <c r="O508" s="7" t="s">
        <v>81</v>
      </c>
      <c r="P508" s="7"/>
      <c r="Q508" s="7">
        <v>1</v>
      </c>
      <c r="R508" s="8" t="s">
        <v>37</v>
      </c>
      <c r="S508" s="7"/>
      <c r="T508" s="7" t="s">
        <v>38</v>
      </c>
      <c r="U508" s="7"/>
      <c r="V508" s="7" t="str">
        <f t="shared" si="7"/>
        <v>TCTN.DNS-26004</v>
      </c>
      <c r="W508" s="7" t="s">
        <v>81</v>
      </c>
      <c r="X508" s="7"/>
      <c r="Y508" s="7"/>
      <c r="Z508" s="7" t="s">
        <v>922</v>
      </c>
      <c r="AA508" s="7" t="s">
        <v>704</v>
      </c>
      <c r="AB508" s="7"/>
      <c r="AC508" s="7" t="s">
        <v>705</v>
      </c>
    </row>
    <row r="509" spans="1:29" hidden="1" x14ac:dyDescent="0.25">
      <c r="A509" s="5">
        <v>504</v>
      </c>
      <c r="B509" s="5" t="s">
        <v>713</v>
      </c>
      <c r="C509" s="5" t="s">
        <v>700</v>
      </c>
      <c r="D509" s="5" t="s">
        <v>707</v>
      </c>
      <c r="E509" s="5">
        <v>60</v>
      </c>
      <c r="F509" s="5">
        <v>70</v>
      </c>
      <c r="G509" s="5">
        <v>11303</v>
      </c>
      <c r="H509" s="5">
        <v>1</v>
      </c>
      <c r="I509" s="5">
        <v>372.66</v>
      </c>
      <c r="J509" s="5">
        <v>372.66</v>
      </c>
      <c r="K509" s="5" t="s">
        <v>702</v>
      </c>
      <c r="L509" s="5" t="s">
        <v>703</v>
      </c>
      <c r="M509" s="7"/>
      <c r="N509" s="7"/>
      <c r="O509" s="7" t="s">
        <v>81</v>
      </c>
      <c r="P509" s="7"/>
      <c r="Q509" s="7">
        <v>1</v>
      </c>
      <c r="R509" s="8" t="s">
        <v>37</v>
      </c>
      <c r="S509" s="7"/>
      <c r="T509" s="7" t="s">
        <v>38</v>
      </c>
      <c r="U509" s="7"/>
      <c r="V509" s="7" t="str">
        <f t="shared" si="7"/>
        <v>TCTN.DNS-26004</v>
      </c>
      <c r="W509" s="7" t="s">
        <v>81</v>
      </c>
      <c r="X509" s="7"/>
      <c r="Y509" s="7"/>
      <c r="Z509" s="7" t="s">
        <v>922</v>
      </c>
      <c r="AA509" s="7" t="s">
        <v>704</v>
      </c>
      <c r="AB509" s="7"/>
      <c r="AC509" s="7" t="s">
        <v>705</v>
      </c>
    </row>
    <row r="510" spans="1:29" hidden="1" x14ac:dyDescent="0.25">
      <c r="A510" s="5">
        <v>505</v>
      </c>
      <c r="B510" s="5" t="s">
        <v>714</v>
      </c>
      <c r="C510" s="5" t="s">
        <v>700</v>
      </c>
      <c r="D510" s="5" t="s">
        <v>715</v>
      </c>
      <c r="E510" s="5">
        <v>60</v>
      </c>
      <c r="F510" s="5">
        <v>70</v>
      </c>
      <c r="G510" s="5">
        <v>12000</v>
      </c>
      <c r="H510" s="5">
        <v>1</v>
      </c>
      <c r="I510" s="5">
        <v>395.64</v>
      </c>
      <c r="J510" s="5">
        <v>395.64</v>
      </c>
      <c r="K510" s="5" t="s">
        <v>702</v>
      </c>
      <c r="L510" s="5" t="s">
        <v>703</v>
      </c>
      <c r="M510" s="7"/>
      <c r="N510" s="7"/>
      <c r="O510" s="7" t="s">
        <v>81</v>
      </c>
      <c r="P510" s="7"/>
      <c r="Q510" s="7">
        <v>1</v>
      </c>
      <c r="R510" s="8" t="s">
        <v>37</v>
      </c>
      <c r="S510" s="7"/>
      <c r="T510" s="7" t="s">
        <v>38</v>
      </c>
      <c r="U510" s="7"/>
      <c r="V510" s="7" t="str">
        <f t="shared" si="7"/>
        <v>TCTN.DNS-26004</v>
      </c>
      <c r="W510" s="7" t="s">
        <v>81</v>
      </c>
      <c r="X510" s="7"/>
      <c r="Y510" s="7"/>
      <c r="Z510" s="7" t="s">
        <v>922</v>
      </c>
      <c r="AA510" s="7" t="s">
        <v>704</v>
      </c>
      <c r="AB510" s="7"/>
      <c r="AC510" s="7" t="s">
        <v>705</v>
      </c>
    </row>
    <row r="511" spans="1:29" hidden="1" x14ac:dyDescent="0.25">
      <c r="A511" s="5">
        <v>506</v>
      </c>
      <c r="B511" s="5" t="s">
        <v>716</v>
      </c>
      <c r="C511" s="5" t="s">
        <v>700</v>
      </c>
      <c r="D511" s="5" t="s">
        <v>717</v>
      </c>
      <c r="E511" s="5">
        <v>60</v>
      </c>
      <c r="F511" s="5">
        <v>70</v>
      </c>
      <c r="G511" s="5">
        <v>7587</v>
      </c>
      <c r="H511" s="5">
        <v>1</v>
      </c>
      <c r="I511" s="5">
        <v>250.16</v>
      </c>
      <c r="J511" s="5">
        <v>250.16</v>
      </c>
      <c r="K511" s="5" t="s">
        <v>702</v>
      </c>
      <c r="L511" s="5" t="s">
        <v>703</v>
      </c>
      <c r="M511" s="7"/>
      <c r="N511" s="7"/>
      <c r="O511" s="7" t="s">
        <v>81</v>
      </c>
      <c r="P511" s="7"/>
      <c r="Q511" s="7">
        <v>1</v>
      </c>
      <c r="R511" s="8" t="s">
        <v>37</v>
      </c>
      <c r="S511" s="7"/>
      <c r="T511" s="7" t="s">
        <v>38</v>
      </c>
      <c r="U511" s="7"/>
      <c r="V511" s="7" t="str">
        <f t="shared" si="7"/>
        <v>TCTN.DNS-26004</v>
      </c>
      <c r="W511" s="7" t="s">
        <v>81</v>
      </c>
      <c r="X511" s="7"/>
      <c r="Y511" s="7"/>
      <c r="Z511" s="7" t="s">
        <v>922</v>
      </c>
      <c r="AA511" s="7" t="s">
        <v>704</v>
      </c>
      <c r="AB511" s="7"/>
      <c r="AC511" s="7" t="s">
        <v>705</v>
      </c>
    </row>
    <row r="512" spans="1:29" hidden="1" x14ac:dyDescent="0.25">
      <c r="A512">
        <v>1</v>
      </c>
      <c r="B512" t="s">
        <v>32</v>
      </c>
      <c r="C512" t="s">
        <v>33</v>
      </c>
      <c r="D512" t="s">
        <v>34</v>
      </c>
      <c r="E512">
        <v>2</v>
      </c>
      <c r="F512">
        <v>1200</v>
      </c>
      <c r="G512">
        <v>1800</v>
      </c>
      <c r="H512">
        <v>1</v>
      </c>
      <c r="I512">
        <v>33.909999999999997</v>
      </c>
      <c r="J512">
        <v>33.909999999999997</v>
      </c>
      <c r="K512" t="s">
        <v>35</v>
      </c>
      <c r="L512" t="s">
        <v>923</v>
      </c>
      <c r="Q512">
        <v>2</v>
      </c>
      <c r="R512" s="24">
        <v>46032</v>
      </c>
      <c r="T512" t="s">
        <v>38</v>
      </c>
      <c r="V512" t="s">
        <v>921</v>
      </c>
      <c r="Z512" t="s">
        <v>924</v>
      </c>
      <c r="AA512" t="s">
        <v>39</v>
      </c>
      <c r="AC512" t="s">
        <v>925</v>
      </c>
    </row>
    <row r="513" spans="1:29" hidden="1" x14ac:dyDescent="0.25">
      <c r="A513">
        <v>2</v>
      </c>
      <c r="B513" t="s">
        <v>41</v>
      </c>
      <c r="C513" t="s">
        <v>33</v>
      </c>
      <c r="D513" t="s">
        <v>34</v>
      </c>
      <c r="E513">
        <v>2</v>
      </c>
      <c r="F513">
        <v>1200</v>
      </c>
      <c r="G513">
        <v>1800</v>
      </c>
      <c r="H513">
        <v>1</v>
      </c>
      <c r="I513">
        <v>33.909999999999997</v>
      </c>
      <c r="J513">
        <v>33.909999999999997</v>
      </c>
      <c r="K513" t="s">
        <v>35</v>
      </c>
      <c r="L513" t="s">
        <v>923</v>
      </c>
      <c r="Q513">
        <v>2</v>
      </c>
      <c r="R513" s="24">
        <v>46032</v>
      </c>
      <c r="T513" t="s">
        <v>38</v>
      </c>
      <c r="V513" t="s">
        <v>921</v>
      </c>
      <c r="Z513" t="s">
        <v>924</v>
      </c>
      <c r="AA513" t="s">
        <v>39</v>
      </c>
      <c r="AC513" t="s">
        <v>925</v>
      </c>
    </row>
    <row r="514" spans="1:29" hidden="1" x14ac:dyDescent="0.25">
      <c r="A514">
        <v>3</v>
      </c>
      <c r="B514" t="s">
        <v>42</v>
      </c>
      <c r="C514" t="s">
        <v>33</v>
      </c>
      <c r="D514" t="s">
        <v>35</v>
      </c>
      <c r="E514">
        <v>2</v>
      </c>
      <c r="F514">
        <v>1300</v>
      </c>
      <c r="G514">
        <v>4000</v>
      </c>
      <c r="H514">
        <v>1</v>
      </c>
      <c r="I514">
        <v>81.64</v>
      </c>
      <c r="J514">
        <v>81.64</v>
      </c>
      <c r="K514" t="s">
        <v>35</v>
      </c>
      <c r="L514" t="s">
        <v>926</v>
      </c>
      <c r="Q514">
        <v>2</v>
      </c>
      <c r="R514" s="24">
        <v>46032</v>
      </c>
      <c r="T514" t="s">
        <v>38</v>
      </c>
      <c r="V514" t="s">
        <v>921</v>
      </c>
      <c r="Z514" t="s">
        <v>924</v>
      </c>
      <c r="AA514" t="s">
        <v>39</v>
      </c>
      <c r="AC514" t="s">
        <v>927</v>
      </c>
    </row>
    <row r="515" spans="1:29" hidden="1" x14ac:dyDescent="0.25">
      <c r="A515">
        <v>4</v>
      </c>
      <c r="B515" t="s">
        <v>45</v>
      </c>
      <c r="C515" t="s">
        <v>33</v>
      </c>
      <c r="D515" t="s">
        <v>35</v>
      </c>
      <c r="E515">
        <v>2</v>
      </c>
      <c r="F515">
        <v>1300</v>
      </c>
      <c r="G515">
        <v>4000</v>
      </c>
      <c r="H515">
        <v>1</v>
      </c>
      <c r="I515">
        <v>81.64</v>
      </c>
      <c r="J515">
        <v>81.64</v>
      </c>
      <c r="K515" t="s">
        <v>35</v>
      </c>
      <c r="L515" t="s">
        <v>928</v>
      </c>
      <c r="Q515">
        <v>2</v>
      </c>
      <c r="R515" s="24">
        <v>46032</v>
      </c>
      <c r="T515" t="s">
        <v>38</v>
      </c>
      <c r="V515" t="s">
        <v>921</v>
      </c>
      <c r="Z515" t="s">
        <v>924</v>
      </c>
      <c r="AA515" t="s">
        <v>39</v>
      </c>
      <c r="AC515" t="s">
        <v>929</v>
      </c>
    </row>
    <row r="516" spans="1:29" hidden="1" x14ac:dyDescent="0.25">
      <c r="A516">
        <v>5</v>
      </c>
      <c r="B516" t="s">
        <v>48</v>
      </c>
      <c r="C516" t="s">
        <v>33</v>
      </c>
      <c r="D516" t="s">
        <v>49</v>
      </c>
      <c r="E516">
        <v>2</v>
      </c>
      <c r="F516">
        <v>1060</v>
      </c>
      <c r="G516">
        <v>4000</v>
      </c>
      <c r="H516">
        <v>1</v>
      </c>
      <c r="I516">
        <v>66.569999999999993</v>
      </c>
      <c r="J516">
        <v>66.569999999999993</v>
      </c>
      <c r="K516" t="s">
        <v>35</v>
      </c>
      <c r="L516" t="s">
        <v>930</v>
      </c>
      <c r="Q516">
        <v>2</v>
      </c>
      <c r="R516" s="24">
        <v>46032</v>
      </c>
      <c r="T516" t="s">
        <v>38</v>
      </c>
      <c r="V516" t="s">
        <v>921</v>
      </c>
      <c r="Z516" t="s">
        <v>924</v>
      </c>
      <c r="AA516" t="s">
        <v>39</v>
      </c>
      <c r="AC516" t="s">
        <v>931</v>
      </c>
    </row>
    <row r="517" spans="1:29" hidden="1" x14ac:dyDescent="0.25">
      <c r="A517">
        <v>6</v>
      </c>
      <c r="B517" t="s">
        <v>52</v>
      </c>
      <c r="C517" t="s">
        <v>33</v>
      </c>
      <c r="D517" t="s">
        <v>49</v>
      </c>
      <c r="E517">
        <v>2</v>
      </c>
      <c r="F517">
        <v>1060</v>
      </c>
      <c r="G517">
        <v>4000</v>
      </c>
      <c r="H517">
        <v>1</v>
      </c>
      <c r="I517">
        <v>66.569999999999993</v>
      </c>
      <c r="J517">
        <v>66.569999999999993</v>
      </c>
      <c r="K517" t="s">
        <v>35</v>
      </c>
      <c r="L517" t="s">
        <v>932</v>
      </c>
      <c r="Q517">
        <v>2</v>
      </c>
      <c r="R517" s="24">
        <v>46032</v>
      </c>
      <c r="T517" t="s">
        <v>38</v>
      </c>
      <c r="V517" t="s">
        <v>921</v>
      </c>
      <c r="Z517" t="s">
        <v>924</v>
      </c>
      <c r="AA517" t="s">
        <v>39</v>
      </c>
      <c r="AC517" t="s">
        <v>933</v>
      </c>
    </row>
    <row r="518" spans="1:29" hidden="1" x14ac:dyDescent="0.25">
      <c r="A518">
        <v>7</v>
      </c>
      <c r="B518" t="s">
        <v>55</v>
      </c>
      <c r="C518" t="s">
        <v>33</v>
      </c>
      <c r="D518" t="s">
        <v>49</v>
      </c>
      <c r="E518">
        <v>2</v>
      </c>
      <c r="F518">
        <v>1060</v>
      </c>
      <c r="G518">
        <v>4000</v>
      </c>
      <c r="H518">
        <v>1</v>
      </c>
      <c r="I518">
        <v>66.569999999999993</v>
      </c>
      <c r="J518">
        <v>66.569999999999993</v>
      </c>
      <c r="K518" t="s">
        <v>35</v>
      </c>
      <c r="L518" t="s">
        <v>934</v>
      </c>
      <c r="Q518">
        <v>2</v>
      </c>
      <c r="R518" s="24">
        <v>46032</v>
      </c>
      <c r="T518" t="s">
        <v>38</v>
      </c>
      <c r="V518" t="s">
        <v>921</v>
      </c>
      <c r="Z518" t="s">
        <v>924</v>
      </c>
      <c r="AA518" t="s">
        <v>39</v>
      </c>
      <c r="AC518" t="s">
        <v>935</v>
      </c>
    </row>
    <row r="519" spans="1:29" hidden="1" x14ac:dyDescent="0.25">
      <c r="A519">
        <v>8</v>
      </c>
      <c r="B519" t="s">
        <v>58</v>
      </c>
      <c r="C519" t="s">
        <v>33</v>
      </c>
      <c r="D519" t="s">
        <v>49</v>
      </c>
      <c r="E519">
        <v>2</v>
      </c>
      <c r="F519">
        <v>1060</v>
      </c>
      <c r="G519">
        <v>4000</v>
      </c>
      <c r="H519">
        <v>1</v>
      </c>
      <c r="I519">
        <v>66.569999999999993</v>
      </c>
      <c r="J519">
        <v>66.569999999999993</v>
      </c>
      <c r="K519" t="s">
        <v>35</v>
      </c>
      <c r="L519" t="s">
        <v>936</v>
      </c>
      <c r="Q519">
        <v>2</v>
      </c>
      <c r="R519" s="24">
        <v>46032</v>
      </c>
      <c r="T519" t="s">
        <v>38</v>
      </c>
      <c r="V519" t="s">
        <v>921</v>
      </c>
      <c r="Z519" t="s">
        <v>924</v>
      </c>
      <c r="AA519" t="s">
        <v>39</v>
      </c>
      <c r="AC519" t="s">
        <v>937</v>
      </c>
    </row>
    <row r="520" spans="1:29" hidden="1" x14ac:dyDescent="0.25">
      <c r="A520">
        <v>9</v>
      </c>
      <c r="B520" t="s">
        <v>61</v>
      </c>
      <c r="C520" t="s">
        <v>33</v>
      </c>
      <c r="D520" t="s">
        <v>62</v>
      </c>
      <c r="E520">
        <v>2</v>
      </c>
      <c r="F520">
        <v>500</v>
      </c>
      <c r="G520">
        <v>4000</v>
      </c>
      <c r="H520">
        <v>1</v>
      </c>
      <c r="I520">
        <v>31.4</v>
      </c>
      <c r="J520">
        <v>31.4</v>
      </c>
      <c r="K520" t="s">
        <v>35</v>
      </c>
      <c r="L520" t="s">
        <v>938</v>
      </c>
      <c r="Q520">
        <v>2</v>
      </c>
      <c r="R520" s="24">
        <v>46032</v>
      </c>
      <c r="T520" t="s">
        <v>38</v>
      </c>
      <c r="V520" t="s">
        <v>921</v>
      </c>
      <c r="Z520" t="s">
        <v>924</v>
      </c>
      <c r="AA520" t="s">
        <v>39</v>
      </c>
      <c r="AC520" t="s">
        <v>939</v>
      </c>
    </row>
    <row r="521" spans="1:29" hidden="1" x14ac:dyDescent="0.25">
      <c r="A521">
        <v>10</v>
      </c>
      <c r="B521" t="s">
        <v>65</v>
      </c>
      <c r="C521" t="s">
        <v>33</v>
      </c>
      <c r="D521" t="s">
        <v>62</v>
      </c>
      <c r="E521">
        <v>2</v>
      </c>
      <c r="F521">
        <v>500</v>
      </c>
      <c r="G521">
        <v>4000</v>
      </c>
      <c r="H521">
        <v>1</v>
      </c>
      <c r="I521">
        <v>31.4</v>
      </c>
      <c r="J521">
        <v>31.4</v>
      </c>
      <c r="K521" t="s">
        <v>35</v>
      </c>
      <c r="L521" t="s">
        <v>938</v>
      </c>
      <c r="Q521">
        <v>2</v>
      </c>
      <c r="R521" s="24">
        <v>46032</v>
      </c>
      <c r="T521" t="s">
        <v>38</v>
      </c>
      <c r="V521" t="s">
        <v>921</v>
      </c>
      <c r="Z521" t="s">
        <v>924</v>
      </c>
      <c r="AA521" t="s">
        <v>39</v>
      </c>
      <c r="AC521" t="s">
        <v>939</v>
      </c>
    </row>
    <row r="522" spans="1:29" hidden="1" x14ac:dyDescent="0.25">
      <c r="A522">
        <v>11</v>
      </c>
      <c r="B522" t="s">
        <v>66</v>
      </c>
      <c r="C522" t="s">
        <v>33</v>
      </c>
      <c r="D522" t="s">
        <v>67</v>
      </c>
      <c r="E522">
        <v>2</v>
      </c>
      <c r="F522">
        <v>1060</v>
      </c>
      <c r="G522">
        <v>1200</v>
      </c>
      <c r="H522">
        <v>1</v>
      </c>
      <c r="I522">
        <v>19.97</v>
      </c>
      <c r="J522">
        <v>19.97</v>
      </c>
      <c r="K522" t="s">
        <v>35</v>
      </c>
      <c r="L522" t="s">
        <v>940</v>
      </c>
      <c r="Q522">
        <v>2</v>
      </c>
      <c r="R522" s="24">
        <v>46032</v>
      </c>
      <c r="T522" t="s">
        <v>38</v>
      </c>
      <c r="V522" t="s">
        <v>921</v>
      </c>
      <c r="Z522" t="s">
        <v>924</v>
      </c>
      <c r="AA522" t="s">
        <v>941</v>
      </c>
      <c r="AC522" t="s">
        <v>942</v>
      </c>
    </row>
    <row r="523" spans="1:29" hidden="1" x14ac:dyDescent="0.25">
      <c r="A523">
        <v>12</v>
      </c>
      <c r="B523" t="s">
        <v>70</v>
      </c>
      <c r="C523" t="s">
        <v>33</v>
      </c>
      <c r="D523" t="s">
        <v>71</v>
      </c>
      <c r="E523">
        <v>2</v>
      </c>
      <c r="F523">
        <v>500</v>
      </c>
      <c r="G523">
        <v>1800</v>
      </c>
      <c r="H523">
        <v>1</v>
      </c>
      <c r="I523">
        <v>14.13</v>
      </c>
      <c r="J523">
        <v>14.13</v>
      </c>
      <c r="K523" t="s">
        <v>35</v>
      </c>
      <c r="L523" t="s">
        <v>943</v>
      </c>
      <c r="Q523">
        <v>2</v>
      </c>
      <c r="R523" s="24">
        <v>46032</v>
      </c>
      <c r="T523" t="s">
        <v>38</v>
      </c>
      <c r="V523" t="s">
        <v>921</v>
      </c>
      <c r="Z523" t="s">
        <v>924</v>
      </c>
      <c r="AA523" t="s">
        <v>39</v>
      </c>
      <c r="AC523" t="s">
        <v>944</v>
      </c>
    </row>
    <row r="524" spans="1:29" hidden="1" x14ac:dyDescent="0.25">
      <c r="A524">
        <v>13</v>
      </c>
      <c r="B524" t="s">
        <v>74</v>
      </c>
      <c r="C524" t="s">
        <v>33</v>
      </c>
      <c r="D524" t="s">
        <v>67</v>
      </c>
      <c r="E524">
        <v>2</v>
      </c>
      <c r="F524">
        <v>1060</v>
      </c>
      <c r="G524">
        <v>1200</v>
      </c>
      <c r="H524">
        <v>1</v>
      </c>
      <c r="I524">
        <v>19.97</v>
      </c>
      <c r="J524">
        <v>19.97</v>
      </c>
      <c r="K524" t="s">
        <v>35</v>
      </c>
      <c r="L524" t="s">
        <v>943</v>
      </c>
      <c r="Q524">
        <v>2</v>
      </c>
      <c r="R524" s="24">
        <v>46032</v>
      </c>
      <c r="T524" t="s">
        <v>38</v>
      </c>
      <c r="V524" t="s">
        <v>921</v>
      </c>
      <c r="Z524" t="s">
        <v>924</v>
      </c>
      <c r="AA524" t="s">
        <v>39</v>
      </c>
      <c r="AC524" t="s">
        <v>944</v>
      </c>
    </row>
    <row r="525" spans="1:29" hidden="1" x14ac:dyDescent="0.25">
      <c r="A525">
        <v>14</v>
      </c>
      <c r="B525" t="s">
        <v>75</v>
      </c>
      <c r="C525" t="s">
        <v>33</v>
      </c>
      <c r="D525" t="s">
        <v>71</v>
      </c>
      <c r="E525">
        <v>2</v>
      </c>
      <c r="F525">
        <v>500</v>
      </c>
      <c r="G525">
        <v>1800</v>
      </c>
      <c r="H525">
        <v>1</v>
      </c>
      <c r="I525">
        <v>14.13</v>
      </c>
      <c r="J525">
        <v>14.13</v>
      </c>
      <c r="K525" t="s">
        <v>35</v>
      </c>
      <c r="L525" t="s">
        <v>943</v>
      </c>
      <c r="Q525">
        <v>2</v>
      </c>
      <c r="R525" s="24">
        <v>46032</v>
      </c>
      <c r="T525" t="s">
        <v>38</v>
      </c>
      <c r="V525" t="s">
        <v>921</v>
      </c>
      <c r="Z525" t="s">
        <v>924</v>
      </c>
      <c r="AA525" t="s">
        <v>39</v>
      </c>
      <c r="AC525" t="s">
        <v>944</v>
      </c>
    </row>
    <row r="526" spans="1:29" hidden="1" x14ac:dyDescent="0.25">
      <c r="A526">
        <v>15</v>
      </c>
      <c r="B526" t="s">
        <v>76</v>
      </c>
      <c r="C526" t="s">
        <v>77</v>
      </c>
      <c r="D526" t="s">
        <v>78</v>
      </c>
      <c r="E526">
        <v>5</v>
      </c>
      <c r="F526">
        <v>63</v>
      </c>
      <c r="G526">
        <v>186</v>
      </c>
      <c r="H526">
        <v>26</v>
      </c>
      <c r="I526">
        <v>0.46</v>
      </c>
      <c r="J526">
        <v>11.86</v>
      </c>
      <c r="K526" t="s">
        <v>945</v>
      </c>
      <c r="L526" t="s">
        <v>946</v>
      </c>
      <c r="Q526">
        <v>2</v>
      </c>
      <c r="R526" s="24">
        <v>46032</v>
      </c>
      <c r="T526" t="s">
        <v>38</v>
      </c>
      <c r="V526" t="s">
        <v>921</v>
      </c>
      <c r="W526" t="s">
        <v>81</v>
      </c>
      <c r="Z526" t="s">
        <v>924</v>
      </c>
      <c r="AA526" t="s">
        <v>947</v>
      </c>
      <c r="AC526" t="s">
        <v>948</v>
      </c>
    </row>
    <row r="527" spans="1:29" hidden="1" x14ac:dyDescent="0.25">
      <c r="A527">
        <v>16</v>
      </c>
      <c r="B527" t="s">
        <v>83</v>
      </c>
      <c r="C527" t="s">
        <v>77</v>
      </c>
      <c r="D527" t="s">
        <v>84</v>
      </c>
      <c r="E527">
        <v>5</v>
      </c>
      <c r="F527">
        <v>43</v>
      </c>
      <c r="G527">
        <v>86</v>
      </c>
      <c r="H527">
        <v>112</v>
      </c>
      <c r="I527">
        <v>0.14000000000000001</v>
      </c>
      <c r="J527">
        <v>15.82</v>
      </c>
      <c r="K527" t="s">
        <v>945</v>
      </c>
      <c r="L527" t="s">
        <v>946</v>
      </c>
      <c r="Q527">
        <v>2</v>
      </c>
      <c r="R527" s="24">
        <v>46032</v>
      </c>
      <c r="T527" t="s">
        <v>38</v>
      </c>
      <c r="V527" t="s">
        <v>921</v>
      </c>
      <c r="W527" t="s">
        <v>81</v>
      </c>
      <c r="Z527" t="s">
        <v>924</v>
      </c>
      <c r="AA527" t="s">
        <v>947</v>
      </c>
      <c r="AC527" t="s">
        <v>948</v>
      </c>
    </row>
    <row r="528" spans="1:29" hidden="1" x14ac:dyDescent="0.25">
      <c r="A528">
        <v>17</v>
      </c>
      <c r="B528" t="s">
        <v>85</v>
      </c>
      <c r="C528" t="s">
        <v>77</v>
      </c>
      <c r="D528" t="s">
        <v>78</v>
      </c>
      <c r="E528">
        <v>5</v>
      </c>
      <c r="F528">
        <v>63</v>
      </c>
      <c r="G528">
        <v>186</v>
      </c>
      <c r="H528">
        <v>28</v>
      </c>
      <c r="I528">
        <v>0.46</v>
      </c>
      <c r="J528">
        <v>12.77</v>
      </c>
      <c r="K528" t="s">
        <v>945</v>
      </c>
      <c r="L528" t="s">
        <v>946</v>
      </c>
      <c r="Q528">
        <v>2</v>
      </c>
      <c r="R528" s="24">
        <v>46032</v>
      </c>
      <c r="T528" t="s">
        <v>38</v>
      </c>
      <c r="V528" t="s">
        <v>921</v>
      </c>
      <c r="W528" t="s">
        <v>81</v>
      </c>
      <c r="Z528" t="s">
        <v>924</v>
      </c>
      <c r="AA528" t="s">
        <v>947</v>
      </c>
      <c r="AC528" t="s">
        <v>948</v>
      </c>
    </row>
    <row r="529" spans="1:29" hidden="1" x14ac:dyDescent="0.25">
      <c r="A529">
        <v>18</v>
      </c>
      <c r="B529" t="s">
        <v>86</v>
      </c>
      <c r="C529" t="s">
        <v>77</v>
      </c>
      <c r="D529" t="s">
        <v>84</v>
      </c>
      <c r="E529">
        <v>5</v>
      </c>
      <c r="F529">
        <v>43</v>
      </c>
      <c r="G529">
        <v>86</v>
      </c>
      <c r="H529">
        <v>38</v>
      </c>
      <c r="I529">
        <v>0.14000000000000001</v>
      </c>
      <c r="J529">
        <v>5.37</v>
      </c>
      <c r="K529" t="s">
        <v>945</v>
      </c>
      <c r="L529" t="s">
        <v>946</v>
      </c>
      <c r="Q529">
        <v>2</v>
      </c>
      <c r="R529" s="24">
        <v>46032</v>
      </c>
      <c r="T529" t="s">
        <v>38</v>
      </c>
      <c r="V529" t="s">
        <v>921</v>
      </c>
      <c r="W529" t="s">
        <v>81</v>
      </c>
      <c r="Z529" t="s">
        <v>924</v>
      </c>
      <c r="AA529" t="s">
        <v>947</v>
      </c>
      <c r="AC529" t="s">
        <v>948</v>
      </c>
    </row>
    <row r="530" spans="1:29" hidden="1" x14ac:dyDescent="0.25">
      <c r="A530">
        <v>19</v>
      </c>
      <c r="B530" t="s">
        <v>87</v>
      </c>
      <c r="C530" t="s">
        <v>77</v>
      </c>
      <c r="D530" t="s">
        <v>78</v>
      </c>
      <c r="E530">
        <v>5</v>
      </c>
      <c r="F530">
        <v>63</v>
      </c>
      <c r="G530">
        <v>186</v>
      </c>
      <c r="H530">
        <v>42</v>
      </c>
      <c r="I530">
        <v>0.46</v>
      </c>
      <c r="J530">
        <v>19.149999999999999</v>
      </c>
      <c r="K530" t="s">
        <v>945</v>
      </c>
      <c r="L530" t="s">
        <v>946</v>
      </c>
      <c r="Q530">
        <v>2</v>
      </c>
      <c r="R530" s="24">
        <v>46032</v>
      </c>
      <c r="T530" t="s">
        <v>38</v>
      </c>
      <c r="V530" t="s">
        <v>921</v>
      </c>
      <c r="W530" t="s">
        <v>81</v>
      </c>
      <c r="Z530" t="s">
        <v>924</v>
      </c>
      <c r="AA530" t="s">
        <v>947</v>
      </c>
      <c r="AC530" t="s">
        <v>948</v>
      </c>
    </row>
    <row r="531" spans="1:29" hidden="1" x14ac:dyDescent="0.25">
      <c r="A531">
        <v>20</v>
      </c>
      <c r="B531" t="s">
        <v>89</v>
      </c>
      <c r="C531" t="s">
        <v>77</v>
      </c>
      <c r="D531" t="s">
        <v>78</v>
      </c>
      <c r="E531">
        <v>5</v>
      </c>
      <c r="F531">
        <v>63</v>
      </c>
      <c r="G531">
        <v>186</v>
      </c>
      <c r="H531">
        <v>26</v>
      </c>
      <c r="I531">
        <v>0.46</v>
      </c>
      <c r="J531">
        <v>11.86</v>
      </c>
      <c r="K531" t="s">
        <v>945</v>
      </c>
      <c r="L531" t="s">
        <v>946</v>
      </c>
      <c r="Q531">
        <v>2</v>
      </c>
      <c r="R531" s="24">
        <v>46032</v>
      </c>
      <c r="T531" t="s">
        <v>38</v>
      </c>
      <c r="V531" t="s">
        <v>921</v>
      </c>
      <c r="W531" t="s">
        <v>81</v>
      </c>
      <c r="Z531" t="s">
        <v>924</v>
      </c>
      <c r="AA531" t="s">
        <v>947</v>
      </c>
      <c r="AC531" t="s">
        <v>948</v>
      </c>
    </row>
    <row r="532" spans="1:29" hidden="1" x14ac:dyDescent="0.25">
      <c r="A532">
        <v>21</v>
      </c>
      <c r="B532" t="s">
        <v>91</v>
      </c>
      <c r="C532" t="s">
        <v>77</v>
      </c>
      <c r="D532" t="s">
        <v>78</v>
      </c>
      <c r="E532">
        <v>5</v>
      </c>
      <c r="F532">
        <v>63</v>
      </c>
      <c r="G532">
        <v>186</v>
      </c>
      <c r="H532">
        <v>26</v>
      </c>
      <c r="I532">
        <v>0.46</v>
      </c>
      <c r="J532">
        <v>11.86</v>
      </c>
      <c r="K532" t="s">
        <v>945</v>
      </c>
      <c r="L532" t="s">
        <v>946</v>
      </c>
      <c r="Q532">
        <v>2</v>
      </c>
      <c r="R532" s="24">
        <v>46032</v>
      </c>
      <c r="T532" t="s">
        <v>38</v>
      </c>
      <c r="V532" t="s">
        <v>921</v>
      </c>
      <c r="W532" t="s">
        <v>81</v>
      </c>
      <c r="Z532" t="s">
        <v>924</v>
      </c>
      <c r="AA532" t="s">
        <v>947</v>
      </c>
      <c r="AC532" t="s">
        <v>948</v>
      </c>
    </row>
    <row r="533" spans="1:29" hidden="1" x14ac:dyDescent="0.25">
      <c r="A533">
        <v>22</v>
      </c>
      <c r="B533" t="s">
        <v>86</v>
      </c>
      <c r="C533" t="s">
        <v>77</v>
      </c>
      <c r="D533" t="s">
        <v>84</v>
      </c>
      <c r="E533">
        <v>5</v>
      </c>
      <c r="F533">
        <v>43</v>
      </c>
      <c r="G533">
        <v>86</v>
      </c>
      <c r="H533">
        <v>82</v>
      </c>
      <c r="I533">
        <v>0.14000000000000001</v>
      </c>
      <c r="J533">
        <v>11.58</v>
      </c>
      <c r="K533" t="s">
        <v>79</v>
      </c>
      <c r="L533" t="s">
        <v>949</v>
      </c>
      <c r="Q533">
        <v>2</v>
      </c>
      <c r="R533" s="24">
        <v>46032</v>
      </c>
      <c r="T533" t="s">
        <v>38</v>
      </c>
      <c r="V533" t="s">
        <v>921</v>
      </c>
      <c r="W533" t="s">
        <v>81</v>
      </c>
      <c r="Z533" t="s">
        <v>924</v>
      </c>
      <c r="AA533" t="s">
        <v>39</v>
      </c>
      <c r="AC533" t="s">
        <v>950</v>
      </c>
    </row>
    <row r="534" spans="1:29" hidden="1" x14ac:dyDescent="0.25">
      <c r="A534">
        <v>23</v>
      </c>
      <c r="B534" t="s">
        <v>88</v>
      </c>
      <c r="C534" t="s">
        <v>77</v>
      </c>
      <c r="D534" t="s">
        <v>84</v>
      </c>
      <c r="E534">
        <v>5</v>
      </c>
      <c r="F534">
        <v>43</v>
      </c>
      <c r="G534">
        <v>86</v>
      </c>
      <c r="H534">
        <v>176</v>
      </c>
      <c r="I534">
        <v>0.14000000000000001</v>
      </c>
      <c r="J534">
        <v>24.85</v>
      </c>
      <c r="K534" t="s">
        <v>79</v>
      </c>
      <c r="L534" t="s">
        <v>949</v>
      </c>
      <c r="Q534">
        <v>2</v>
      </c>
      <c r="R534" s="24">
        <v>46032</v>
      </c>
      <c r="T534" t="s">
        <v>38</v>
      </c>
      <c r="V534" t="s">
        <v>921</v>
      </c>
      <c r="W534" t="s">
        <v>81</v>
      </c>
      <c r="Z534" t="s">
        <v>924</v>
      </c>
      <c r="AA534" t="s">
        <v>39</v>
      </c>
      <c r="AC534" t="s">
        <v>950</v>
      </c>
    </row>
    <row r="535" spans="1:29" hidden="1" x14ac:dyDescent="0.25">
      <c r="A535">
        <v>24</v>
      </c>
      <c r="B535" t="s">
        <v>90</v>
      </c>
      <c r="C535" t="s">
        <v>77</v>
      </c>
      <c r="D535" t="s">
        <v>84</v>
      </c>
      <c r="E535">
        <v>5</v>
      </c>
      <c r="F535">
        <v>43</v>
      </c>
      <c r="G535">
        <v>86</v>
      </c>
      <c r="H535">
        <v>112</v>
      </c>
      <c r="I535">
        <v>0.14000000000000001</v>
      </c>
      <c r="J535">
        <v>15.82</v>
      </c>
      <c r="K535" t="s">
        <v>79</v>
      </c>
      <c r="L535" t="s">
        <v>949</v>
      </c>
      <c r="Q535">
        <v>2</v>
      </c>
      <c r="R535" s="24">
        <v>46032</v>
      </c>
      <c r="T535" t="s">
        <v>38</v>
      </c>
      <c r="V535" t="s">
        <v>921</v>
      </c>
      <c r="W535" t="s">
        <v>81</v>
      </c>
      <c r="Z535" t="s">
        <v>924</v>
      </c>
      <c r="AA535" t="s">
        <v>39</v>
      </c>
      <c r="AC535" t="s">
        <v>950</v>
      </c>
    </row>
    <row r="536" spans="1:29" hidden="1" x14ac:dyDescent="0.25">
      <c r="A536">
        <v>25</v>
      </c>
      <c r="B536" t="s">
        <v>91</v>
      </c>
      <c r="C536" t="s">
        <v>77</v>
      </c>
      <c r="D536" t="s">
        <v>78</v>
      </c>
      <c r="E536">
        <v>5</v>
      </c>
      <c r="F536">
        <v>63</v>
      </c>
      <c r="G536">
        <v>186</v>
      </c>
      <c r="H536">
        <v>2</v>
      </c>
      <c r="I536">
        <v>0.46</v>
      </c>
      <c r="J536">
        <v>0.91</v>
      </c>
      <c r="K536" t="s">
        <v>79</v>
      </c>
      <c r="L536" t="s">
        <v>949</v>
      </c>
      <c r="Q536">
        <v>2</v>
      </c>
      <c r="R536" s="24">
        <v>46032</v>
      </c>
      <c r="T536" t="s">
        <v>38</v>
      </c>
      <c r="V536" t="s">
        <v>921</v>
      </c>
      <c r="W536" t="s">
        <v>81</v>
      </c>
      <c r="Z536" t="s">
        <v>924</v>
      </c>
      <c r="AA536" t="s">
        <v>39</v>
      </c>
      <c r="AC536" t="s">
        <v>950</v>
      </c>
    </row>
    <row r="537" spans="1:29" hidden="1" x14ac:dyDescent="0.25">
      <c r="A537">
        <v>26</v>
      </c>
      <c r="B537" t="s">
        <v>92</v>
      </c>
      <c r="C537" t="s">
        <v>77</v>
      </c>
      <c r="D537" t="s">
        <v>84</v>
      </c>
      <c r="E537">
        <v>5</v>
      </c>
      <c r="F537">
        <v>43</v>
      </c>
      <c r="G537">
        <v>86</v>
      </c>
      <c r="H537">
        <v>120</v>
      </c>
      <c r="I537">
        <v>0.14000000000000001</v>
      </c>
      <c r="J537">
        <v>16.95</v>
      </c>
      <c r="K537" t="s">
        <v>79</v>
      </c>
      <c r="L537" t="s">
        <v>949</v>
      </c>
      <c r="Q537">
        <v>2</v>
      </c>
      <c r="R537" s="24">
        <v>46032</v>
      </c>
      <c r="T537" t="s">
        <v>38</v>
      </c>
      <c r="V537" t="s">
        <v>921</v>
      </c>
      <c r="W537" t="s">
        <v>81</v>
      </c>
      <c r="Z537" t="s">
        <v>924</v>
      </c>
      <c r="AA537" t="s">
        <v>39</v>
      </c>
      <c r="AC537" t="s">
        <v>950</v>
      </c>
    </row>
    <row r="538" spans="1:29" hidden="1" x14ac:dyDescent="0.25">
      <c r="A538">
        <v>27</v>
      </c>
      <c r="B538" t="s">
        <v>93</v>
      </c>
      <c r="C538" t="s">
        <v>77</v>
      </c>
      <c r="D538" t="s">
        <v>78</v>
      </c>
      <c r="E538">
        <v>5</v>
      </c>
      <c r="F538">
        <v>63</v>
      </c>
      <c r="G538">
        <v>186</v>
      </c>
      <c r="H538">
        <v>42</v>
      </c>
      <c r="I538">
        <v>0.46</v>
      </c>
      <c r="J538">
        <v>19.149999999999999</v>
      </c>
      <c r="K538" t="s">
        <v>79</v>
      </c>
      <c r="L538" t="s">
        <v>949</v>
      </c>
      <c r="Q538">
        <v>2</v>
      </c>
      <c r="R538" s="24">
        <v>46032</v>
      </c>
      <c r="T538" t="s">
        <v>38</v>
      </c>
      <c r="V538" t="s">
        <v>921</v>
      </c>
      <c r="W538" t="s">
        <v>81</v>
      </c>
      <c r="Z538" t="s">
        <v>924</v>
      </c>
      <c r="AA538" t="s">
        <v>39</v>
      </c>
      <c r="AC538" t="s">
        <v>950</v>
      </c>
    </row>
    <row r="539" spans="1:29" hidden="1" x14ac:dyDescent="0.25">
      <c r="A539">
        <v>28</v>
      </c>
      <c r="B539" t="s">
        <v>94</v>
      </c>
      <c r="C539" t="s">
        <v>77</v>
      </c>
      <c r="D539" t="s">
        <v>84</v>
      </c>
      <c r="E539">
        <v>5</v>
      </c>
      <c r="F539">
        <v>43</v>
      </c>
      <c r="G539">
        <v>86</v>
      </c>
      <c r="H539">
        <v>176</v>
      </c>
      <c r="I539">
        <v>0.14000000000000001</v>
      </c>
      <c r="J539">
        <v>24.85</v>
      </c>
      <c r="K539" t="s">
        <v>79</v>
      </c>
      <c r="L539" t="s">
        <v>949</v>
      </c>
      <c r="Q539">
        <v>2</v>
      </c>
      <c r="R539" s="24">
        <v>46032</v>
      </c>
      <c r="T539" t="s">
        <v>38</v>
      </c>
      <c r="V539" t="s">
        <v>921</v>
      </c>
      <c r="W539" t="s">
        <v>81</v>
      </c>
      <c r="Z539" t="s">
        <v>924</v>
      </c>
      <c r="AA539" t="s">
        <v>39</v>
      </c>
      <c r="AC539" t="s">
        <v>950</v>
      </c>
    </row>
    <row r="540" spans="1:29" hidden="1" x14ac:dyDescent="0.25">
      <c r="A540">
        <v>29</v>
      </c>
      <c r="B540" t="s">
        <v>95</v>
      </c>
      <c r="C540" t="s">
        <v>77</v>
      </c>
      <c r="D540" t="s">
        <v>96</v>
      </c>
      <c r="E540">
        <v>6</v>
      </c>
      <c r="F540">
        <v>328</v>
      </c>
      <c r="G540">
        <v>1752</v>
      </c>
      <c r="H540">
        <v>1</v>
      </c>
      <c r="I540">
        <v>25.59</v>
      </c>
      <c r="J540">
        <v>25.59</v>
      </c>
      <c r="K540" t="s">
        <v>97</v>
      </c>
      <c r="L540" t="s">
        <v>951</v>
      </c>
      <c r="O540" t="s">
        <v>81</v>
      </c>
      <c r="P540" t="s">
        <v>81</v>
      </c>
      <c r="Q540">
        <v>2</v>
      </c>
      <c r="R540" s="24">
        <v>46032</v>
      </c>
      <c r="T540" t="s">
        <v>38</v>
      </c>
      <c r="V540" t="s">
        <v>921</v>
      </c>
      <c r="Z540" t="s">
        <v>924</v>
      </c>
      <c r="AA540" t="s">
        <v>39</v>
      </c>
      <c r="AC540" t="s">
        <v>952</v>
      </c>
    </row>
    <row r="541" spans="1:29" hidden="1" x14ac:dyDescent="0.25">
      <c r="A541">
        <v>30</v>
      </c>
      <c r="B541" t="s">
        <v>100</v>
      </c>
      <c r="C541" t="s">
        <v>77</v>
      </c>
      <c r="D541" t="s">
        <v>96</v>
      </c>
      <c r="E541">
        <v>6</v>
      </c>
      <c r="F541">
        <v>328</v>
      </c>
      <c r="G541">
        <v>1752</v>
      </c>
      <c r="H541">
        <v>1</v>
      </c>
      <c r="I541">
        <v>25.59</v>
      </c>
      <c r="J541">
        <v>25.59</v>
      </c>
      <c r="K541" t="s">
        <v>97</v>
      </c>
      <c r="L541" t="s">
        <v>951</v>
      </c>
      <c r="O541" t="s">
        <v>81</v>
      </c>
      <c r="P541" t="s">
        <v>81</v>
      </c>
      <c r="Q541">
        <v>2</v>
      </c>
      <c r="R541" s="24">
        <v>46032</v>
      </c>
      <c r="T541" t="s">
        <v>38</v>
      </c>
      <c r="V541" t="s">
        <v>921</v>
      </c>
      <c r="Z541" t="s">
        <v>924</v>
      </c>
      <c r="AA541" t="s">
        <v>39</v>
      </c>
      <c r="AC541" t="s">
        <v>952</v>
      </c>
    </row>
    <row r="542" spans="1:29" hidden="1" x14ac:dyDescent="0.25">
      <c r="A542">
        <v>31</v>
      </c>
      <c r="B542" t="s">
        <v>101</v>
      </c>
      <c r="C542" t="s">
        <v>77</v>
      </c>
      <c r="D542" t="s">
        <v>96</v>
      </c>
      <c r="E542">
        <v>6</v>
      </c>
      <c r="F542">
        <v>328</v>
      </c>
      <c r="G542">
        <v>1752</v>
      </c>
      <c r="H542">
        <v>3</v>
      </c>
      <c r="I542">
        <v>25.6</v>
      </c>
      <c r="J542">
        <v>76.790000000000006</v>
      </c>
      <c r="K542" t="s">
        <v>97</v>
      </c>
      <c r="L542" t="s">
        <v>951</v>
      </c>
      <c r="O542" t="s">
        <v>81</v>
      </c>
      <c r="P542" t="s">
        <v>81</v>
      </c>
      <c r="Q542">
        <v>2</v>
      </c>
      <c r="R542" s="24">
        <v>46032</v>
      </c>
      <c r="T542" t="s">
        <v>38</v>
      </c>
      <c r="V542" t="s">
        <v>921</v>
      </c>
      <c r="Z542" t="s">
        <v>924</v>
      </c>
      <c r="AA542" t="s">
        <v>39</v>
      </c>
      <c r="AC542" t="s">
        <v>952</v>
      </c>
    </row>
    <row r="543" spans="1:29" hidden="1" x14ac:dyDescent="0.25">
      <c r="A543">
        <v>32</v>
      </c>
      <c r="B543" t="s">
        <v>102</v>
      </c>
      <c r="C543" t="s">
        <v>77</v>
      </c>
      <c r="D543" t="s">
        <v>103</v>
      </c>
      <c r="E543">
        <v>6</v>
      </c>
      <c r="F543">
        <v>328</v>
      </c>
      <c r="G543">
        <v>1753</v>
      </c>
      <c r="H543">
        <v>3</v>
      </c>
      <c r="I543">
        <v>25.61</v>
      </c>
      <c r="J543">
        <v>76.83</v>
      </c>
      <c r="K543" t="s">
        <v>97</v>
      </c>
      <c r="L543" t="s">
        <v>951</v>
      </c>
      <c r="O543" t="s">
        <v>81</v>
      </c>
      <c r="P543" t="s">
        <v>81</v>
      </c>
      <c r="Q543">
        <v>2</v>
      </c>
      <c r="R543" s="24">
        <v>46032</v>
      </c>
      <c r="T543" t="s">
        <v>38</v>
      </c>
      <c r="V543" t="s">
        <v>921</v>
      </c>
      <c r="Z543" t="s">
        <v>924</v>
      </c>
      <c r="AA543" t="s">
        <v>39</v>
      </c>
      <c r="AC543" t="s">
        <v>952</v>
      </c>
    </row>
    <row r="544" spans="1:29" hidden="1" x14ac:dyDescent="0.25">
      <c r="A544">
        <v>33</v>
      </c>
      <c r="B544" t="s">
        <v>104</v>
      </c>
      <c r="C544" t="s">
        <v>77</v>
      </c>
      <c r="D544" t="s">
        <v>96</v>
      </c>
      <c r="E544">
        <v>6</v>
      </c>
      <c r="F544">
        <v>328</v>
      </c>
      <c r="G544">
        <v>1752</v>
      </c>
      <c r="H544">
        <v>2</v>
      </c>
      <c r="I544">
        <v>25.59</v>
      </c>
      <c r="J544">
        <v>51.18</v>
      </c>
      <c r="K544" t="s">
        <v>97</v>
      </c>
      <c r="L544" t="s">
        <v>951</v>
      </c>
      <c r="O544" t="s">
        <v>81</v>
      </c>
      <c r="P544" t="s">
        <v>81</v>
      </c>
      <c r="Q544">
        <v>2</v>
      </c>
      <c r="R544" s="24">
        <v>46032</v>
      </c>
      <c r="T544" t="s">
        <v>38</v>
      </c>
      <c r="V544" t="s">
        <v>921</v>
      </c>
      <c r="Z544" t="s">
        <v>924</v>
      </c>
      <c r="AA544" t="s">
        <v>39</v>
      </c>
      <c r="AC544" t="s">
        <v>952</v>
      </c>
    </row>
    <row r="545" spans="1:29" hidden="1" x14ac:dyDescent="0.25">
      <c r="A545">
        <v>34</v>
      </c>
      <c r="B545" t="s">
        <v>105</v>
      </c>
      <c r="C545" t="s">
        <v>77</v>
      </c>
      <c r="D545" t="s">
        <v>96</v>
      </c>
      <c r="E545">
        <v>6</v>
      </c>
      <c r="F545">
        <v>328</v>
      </c>
      <c r="G545">
        <v>1752</v>
      </c>
      <c r="H545">
        <v>1</v>
      </c>
      <c r="I545">
        <v>25.59</v>
      </c>
      <c r="J545">
        <v>25.59</v>
      </c>
      <c r="K545" t="s">
        <v>97</v>
      </c>
      <c r="L545" t="s">
        <v>951</v>
      </c>
      <c r="O545" t="s">
        <v>81</v>
      </c>
      <c r="P545" t="s">
        <v>81</v>
      </c>
      <c r="Q545">
        <v>2</v>
      </c>
      <c r="R545" s="24">
        <v>46032</v>
      </c>
      <c r="T545" t="s">
        <v>38</v>
      </c>
      <c r="V545" t="s">
        <v>921</v>
      </c>
      <c r="Z545" t="s">
        <v>924</v>
      </c>
      <c r="AA545" t="s">
        <v>39</v>
      </c>
      <c r="AC545" t="s">
        <v>952</v>
      </c>
    </row>
    <row r="546" spans="1:29" hidden="1" x14ac:dyDescent="0.25">
      <c r="A546">
        <v>35</v>
      </c>
      <c r="B546" t="s">
        <v>106</v>
      </c>
      <c r="C546" t="s">
        <v>77</v>
      </c>
      <c r="D546" t="s">
        <v>96</v>
      </c>
      <c r="E546">
        <v>6</v>
      </c>
      <c r="F546">
        <v>328</v>
      </c>
      <c r="G546">
        <v>1752</v>
      </c>
      <c r="H546">
        <v>1</v>
      </c>
      <c r="I546">
        <v>25.59</v>
      </c>
      <c r="J546">
        <v>25.59</v>
      </c>
      <c r="K546" t="s">
        <v>97</v>
      </c>
      <c r="L546" t="s">
        <v>951</v>
      </c>
      <c r="O546" t="s">
        <v>81</v>
      </c>
      <c r="P546" t="s">
        <v>81</v>
      </c>
      <c r="Q546">
        <v>2</v>
      </c>
      <c r="R546" s="24">
        <v>46032</v>
      </c>
      <c r="T546" t="s">
        <v>38</v>
      </c>
      <c r="V546" t="s">
        <v>921</v>
      </c>
      <c r="Z546" t="s">
        <v>924</v>
      </c>
      <c r="AA546" t="s">
        <v>39</v>
      </c>
      <c r="AC546" t="s">
        <v>952</v>
      </c>
    </row>
    <row r="547" spans="1:29" hidden="1" x14ac:dyDescent="0.25">
      <c r="A547">
        <v>36</v>
      </c>
      <c r="B547" t="s">
        <v>107</v>
      </c>
      <c r="C547" t="s">
        <v>77</v>
      </c>
      <c r="D547" t="s">
        <v>96</v>
      </c>
      <c r="E547">
        <v>6</v>
      </c>
      <c r="F547">
        <v>328</v>
      </c>
      <c r="G547">
        <v>1752</v>
      </c>
      <c r="H547">
        <v>3</v>
      </c>
      <c r="I547">
        <v>25.6</v>
      </c>
      <c r="J547">
        <v>76.790000000000006</v>
      </c>
      <c r="K547" t="s">
        <v>97</v>
      </c>
      <c r="L547" t="s">
        <v>951</v>
      </c>
      <c r="O547" t="s">
        <v>81</v>
      </c>
      <c r="P547" t="s">
        <v>81</v>
      </c>
      <c r="Q547">
        <v>2</v>
      </c>
      <c r="R547" s="24">
        <v>46032</v>
      </c>
      <c r="T547" t="s">
        <v>38</v>
      </c>
      <c r="V547" t="s">
        <v>921</v>
      </c>
      <c r="Z547" t="s">
        <v>924</v>
      </c>
      <c r="AA547" t="s">
        <v>39</v>
      </c>
      <c r="AC547" t="s">
        <v>952</v>
      </c>
    </row>
    <row r="548" spans="1:29" hidden="1" x14ac:dyDescent="0.25">
      <c r="A548">
        <v>37</v>
      </c>
      <c r="B548" t="s">
        <v>108</v>
      </c>
      <c r="C548" t="s">
        <v>77</v>
      </c>
      <c r="D548" t="s">
        <v>103</v>
      </c>
      <c r="E548">
        <v>6</v>
      </c>
      <c r="F548">
        <v>328</v>
      </c>
      <c r="G548">
        <v>1753</v>
      </c>
      <c r="H548">
        <v>3</v>
      </c>
      <c r="I548">
        <v>25.61</v>
      </c>
      <c r="J548">
        <v>76.83</v>
      </c>
      <c r="K548" t="s">
        <v>97</v>
      </c>
      <c r="L548" t="s">
        <v>951</v>
      </c>
      <c r="O548" t="s">
        <v>81</v>
      </c>
      <c r="P548" t="s">
        <v>81</v>
      </c>
      <c r="Q548">
        <v>2</v>
      </c>
      <c r="R548" s="24">
        <v>46032</v>
      </c>
      <c r="T548" t="s">
        <v>38</v>
      </c>
      <c r="V548" t="s">
        <v>921</v>
      </c>
      <c r="Z548" t="s">
        <v>924</v>
      </c>
      <c r="AA548" t="s">
        <v>39</v>
      </c>
      <c r="AC548" t="s">
        <v>952</v>
      </c>
    </row>
    <row r="549" spans="1:29" hidden="1" x14ac:dyDescent="0.25">
      <c r="A549">
        <v>38</v>
      </c>
      <c r="B549" t="s">
        <v>109</v>
      </c>
      <c r="C549" t="s">
        <v>77</v>
      </c>
      <c r="D549" t="s">
        <v>96</v>
      </c>
      <c r="E549">
        <v>6</v>
      </c>
      <c r="F549">
        <v>328</v>
      </c>
      <c r="G549">
        <v>1752</v>
      </c>
      <c r="H549">
        <v>2</v>
      </c>
      <c r="I549">
        <v>25.59</v>
      </c>
      <c r="J549">
        <v>51.18</v>
      </c>
      <c r="K549" t="s">
        <v>97</v>
      </c>
      <c r="L549" t="s">
        <v>951</v>
      </c>
      <c r="O549" t="s">
        <v>81</v>
      </c>
      <c r="P549" t="s">
        <v>81</v>
      </c>
      <c r="Q549">
        <v>2</v>
      </c>
      <c r="R549" s="24">
        <v>46032</v>
      </c>
      <c r="T549" t="s">
        <v>38</v>
      </c>
      <c r="V549" t="s">
        <v>921</v>
      </c>
      <c r="Z549" t="s">
        <v>924</v>
      </c>
      <c r="AA549" t="s">
        <v>39</v>
      </c>
      <c r="AC549" t="s">
        <v>952</v>
      </c>
    </row>
    <row r="550" spans="1:29" hidden="1" x14ac:dyDescent="0.25">
      <c r="A550">
        <v>39</v>
      </c>
      <c r="B550" t="s">
        <v>110</v>
      </c>
      <c r="C550" t="s">
        <v>77</v>
      </c>
      <c r="D550" t="s">
        <v>111</v>
      </c>
      <c r="E550">
        <v>6</v>
      </c>
      <c r="F550">
        <v>328</v>
      </c>
      <c r="G550">
        <v>1672</v>
      </c>
      <c r="H550">
        <v>2</v>
      </c>
      <c r="I550">
        <v>24.46</v>
      </c>
      <c r="J550">
        <v>48.91</v>
      </c>
      <c r="K550" t="s">
        <v>97</v>
      </c>
      <c r="L550" t="s">
        <v>951</v>
      </c>
      <c r="O550" t="s">
        <v>81</v>
      </c>
      <c r="P550" t="s">
        <v>81</v>
      </c>
      <c r="Q550">
        <v>2</v>
      </c>
      <c r="R550" s="24">
        <v>46032</v>
      </c>
      <c r="T550" t="s">
        <v>38</v>
      </c>
      <c r="V550" t="s">
        <v>921</v>
      </c>
      <c r="Z550" t="s">
        <v>924</v>
      </c>
      <c r="AA550" t="s">
        <v>39</v>
      </c>
      <c r="AC550" t="s">
        <v>952</v>
      </c>
    </row>
    <row r="551" spans="1:29" hidden="1" x14ac:dyDescent="0.25">
      <c r="A551">
        <v>40</v>
      </c>
      <c r="B551" t="s">
        <v>112</v>
      </c>
      <c r="C551" t="s">
        <v>77</v>
      </c>
      <c r="D551" t="s">
        <v>113</v>
      </c>
      <c r="E551">
        <v>6</v>
      </c>
      <c r="F551">
        <v>328</v>
      </c>
      <c r="G551">
        <v>1718</v>
      </c>
      <c r="H551">
        <v>1</v>
      </c>
      <c r="I551">
        <v>25.11</v>
      </c>
      <c r="J551">
        <v>25.11</v>
      </c>
      <c r="K551" t="s">
        <v>97</v>
      </c>
      <c r="L551" t="s">
        <v>951</v>
      </c>
      <c r="O551" t="s">
        <v>81</v>
      </c>
      <c r="P551" t="s">
        <v>81</v>
      </c>
      <c r="Q551">
        <v>2</v>
      </c>
      <c r="R551" s="24">
        <v>46032</v>
      </c>
      <c r="T551" t="s">
        <v>38</v>
      </c>
      <c r="V551" t="s">
        <v>921</v>
      </c>
      <c r="Z551" t="s">
        <v>924</v>
      </c>
      <c r="AA551" t="s">
        <v>39</v>
      </c>
      <c r="AC551" t="s">
        <v>952</v>
      </c>
    </row>
    <row r="552" spans="1:29" hidden="1" x14ac:dyDescent="0.25">
      <c r="A552">
        <v>41</v>
      </c>
      <c r="B552" t="s">
        <v>114</v>
      </c>
      <c r="C552" t="s">
        <v>77</v>
      </c>
      <c r="D552" t="s">
        <v>115</v>
      </c>
      <c r="E552">
        <v>6</v>
      </c>
      <c r="F552">
        <v>328</v>
      </c>
      <c r="G552">
        <v>1729</v>
      </c>
      <c r="H552">
        <v>5</v>
      </c>
      <c r="I552">
        <v>25.27</v>
      </c>
      <c r="J552">
        <v>126.35</v>
      </c>
      <c r="K552" t="s">
        <v>97</v>
      </c>
      <c r="L552" t="s">
        <v>951</v>
      </c>
      <c r="O552" t="s">
        <v>81</v>
      </c>
      <c r="P552" t="s">
        <v>81</v>
      </c>
      <c r="Q552">
        <v>2</v>
      </c>
      <c r="R552" s="24">
        <v>46032</v>
      </c>
      <c r="T552" t="s">
        <v>38</v>
      </c>
      <c r="V552" t="s">
        <v>921</v>
      </c>
      <c r="Z552" t="s">
        <v>924</v>
      </c>
      <c r="AA552" t="s">
        <v>39</v>
      </c>
      <c r="AC552" t="s">
        <v>952</v>
      </c>
    </row>
    <row r="553" spans="1:29" hidden="1" x14ac:dyDescent="0.25">
      <c r="A553">
        <v>42</v>
      </c>
      <c r="B553" t="s">
        <v>116</v>
      </c>
      <c r="C553" t="s">
        <v>77</v>
      </c>
      <c r="D553" t="s">
        <v>117</v>
      </c>
      <c r="E553">
        <v>6</v>
      </c>
      <c r="F553">
        <v>298</v>
      </c>
      <c r="G553">
        <v>378</v>
      </c>
      <c r="H553">
        <v>1</v>
      </c>
      <c r="I553">
        <v>5.27</v>
      </c>
      <c r="J553">
        <v>5.27</v>
      </c>
      <c r="K553" t="s">
        <v>97</v>
      </c>
      <c r="L553" t="s">
        <v>951</v>
      </c>
      <c r="Q553">
        <v>2</v>
      </c>
      <c r="R553" s="24">
        <v>46032</v>
      </c>
      <c r="T553" t="s">
        <v>38</v>
      </c>
      <c r="V553" t="s">
        <v>921</v>
      </c>
      <c r="W553" t="s">
        <v>81</v>
      </c>
      <c r="Z553" t="s">
        <v>924</v>
      </c>
      <c r="AA553" t="s">
        <v>39</v>
      </c>
      <c r="AC553" t="s">
        <v>952</v>
      </c>
    </row>
    <row r="554" spans="1:29" hidden="1" x14ac:dyDescent="0.25">
      <c r="A554">
        <v>43</v>
      </c>
      <c r="B554" t="s">
        <v>118</v>
      </c>
      <c r="C554" t="s">
        <v>77</v>
      </c>
      <c r="D554" t="s">
        <v>115</v>
      </c>
      <c r="E554">
        <v>6</v>
      </c>
      <c r="F554">
        <v>328</v>
      </c>
      <c r="G554">
        <v>1729</v>
      </c>
      <c r="H554">
        <v>13</v>
      </c>
      <c r="I554">
        <v>25.27</v>
      </c>
      <c r="J554">
        <v>328.51</v>
      </c>
      <c r="K554" t="s">
        <v>97</v>
      </c>
      <c r="L554" t="s">
        <v>953</v>
      </c>
      <c r="O554" t="s">
        <v>81</v>
      </c>
      <c r="P554" t="s">
        <v>81</v>
      </c>
      <c r="Q554">
        <v>2</v>
      </c>
      <c r="R554" s="24">
        <v>46032</v>
      </c>
      <c r="T554" t="s">
        <v>38</v>
      </c>
      <c r="V554" t="s">
        <v>921</v>
      </c>
      <c r="Z554" t="s">
        <v>924</v>
      </c>
      <c r="AA554" t="s">
        <v>39</v>
      </c>
      <c r="AC554" t="s">
        <v>954</v>
      </c>
    </row>
    <row r="555" spans="1:29" hidden="1" x14ac:dyDescent="0.25">
      <c r="A555">
        <v>44</v>
      </c>
      <c r="B555" t="s">
        <v>114</v>
      </c>
      <c r="C555" t="s">
        <v>77</v>
      </c>
      <c r="D555" t="s">
        <v>115</v>
      </c>
      <c r="E555">
        <v>6</v>
      </c>
      <c r="F555">
        <v>328</v>
      </c>
      <c r="G555">
        <v>1729</v>
      </c>
      <c r="H555">
        <v>15</v>
      </c>
      <c r="I555">
        <v>25.27</v>
      </c>
      <c r="J555">
        <v>379.05</v>
      </c>
      <c r="K555" t="s">
        <v>97</v>
      </c>
      <c r="L555" t="s">
        <v>953</v>
      </c>
      <c r="O555" t="s">
        <v>81</v>
      </c>
      <c r="P555" t="s">
        <v>81</v>
      </c>
      <c r="Q555">
        <v>2</v>
      </c>
      <c r="R555" s="24">
        <v>46032</v>
      </c>
      <c r="T555" t="s">
        <v>38</v>
      </c>
      <c r="V555" t="s">
        <v>921</v>
      </c>
      <c r="Z555" t="s">
        <v>924</v>
      </c>
      <c r="AA555" t="s">
        <v>39</v>
      </c>
      <c r="AC555" t="s">
        <v>954</v>
      </c>
    </row>
    <row r="556" spans="1:29" hidden="1" x14ac:dyDescent="0.25">
      <c r="A556">
        <v>45</v>
      </c>
      <c r="B556" t="s">
        <v>121</v>
      </c>
      <c r="C556" t="s">
        <v>77</v>
      </c>
      <c r="D556" t="s">
        <v>122</v>
      </c>
      <c r="E556">
        <v>6</v>
      </c>
      <c r="F556">
        <v>328</v>
      </c>
      <c r="G556">
        <v>934</v>
      </c>
      <c r="H556">
        <v>1</v>
      </c>
      <c r="I556">
        <v>14.43</v>
      </c>
      <c r="J556">
        <v>14.43</v>
      </c>
      <c r="K556" t="s">
        <v>97</v>
      </c>
      <c r="L556" t="s">
        <v>953</v>
      </c>
      <c r="O556" t="s">
        <v>81</v>
      </c>
      <c r="Q556">
        <v>2</v>
      </c>
      <c r="R556" s="24">
        <v>46032</v>
      </c>
      <c r="T556" t="s">
        <v>38</v>
      </c>
      <c r="V556" t="s">
        <v>921</v>
      </c>
      <c r="Z556" t="s">
        <v>924</v>
      </c>
      <c r="AA556" t="s">
        <v>39</v>
      </c>
      <c r="AC556" t="s">
        <v>954</v>
      </c>
    </row>
    <row r="557" spans="1:29" hidden="1" x14ac:dyDescent="0.25">
      <c r="A557">
        <v>46</v>
      </c>
      <c r="B557" t="s">
        <v>123</v>
      </c>
      <c r="C557" t="s">
        <v>77</v>
      </c>
      <c r="D557" t="s">
        <v>117</v>
      </c>
      <c r="E557">
        <v>6</v>
      </c>
      <c r="F557">
        <v>298</v>
      </c>
      <c r="G557">
        <v>378</v>
      </c>
      <c r="H557">
        <v>1</v>
      </c>
      <c r="I557">
        <v>5.27</v>
      </c>
      <c r="J557">
        <v>5.27</v>
      </c>
      <c r="K557" t="s">
        <v>97</v>
      </c>
      <c r="L557" t="s">
        <v>953</v>
      </c>
      <c r="Q557">
        <v>2</v>
      </c>
      <c r="R557" s="24">
        <v>46032</v>
      </c>
      <c r="T557" t="s">
        <v>38</v>
      </c>
      <c r="V557" t="s">
        <v>921</v>
      </c>
      <c r="W557" t="s">
        <v>81</v>
      </c>
      <c r="Z557" t="s">
        <v>924</v>
      </c>
      <c r="AA557" t="s">
        <v>39</v>
      </c>
      <c r="AC557" t="s">
        <v>954</v>
      </c>
    </row>
    <row r="558" spans="1:29" hidden="1" x14ac:dyDescent="0.25">
      <c r="A558">
        <v>47</v>
      </c>
      <c r="B558" t="s">
        <v>124</v>
      </c>
      <c r="C558" t="s">
        <v>77</v>
      </c>
      <c r="D558" t="s">
        <v>111</v>
      </c>
      <c r="E558">
        <v>6</v>
      </c>
      <c r="F558">
        <v>328</v>
      </c>
      <c r="G558">
        <v>1672</v>
      </c>
      <c r="H558">
        <v>2</v>
      </c>
      <c r="I558">
        <v>24.46</v>
      </c>
      <c r="J558">
        <v>48.91</v>
      </c>
      <c r="K558" t="s">
        <v>97</v>
      </c>
      <c r="L558" t="s">
        <v>955</v>
      </c>
      <c r="O558" t="s">
        <v>81</v>
      </c>
      <c r="P558" t="s">
        <v>81</v>
      </c>
      <c r="Q558">
        <v>2</v>
      </c>
      <c r="R558" s="24">
        <v>46032</v>
      </c>
      <c r="T558" t="s">
        <v>38</v>
      </c>
      <c r="V558" t="s">
        <v>921</v>
      </c>
      <c r="Z558" t="s">
        <v>924</v>
      </c>
      <c r="AA558" t="s">
        <v>39</v>
      </c>
      <c r="AC558" t="s">
        <v>956</v>
      </c>
    </row>
    <row r="559" spans="1:29" hidden="1" x14ac:dyDescent="0.25">
      <c r="A559">
        <v>48</v>
      </c>
      <c r="B559" t="s">
        <v>127</v>
      </c>
      <c r="C559" t="s">
        <v>77</v>
      </c>
      <c r="D559" t="s">
        <v>113</v>
      </c>
      <c r="E559">
        <v>6</v>
      </c>
      <c r="F559">
        <v>328</v>
      </c>
      <c r="G559">
        <v>1718</v>
      </c>
      <c r="H559">
        <v>8</v>
      </c>
      <c r="I559">
        <v>25.11</v>
      </c>
      <c r="J559">
        <v>200.91</v>
      </c>
      <c r="K559" t="s">
        <v>97</v>
      </c>
      <c r="L559" t="s">
        <v>955</v>
      </c>
      <c r="O559" t="s">
        <v>81</v>
      </c>
      <c r="P559" t="s">
        <v>81</v>
      </c>
      <c r="Q559">
        <v>2</v>
      </c>
      <c r="R559" s="24">
        <v>46032</v>
      </c>
      <c r="T559" t="s">
        <v>38</v>
      </c>
      <c r="V559" t="s">
        <v>921</v>
      </c>
      <c r="Z559" t="s">
        <v>924</v>
      </c>
      <c r="AA559" t="s">
        <v>39</v>
      </c>
      <c r="AC559" t="s">
        <v>956</v>
      </c>
    </row>
    <row r="560" spans="1:29" hidden="1" x14ac:dyDescent="0.25">
      <c r="A560">
        <v>49</v>
      </c>
      <c r="B560" t="s">
        <v>118</v>
      </c>
      <c r="C560" t="s">
        <v>77</v>
      </c>
      <c r="D560" t="s">
        <v>115</v>
      </c>
      <c r="E560">
        <v>6</v>
      </c>
      <c r="F560">
        <v>328</v>
      </c>
      <c r="G560">
        <v>1729</v>
      </c>
      <c r="H560">
        <v>7</v>
      </c>
      <c r="I560">
        <v>25.27</v>
      </c>
      <c r="J560">
        <v>176.89</v>
      </c>
      <c r="K560" t="s">
        <v>97</v>
      </c>
      <c r="L560" t="s">
        <v>955</v>
      </c>
      <c r="O560" t="s">
        <v>81</v>
      </c>
      <c r="P560" t="s">
        <v>81</v>
      </c>
      <c r="Q560">
        <v>2</v>
      </c>
      <c r="R560" s="24">
        <v>46032</v>
      </c>
      <c r="T560" t="s">
        <v>38</v>
      </c>
      <c r="V560" t="s">
        <v>921</v>
      </c>
      <c r="Z560" t="s">
        <v>924</v>
      </c>
      <c r="AA560" t="s">
        <v>39</v>
      </c>
      <c r="AC560" t="s">
        <v>956</v>
      </c>
    </row>
    <row r="561" spans="1:29" hidden="1" x14ac:dyDescent="0.25">
      <c r="A561">
        <v>50</v>
      </c>
      <c r="B561" t="s">
        <v>112</v>
      </c>
      <c r="C561" t="s">
        <v>77</v>
      </c>
      <c r="D561" t="s">
        <v>113</v>
      </c>
      <c r="E561">
        <v>6</v>
      </c>
      <c r="F561">
        <v>328</v>
      </c>
      <c r="G561">
        <v>1718</v>
      </c>
      <c r="H561">
        <v>7</v>
      </c>
      <c r="I561">
        <v>25.11</v>
      </c>
      <c r="J561">
        <v>175.79</v>
      </c>
      <c r="K561" t="s">
        <v>97</v>
      </c>
      <c r="L561" t="s">
        <v>955</v>
      </c>
      <c r="O561" t="s">
        <v>81</v>
      </c>
      <c r="P561" t="s">
        <v>81</v>
      </c>
      <c r="Q561">
        <v>2</v>
      </c>
      <c r="R561" s="24">
        <v>46032</v>
      </c>
      <c r="T561" t="s">
        <v>38</v>
      </c>
      <c r="V561" t="s">
        <v>921</v>
      </c>
      <c r="Z561" t="s">
        <v>924</v>
      </c>
      <c r="AA561" t="s">
        <v>39</v>
      </c>
      <c r="AC561" t="s">
        <v>956</v>
      </c>
    </row>
    <row r="562" spans="1:29" hidden="1" x14ac:dyDescent="0.25">
      <c r="A562">
        <v>51</v>
      </c>
      <c r="B562" t="s">
        <v>121</v>
      </c>
      <c r="C562" t="s">
        <v>77</v>
      </c>
      <c r="D562" t="s">
        <v>122</v>
      </c>
      <c r="E562">
        <v>6</v>
      </c>
      <c r="F562">
        <v>328</v>
      </c>
      <c r="G562">
        <v>934</v>
      </c>
      <c r="H562">
        <v>8</v>
      </c>
      <c r="I562">
        <v>14.43</v>
      </c>
      <c r="J562">
        <v>115.43</v>
      </c>
      <c r="K562" t="s">
        <v>97</v>
      </c>
      <c r="L562" t="s">
        <v>955</v>
      </c>
      <c r="O562" t="s">
        <v>81</v>
      </c>
      <c r="Q562">
        <v>2</v>
      </c>
      <c r="R562" s="24">
        <v>46032</v>
      </c>
      <c r="T562" t="s">
        <v>38</v>
      </c>
      <c r="V562" t="s">
        <v>921</v>
      </c>
      <c r="Z562" t="s">
        <v>924</v>
      </c>
      <c r="AA562" t="s">
        <v>39</v>
      </c>
      <c r="AC562" t="s">
        <v>956</v>
      </c>
    </row>
    <row r="563" spans="1:29" hidden="1" x14ac:dyDescent="0.25">
      <c r="A563">
        <v>52</v>
      </c>
      <c r="B563" t="s">
        <v>116</v>
      </c>
      <c r="C563" t="s">
        <v>77</v>
      </c>
      <c r="D563" t="s">
        <v>117</v>
      </c>
      <c r="E563">
        <v>6</v>
      </c>
      <c r="F563">
        <v>298</v>
      </c>
      <c r="G563">
        <v>378</v>
      </c>
      <c r="H563">
        <v>1</v>
      </c>
      <c r="I563">
        <v>5.27</v>
      </c>
      <c r="J563">
        <v>5.27</v>
      </c>
      <c r="K563" t="s">
        <v>97</v>
      </c>
      <c r="L563" t="s">
        <v>955</v>
      </c>
      <c r="Q563">
        <v>2</v>
      </c>
      <c r="R563" s="24">
        <v>46032</v>
      </c>
      <c r="T563" t="s">
        <v>38</v>
      </c>
      <c r="V563" t="s">
        <v>921</v>
      </c>
      <c r="W563" t="s">
        <v>81</v>
      </c>
      <c r="Z563" t="s">
        <v>924</v>
      </c>
      <c r="AA563" t="s">
        <v>39</v>
      </c>
      <c r="AC563" t="s">
        <v>956</v>
      </c>
    </row>
    <row r="564" spans="1:29" hidden="1" x14ac:dyDescent="0.25">
      <c r="A564">
        <v>53</v>
      </c>
      <c r="B564" t="s">
        <v>128</v>
      </c>
      <c r="C564" t="s">
        <v>77</v>
      </c>
      <c r="D564" t="s">
        <v>129</v>
      </c>
      <c r="E564">
        <v>6</v>
      </c>
      <c r="F564">
        <v>188</v>
      </c>
      <c r="G564">
        <v>2493</v>
      </c>
      <c r="H564">
        <v>4</v>
      </c>
      <c r="I564">
        <v>21.71</v>
      </c>
      <c r="J564">
        <v>86.83</v>
      </c>
      <c r="K564" t="s">
        <v>97</v>
      </c>
      <c r="L564" t="s">
        <v>957</v>
      </c>
      <c r="O564" t="s">
        <v>81</v>
      </c>
      <c r="P564" t="s">
        <v>81</v>
      </c>
      <c r="Q564">
        <v>2</v>
      </c>
      <c r="R564" s="24">
        <v>46032</v>
      </c>
      <c r="T564" t="s">
        <v>38</v>
      </c>
      <c r="V564" t="s">
        <v>921</v>
      </c>
      <c r="Z564" t="s">
        <v>924</v>
      </c>
      <c r="AA564" t="s">
        <v>39</v>
      </c>
      <c r="AC564" t="s">
        <v>958</v>
      </c>
    </row>
    <row r="565" spans="1:29" hidden="1" x14ac:dyDescent="0.25">
      <c r="A565">
        <v>54</v>
      </c>
      <c r="B565" t="s">
        <v>132</v>
      </c>
      <c r="C565" t="s">
        <v>77</v>
      </c>
      <c r="D565" t="s">
        <v>133</v>
      </c>
      <c r="E565">
        <v>6</v>
      </c>
      <c r="F565">
        <v>188</v>
      </c>
      <c r="G565">
        <v>2494</v>
      </c>
      <c r="H565">
        <v>4</v>
      </c>
      <c r="I565">
        <v>21.71</v>
      </c>
      <c r="J565">
        <v>86.84</v>
      </c>
      <c r="K565" t="s">
        <v>97</v>
      </c>
      <c r="L565" t="s">
        <v>957</v>
      </c>
      <c r="O565" t="s">
        <v>81</v>
      </c>
      <c r="P565" t="s">
        <v>81</v>
      </c>
      <c r="Q565">
        <v>2</v>
      </c>
      <c r="R565" s="24">
        <v>46032</v>
      </c>
      <c r="T565" t="s">
        <v>38</v>
      </c>
      <c r="V565" t="s">
        <v>921</v>
      </c>
      <c r="Z565" t="s">
        <v>924</v>
      </c>
      <c r="AA565" t="s">
        <v>39</v>
      </c>
      <c r="AC565" t="s">
        <v>958</v>
      </c>
    </row>
    <row r="566" spans="1:29" hidden="1" x14ac:dyDescent="0.25">
      <c r="A566">
        <v>55</v>
      </c>
      <c r="B566" t="s">
        <v>134</v>
      </c>
      <c r="C566" t="s">
        <v>77</v>
      </c>
      <c r="D566" t="s">
        <v>135</v>
      </c>
      <c r="E566">
        <v>6</v>
      </c>
      <c r="F566">
        <v>188</v>
      </c>
      <c r="G566">
        <v>2491</v>
      </c>
      <c r="H566">
        <v>12</v>
      </c>
      <c r="I566">
        <v>21.69</v>
      </c>
      <c r="J566">
        <v>260.32</v>
      </c>
      <c r="K566" t="s">
        <v>97</v>
      </c>
      <c r="L566" t="s">
        <v>957</v>
      </c>
      <c r="O566" t="s">
        <v>81</v>
      </c>
      <c r="P566" t="s">
        <v>81</v>
      </c>
      <c r="Q566">
        <v>2</v>
      </c>
      <c r="R566" s="24">
        <v>46032</v>
      </c>
      <c r="T566" t="s">
        <v>38</v>
      </c>
      <c r="V566" t="s">
        <v>921</v>
      </c>
      <c r="Z566" t="s">
        <v>924</v>
      </c>
      <c r="AA566" t="s">
        <v>39</v>
      </c>
      <c r="AC566" t="s">
        <v>958</v>
      </c>
    </row>
    <row r="567" spans="1:29" hidden="1" x14ac:dyDescent="0.25">
      <c r="A567">
        <v>56</v>
      </c>
      <c r="B567" t="s">
        <v>136</v>
      </c>
      <c r="C567" t="s">
        <v>77</v>
      </c>
      <c r="D567" t="s">
        <v>129</v>
      </c>
      <c r="E567">
        <v>6</v>
      </c>
      <c r="F567">
        <v>188</v>
      </c>
      <c r="G567">
        <v>2493</v>
      </c>
      <c r="H567">
        <v>4</v>
      </c>
      <c r="I567">
        <v>21.71</v>
      </c>
      <c r="J567">
        <v>86.83</v>
      </c>
      <c r="K567" t="s">
        <v>97</v>
      </c>
      <c r="L567" t="s">
        <v>957</v>
      </c>
      <c r="O567" t="s">
        <v>81</v>
      </c>
      <c r="P567" t="s">
        <v>81</v>
      </c>
      <c r="Q567">
        <v>2</v>
      </c>
      <c r="R567" s="24">
        <v>46032</v>
      </c>
      <c r="T567" t="s">
        <v>38</v>
      </c>
      <c r="V567" t="s">
        <v>921</v>
      </c>
      <c r="Z567" t="s">
        <v>924</v>
      </c>
      <c r="AA567" t="s">
        <v>39</v>
      </c>
      <c r="AC567" t="s">
        <v>958</v>
      </c>
    </row>
    <row r="568" spans="1:29" hidden="1" x14ac:dyDescent="0.25">
      <c r="A568">
        <v>57</v>
      </c>
      <c r="B568" t="s">
        <v>137</v>
      </c>
      <c r="C568" t="s">
        <v>77</v>
      </c>
      <c r="D568" t="s">
        <v>133</v>
      </c>
      <c r="E568">
        <v>6</v>
      </c>
      <c r="F568">
        <v>188</v>
      </c>
      <c r="G568">
        <v>2494</v>
      </c>
      <c r="H568">
        <v>4</v>
      </c>
      <c r="I568">
        <v>21.71</v>
      </c>
      <c r="J568">
        <v>86.84</v>
      </c>
      <c r="K568" t="s">
        <v>97</v>
      </c>
      <c r="L568" t="s">
        <v>957</v>
      </c>
      <c r="O568" t="s">
        <v>81</v>
      </c>
      <c r="P568" t="s">
        <v>81</v>
      </c>
      <c r="Q568">
        <v>2</v>
      </c>
      <c r="R568" s="24">
        <v>46032</v>
      </c>
      <c r="T568" t="s">
        <v>38</v>
      </c>
      <c r="V568" t="s">
        <v>921</v>
      </c>
      <c r="Z568" t="s">
        <v>924</v>
      </c>
      <c r="AA568" t="s">
        <v>39</v>
      </c>
      <c r="AC568" t="s">
        <v>958</v>
      </c>
    </row>
    <row r="569" spans="1:29" hidden="1" x14ac:dyDescent="0.25">
      <c r="A569">
        <v>58</v>
      </c>
      <c r="B569" t="s">
        <v>138</v>
      </c>
      <c r="C569" t="s">
        <v>77</v>
      </c>
      <c r="D569" t="s">
        <v>122</v>
      </c>
      <c r="E569">
        <v>6</v>
      </c>
      <c r="F569">
        <v>328</v>
      </c>
      <c r="G569">
        <v>934</v>
      </c>
      <c r="H569">
        <v>4</v>
      </c>
      <c r="I569">
        <v>14.43</v>
      </c>
      <c r="J569">
        <v>57.72</v>
      </c>
      <c r="K569" t="s">
        <v>97</v>
      </c>
      <c r="L569" t="s">
        <v>957</v>
      </c>
      <c r="O569" t="s">
        <v>81</v>
      </c>
      <c r="Q569">
        <v>2</v>
      </c>
      <c r="R569" s="24">
        <v>46032</v>
      </c>
      <c r="T569" t="s">
        <v>38</v>
      </c>
      <c r="V569" t="s">
        <v>921</v>
      </c>
      <c r="Z569" t="s">
        <v>924</v>
      </c>
      <c r="AA569" t="s">
        <v>39</v>
      </c>
      <c r="AC569" t="s">
        <v>958</v>
      </c>
    </row>
    <row r="570" spans="1:29" hidden="1" x14ac:dyDescent="0.25">
      <c r="A570">
        <v>59</v>
      </c>
      <c r="B570" t="s">
        <v>139</v>
      </c>
      <c r="C570" t="s">
        <v>77</v>
      </c>
      <c r="D570" t="s">
        <v>122</v>
      </c>
      <c r="E570">
        <v>6</v>
      </c>
      <c r="F570">
        <v>328</v>
      </c>
      <c r="G570">
        <v>934</v>
      </c>
      <c r="H570">
        <v>4</v>
      </c>
      <c r="I570">
        <v>14.43</v>
      </c>
      <c r="J570">
        <v>57.72</v>
      </c>
      <c r="K570" t="s">
        <v>97</v>
      </c>
      <c r="L570" t="s">
        <v>957</v>
      </c>
      <c r="O570" t="s">
        <v>81</v>
      </c>
      <c r="Q570">
        <v>2</v>
      </c>
      <c r="R570" s="24">
        <v>46032</v>
      </c>
      <c r="T570" t="s">
        <v>38</v>
      </c>
      <c r="V570" t="s">
        <v>921</v>
      </c>
      <c r="Z570" t="s">
        <v>924</v>
      </c>
      <c r="AA570" t="s">
        <v>39</v>
      </c>
      <c r="AC570" t="s">
        <v>958</v>
      </c>
    </row>
    <row r="571" spans="1:29" hidden="1" x14ac:dyDescent="0.25">
      <c r="A571">
        <v>60</v>
      </c>
      <c r="B571" t="s">
        <v>140</v>
      </c>
      <c r="C571" t="s">
        <v>77</v>
      </c>
      <c r="D571" t="s">
        <v>135</v>
      </c>
      <c r="E571">
        <v>6</v>
      </c>
      <c r="F571">
        <v>188</v>
      </c>
      <c r="G571">
        <v>2491</v>
      </c>
      <c r="H571">
        <v>18</v>
      </c>
      <c r="I571">
        <v>21.69</v>
      </c>
      <c r="J571">
        <v>390.49</v>
      </c>
      <c r="K571" t="s">
        <v>97</v>
      </c>
      <c r="L571" t="s">
        <v>959</v>
      </c>
      <c r="O571" t="s">
        <v>81</v>
      </c>
      <c r="P571" t="s">
        <v>81</v>
      </c>
      <c r="Q571">
        <v>2</v>
      </c>
      <c r="R571" s="24">
        <v>46032</v>
      </c>
      <c r="T571" t="s">
        <v>38</v>
      </c>
      <c r="V571" t="s">
        <v>921</v>
      </c>
      <c r="Z571" t="s">
        <v>924</v>
      </c>
      <c r="AA571" t="s">
        <v>39</v>
      </c>
      <c r="AC571" t="s">
        <v>960</v>
      </c>
    </row>
    <row r="572" spans="1:29" hidden="1" x14ac:dyDescent="0.25">
      <c r="A572">
        <v>61</v>
      </c>
      <c r="B572" t="s">
        <v>134</v>
      </c>
      <c r="C572" t="s">
        <v>77</v>
      </c>
      <c r="D572" t="s">
        <v>135</v>
      </c>
      <c r="E572">
        <v>6</v>
      </c>
      <c r="F572">
        <v>188</v>
      </c>
      <c r="G572">
        <v>2491</v>
      </c>
      <c r="H572">
        <v>6</v>
      </c>
      <c r="I572">
        <v>21.69</v>
      </c>
      <c r="J572">
        <v>130.16</v>
      </c>
      <c r="K572" t="s">
        <v>97</v>
      </c>
      <c r="L572" t="s">
        <v>959</v>
      </c>
      <c r="O572" t="s">
        <v>81</v>
      </c>
      <c r="P572" t="s">
        <v>81</v>
      </c>
      <c r="Q572">
        <v>2</v>
      </c>
      <c r="R572" s="24">
        <v>46032</v>
      </c>
      <c r="T572" t="s">
        <v>38</v>
      </c>
      <c r="V572" t="s">
        <v>921</v>
      </c>
      <c r="Z572" t="s">
        <v>924</v>
      </c>
      <c r="AA572" t="s">
        <v>39</v>
      </c>
      <c r="AC572" t="s">
        <v>960</v>
      </c>
    </row>
    <row r="573" spans="1:29" hidden="1" x14ac:dyDescent="0.25">
      <c r="A573">
        <v>62</v>
      </c>
      <c r="B573" t="s">
        <v>143</v>
      </c>
      <c r="C573" t="s">
        <v>77</v>
      </c>
      <c r="D573" t="s">
        <v>135</v>
      </c>
      <c r="E573">
        <v>6</v>
      </c>
      <c r="F573">
        <v>188</v>
      </c>
      <c r="G573">
        <v>2491</v>
      </c>
      <c r="H573">
        <v>4</v>
      </c>
      <c r="I573">
        <v>21.69</v>
      </c>
      <c r="J573">
        <v>86.77</v>
      </c>
      <c r="K573" t="s">
        <v>97</v>
      </c>
      <c r="L573" t="s">
        <v>959</v>
      </c>
      <c r="O573" t="s">
        <v>81</v>
      </c>
      <c r="P573" t="s">
        <v>81</v>
      </c>
      <c r="Q573">
        <v>2</v>
      </c>
      <c r="R573" s="24">
        <v>46032</v>
      </c>
      <c r="T573" t="s">
        <v>38</v>
      </c>
      <c r="V573" t="s">
        <v>921</v>
      </c>
      <c r="Z573" t="s">
        <v>924</v>
      </c>
      <c r="AA573" t="s">
        <v>39</v>
      </c>
      <c r="AC573" t="s">
        <v>960</v>
      </c>
    </row>
    <row r="574" spans="1:29" hidden="1" x14ac:dyDescent="0.25">
      <c r="A574">
        <v>63</v>
      </c>
      <c r="B574" t="s">
        <v>144</v>
      </c>
      <c r="C574" t="s">
        <v>77</v>
      </c>
      <c r="D574" t="s">
        <v>122</v>
      </c>
      <c r="E574">
        <v>6</v>
      </c>
      <c r="F574">
        <v>328</v>
      </c>
      <c r="G574">
        <v>934</v>
      </c>
      <c r="H574">
        <v>5</v>
      </c>
      <c r="I574">
        <v>14.43</v>
      </c>
      <c r="J574">
        <v>72.150000000000006</v>
      </c>
      <c r="K574" t="s">
        <v>97</v>
      </c>
      <c r="L574" t="s">
        <v>959</v>
      </c>
      <c r="O574" t="s">
        <v>81</v>
      </c>
      <c r="Q574">
        <v>2</v>
      </c>
      <c r="R574" s="24">
        <v>46032</v>
      </c>
      <c r="T574" t="s">
        <v>38</v>
      </c>
      <c r="V574" t="s">
        <v>921</v>
      </c>
      <c r="Z574" t="s">
        <v>924</v>
      </c>
      <c r="AA574" t="s">
        <v>39</v>
      </c>
      <c r="AC574" t="s">
        <v>960</v>
      </c>
    </row>
    <row r="575" spans="1:29" hidden="1" x14ac:dyDescent="0.25">
      <c r="A575">
        <v>64</v>
      </c>
      <c r="B575" t="s">
        <v>138</v>
      </c>
      <c r="C575" t="s">
        <v>77</v>
      </c>
      <c r="D575" t="s">
        <v>122</v>
      </c>
      <c r="E575">
        <v>6</v>
      </c>
      <c r="F575">
        <v>328</v>
      </c>
      <c r="G575">
        <v>934</v>
      </c>
      <c r="H575">
        <v>3</v>
      </c>
      <c r="I575">
        <v>14.43</v>
      </c>
      <c r="J575">
        <v>43.29</v>
      </c>
      <c r="K575" t="s">
        <v>97</v>
      </c>
      <c r="L575" t="s">
        <v>959</v>
      </c>
      <c r="O575" t="s">
        <v>81</v>
      </c>
      <c r="Q575">
        <v>2</v>
      </c>
      <c r="R575" s="24">
        <v>46032</v>
      </c>
      <c r="T575" t="s">
        <v>38</v>
      </c>
      <c r="V575" t="s">
        <v>921</v>
      </c>
      <c r="Z575" t="s">
        <v>924</v>
      </c>
      <c r="AA575" t="s">
        <v>39</v>
      </c>
      <c r="AC575" t="s">
        <v>960</v>
      </c>
    </row>
    <row r="576" spans="1:29" hidden="1" x14ac:dyDescent="0.25">
      <c r="A576">
        <v>65</v>
      </c>
      <c r="B576" t="s">
        <v>145</v>
      </c>
      <c r="C576" t="s">
        <v>77</v>
      </c>
      <c r="D576" t="s">
        <v>135</v>
      </c>
      <c r="E576">
        <v>6</v>
      </c>
      <c r="F576">
        <v>188</v>
      </c>
      <c r="G576">
        <v>2491</v>
      </c>
      <c r="H576">
        <v>14</v>
      </c>
      <c r="I576">
        <v>21.69</v>
      </c>
      <c r="J576">
        <v>303.7</v>
      </c>
      <c r="K576" t="s">
        <v>97</v>
      </c>
      <c r="L576" t="s">
        <v>961</v>
      </c>
      <c r="O576" t="s">
        <v>81</v>
      </c>
      <c r="P576" t="s">
        <v>81</v>
      </c>
      <c r="Q576">
        <v>2</v>
      </c>
      <c r="R576" s="24">
        <v>46032</v>
      </c>
      <c r="T576" t="s">
        <v>38</v>
      </c>
      <c r="V576" t="s">
        <v>921</v>
      </c>
      <c r="Z576" t="s">
        <v>924</v>
      </c>
      <c r="AA576" t="s">
        <v>39</v>
      </c>
      <c r="AC576" t="s">
        <v>962</v>
      </c>
    </row>
    <row r="577" spans="1:29" hidden="1" x14ac:dyDescent="0.25">
      <c r="A577">
        <v>66</v>
      </c>
      <c r="B577" t="s">
        <v>148</v>
      </c>
      <c r="C577" t="s">
        <v>77</v>
      </c>
      <c r="D577" t="s">
        <v>122</v>
      </c>
      <c r="E577">
        <v>6</v>
      </c>
      <c r="F577">
        <v>328</v>
      </c>
      <c r="G577">
        <v>934</v>
      </c>
      <c r="H577">
        <v>4</v>
      </c>
      <c r="I577">
        <v>14.43</v>
      </c>
      <c r="J577">
        <v>57.72</v>
      </c>
      <c r="K577" t="s">
        <v>97</v>
      </c>
      <c r="L577" t="s">
        <v>961</v>
      </c>
      <c r="O577" t="s">
        <v>81</v>
      </c>
      <c r="Q577">
        <v>2</v>
      </c>
      <c r="R577" s="24">
        <v>46032</v>
      </c>
      <c r="T577" t="s">
        <v>38</v>
      </c>
      <c r="V577" t="s">
        <v>921</v>
      </c>
      <c r="Z577" t="s">
        <v>924</v>
      </c>
      <c r="AA577" t="s">
        <v>39</v>
      </c>
      <c r="AC577" t="s">
        <v>962</v>
      </c>
    </row>
    <row r="578" spans="1:29" hidden="1" x14ac:dyDescent="0.25">
      <c r="A578">
        <v>67</v>
      </c>
      <c r="B578" t="s">
        <v>143</v>
      </c>
      <c r="C578" t="s">
        <v>77</v>
      </c>
      <c r="D578" t="s">
        <v>135</v>
      </c>
      <c r="E578">
        <v>6</v>
      </c>
      <c r="F578">
        <v>188</v>
      </c>
      <c r="G578">
        <v>2491</v>
      </c>
      <c r="H578">
        <v>14</v>
      </c>
      <c r="I578">
        <v>21.69</v>
      </c>
      <c r="J578">
        <v>303.7</v>
      </c>
      <c r="K578" t="s">
        <v>97</v>
      </c>
      <c r="L578" t="s">
        <v>961</v>
      </c>
      <c r="O578" t="s">
        <v>81</v>
      </c>
      <c r="P578" t="s">
        <v>81</v>
      </c>
      <c r="Q578">
        <v>2</v>
      </c>
      <c r="R578" s="24">
        <v>46032</v>
      </c>
      <c r="T578" t="s">
        <v>38</v>
      </c>
      <c r="V578" t="s">
        <v>921</v>
      </c>
      <c r="Z578" t="s">
        <v>924</v>
      </c>
      <c r="AA578" t="s">
        <v>39</v>
      </c>
      <c r="AC578" t="s">
        <v>962</v>
      </c>
    </row>
    <row r="579" spans="1:29" hidden="1" x14ac:dyDescent="0.25">
      <c r="A579">
        <v>68</v>
      </c>
      <c r="B579" t="s">
        <v>149</v>
      </c>
      <c r="C579" t="s">
        <v>77</v>
      </c>
      <c r="D579" t="s">
        <v>122</v>
      </c>
      <c r="E579">
        <v>6</v>
      </c>
      <c r="F579">
        <v>328</v>
      </c>
      <c r="G579">
        <v>934</v>
      </c>
      <c r="H579">
        <v>3</v>
      </c>
      <c r="I579">
        <v>14.43</v>
      </c>
      <c r="J579">
        <v>43.29</v>
      </c>
      <c r="K579" t="s">
        <v>97</v>
      </c>
      <c r="L579" t="s">
        <v>961</v>
      </c>
      <c r="O579" t="s">
        <v>81</v>
      </c>
      <c r="Q579">
        <v>2</v>
      </c>
      <c r="R579" s="24">
        <v>46032</v>
      </c>
      <c r="T579" t="s">
        <v>38</v>
      </c>
      <c r="V579" t="s">
        <v>921</v>
      </c>
      <c r="Z579" t="s">
        <v>924</v>
      </c>
      <c r="AA579" t="s">
        <v>39</v>
      </c>
      <c r="AC579" t="s">
        <v>962</v>
      </c>
    </row>
    <row r="580" spans="1:29" hidden="1" x14ac:dyDescent="0.25">
      <c r="A580">
        <v>69</v>
      </c>
      <c r="B580" t="s">
        <v>144</v>
      </c>
      <c r="C580" t="s">
        <v>77</v>
      </c>
      <c r="D580" t="s">
        <v>122</v>
      </c>
      <c r="E580">
        <v>6</v>
      </c>
      <c r="F580">
        <v>328</v>
      </c>
      <c r="G580">
        <v>934</v>
      </c>
      <c r="H580">
        <v>1</v>
      </c>
      <c r="I580">
        <v>14.43</v>
      </c>
      <c r="J580">
        <v>14.43</v>
      </c>
      <c r="K580" t="s">
        <v>97</v>
      </c>
      <c r="L580" t="s">
        <v>961</v>
      </c>
      <c r="O580" t="s">
        <v>81</v>
      </c>
      <c r="Q580">
        <v>2</v>
      </c>
      <c r="R580" s="24">
        <v>46032</v>
      </c>
      <c r="T580" t="s">
        <v>38</v>
      </c>
      <c r="V580" t="s">
        <v>921</v>
      </c>
      <c r="Z580" t="s">
        <v>924</v>
      </c>
      <c r="AA580" t="s">
        <v>39</v>
      </c>
      <c r="AC580" t="s">
        <v>962</v>
      </c>
    </row>
    <row r="581" spans="1:29" hidden="1" x14ac:dyDescent="0.25">
      <c r="A581">
        <v>70</v>
      </c>
      <c r="B581" t="s">
        <v>145</v>
      </c>
      <c r="C581" t="s">
        <v>77</v>
      </c>
      <c r="D581" t="s">
        <v>135</v>
      </c>
      <c r="E581">
        <v>6</v>
      </c>
      <c r="F581">
        <v>188</v>
      </c>
      <c r="G581">
        <v>2491</v>
      </c>
      <c r="H581">
        <v>4</v>
      </c>
      <c r="I581">
        <v>21.69</v>
      </c>
      <c r="J581">
        <v>86.77</v>
      </c>
      <c r="K581" t="s">
        <v>97</v>
      </c>
      <c r="L581" t="s">
        <v>963</v>
      </c>
      <c r="O581" t="s">
        <v>81</v>
      </c>
      <c r="P581" t="s">
        <v>81</v>
      </c>
      <c r="Q581">
        <v>2</v>
      </c>
      <c r="R581" s="24">
        <v>46032</v>
      </c>
      <c r="T581" t="s">
        <v>38</v>
      </c>
      <c r="V581" t="s">
        <v>921</v>
      </c>
      <c r="Z581" t="s">
        <v>924</v>
      </c>
      <c r="AA581" t="s">
        <v>39</v>
      </c>
      <c r="AC581" t="s">
        <v>964</v>
      </c>
    </row>
    <row r="582" spans="1:29" hidden="1" x14ac:dyDescent="0.25">
      <c r="A582">
        <v>71</v>
      </c>
      <c r="B582" t="s">
        <v>152</v>
      </c>
      <c r="C582" t="s">
        <v>77</v>
      </c>
      <c r="D582" t="s">
        <v>135</v>
      </c>
      <c r="E582">
        <v>6</v>
      </c>
      <c r="F582">
        <v>188</v>
      </c>
      <c r="G582">
        <v>2491</v>
      </c>
      <c r="H582">
        <v>6</v>
      </c>
      <c r="I582">
        <v>21.69</v>
      </c>
      <c r="J582">
        <v>130.12</v>
      </c>
      <c r="K582" t="s">
        <v>97</v>
      </c>
      <c r="L582" t="s">
        <v>963</v>
      </c>
      <c r="O582" t="s">
        <v>81</v>
      </c>
      <c r="P582" t="s">
        <v>81</v>
      </c>
      <c r="Q582">
        <v>2</v>
      </c>
      <c r="R582" s="24">
        <v>46032</v>
      </c>
      <c r="T582" t="s">
        <v>38</v>
      </c>
      <c r="V582" t="s">
        <v>921</v>
      </c>
      <c r="Z582" t="s">
        <v>924</v>
      </c>
      <c r="AA582" t="s">
        <v>39</v>
      </c>
      <c r="AC582" t="s">
        <v>964</v>
      </c>
    </row>
    <row r="583" spans="1:29" hidden="1" x14ac:dyDescent="0.25">
      <c r="A583">
        <v>72</v>
      </c>
      <c r="B583" t="s">
        <v>153</v>
      </c>
      <c r="C583" t="s">
        <v>77</v>
      </c>
      <c r="D583" t="s">
        <v>135</v>
      </c>
      <c r="E583">
        <v>6</v>
      </c>
      <c r="F583">
        <v>188</v>
      </c>
      <c r="G583">
        <v>2491</v>
      </c>
      <c r="H583">
        <v>18</v>
      </c>
      <c r="I583">
        <v>21.69</v>
      </c>
      <c r="J583">
        <v>390.36</v>
      </c>
      <c r="K583" t="s">
        <v>97</v>
      </c>
      <c r="L583" t="s">
        <v>963</v>
      </c>
      <c r="O583" t="s">
        <v>81</v>
      </c>
      <c r="P583" t="s">
        <v>81</v>
      </c>
      <c r="Q583">
        <v>2</v>
      </c>
      <c r="R583" s="24">
        <v>46032</v>
      </c>
      <c r="T583" t="s">
        <v>38</v>
      </c>
      <c r="V583" t="s">
        <v>921</v>
      </c>
      <c r="Z583" t="s">
        <v>924</v>
      </c>
      <c r="AA583" t="s">
        <v>39</v>
      </c>
      <c r="AC583" t="s">
        <v>964</v>
      </c>
    </row>
    <row r="584" spans="1:29" hidden="1" x14ac:dyDescent="0.25">
      <c r="A584">
        <v>73</v>
      </c>
      <c r="B584" t="s">
        <v>154</v>
      </c>
      <c r="C584" t="s">
        <v>77</v>
      </c>
      <c r="D584" t="s">
        <v>122</v>
      </c>
      <c r="E584">
        <v>6</v>
      </c>
      <c r="F584">
        <v>328</v>
      </c>
      <c r="G584">
        <v>934</v>
      </c>
      <c r="H584">
        <v>3</v>
      </c>
      <c r="I584">
        <v>14.43</v>
      </c>
      <c r="J584">
        <v>43.29</v>
      </c>
      <c r="K584" t="s">
        <v>97</v>
      </c>
      <c r="L584" t="s">
        <v>963</v>
      </c>
      <c r="O584" t="s">
        <v>81</v>
      </c>
      <c r="Q584">
        <v>2</v>
      </c>
      <c r="R584" s="24">
        <v>46032</v>
      </c>
      <c r="T584" t="s">
        <v>38</v>
      </c>
      <c r="V584" t="s">
        <v>921</v>
      </c>
      <c r="Z584" t="s">
        <v>924</v>
      </c>
      <c r="AA584" t="s">
        <v>39</v>
      </c>
      <c r="AC584" t="s">
        <v>964</v>
      </c>
    </row>
    <row r="585" spans="1:29" hidden="1" x14ac:dyDescent="0.25">
      <c r="A585">
        <v>74</v>
      </c>
      <c r="B585" t="s">
        <v>139</v>
      </c>
      <c r="C585" t="s">
        <v>77</v>
      </c>
      <c r="D585" t="s">
        <v>122</v>
      </c>
      <c r="E585">
        <v>6</v>
      </c>
      <c r="F585">
        <v>328</v>
      </c>
      <c r="G585">
        <v>934</v>
      </c>
      <c r="H585">
        <v>5</v>
      </c>
      <c r="I585">
        <v>14.43</v>
      </c>
      <c r="J585">
        <v>72.150000000000006</v>
      </c>
      <c r="K585" t="s">
        <v>97</v>
      </c>
      <c r="L585" t="s">
        <v>963</v>
      </c>
      <c r="O585" t="s">
        <v>81</v>
      </c>
      <c r="Q585">
        <v>2</v>
      </c>
      <c r="R585" s="24">
        <v>46032</v>
      </c>
      <c r="T585" t="s">
        <v>38</v>
      </c>
      <c r="V585" t="s">
        <v>921</v>
      </c>
      <c r="Z585" t="s">
        <v>924</v>
      </c>
      <c r="AA585" t="s">
        <v>39</v>
      </c>
      <c r="AC585" t="s">
        <v>964</v>
      </c>
    </row>
    <row r="586" spans="1:29" hidden="1" x14ac:dyDescent="0.25">
      <c r="A586">
        <v>75</v>
      </c>
      <c r="B586" t="s">
        <v>152</v>
      </c>
      <c r="C586" t="s">
        <v>77</v>
      </c>
      <c r="D586" t="s">
        <v>135</v>
      </c>
      <c r="E586">
        <v>6</v>
      </c>
      <c r="F586">
        <v>188</v>
      </c>
      <c r="G586">
        <v>2491</v>
      </c>
      <c r="H586">
        <v>12</v>
      </c>
      <c r="I586">
        <v>21.69</v>
      </c>
      <c r="J586">
        <v>260.24</v>
      </c>
      <c r="K586" t="s">
        <v>97</v>
      </c>
      <c r="L586" t="s">
        <v>965</v>
      </c>
      <c r="O586" t="s">
        <v>81</v>
      </c>
      <c r="P586" t="s">
        <v>81</v>
      </c>
      <c r="Q586">
        <v>2</v>
      </c>
      <c r="R586" s="24">
        <v>46032</v>
      </c>
      <c r="T586" t="s">
        <v>38</v>
      </c>
      <c r="V586" t="s">
        <v>921</v>
      </c>
      <c r="Z586" t="s">
        <v>924</v>
      </c>
      <c r="AA586" t="s">
        <v>39</v>
      </c>
      <c r="AC586" t="s">
        <v>966</v>
      </c>
    </row>
    <row r="587" spans="1:29" hidden="1" x14ac:dyDescent="0.25">
      <c r="A587">
        <v>76</v>
      </c>
      <c r="B587" t="s">
        <v>148</v>
      </c>
      <c r="C587" t="s">
        <v>77</v>
      </c>
      <c r="D587" t="s">
        <v>122</v>
      </c>
      <c r="E587">
        <v>6</v>
      </c>
      <c r="F587">
        <v>328</v>
      </c>
      <c r="G587">
        <v>934</v>
      </c>
      <c r="H587">
        <v>1</v>
      </c>
      <c r="I587">
        <v>14.43</v>
      </c>
      <c r="J587">
        <v>14.43</v>
      </c>
      <c r="K587" t="s">
        <v>97</v>
      </c>
      <c r="L587" t="s">
        <v>965</v>
      </c>
      <c r="O587" t="s">
        <v>81</v>
      </c>
      <c r="Q587">
        <v>2</v>
      </c>
      <c r="R587" s="24">
        <v>46032</v>
      </c>
      <c r="T587" t="s">
        <v>38</v>
      </c>
      <c r="V587" t="s">
        <v>921</v>
      </c>
      <c r="Z587" t="s">
        <v>924</v>
      </c>
      <c r="AA587" t="s">
        <v>39</v>
      </c>
      <c r="AC587" t="s">
        <v>966</v>
      </c>
    </row>
    <row r="588" spans="1:29" hidden="1" x14ac:dyDescent="0.25">
      <c r="A588">
        <v>77</v>
      </c>
      <c r="B588" t="s">
        <v>149</v>
      </c>
      <c r="C588" t="s">
        <v>77</v>
      </c>
      <c r="D588" t="s">
        <v>122</v>
      </c>
      <c r="E588">
        <v>6</v>
      </c>
      <c r="F588">
        <v>328</v>
      </c>
      <c r="G588">
        <v>934</v>
      </c>
      <c r="H588">
        <v>3</v>
      </c>
      <c r="I588">
        <v>14.43</v>
      </c>
      <c r="J588">
        <v>43.29</v>
      </c>
      <c r="K588" t="s">
        <v>97</v>
      </c>
      <c r="L588" t="s">
        <v>965</v>
      </c>
      <c r="O588" t="s">
        <v>81</v>
      </c>
      <c r="Q588">
        <v>2</v>
      </c>
      <c r="R588" s="24">
        <v>46032</v>
      </c>
      <c r="T588" t="s">
        <v>38</v>
      </c>
      <c r="V588" t="s">
        <v>921</v>
      </c>
      <c r="Z588" t="s">
        <v>924</v>
      </c>
      <c r="AA588" t="s">
        <v>39</v>
      </c>
      <c r="AC588" t="s">
        <v>966</v>
      </c>
    </row>
    <row r="589" spans="1:29" hidden="1" x14ac:dyDescent="0.25">
      <c r="A589">
        <v>78</v>
      </c>
      <c r="B589" t="s">
        <v>157</v>
      </c>
      <c r="C589" t="s">
        <v>77</v>
      </c>
      <c r="D589" t="s">
        <v>135</v>
      </c>
      <c r="E589">
        <v>6</v>
      </c>
      <c r="F589">
        <v>188</v>
      </c>
      <c r="G589">
        <v>2491</v>
      </c>
      <c r="H589">
        <v>16</v>
      </c>
      <c r="I589">
        <v>21.69</v>
      </c>
      <c r="J589">
        <v>346.99</v>
      </c>
      <c r="K589" t="s">
        <v>97</v>
      </c>
      <c r="L589" t="s">
        <v>965</v>
      </c>
      <c r="O589" t="s">
        <v>81</v>
      </c>
      <c r="P589" t="s">
        <v>81</v>
      </c>
      <c r="Q589">
        <v>2</v>
      </c>
      <c r="R589" s="24">
        <v>46032</v>
      </c>
      <c r="T589" t="s">
        <v>38</v>
      </c>
      <c r="V589" t="s">
        <v>921</v>
      </c>
      <c r="Z589" t="s">
        <v>924</v>
      </c>
      <c r="AA589" t="s">
        <v>39</v>
      </c>
      <c r="AC589" t="s">
        <v>966</v>
      </c>
    </row>
    <row r="590" spans="1:29" hidden="1" x14ac:dyDescent="0.25">
      <c r="A590">
        <v>79</v>
      </c>
      <c r="B590" t="s">
        <v>154</v>
      </c>
      <c r="C590" t="s">
        <v>77</v>
      </c>
      <c r="D590" t="s">
        <v>122</v>
      </c>
      <c r="E590">
        <v>6</v>
      </c>
      <c r="F590">
        <v>328</v>
      </c>
      <c r="G590">
        <v>934</v>
      </c>
      <c r="H590">
        <v>4</v>
      </c>
      <c r="I590">
        <v>14.43</v>
      </c>
      <c r="J590">
        <v>57.72</v>
      </c>
      <c r="K590" t="s">
        <v>97</v>
      </c>
      <c r="L590" t="s">
        <v>965</v>
      </c>
      <c r="O590" t="s">
        <v>81</v>
      </c>
      <c r="Q590">
        <v>2</v>
      </c>
      <c r="R590" s="24">
        <v>46032</v>
      </c>
      <c r="T590" t="s">
        <v>38</v>
      </c>
      <c r="V590" t="s">
        <v>921</v>
      </c>
      <c r="Z590" t="s">
        <v>924</v>
      </c>
      <c r="AA590" t="s">
        <v>39</v>
      </c>
      <c r="AC590" t="s">
        <v>966</v>
      </c>
    </row>
    <row r="591" spans="1:29" hidden="1" x14ac:dyDescent="0.25">
      <c r="A591">
        <v>80</v>
      </c>
      <c r="B591" t="s">
        <v>158</v>
      </c>
      <c r="C591" t="s">
        <v>77</v>
      </c>
      <c r="D591" t="s">
        <v>159</v>
      </c>
      <c r="E591">
        <v>6</v>
      </c>
      <c r="F591">
        <v>328</v>
      </c>
      <c r="G591">
        <v>894</v>
      </c>
      <c r="H591">
        <v>2</v>
      </c>
      <c r="I591">
        <v>13.81</v>
      </c>
      <c r="J591">
        <v>27.62</v>
      </c>
      <c r="K591" t="s">
        <v>97</v>
      </c>
      <c r="L591" t="s">
        <v>967</v>
      </c>
      <c r="O591" t="s">
        <v>81</v>
      </c>
      <c r="Q591">
        <v>2</v>
      </c>
      <c r="R591" s="24">
        <v>46032</v>
      </c>
      <c r="T591" t="s">
        <v>38</v>
      </c>
      <c r="V591" t="s">
        <v>921</v>
      </c>
      <c r="Z591" t="s">
        <v>924</v>
      </c>
      <c r="AA591" t="s">
        <v>39</v>
      </c>
      <c r="AC591" t="s">
        <v>968</v>
      </c>
    </row>
    <row r="592" spans="1:29" hidden="1" x14ac:dyDescent="0.25">
      <c r="A592">
        <v>81</v>
      </c>
      <c r="B592" t="s">
        <v>162</v>
      </c>
      <c r="C592" t="s">
        <v>77</v>
      </c>
      <c r="D592" t="s">
        <v>135</v>
      </c>
      <c r="E592">
        <v>6</v>
      </c>
      <c r="F592">
        <v>188</v>
      </c>
      <c r="G592">
        <v>2491</v>
      </c>
      <c r="H592">
        <v>18</v>
      </c>
      <c r="I592">
        <v>21.69</v>
      </c>
      <c r="J592">
        <v>390.36</v>
      </c>
      <c r="K592" t="s">
        <v>97</v>
      </c>
      <c r="L592" t="s">
        <v>967</v>
      </c>
      <c r="O592" t="s">
        <v>81</v>
      </c>
      <c r="P592" t="s">
        <v>81</v>
      </c>
      <c r="Q592">
        <v>2</v>
      </c>
      <c r="R592" s="24">
        <v>46032</v>
      </c>
      <c r="T592" t="s">
        <v>38</v>
      </c>
      <c r="V592" t="s">
        <v>921</v>
      </c>
      <c r="Z592" t="s">
        <v>924</v>
      </c>
      <c r="AA592" t="s">
        <v>39</v>
      </c>
      <c r="AC592" t="s">
        <v>968</v>
      </c>
    </row>
    <row r="593" spans="1:29" hidden="1" x14ac:dyDescent="0.25">
      <c r="A593">
        <v>82</v>
      </c>
      <c r="B593" t="s">
        <v>163</v>
      </c>
      <c r="C593" t="s">
        <v>77</v>
      </c>
      <c r="D593" t="s">
        <v>159</v>
      </c>
      <c r="E593">
        <v>6</v>
      </c>
      <c r="F593">
        <v>328</v>
      </c>
      <c r="G593">
        <v>894</v>
      </c>
      <c r="H593">
        <v>2</v>
      </c>
      <c r="I593">
        <v>13.81</v>
      </c>
      <c r="J593">
        <v>27.62</v>
      </c>
      <c r="K593" t="s">
        <v>97</v>
      </c>
      <c r="L593" t="s">
        <v>967</v>
      </c>
      <c r="O593" t="s">
        <v>81</v>
      </c>
      <c r="Q593">
        <v>2</v>
      </c>
      <c r="R593" s="24">
        <v>46032</v>
      </c>
      <c r="T593" t="s">
        <v>38</v>
      </c>
      <c r="V593" t="s">
        <v>921</v>
      </c>
      <c r="Z593" t="s">
        <v>924</v>
      </c>
      <c r="AA593" t="s">
        <v>39</v>
      </c>
      <c r="AC593" t="s">
        <v>968</v>
      </c>
    </row>
    <row r="594" spans="1:29" hidden="1" x14ac:dyDescent="0.25">
      <c r="A594">
        <v>83</v>
      </c>
      <c r="B594" t="s">
        <v>164</v>
      </c>
      <c r="C594" t="s">
        <v>77</v>
      </c>
      <c r="D594" t="s">
        <v>159</v>
      </c>
      <c r="E594">
        <v>6</v>
      </c>
      <c r="F594">
        <v>328</v>
      </c>
      <c r="G594">
        <v>894</v>
      </c>
      <c r="H594">
        <v>1</v>
      </c>
      <c r="I594">
        <v>13.81</v>
      </c>
      <c r="J594">
        <v>13.81</v>
      </c>
      <c r="K594" t="s">
        <v>97</v>
      </c>
      <c r="L594" t="s">
        <v>967</v>
      </c>
      <c r="O594" t="s">
        <v>81</v>
      </c>
      <c r="Q594">
        <v>2</v>
      </c>
      <c r="R594" s="24">
        <v>46032</v>
      </c>
      <c r="T594" t="s">
        <v>38</v>
      </c>
      <c r="V594" t="s">
        <v>921</v>
      </c>
      <c r="Z594" t="s">
        <v>924</v>
      </c>
      <c r="AA594" t="s">
        <v>39</v>
      </c>
      <c r="AC594" t="s">
        <v>968</v>
      </c>
    </row>
    <row r="595" spans="1:29" hidden="1" x14ac:dyDescent="0.25">
      <c r="A595">
        <v>84</v>
      </c>
      <c r="B595" t="s">
        <v>165</v>
      </c>
      <c r="C595" t="s">
        <v>77</v>
      </c>
      <c r="D595" t="s">
        <v>159</v>
      </c>
      <c r="E595">
        <v>6</v>
      </c>
      <c r="F595">
        <v>328</v>
      </c>
      <c r="G595">
        <v>894</v>
      </c>
      <c r="H595">
        <v>2</v>
      </c>
      <c r="I595">
        <v>13.81</v>
      </c>
      <c r="J595">
        <v>27.62</v>
      </c>
      <c r="K595" t="s">
        <v>97</v>
      </c>
      <c r="L595" t="s">
        <v>967</v>
      </c>
      <c r="O595" t="s">
        <v>81</v>
      </c>
      <c r="Q595">
        <v>2</v>
      </c>
      <c r="R595" s="24">
        <v>46032</v>
      </c>
      <c r="T595" t="s">
        <v>38</v>
      </c>
      <c r="V595" t="s">
        <v>921</v>
      </c>
      <c r="Z595" t="s">
        <v>924</v>
      </c>
      <c r="AA595" t="s">
        <v>39</v>
      </c>
      <c r="AC595" t="s">
        <v>968</v>
      </c>
    </row>
    <row r="596" spans="1:29" hidden="1" x14ac:dyDescent="0.25">
      <c r="A596">
        <v>85</v>
      </c>
      <c r="B596" t="s">
        <v>157</v>
      </c>
      <c r="C596" t="s">
        <v>77</v>
      </c>
      <c r="D596" t="s">
        <v>135</v>
      </c>
      <c r="E596">
        <v>6</v>
      </c>
      <c r="F596">
        <v>188</v>
      </c>
      <c r="G596">
        <v>2491</v>
      </c>
      <c r="H596">
        <v>2</v>
      </c>
      <c r="I596">
        <v>21.68</v>
      </c>
      <c r="J596">
        <v>43.37</v>
      </c>
      <c r="K596" t="s">
        <v>97</v>
      </c>
      <c r="L596" t="s">
        <v>967</v>
      </c>
      <c r="O596" t="s">
        <v>81</v>
      </c>
      <c r="P596" t="s">
        <v>81</v>
      </c>
      <c r="Q596">
        <v>2</v>
      </c>
      <c r="R596" s="24">
        <v>46032</v>
      </c>
      <c r="T596" t="s">
        <v>38</v>
      </c>
      <c r="V596" t="s">
        <v>921</v>
      </c>
      <c r="Z596" t="s">
        <v>924</v>
      </c>
      <c r="AA596" t="s">
        <v>39</v>
      </c>
      <c r="AC596" t="s">
        <v>968</v>
      </c>
    </row>
    <row r="597" spans="1:29" hidden="1" x14ac:dyDescent="0.25">
      <c r="A597">
        <v>86</v>
      </c>
      <c r="B597" t="s">
        <v>166</v>
      </c>
      <c r="C597" t="s">
        <v>77</v>
      </c>
      <c r="D597" t="s">
        <v>167</v>
      </c>
      <c r="E597">
        <v>6</v>
      </c>
      <c r="F597">
        <v>188</v>
      </c>
      <c r="G597">
        <v>2483</v>
      </c>
      <c r="H597">
        <v>8</v>
      </c>
      <c r="I597">
        <v>21.62</v>
      </c>
      <c r="J597">
        <v>172.99</v>
      </c>
      <c r="K597" t="s">
        <v>97</v>
      </c>
      <c r="L597" t="s">
        <v>967</v>
      </c>
      <c r="O597" t="s">
        <v>81</v>
      </c>
      <c r="P597" t="s">
        <v>81</v>
      </c>
      <c r="Q597">
        <v>2</v>
      </c>
      <c r="R597" s="24">
        <v>46032</v>
      </c>
      <c r="T597" t="s">
        <v>38</v>
      </c>
      <c r="V597" t="s">
        <v>921</v>
      </c>
      <c r="Z597" t="s">
        <v>924</v>
      </c>
      <c r="AA597" t="s">
        <v>39</v>
      </c>
      <c r="AC597" t="s">
        <v>968</v>
      </c>
    </row>
    <row r="598" spans="1:29" hidden="1" x14ac:dyDescent="0.25">
      <c r="A598">
        <v>87</v>
      </c>
      <c r="B598" t="s">
        <v>168</v>
      </c>
      <c r="C598" t="s">
        <v>77</v>
      </c>
      <c r="D598" t="s">
        <v>159</v>
      </c>
      <c r="E598">
        <v>6</v>
      </c>
      <c r="F598">
        <v>328</v>
      </c>
      <c r="G598">
        <v>894</v>
      </c>
      <c r="H598">
        <v>2</v>
      </c>
      <c r="I598">
        <v>13.81</v>
      </c>
      <c r="J598">
        <v>27.62</v>
      </c>
      <c r="K598" t="s">
        <v>97</v>
      </c>
      <c r="L598" t="s">
        <v>967</v>
      </c>
      <c r="O598" t="s">
        <v>81</v>
      </c>
      <c r="Q598">
        <v>2</v>
      </c>
      <c r="R598" s="24">
        <v>46032</v>
      </c>
      <c r="T598" t="s">
        <v>38</v>
      </c>
      <c r="V598" t="s">
        <v>921</v>
      </c>
      <c r="Z598" t="s">
        <v>924</v>
      </c>
      <c r="AA598" t="s">
        <v>39</v>
      </c>
      <c r="AC598" t="s">
        <v>968</v>
      </c>
    </row>
    <row r="599" spans="1:29" hidden="1" x14ac:dyDescent="0.25">
      <c r="A599">
        <v>88</v>
      </c>
      <c r="B599" t="s">
        <v>116</v>
      </c>
      <c r="C599" t="s">
        <v>77</v>
      </c>
      <c r="D599" t="s">
        <v>117</v>
      </c>
      <c r="E599">
        <v>6</v>
      </c>
      <c r="F599">
        <v>298</v>
      </c>
      <c r="G599">
        <v>378</v>
      </c>
      <c r="H599">
        <v>1</v>
      </c>
      <c r="I599">
        <v>5.27</v>
      </c>
      <c r="J599">
        <v>5.27</v>
      </c>
      <c r="K599" t="s">
        <v>97</v>
      </c>
      <c r="L599" t="s">
        <v>967</v>
      </c>
      <c r="Q599">
        <v>2</v>
      </c>
      <c r="R599" s="24">
        <v>46032</v>
      </c>
      <c r="T599" t="s">
        <v>38</v>
      </c>
      <c r="V599" t="s">
        <v>921</v>
      </c>
      <c r="W599" t="s">
        <v>81</v>
      </c>
      <c r="Z599" t="s">
        <v>924</v>
      </c>
      <c r="AA599" t="s">
        <v>39</v>
      </c>
      <c r="AC599" t="s">
        <v>968</v>
      </c>
    </row>
    <row r="600" spans="1:29" hidden="1" x14ac:dyDescent="0.25">
      <c r="A600">
        <v>89</v>
      </c>
      <c r="B600" t="s">
        <v>166</v>
      </c>
      <c r="C600" t="s">
        <v>77</v>
      </c>
      <c r="D600" t="s">
        <v>167</v>
      </c>
      <c r="E600">
        <v>6</v>
      </c>
      <c r="F600">
        <v>188</v>
      </c>
      <c r="G600">
        <v>2483</v>
      </c>
      <c r="H600">
        <v>28</v>
      </c>
      <c r="I600">
        <v>21.62</v>
      </c>
      <c r="J600">
        <v>605.47</v>
      </c>
      <c r="K600" t="s">
        <v>97</v>
      </c>
      <c r="L600" t="s">
        <v>969</v>
      </c>
      <c r="O600" t="s">
        <v>81</v>
      </c>
      <c r="P600" t="s">
        <v>81</v>
      </c>
      <c r="Q600">
        <v>2</v>
      </c>
      <c r="R600" s="24">
        <v>46032</v>
      </c>
      <c r="T600" t="s">
        <v>38</v>
      </c>
      <c r="V600" t="s">
        <v>921</v>
      </c>
      <c r="Z600" t="s">
        <v>924</v>
      </c>
      <c r="AA600" t="s">
        <v>39</v>
      </c>
      <c r="AC600" t="s">
        <v>970</v>
      </c>
    </row>
    <row r="601" spans="1:29" hidden="1" x14ac:dyDescent="0.25">
      <c r="A601">
        <v>90</v>
      </c>
      <c r="B601" t="s">
        <v>116</v>
      </c>
      <c r="C601" t="s">
        <v>77</v>
      </c>
      <c r="D601" t="s">
        <v>117</v>
      </c>
      <c r="E601">
        <v>6</v>
      </c>
      <c r="F601">
        <v>298</v>
      </c>
      <c r="G601">
        <v>378</v>
      </c>
      <c r="H601">
        <v>5</v>
      </c>
      <c r="I601">
        <v>5.27</v>
      </c>
      <c r="J601">
        <v>26.34</v>
      </c>
      <c r="K601" t="s">
        <v>97</v>
      </c>
      <c r="L601" t="s">
        <v>969</v>
      </c>
      <c r="Q601">
        <v>2</v>
      </c>
      <c r="R601" s="24">
        <v>46032</v>
      </c>
      <c r="T601" t="s">
        <v>38</v>
      </c>
      <c r="V601" t="s">
        <v>921</v>
      </c>
      <c r="W601" t="s">
        <v>81</v>
      </c>
      <c r="Z601" t="s">
        <v>924</v>
      </c>
      <c r="AA601" t="s">
        <v>39</v>
      </c>
      <c r="AC601" t="s">
        <v>970</v>
      </c>
    </row>
    <row r="602" spans="1:29" hidden="1" x14ac:dyDescent="0.25">
      <c r="A602">
        <v>91</v>
      </c>
      <c r="B602" t="s">
        <v>123</v>
      </c>
      <c r="C602" t="s">
        <v>77</v>
      </c>
      <c r="D602" t="s">
        <v>117</v>
      </c>
      <c r="E602">
        <v>6</v>
      </c>
      <c r="F602">
        <v>298</v>
      </c>
      <c r="G602">
        <v>378</v>
      </c>
      <c r="H602">
        <v>7</v>
      </c>
      <c r="I602">
        <v>5.27</v>
      </c>
      <c r="J602">
        <v>36.869999999999997</v>
      </c>
      <c r="K602" t="s">
        <v>97</v>
      </c>
      <c r="L602" t="s">
        <v>969</v>
      </c>
      <c r="Q602">
        <v>2</v>
      </c>
      <c r="R602" s="24">
        <v>46032</v>
      </c>
      <c r="T602" t="s">
        <v>38</v>
      </c>
      <c r="V602" t="s">
        <v>921</v>
      </c>
      <c r="W602" t="s">
        <v>81</v>
      </c>
      <c r="Z602" t="s">
        <v>924</v>
      </c>
      <c r="AA602" t="s">
        <v>39</v>
      </c>
      <c r="AC602" t="s">
        <v>970</v>
      </c>
    </row>
    <row r="603" spans="1:29" hidden="1" x14ac:dyDescent="0.25">
      <c r="A603">
        <v>92</v>
      </c>
      <c r="B603" t="s">
        <v>171</v>
      </c>
      <c r="C603" t="s">
        <v>77</v>
      </c>
      <c r="D603" t="s">
        <v>117</v>
      </c>
      <c r="E603">
        <v>6</v>
      </c>
      <c r="F603">
        <v>298</v>
      </c>
      <c r="G603">
        <v>378</v>
      </c>
      <c r="H603">
        <v>14</v>
      </c>
      <c r="I603">
        <v>5.27</v>
      </c>
      <c r="J603">
        <v>73.75</v>
      </c>
      <c r="K603" t="s">
        <v>97</v>
      </c>
      <c r="L603" t="s">
        <v>969</v>
      </c>
      <c r="Q603">
        <v>2</v>
      </c>
      <c r="R603" s="24">
        <v>46032</v>
      </c>
      <c r="T603" t="s">
        <v>38</v>
      </c>
      <c r="V603" t="s">
        <v>921</v>
      </c>
      <c r="W603" t="s">
        <v>81</v>
      </c>
      <c r="Z603" t="s">
        <v>924</v>
      </c>
      <c r="AA603" t="s">
        <v>39</v>
      </c>
      <c r="AC603" t="s">
        <v>970</v>
      </c>
    </row>
    <row r="604" spans="1:29" hidden="1" x14ac:dyDescent="0.25">
      <c r="A604">
        <v>93</v>
      </c>
      <c r="B604" t="s">
        <v>172</v>
      </c>
      <c r="C604" t="s">
        <v>77</v>
      </c>
      <c r="D604" t="s">
        <v>167</v>
      </c>
      <c r="E604">
        <v>6</v>
      </c>
      <c r="F604">
        <v>188</v>
      </c>
      <c r="G604">
        <v>2483</v>
      </c>
      <c r="H604">
        <v>24</v>
      </c>
      <c r="I604">
        <v>21.62</v>
      </c>
      <c r="J604">
        <v>518.97</v>
      </c>
      <c r="K604" t="s">
        <v>97</v>
      </c>
      <c r="L604" t="s">
        <v>971</v>
      </c>
      <c r="O604" t="s">
        <v>81</v>
      </c>
      <c r="P604" t="s">
        <v>81</v>
      </c>
      <c r="Q604">
        <v>2</v>
      </c>
      <c r="R604" s="24">
        <v>46032</v>
      </c>
      <c r="T604" t="s">
        <v>38</v>
      </c>
      <c r="V604" t="s">
        <v>921</v>
      </c>
      <c r="Z604" t="s">
        <v>924</v>
      </c>
      <c r="AA604" t="s">
        <v>39</v>
      </c>
      <c r="AC604" t="s">
        <v>972</v>
      </c>
    </row>
    <row r="605" spans="1:29" hidden="1" x14ac:dyDescent="0.25">
      <c r="A605">
        <v>94</v>
      </c>
      <c r="B605" t="s">
        <v>166</v>
      </c>
      <c r="C605" t="s">
        <v>77</v>
      </c>
      <c r="D605" t="s">
        <v>167</v>
      </c>
      <c r="E605">
        <v>6</v>
      </c>
      <c r="F605">
        <v>188</v>
      </c>
      <c r="G605">
        <v>2483</v>
      </c>
      <c r="H605">
        <v>4</v>
      </c>
      <c r="I605">
        <v>21.62</v>
      </c>
      <c r="J605">
        <v>86.5</v>
      </c>
      <c r="K605" t="s">
        <v>97</v>
      </c>
      <c r="L605" t="s">
        <v>971</v>
      </c>
      <c r="O605" t="s">
        <v>81</v>
      </c>
      <c r="P605" t="s">
        <v>81</v>
      </c>
      <c r="Q605">
        <v>2</v>
      </c>
      <c r="R605" s="24">
        <v>46032</v>
      </c>
      <c r="T605" t="s">
        <v>38</v>
      </c>
      <c r="V605" t="s">
        <v>921</v>
      </c>
      <c r="Z605" t="s">
        <v>924</v>
      </c>
      <c r="AA605" t="s">
        <v>39</v>
      </c>
      <c r="AC605" t="s">
        <v>972</v>
      </c>
    </row>
    <row r="606" spans="1:29" hidden="1" x14ac:dyDescent="0.25">
      <c r="A606">
        <v>95</v>
      </c>
      <c r="B606" t="s">
        <v>116</v>
      </c>
      <c r="C606" t="s">
        <v>77</v>
      </c>
      <c r="D606" t="s">
        <v>117</v>
      </c>
      <c r="E606">
        <v>6</v>
      </c>
      <c r="F606">
        <v>298</v>
      </c>
      <c r="G606">
        <v>378</v>
      </c>
      <c r="H606">
        <v>6</v>
      </c>
      <c r="I606">
        <v>5.27</v>
      </c>
      <c r="J606">
        <v>31.61</v>
      </c>
      <c r="K606" t="s">
        <v>97</v>
      </c>
      <c r="L606" t="s">
        <v>971</v>
      </c>
      <c r="Q606">
        <v>2</v>
      </c>
      <c r="R606" s="24">
        <v>46032</v>
      </c>
      <c r="T606" t="s">
        <v>38</v>
      </c>
      <c r="V606" t="s">
        <v>921</v>
      </c>
      <c r="W606" t="s">
        <v>81</v>
      </c>
      <c r="Z606" t="s">
        <v>924</v>
      </c>
      <c r="AA606" t="s">
        <v>39</v>
      </c>
      <c r="AC606" t="s">
        <v>972</v>
      </c>
    </row>
    <row r="607" spans="1:29" hidden="1" x14ac:dyDescent="0.25">
      <c r="A607">
        <v>96</v>
      </c>
      <c r="B607" t="s">
        <v>123</v>
      </c>
      <c r="C607" t="s">
        <v>77</v>
      </c>
      <c r="D607" t="s">
        <v>117</v>
      </c>
      <c r="E607">
        <v>6</v>
      </c>
      <c r="F607">
        <v>298</v>
      </c>
      <c r="G607">
        <v>378</v>
      </c>
      <c r="H607">
        <v>20</v>
      </c>
      <c r="I607">
        <v>5.27</v>
      </c>
      <c r="J607">
        <v>105.36</v>
      </c>
      <c r="K607" t="s">
        <v>97</v>
      </c>
      <c r="L607" t="s">
        <v>971</v>
      </c>
      <c r="Q607">
        <v>2</v>
      </c>
      <c r="R607" s="24">
        <v>46032</v>
      </c>
      <c r="T607" t="s">
        <v>38</v>
      </c>
      <c r="V607" t="s">
        <v>921</v>
      </c>
      <c r="W607" t="s">
        <v>81</v>
      </c>
      <c r="Z607" t="s">
        <v>924</v>
      </c>
      <c r="AA607" t="s">
        <v>39</v>
      </c>
      <c r="AC607" t="s">
        <v>972</v>
      </c>
    </row>
    <row r="608" spans="1:29" hidden="1" x14ac:dyDescent="0.25">
      <c r="A608">
        <v>97</v>
      </c>
      <c r="B608" t="s">
        <v>175</v>
      </c>
      <c r="C608" t="s">
        <v>77</v>
      </c>
      <c r="D608" t="s">
        <v>122</v>
      </c>
      <c r="E608">
        <v>6</v>
      </c>
      <c r="F608">
        <v>328</v>
      </c>
      <c r="G608">
        <v>934</v>
      </c>
      <c r="H608">
        <v>2</v>
      </c>
      <c r="I608">
        <v>14.43</v>
      </c>
      <c r="J608">
        <v>28.86</v>
      </c>
      <c r="K608" t="s">
        <v>97</v>
      </c>
      <c r="L608" t="s">
        <v>973</v>
      </c>
      <c r="O608" t="s">
        <v>81</v>
      </c>
      <c r="Q608">
        <v>2</v>
      </c>
      <c r="R608" s="24">
        <v>46032</v>
      </c>
      <c r="T608" t="s">
        <v>38</v>
      </c>
      <c r="V608" t="s">
        <v>921</v>
      </c>
      <c r="Z608" t="s">
        <v>924</v>
      </c>
      <c r="AA608" t="s">
        <v>39</v>
      </c>
      <c r="AC608" t="s">
        <v>974</v>
      </c>
    </row>
    <row r="609" spans="1:29" hidden="1" x14ac:dyDescent="0.25">
      <c r="A609">
        <v>98</v>
      </c>
      <c r="B609" t="s">
        <v>178</v>
      </c>
      <c r="C609" t="s">
        <v>77</v>
      </c>
      <c r="D609" t="s">
        <v>122</v>
      </c>
      <c r="E609">
        <v>6</v>
      </c>
      <c r="F609">
        <v>328</v>
      </c>
      <c r="G609">
        <v>934</v>
      </c>
      <c r="H609">
        <v>4</v>
      </c>
      <c r="I609">
        <v>14.43</v>
      </c>
      <c r="J609">
        <v>57.72</v>
      </c>
      <c r="K609" t="s">
        <v>97</v>
      </c>
      <c r="L609" t="s">
        <v>973</v>
      </c>
      <c r="O609" t="s">
        <v>81</v>
      </c>
      <c r="Q609">
        <v>2</v>
      </c>
      <c r="R609" s="24">
        <v>46032</v>
      </c>
      <c r="T609" t="s">
        <v>38</v>
      </c>
      <c r="V609" t="s">
        <v>921</v>
      </c>
      <c r="Z609" t="s">
        <v>924</v>
      </c>
      <c r="AA609" t="s">
        <v>39</v>
      </c>
      <c r="AC609" t="s">
        <v>974</v>
      </c>
    </row>
    <row r="610" spans="1:29" hidden="1" x14ac:dyDescent="0.25">
      <c r="A610">
        <v>99</v>
      </c>
      <c r="B610" t="s">
        <v>179</v>
      </c>
      <c r="C610" t="s">
        <v>77</v>
      </c>
      <c r="D610" t="s">
        <v>122</v>
      </c>
      <c r="E610">
        <v>6</v>
      </c>
      <c r="F610">
        <v>328</v>
      </c>
      <c r="G610">
        <v>934</v>
      </c>
      <c r="H610">
        <v>2</v>
      </c>
      <c r="I610">
        <v>14.43</v>
      </c>
      <c r="J610">
        <v>28.86</v>
      </c>
      <c r="K610" t="s">
        <v>97</v>
      </c>
      <c r="L610" t="s">
        <v>973</v>
      </c>
      <c r="O610" t="s">
        <v>81</v>
      </c>
      <c r="Q610">
        <v>2</v>
      </c>
      <c r="R610" s="24">
        <v>46032</v>
      </c>
      <c r="T610" t="s">
        <v>38</v>
      </c>
      <c r="V610" t="s">
        <v>921</v>
      </c>
      <c r="Z610" t="s">
        <v>924</v>
      </c>
      <c r="AA610" t="s">
        <v>39</v>
      </c>
      <c r="AC610" t="s">
        <v>974</v>
      </c>
    </row>
    <row r="611" spans="1:29" hidden="1" x14ac:dyDescent="0.25">
      <c r="A611">
        <v>100</v>
      </c>
      <c r="B611" t="s">
        <v>172</v>
      </c>
      <c r="C611" t="s">
        <v>77</v>
      </c>
      <c r="D611" t="s">
        <v>167</v>
      </c>
      <c r="E611">
        <v>6</v>
      </c>
      <c r="F611">
        <v>188</v>
      </c>
      <c r="G611">
        <v>2483</v>
      </c>
      <c r="H611">
        <v>16</v>
      </c>
      <c r="I611">
        <v>21.62</v>
      </c>
      <c r="J611">
        <v>345.98</v>
      </c>
      <c r="K611" t="s">
        <v>97</v>
      </c>
      <c r="L611" t="s">
        <v>973</v>
      </c>
      <c r="O611" t="s">
        <v>81</v>
      </c>
      <c r="P611" t="s">
        <v>81</v>
      </c>
      <c r="Q611">
        <v>2</v>
      </c>
      <c r="R611" s="24">
        <v>46032</v>
      </c>
      <c r="T611" t="s">
        <v>38</v>
      </c>
      <c r="V611" t="s">
        <v>921</v>
      </c>
      <c r="Z611" t="s">
        <v>924</v>
      </c>
      <c r="AA611" t="s">
        <v>39</v>
      </c>
      <c r="AC611" t="s">
        <v>974</v>
      </c>
    </row>
    <row r="612" spans="1:29" hidden="1" x14ac:dyDescent="0.25">
      <c r="A612">
        <v>101</v>
      </c>
      <c r="B612" t="s">
        <v>180</v>
      </c>
      <c r="C612" t="s">
        <v>77</v>
      </c>
      <c r="D612" t="s">
        <v>167</v>
      </c>
      <c r="E612">
        <v>6</v>
      </c>
      <c r="F612">
        <v>188</v>
      </c>
      <c r="G612">
        <v>2483</v>
      </c>
      <c r="H612">
        <v>12</v>
      </c>
      <c r="I612">
        <v>21.62</v>
      </c>
      <c r="J612">
        <v>259.49</v>
      </c>
      <c r="K612" t="s">
        <v>97</v>
      </c>
      <c r="L612" t="s">
        <v>973</v>
      </c>
      <c r="O612" t="s">
        <v>81</v>
      </c>
      <c r="P612" t="s">
        <v>81</v>
      </c>
      <c r="Q612">
        <v>2</v>
      </c>
      <c r="R612" s="24">
        <v>46032</v>
      </c>
      <c r="T612" t="s">
        <v>38</v>
      </c>
      <c r="V612" t="s">
        <v>921</v>
      </c>
      <c r="Z612" t="s">
        <v>924</v>
      </c>
      <c r="AA612" t="s">
        <v>39</v>
      </c>
      <c r="AC612" t="s">
        <v>974</v>
      </c>
    </row>
    <row r="613" spans="1:29" hidden="1" x14ac:dyDescent="0.25">
      <c r="A613">
        <v>102</v>
      </c>
      <c r="B613" t="s">
        <v>175</v>
      </c>
      <c r="C613" t="s">
        <v>77</v>
      </c>
      <c r="D613" t="s">
        <v>122</v>
      </c>
      <c r="E613">
        <v>6</v>
      </c>
      <c r="F613">
        <v>328</v>
      </c>
      <c r="G613">
        <v>934</v>
      </c>
      <c r="H613">
        <v>2</v>
      </c>
      <c r="I613">
        <v>14.43</v>
      </c>
      <c r="J613">
        <v>28.86</v>
      </c>
      <c r="K613" t="s">
        <v>97</v>
      </c>
      <c r="L613" t="s">
        <v>975</v>
      </c>
      <c r="O613" t="s">
        <v>81</v>
      </c>
      <c r="Q613">
        <v>2</v>
      </c>
      <c r="R613" s="24">
        <v>46032</v>
      </c>
      <c r="T613" t="s">
        <v>38</v>
      </c>
      <c r="V613" t="s">
        <v>921</v>
      </c>
      <c r="Z613" t="s">
        <v>924</v>
      </c>
      <c r="AA613" t="s">
        <v>39</v>
      </c>
      <c r="AC613" t="s">
        <v>976</v>
      </c>
    </row>
    <row r="614" spans="1:29" hidden="1" x14ac:dyDescent="0.25">
      <c r="A614">
        <v>103</v>
      </c>
      <c r="B614" t="s">
        <v>178</v>
      </c>
      <c r="C614" t="s">
        <v>77</v>
      </c>
      <c r="D614" t="s">
        <v>122</v>
      </c>
      <c r="E614">
        <v>6</v>
      </c>
      <c r="F614">
        <v>328</v>
      </c>
      <c r="G614">
        <v>934</v>
      </c>
      <c r="H614">
        <v>1</v>
      </c>
      <c r="I614">
        <v>14.43</v>
      </c>
      <c r="J614">
        <v>14.43</v>
      </c>
      <c r="K614" t="s">
        <v>97</v>
      </c>
      <c r="L614" t="s">
        <v>975</v>
      </c>
      <c r="O614" t="s">
        <v>81</v>
      </c>
      <c r="Q614">
        <v>2</v>
      </c>
      <c r="R614" s="24">
        <v>46032</v>
      </c>
      <c r="T614" t="s">
        <v>38</v>
      </c>
      <c r="V614" t="s">
        <v>921</v>
      </c>
      <c r="Z614" t="s">
        <v>924</v>
      </c>
      <c r="AA614" t="s">
        <v>39</v>
      </c>
      <c r="AC614" t="s">
        <v>976</v>
      </c>
    </row>
    <row r="615" spans="1:29" hidden="1" x14ac:dyDescent="0.25">
      <c r="A615">
        <v>104</v>
      </c>
      <c r="B615" t="s">
        <v>179</v>
      </c>
      <c r="C615" t="s">
        <v>77</v>
      </c>
      <c r="D615" t="s">
        <v>122</v>
      </c>
      <c r="E615">
        <v>6</v>
      </c>
      <c r="F615">
        <v>328</v>
      </c>
      <c r="G615">
        <v>934</v>
      </c>
      <c r="H615">
        <v>5</v>
      </c>
      <c r="I615">
        <v>14.43</v>
      </c>
      <c r="J615">
        <v>72.150000000000006</v>
      </c>
      <c r="K615" t="s">
        <v>97</v>
      </c>
      <c r="L615" t="s">
        <v>975</v>
      </c>
      <c r="O615" t="s">
        <v>81</v>
      </c>
      <c r="Q615">
        <v>2</v>
      </c>
      <c r="R615" s="24">
        <v>46032</v>
      </c>
      <c r="T615" t="s">
        <v>38</v>
      </c>
      <c r="V615" t="s">
        <v>921</v>
      </c>
      <c r="Z615" t="s">
        <v>924</v>
      </c>
      <c r="AA615" t="s">
        <v>39</v>
      </c>
      <c r="AC615" t="s">
        <v>976</v>
      </c>
    </row>
    <row r="616" spans="1:29" hidden="1" x14ac:dyDescent="0.25">
      <c r="A616">
        <v>105</v>
      </c>
      <c r="B616" t="s">
        <v>180</v>
      </c>
      <c r="C616" t="s">
        <v>77</v>
      </c>
      <c r="D616" t="s">
        <v>167</v>
      </c>
      <c r="E616">
        <v>6</v>
      </c>
      <c r="F616">
        <v>188</v>
      </c>
      <c r="G616">
        <v>2483</v>
      </c>
      <c r="H616">
        <v>28</v>
      </c>
      <c r="I616">
        <v>21.62</v>
      </c>
      <c r="J616">
        <v>605.47</v>
      </c>
      <c r="K616" t="s">
        <v>97</v>
      </c>
      <c r="L616" t="s">
        <v>975</v>
      </c>
      <c r="O616" t="s">
        <v>81</v>
      </c>
      <c r="P616" t="s">
        <v>81</v>
      </c>
      <c r="Q616">
        <v>2</v>
      </c>
      <c r="R616" s="24">
        <v>46032</v>
      </c>
      <c r="T616" t="s">
        <v>38</v>
      </c>
      <c r="V616" t="s">
        <v>921</v>
      </c>
      <c r="Z616" t="s">
        <v>924</v>
      </c>
      <c r="AA616" t="s">
        <v>39</v>
      </c>
      <c r="AC616" t="s">
        <v>976</v>
      </c>
    </row>
    <row r="617" spans="1:29" hidden="1" x14ac:dyDescent="0.25">
      <c r="A617">
        <v>106</v>
      </c>
      <c r="B617" t="s">
        <v>175</v>
      </c>
      <c r="C617" t="s">
        <v>77</v>
      </c>
      <c r="D617" t="s">
        <v>122</v>
      </c>
      <c r="E617">
        <v>6</v>
      </c>
      <c r="F617">
        <v>328</v>
      </c>
      <c r="G617">
        <v>934</v>
      </c>
      <c r="H617">
        <v>2</v>
      </c>
      <c r="I617">
        <v>14.43</v>
      </c>
      <c r="J617">
        <v>28.86</v>
      </c>
      <c r="K617" t="s">
        <v>97</v>
      </c>
      <c r="L617" t="s">
        <v>977</v>
      </c>
      <c r="O617" t="s">
        <v>81</v>
      </c>
      <c r="Q617">
        <v>2</v>
      </c>
      <c r="R617" s="24">
        <v>46032</v>
      </c>
      <c r="T617" t="s">
        <v>38</v>
      </c>
      <c r="V617" t="s">
        <v>921</v>
      </c>
      <c r="Z617" t="s">
        <v>924</v>
      </c>
      <c r="AA617" t="s">
        <v>39</v>
      </c>
      <c r="AC617" t="s">
        <v>978</v>
      </c>
    </row>
    <row r="618" spans="1:29" hidden="1" x14ac:dyDescent="0.25">
      <c r="A618">
        <v>107</v>
      </c>
      <c r="B618" t="s">
        <v>178</v>
      </c>
      <c r="C618" t="s">
        <v>77</v>
      </c>
      <c r="D618" t="s">
        <v>122</v>
      </c>
      <c r="E618">
        <v>6</v>
      </c>
      <c r="F618">
        <v>328</v>
      </c>
      <c r="G618">
        <v>934</v>
      </c>
      <c r="H618">
        <v>1</v>
      </c>
      <c r="I618">
        <v>14.43</v>
      </c>
      <c r="J618">
        <v>14.43</v>
      </c>
      <c r="K618" t="s">
        <v>97</v>
      </c>
      <c r="L618" t="s">
        <v>977</v>
      </c>
      <c r="O618" t="s">
        <v>81</v>
      </c>
      <c r="Q618">
        <v>2</v>
      </c>
      <c r="R618" s="24">
        <v>46032</v>
      </c>
      <c r="T618" t="s">
        <v>38</v>
      </c>
      <c r="V618" t="s">
        <v>921</v>
      </c>
      <c r="Z618" t="s">
        <v>924</v>
      </c>
      <c r="AA618" t="s">
        <v>39</v>
      </c>
      <c r="AC618" t="s">
        <v>978</v>
      </c>
    </row>
    <row r="619" spans="1:29" hidden="1" x14ac:dyDescent="0.25">
      <c r="A619">
        <v>108</v>
      </c>
      <c r="B619" t="s">
        <v>179</v>
      </c>
      <c r="C619" t="s">
        <v>77</v>
      </c>
      <c r="D619" t="s">
        <v>122</v>
      </c>
      <c r="E619">
        <v>6</v>
      </c>
      <c r="F619">
        <v>328</v>
      </c>
      <c r="G619">
        <v>934</v>
      </c>
      <c r="H619">
        <v>1</v>
      </c>
      <c r="I619">
        <v>14.43</v>
      </c>
      <c r="J619">
        <v>14.43</v>
      </c>
      <c r="K619" t="s">
        <v>97</v>
      </c>
      <c r="L619" t="s">
        <v>977</v>
      </c>
      <c r="O619" t="s">
        <v>81</v>
      </c>
      <c r="Q619">
        <v>2</v>
      </c>
      <c r="R619" s="24">
        <v>46032</v>
      </c>
      <c r="T619" t="s">
        <v>38</v>
      </c>
      <c r="V619" t="s">
        <v>921</v>
      </c>
      <c r="Z619" t="s">
        <v>924</v>
      </c>
      <c r="AA619" t="s">
        <v>39</v>
      </c>
      <c r="AC619" t="s">
        <v>978</v>
      </c>
    </row>
    <row r="620" spans="1:29" hidden="1" x14ac:dyDescent="0.25">
      <c r="A620">
        <v>109</v>
      </c>
      <c r="B620" t="s">
        <v>185</v>
      </c>
      <c r="C620" t="s">
        <v>77</v>
      </c>
      <c r="D620" t="s">
        <v>167</v>
      </c>
      <c r="E620">
        <v>6</v>
      </c>
      <c r="F620">
        <v>188</v>
      </c>
      <c r="G620">
        <v>2483</v>
      </c>
      <c r="H620">
        <v>28</v>
      </c>
      <c r="I620">
        <v>21.62</v>
      </c>
      <c r="J620">
        <v>605.47</v>
      </c>
      <c r="K620" t="s">
        <v>97</v>
      </c>
      <c r="L620" t="s">
        <v>977</v>
      </c>
      <c r="O620" t="s">
        <v>81</v>
      </c>
      <c r="P620" t="s">
        <v>81</v>
      </c>
      <c r="Q620">
        <v>2</v>
      </c>
      <c r="R620" s="24">
        <v>46032</v>
      </c>
      <c r="T620" t="s">
        <v>38</v>
      </c>
      <c r="V620" t="s">
        <v>921</v>
      </c>
      <c r="Z620" t="s">
        <v>924</v>
      </c>
      <c r="AA620" t="s">
        <v>39</v>
      </c>
      <c r="AC620" t="s">
        <v>978</v>
      </c>
    </row>
    <row r="621" spans="1:29" hidden="1" x14ac:dyDescent="0.25">
      <c r="A621">
        <v>110</v>
      </c>
      <c r="B621" t="s">
        <v>138</v>
      </c>
      <c r="C621" t="s">
        <v>77</v>
      </c>
      <c r="D621" t="s">
        <v>122</v>
      </c>
      <c r="E621">
        <v>6</v>
      </c>
      <c r="F621">
        <v>328</v>
      </c>
      <c r="G621">
        <v>934</v>
      </c>
      <c r="H621">
        <v>2</v>
      </c>
      <c r="I621">
        <v>14.43</v>
      </c>
      <c r="J621">
        <v>28.86</v>
      </c>
      <c r="K621" t="s">
        <v>97</v>
      </c>
      <c r="L621" t="s">
        <v>977</v>
      </c>
      <c r="O621" t="s">
        <v>81</v>
      </c>
      <c r="Q621">
        <v>2</v>
      </c>
      <c r="R621" s="24">
        <v>46032</v>
      </c>
      <c r="T621" t="s">
        <v>38</v>
      </c>
      <c r="V621" t="s">
        <v>921</v>
      </c>
      <c r="Z621" t="s">
        <v>924</v>
      </c>
      <c r="AA621" t="s">
        <v>39</v>
      </c>
      <c r="AC621" t="s">
        <v>978</v>
      </c>
    </row>
    <row r="622" spans="1:29" hidden="1" x14ac:dyDescent="0.25">
      <c r="A622">
        <v>111</v>
      </c>
      <c r="B622" t="s">
        <v>154</v>
      </c>
      <c r="C622" t="s">
        <v>77</v>
      </c>
      <c r="D622" t="s">
        <v>122</v>
      </c>
      <c r="E622">
        <v>6</v>
      </c>
      <c r="F622">
        <v>328</v>
      </c>
      <c r="G622">
        <v>934</v>
      </c>
      <c r="H622">
        <v>2</v>
      </c>
      <c r="I622">
        <v>14.43</v>
      </c>
      <c r="J622">
        <v>28.86</v>
      </c>
      <c r="K622" t="s">
        <v>97</v>
      </c>
      <c r="L622" t="s">
        <v>977</v>
      </c>
      <c r="O622" t="s">
        <v>81</v>
      </c>
      <c r="Q622">
        <v>2</v>
      </c>
      <c r="R622" s="24">
        <v>46032</v>
      </c>
      <c r="T622" t="s">
        <v>38</v>
      </c>
      <c r="V622" t="s">
        <v>921</v>
      </c>
      <c r="Z622" t="s">
        <v>924</v>
      </c>
      <c r="AA622" t="s">
        <v>39</v>
      </c>
      <c r="AC622" t="s">
        <v>978</v>
      </c>
    </row>
    <row r="623" spans="1:29" hidden="1" x14ac:dyDescent="0.25">
      <c r="A623">
        <v>112</v>
      </c>
      <c r="B623" t="s">
        <v>186</v>
      </c>
      <c r="C623" t="s">
        <v>77</v>
      </c>
      <c r="D623" t="s">
        <v>159</v>
      </c>
      <c r="E623">
        <v>6</v>
      </c>
      <c r="F623">
        <v>328</v>
      </c>
      <c r="G623">
        <v>894</v>
      </c>
      <c r="H623">
        <v>2</v>
      </c>
      <c r="I623">
        <v>13.81</v>
      </c>
      <c r="J623">
        <v>27.62</v>
      </c>
      <c r="K623" t="s">
        <v>97</v>
      </c>
      <c r="L623" t="s">
        <v>979</v>
      </c>
      <c r="O623" t="s">
        <v>81</v>
      </c>
      <c r="Q623">
        <v>2</v>
      </c>
      <c r="R623" s="24">
        <v>46032</v>
      </c>
      <c r="T623" t="s">
        <v>38</v>
      </c>
      <c r="V623" t="s">
        <v>921</v>
      </c>
      <c r="Z623" t="s">
        <v>924</v>
      </c>
      <c r="AA623" t="s">
        <v>39</v>
      </c>
      <c r="AC623" t="s">
        <v>980</v>
      </c>
    </row>
    <row r="624" spans="1:29" hidden="1" x14ac:dyDescent="0.25">
      <c r="A624">
        <v>113</v>
      </c>
      <c r="B624" t="s">
        <v>189</v>
      </c>
      <c r="C624" t="s">
        <v>77</v>
      </c>
      <c r="D624" t="s">
        <v>190</v>
      </c>
      <c r="E624">
        <v>6</v>
      </c>
      <c r="F624">
        <v>188</v>
      </c>
      <c r="G624">
        <v>2481</v>
      </c>
      <c r="H624">
        <v>2</v>
      </c>
      <c r="I624">
        <v>21.61</v>
      </c>
      <c r="J624">
        <v>43.22</v>
      </c>
      <c r="K624" t="s">
        <v>97</v>
      </c>
      <c r="L624" t="s">
        <v>979</v>
      </c>
      <c r="O624" t="s">
        <v>81</v>
      </c>
      <c r="P624" t="s">
        <v>81</v>
      </c>
      <c r="Q624">
        <v>2</v>
      </c>
      <c r="R624" s="24">
        <v>46032</v>
      </c>
      <c r="T624" t="s">
        <v>38</v>
      </c>
      <c r="V624" t="s">
        <v>921</v>
      </c>
      <c r="Z624" t="s">
        <v>924</v>
      </c>
      <c r="AA624" t="s">
        <v>39</v>
      </c>
      <c r="AC624" t="s">
        <v>980</v>
      </c>
    </row>
    <row r="625" spans="1:29" hidden="1" x14ac:dyDescent="0.25">
      <c r="A625">
        <v>114</v>
      </c>
      <c r="B625" t="s">
        <v>191</v>
      </c>
      <c r="C625" t="s">
        <v>77</v>
      </c>
      <c r="D625" t="s">
        <v>190</v>
      </c>
      <c r="E625">
        <v>6</v>
      </c>
      <c r="F625">
        <v>188</v>
      </c>
      <c r="G625">
        <v>2481</v>
      </c>
      <c r="H625">
        <v>2</v>
      </c>
      <c r="I625">
        <v>21.61</v>
      </c>
      <c r="J625">
        <v>43.22</v>
      </c>
      <c r="K625" t="s">
        <v>97</v>
      </c>
      <c r="L625" t="s">
        <v>979</v>
      </c>
      <c r="O625" t="s">
        <v>81</v>
      </c>
      <c r="P625" t="s">
        <v>81</v>
      </c>
      <c r="Q625">
        <v>2</v>
      </c>
      <c r="R625" s="24">
        <v>46032</v>
      </c>
      <c r="T625" t="s">
        <v>38</v>
      </c>
      <c r="V625" t="s">
        <v>921</v>
      </c>
      <c r="Z625" t="s">
        <v>924</v>
      </c>
      <c r="AA625" t="s">
        <v>39</v>
      </c>
      <c r="AC625" t="s">
        <v>980</v>
      </c>
    </row>
    <row r="626" spans="1:29" hidden="1" x14ac:dyDescent="0.25">
      <c r="A626">
        <v>115</v>
      </c>
      <c r="B626" t="s">
        <v>192</v>
      </c>
      <c r="C626" t="s">
        <v>77</v>
      </c>
      <c r="D626" t="s">
        <v>193</v>
      </c>
      <c r="E626">
        <v>6</v>
      </c>
      <c r="F626">
        <v>188</v>
      </c>
      <c r="G626">
        <v>2480</v>
      </c>
      <c r="H626">
        <v>2</v>
      </c>
      <c r="I626">
        <v>21.6</v>
      </c>
      <c r="J626">
        <v>43.2</v>
      </c>
      <c r="K626" t="s">
        <v>97</v>
      </c>
      <c r="L626" t="s">
        <v>979</v>
      </c>
      <c r="O626" t="s">
        <v>81</v>
      </c>
      <c r="P626" t="s">
        <v>81</v>
      </c>
      <c r="Q626">
        <v>2</v>
      </c>
      <c r="R626" s="24">
        <v>46032</v>
      </c>
      <c r="T626" t="s">
        <v>38</v>
      </c>
      <c r="V626" t="s">
        <v>921</v>
      </c>
      <c r="Z626" t="s">
        <v>924</v>
      </c>
      <c r="AA626" t="s">
        <v>39</v>
      </c>
      <c r="AC626" t="s">
        <v>980</v>
      </c>
    </row>
    <row r="627" spans="1:29" hidden="1" x14ac:dyDescent="0.25">
      <c r="A627">
        <v>116</v>
      </c>
      <c r="B627" t="s">
        <v>194</v>
      </c>
      <c r="C627" t="s">
        <v>77</v>
      </c>
      <c r="D627" t="s">
        <v>193</v>
      </c>
      <c r="E627">
        <v>6</v>
      </c>
      <c r="F627">
        <v>188</v>
      </c>
      <c r="G627">
        <v>2480</v>
      </c>
      <c r="H627">
        <v>2</v>
      </c>
      <c r="I627">
        <v>21.6</v>
      </c>
      <c r="J627">
        <v>43.21</v>
      </c>
      <c r="K627" t="s">
        <v>97</v>
      </c>
      <c r="L627" t="s">
        <v>979</v>
      </c>
      <c r="O627" t="s">
        <v>81</v>
      </c>
      <c r="P627" t="s">
        <v>81</v>
      </c>
      <c r="Q627">
        <v>2</v>
      </c>
      <c r="R627" s="24">
        <v>46032</v>
      </c>
      <c r="T627" t="s">
        <v>38</v>
      </c>
      <c r="V627" t="s">
        <v>921</v>
      </c>
      <c r="Z627" t="s">
        <v>924</v>
      </c>
      <c r="AA627" t="s">
        <v>39</v>
      </c>
      <c r="AC627" t="s">
        <v>980</v>
      </c>
    </row>
    <row r="628" spans="1:29" hidden="1" x14ac:dyDescent="0.25">
      <c r="A628">
        <v>117</v>
      </c>
      <c r="B628" t="s">
        <v>195</v>
      </c>
      <c r="C628" t="s">
        <v>77</v>
      </c>
      <c r="D628" t="s">
        <v>122</v>
      </c>
      <c r="E628">
        <v>6</v>
      </c>
      <c r="F628">
        <v>328</v>
      </c>
      <c r="G628">
        <v>934</v>
      </c>
      <c r="H628">
        <v>2</v>
      </c>
      <c r="I628">
        <v>14.43</v>
      </c>
      <c r="J628">
        <v>28.86</v>
      </c>
      <c r="K628" t="s">
        <v>97</v>
      </c>
      <c r="L628" t="s">
        <v>979</v>
      </c>
      <c r="O628" t="s">
        <v>81</v>
      </c>
      <c r="Q628">
        <v>2</v>
      </c>
      <c r="R628" s="24">
        <v>46032</v>
      </c>
      <c r="T628" t="s">
        <v>38</v>
      </c>
      <c r="V628" t="s">
        <v>921</v>
      </c>
      <c r="Z628" t="s">
        <v>924</v>
      </c>
      <c r="AA628" t="s">
        <v>39</v>
      </c>
      <c r="AC628" t="s">
        <v>980</v>
      </c>
    </row>
    <row r="629" spans="1:29" hidden="1" x14ac:dyDescent="0.25">
      <c r="A629">
        <v>118</v>
      </c>
      <c r="B629" t="s">
        <v>185</v>
      </c>
      <c r="C629" t="s">
        <v>77</v>
      </c>
      <c r="D629" t="s">
        <v>167</v>
      </c>
      <c r="E629">
        <v>6</v>
      </c>
      <c r="F629">
        <v>188</v>
      </c>
      <c r="G629">
        <v>2483</v>
      </c>
      <c r="H629">
        <v>12</v>
      </c>
      <c r="I629">
        <v>21.62</v>
      </c>
      <c r="J629">
        <v>259.49</v>
      </c>
      <c r="K629" t="s">
        <v>97</v>
      </c>
      <c r="L629" t="s">
        <v>979</v>
      </c>
      <c r="O629" t="s">
        <v>81</v>
      </c>
      <c r="P629" t="s">
        <v>81</v>
      </c>
      <c r="Q629">
        <v>2</v>
      </c>
      <c r="R629" s="24">
        <v>46032</v>
      </c>
      <c r="T629" t="s">
        <v>38</v>
      </c>
      <c r="V629" t="s">
        <v>921</v>
      </c>
      <c r="Z629" t="s">
        <v>924</v>
      </c>
      <c r="AA629" t="s">
        <v>39</v>
      </c>
      <c r="AC629" t="s">
        <v>980</v>
      </c>
    </row>
    <row r="630" spans="1:29" hidden="1" x14ac:dyDescent="0.25">
      <c r="A630">
        <v>119</v>
      </c>
      <c r="B630" t="s">
        <v>164</v>
      </c>
      <c r="C630" t="s">
        <v>77</v>
      </c>
      <c r="D630" t="s">
        <v>159</v>
      </c>
      <c r="E630">
        <v>6</v>
      </c>
      <c r="F630">
        <v>328</v>
      </c>
      <c r="G630">
        <v>894</v>
      </c>
      <c r="H630">
        <v>1</v>
      </c>
      <c r="I630">
        <v>13.81</v>
      </c>
      <c r="J630">
        <v>13.81</v>
      </c>
      <c r="K630" t="s">
        <v>97</v>
      </c>
      <c r="L630" t="s">
        <v>979</v>
      </c>
      <c r="O630" t="s">
        <v>81</v>
      </c>
      <c r="Q630">
        <v>2</v>
      </c>
      <c r="R630" s="24">
        <v>46032</v>
      </c>
      <c r="T630" t="s">
        <v>38</v>
      </c>
      <c r="V630" t="s">
        <v>921</v>
      </c>
      <c r="Z630" t="s">
        <v>924</v>
      </c>
      <c r="AA630" t="s">
        <v>39</v>
      </c>
      <c r="AC630" t="s">
        <v>980</v>
      </c>
    </row>
    <row r="631" spans="1:29" hidden="1" x14ac:dyDescent="0.25">
      <c r="A631">
        <v>120</v>
      </c>
      <c r="B631" t="s">
        <v>196</v>
      </c>
      <c r="C631" t="s">
        <v>77</v>
      </c>
      <c r="D631" t="s">
        <v>159</v>
      </c>
      <c r="E631">
        <v>6</v>
      </c>
      <c r="F631">
        <v>328</v>
      </c>
      <c r="G631">
        <v>894</v>
      </c>
      <c r="H631">
        <v>1</v>
      </c>
      <c r="I631">
        <v>13.81</v>
      </c>
      <c r="J631">
        <v>13.81</v>
      </c>
      <c r="K631" t="s">
        <v>97</v>
      </c>
      <c r="L631" t="s">
        <v>979</v>
      </c>
      <c r="O631" t="s">
        <v>81</v>
      </c>
      <c r="Q631">
        <v>2</v>
      </c>
      <c r="R631" s="24">
        <v>46032</v>
      </c>
      <c r="T631" t="s">
        <v>38</v>
      </c>
      <c r="V631" t="s">
        <v>921</v>
      </c>
      <c r="Z631" t="s">
        <v>924</v>
      </c>
      <c r="AA631" t="s">
        <v>39</v>
      </c>
      <c r="AC631" t="s">
        <v>980</v>
      </c>
    </row>
    <row r="632" spans="1:29" hidden="1" x14ac:dyDescent="0.25">
      <c r="A632">
        <v>121</v>
      </c>
      <c r="B632" t="s">
        <v>197</v>
      </c>
      <c r="C632" t="s">
        <v>77</v>
      </c>
      <c r="D632" t="s">
        <v>190</v>
      </c>
      <c r="E632">
        <v>6</v>
      </c>
      <c r="F632">
        <v>188</v>
      </c>
      <c r="G632">
        <v>2481</v>
      </c>
      <c r="H632">
        <v>2</v>
      </c>
      <c r="I632">
        <v>21.61</v>
      </c>
      <c r="J632">
        <v>43.22</v>
      </c>
      <c r="K632" t="s">
        <v>97</v>
      </c>
      <c r="L632" t="s">
        <v>979</v>
      </c>
      <c r="O632" t="s">
        <v>81</v>
      </c>
      <c r="P632" t="s">
        <v>81</v>
      </c>
      <c r="Q632">
        <v>2</v>
      </c>
      <c r="R632" s="24">
        <v>46032</v>
      </c>
      <c r="T632" t="s">
        <v>38</v>
      </c>
      <c r="V632" t="s">
        <v>921</v>
      </c>
      <c r="Z632" t="s">
        <v>924</v>
      </c>
      <c r="AA632" t="s">
        <v>39</v>
      </c>
      <c r="AC632" t="s">
        <v>980</v>
      </c>
    </row>
    <row r="633" spans="1:29" hidden="1" x14ac:dyDescent="0.25">
      <c r="A633">
        <v>122</v>
      </c>
      <c r="B633" t="s">
        <v>198</v>
      </c>
      <c r="C633" t="s">
        <v>77</v>
      </c>
      <c r="D633" t="s">
        <v>190</v>
      </c>
      <c r="E633">
        <v>6</v>
      </c>
      <c r="F633">
        <v>188</v>
      </c>
      <c r="G633">
        <v>2481</v>
      </c>
      <c r="H633">
        <v>2</v>
      </c>
      <c r="I633">
        <v>21.61</v>
      </c>
      <c r="J633">
        <v>43.22</v>
      </c>
      <c r="K633" t="s">
        <v>97</v>
      </c>
      <c r="L633" t="s">
        <v>979</v>
      </c>
      <c r="O633" t="s">
        <v>81</v>
      </c>
      <c r="P633" t="s">
        <v>81</v>
      </c>
      <c r="Q633">
        <v>2</v>
      </c>
      <c r="R633" s="24">
        <v>46032</v>
      </c>
      <c r="T633" t="s">
        <v>38</v>
      </c>
      <c r="V633" t="s">
        <v>921</v>
      </c>
      <c r="Z633" t="s">
        <v>924</v>
      </c>
      <c r="AA633" t="s">
        <v>39</v>
      </c>
      <c r="AC633" t="s">
        <v>980</v>
      </c>
    </row>
    <row r="634" spans="1:29" hidden="1" x14ac:dyDescent="0.25">
      <c r="A634">
        <v>123</v>
      </c>
      <c r="B634" t="s">
        <v>199</v>
      </c>
      <c r="C634" t="s">
        <v>77</v>
      </c>
      <c r="D634" t="s">
        <v>193</v>
      </c>
      <c r="E634">
        <v>6</v>
      </c>
      <c r="F634">
        <v>188</v>
      </c>
      <c r="G634">
        <v>2480</v>
      </c>
      <c r="H634">
        <v>2</v>
      </c>
      <c r="I634">
        <v>21.6</v>
      </c>
      <c r="J634">
        <v>43.2</v>
      </c>
      <c r="K634" t="s">
        <v>97</v>
      </c>
      <c r="L634" t="s">
        <v>979</v>
      </c>
      <c r="O634" t="s">
        <v>81</v>
      </c>
      <c r="P634" t="s">
        <v>81</v>
      </c>
      <c r="Q634">
        <v>2</v>
      </c>
      <c r="R634" s="24">
        <v>46032</v>
      </c>
      <c r="T634" t="s">
        <v>38</v>
      </c>
      <c r="V634" t="s">
        <v>921</v>
      </c>
      <c r="Z634" t="s">
        <v>924</v>
      </c>
      <c r="AA634" t="s">
        <v>39</v>
      </c>
      <c r="AC634" t="s">
        <v>980</v>
      </c>
    </row>
    <row r="635" spans="1:29" hidden="1" x14ac:dyDescent="0.25">
      <c r="A635">
        <v>124</v>
      </c>
      <c r="B635" t="s">
        <v>200</v>
      </c>
      <c r="C635" t="s">
        <v>77</v>
      </c>
      <c r="D635" t="s">
        <v>193</v>
      </c>
      <c r="E635">
        <v>6</v>
      </c>
      <c r="F635">
        <v>188</v>
      </c>
      <c r="G635">
        <v>2480</v>
      </c>
      <c r="H635">
        <v>2</v>
      </c>
      <c r="I635">
        <v>21.6</v>
      </c>
      <c r="J635">
        <v>43.21</v>
      </c>
      <c r="K635" t="s">
        <v>97</v>
      </c>
      <c r="L635" t="s">
        <v>979</v>
      </c>
      <c r="O635" t="s">
        <v>81</v>
      </c>
      <c r="P635" t="s">
        <v>81</v>
      </c>
      <c r="Q635">
        <v>2</v>
      </c>
      <c r="R635" s="24">
        <v>46032</v>
      </c>
      <c r="T635" t="s">
        <v>38</v>
      </c>
      <c r="V635" t="s">
        <v>921</v>
      </c>
      <c r="Z635" t="s">
        <v>924</v>
      </c>
      <c r="AA635" t="s">
        <v>39</v>
      </c>
      <c r="AC635" t="s">
        <v>980</v>
      </c>
    </row>
    <row r="636" spans="1:29" hidden="1" x14ac:dyDescent="0.25">
      <c r="A636">
        <v>125</v>
      </c>
      <c r="B636" t="s">
        <v>201</v>
      </c>
      <c r="C636" t="s">
        <v>77</v>
      </c>
      <c r="D636" t="s">
        <v>159</v>
      </c>
      <c r="E636">
        <v>6</v>
      </c>
      <c r="F636">
        <v>328</v>
      </c>
      <c r="G636">
        <v>894</v>
      </c>
      <c r="H636">
        <v>2</v>
      </c>
      <c r="I636">
        <v>13.81</v>
      </c>
      <c r="J636">
        <v>27.62</v>
      </c>
      <c r="K636" t="s">
        <v>97</v>
      </c>
      <c r="L636" t="s">
        <v>979</v>
      </c>
      <c r="O636" t="s">
        <v>81</v>
      </c>
      <c r="Q636">
        <v>2</v>
      </c>
      <c r="R636" s="24">
        <v>46032</v>
      </c>
      <c r="T636" t="s">
        <v>38</v>
      </c>
      <c r="V636" t="s">
        <v>921</v>
      </c>
      <c r="Z636" t="s">
        <v>924</v>
      </c>
      <c r="AA636" t="s">
        <v>39</v>
      </c>
      <c r="AC636" t="s">
        <v>980</v>
      </c>
    </row>
    <row r="637" spans="1:29" hidden="1" x14ac:dyDescent="0.25">
      <c r="A637">
        <v>126</v>
      </c>
      <c r="B637" t="s">
        <v>116</v>
      </c>
      <c r="C637" t="s">
        <v>77</v>
      </c>
      <c r="D637" t="s">
        <v>117</v>
      </c>
      <c r="E637">
        <v>6</v>
      </c>
      <c r="F637">
        <v>298</v>
      </c>
      <c r="G637">
        <v>378</v>
      </c>
      <c r="H637">
        <v>2</v>
      </c>
      <c r="I637">
        <v>5.27</v>
      </c>
      <c r="J637">
        <v>10.54</v>
      </c>
      <c r="K637" t="s">
        <v>97</v>
      </c>
      <c r="L637" t="s">
        <v>979</v>
      </c>
      <c r="Q637">
        <v>2</v>
      </c>
      <c r="R637" s="24">
        <v>46032</v>
      </c>
      <c r="T637" t="s">
        <v>38</v>
      </c>
      <c r="V637" t="s">
        <v>921</v>
      </c>
      <c r="W637" t="s">
        <v>81</v>
      </c>
      <c r="Z637" t="s">
        <v>924</v>
      </c>
      <c r="AA637" t="s">
        <v>39</v>
      </c>
      <c r="AC637" t="s">
        <v>980</v>
      </c>
    </row>
    <row r="638" spans="1:29" hidden="1" x14ac:dyDescent="0.25">
      <c r="A638">
        <v>127</v>
      </c>
      <c r="B638" t="s">
        <v>202</v>
      </c>
      <c r="C638" t="s">
        <v>77</v>
      </c>
      <c r="D638" t="s">
        <v>203</v>
      </c>
      <c r="E638">
        <v>6</v>
      </c>
      <c r="F638">
        <v>188</v>
      </c>
      <c r="G638">
        <v>2348</v>
      </c>
      <c r="H638">
        <v>8</v>
      </c>
      <c r="I638">
        <v>20.61</v>
      </c>
      <c r="J638">
        <v>164.9</v>
      </c>
      <c r="K638" t="s">
        <v>97</v>
      </c>
      <c r="L638" t="s">
        <v>981</v>
      </c>
      <c r="O638" t="s">
        <v>81</v>
      </c>
      <c r="P638" t="s">
        <v>81</v>
      </c>
      <c r="Q638">
        <v>2</v>
      </c>
      <c r="R638" s="24">
        <v>46032</v>
      </c>
      <c r="T638" t="s">
        <v>38</v>
      </c>
      <c r="V638" t="s">
        <v>921</v>
      </c>
      <c r="Z638" t="s">
        <v>924</v>
      </c>
      <c r="AA638" t="s">
        <v>39</v>
      </c>
      <c r="AC638" t="s">
        <v>982</v>
      </c>
    </row>
    <row r="639" spans="1:29" hidden="1" x14ac:dyDescent="0.25">
      <c r="A639">
        <v>128</v>
      </c>
      <c r="B639" t="s">
        <v>206</v>
      </c>
      <c r="C639" t="s">
        <v>77</v>
      </c>
      <c r="D639" t="s">
        <v>203</v>
      </c>
      <c r="E639">
        <v>6</v>
      </c>
      <c r="F639">
        <v>188</v>
      </c>
      <c r="G639">
        <v>2348</v>
      </c>
      <c r="H639">
        <v>2</v>
      </c>
      <c r="I639">
        <v>20.62</v>
      </c>
      <c r="J639">
        <v>41.23</v>
      </c>
      <c r="K639" t="s">
        <v>97</v>
      </c>
      <c r="L639" t="s">
        <v>981</v>
      </c>
      <c r="O639" t="s">
        <v>81</v>
      </c>
      <c r="P639" t="s">
        <v>81</v>
      </c>
      <c r="Q639">
        <v>2</v>
      </c>
      <c r="R639" s="24">
        <v>46032</v>
      </c>
      <c r="T639" t="s">
        <v>38</v>
      </c>
      <c r="V639" t="s">
        <v>921</v>
      </c>
      <c r="Z639" t="s">
        <v>924</v>
      </c>
      <c r="AA639" t="s">
        <v>39</v>
      </c>
      <c r="AC639" t="s">
        <v>982</v>
      </c>
    </row>
    <row r="640" spans="1:29" hidden="1" x14ac:dyDescent="0.25">
      <c r="A640">
        <v>129</v>
      </c>
      <c r="B640" t="s">
        <v>207</v>
      </c>
      <c r="C640" t="s">
        <v>77</v>
      </c>
      <c r="D640" t="s">
        <v>203</v>
      </c>
      <c r="E640">
        <v>6</v>
      </c>
      <c r="F640">
        <v>188</v>
      </c>
      <c r="G640">
        <v>2348</v>
      </c>
      <c r="H640">
        <v>1</v>
      </c>
      <c r="I640">
        <v>20.61</v>
      </c>
      <c r="J640">
        <v>20.61</v>
      </c>
      <c r="K640" t="s">
        <v>97</v>
      </c>
      <c r="L640" t="s">
        <v>981</v>
      </c>
      <c r="O640" t="s">
        <v>81</v>
      </c>
      <c r="P640" t="s">
        <v>81</v>
      </c>
      <c r="Q640">
        <v>2</v>
      </c>
      <c r="R640" s="24">
        <v>46032</v>
      </c>
      <c r="T640" t="s">
        <v>38</v>
      </c>
      <c r="V640" t="s">
        <v>921</v>
      </c>
      <c r="Z640" t="s">
        <v>924</v>
      </c>
      <c r="AA640" t="s">
        <v>39</v>
      </c>
      <c r="AC640" t="s">
        <v>982</v>
      </c>
    </row>
    <row r="641" spans="1:29" hidden="1" x14ac:dyDescent="0.25">
      <c r="A641">
        <v>130</v>
      </c>
      <c r="B641" t="s">
        <v>208</v>
      </c>
      <c r="C641" t="s">
        <v>77</v>
      </c>
      <c r="D641" t="s">
        <v>203</v>
      </c>
      <c r="E641">
        <v>6</v>
      </c>
      <c r="F641">
        <v>188</v>
      </c>
      <c r="G641">
        <v>2348</v>
      </c>
      <c r="H641">
        <v>6</v>
      </c>
      <c r="I641">
        <v>20.61</v>
      </c>
      <c r="J641">
        <v>123.67</v>
      </c>
      <c r="K641" t="s">
        <v>97</v>
      </c>
      <c r="L641" t="s">
        <v>981</v>
      </c>
      <c r="O641" t="s">
        <v>81</v>
      </c>
      <c r="P641" t="s">
        <v>81</v>
      </c>
      <c r="Q641">
        <v>2</v>
      </c>
      <c r="R641" s="24">
        <v>46032</v>
      </c>
      <c r="T641" t="s">
        <v>38</v>
      </c>
      <c r="V641" t="s">
        <v>921</v>
      </c>
      <c r="Z641" t="s">
        <v>924</v>
      </c>
      <c r="AA641" t="s">
        <v>39</v>
      </c>
      <c r="AC641" t="s">
        <v>982</v>
      </c>
    </row>
    <row r="642" spans="1:29" hidden="1" x14ac:dyDescent="0.25">
      <c r="A642">
        <v>131</v>
      </c>
      <c r="B642" t="s">
        <v>209</v>
      </c>
      <c r="C642" t="s">
        <v>77</v>
      </c>
      <c r="D642" t="s">
        <v>203</v>
      </c>
      <c r="E642">
        <v>6</v>
      </c>
      <c r="F642">
        <v>188</v>
      </c>
      <c r="G642">
        <v>2348</v>
      </c>
      <c r="H642">
        <v>6</v>
      </c>
      <c r="I642">
        <v>20.61</v>
      </c>
      <c r="J642">
        <v>123.67</v>
      </c>
      <c r="K642" t="s">
        <v>97</v>
      </c>
      <c r="L642" t="s">
        <v>981</v>
      </c>
      <c r="O642" t="s">
        <v>81</v>
      </c>
      <c r="P642" t="s">
        <v>81</v>
      </c>
      <c r="Q642">
        <v>2</v>
      </c>
      <c r="R642" s="24">
        <v>46032</v>
      </c>
      <c r="T642" t="s">
        <v>38</v>
      </c>
      <c r="V642" t="s">
        <v>921</v>
      </c>
      <c r="Z642" t="s">
        <v>924</v>
      </c>
      <c r="AA642" t="s">
        <v>39</v>
      </c>
      <c r="AC642" t="s">
        <v>982</v>
      </c>
    </row>
    <row r="643" spans="1:29" hidden="1" x14ac:dyDescent="0.25">
      <c r="A643">
        <v>132</v>
      </c>
      <c r="B643" t="s">
        <v>210</v>
      </c>
      <c r="C643" t="s">
        <v>77</v>
      </c>
      <c r="D643" t="s">
        <v>203</v>
      </c>
      <c r="E643">
        <v>6</v>
      </c>
      <c r="F643">
        <v>188</v>
      </c>
      <c r="G643">
        <v>2348</v>
      </c>
      <c r="H643">
        <v>8</v>
      </c>
      <c r="I643">
        <v>20.61</v>
      </c>
      <c r="J643">
        <v>164.9</v>
      </c>
      <c r="K643" t="s">
        <v>97</v>
      </c>
      <c r="L643" t="s">
        <v>981</v>
      </c>
      <c r="O643" t="s">
        <v>81</v>
      </c>
      <c r="P643" t="s">
        <v>81</v>
      </c>
      <c r="Q643">
        <v>2</v>
      </c>
      <c r="R643" s="24">
        <v>46032</v>
      </c>
      <c r="T643" t="s">
        <v>38</v>
      </c>
      <c r="V643" t="s">
        <v>921</v>
      </c>
      <c r="Z643" t="s">
        <v>924</v>
      </c>
      <c r="AA643" t="s">
        <v>39</v>
      </c>
      <c r="AC643" t="s">
        <v>982</v>
      </c>
    </row>
    <row r="644" spans="1:29" hidden="1" x14ac:dyDescent="0.25">
      <c r="A644">
        <v>133</v>
      </c>
      <c r="B644" t="s">
        <v>211</v>
      </c>
      <c r="C644" t="s">
        <v>77</v>
      </c>
      <c r="D644" t="s">
        <v>203</v>
      </c>
      <c r="E644">
        <v>6</v>
      </c>
      <c r="F644">
        <v>188</v>
      </c>
      <c r="G644">
        <v>2348</v>
      </c>
      <c r="H644">
        <v>4</v>
      </c>
      <c r="I644">
        <v>20.61</v>
      </c>
      <c r="J644">
        <v>82.45</v>
      </c>
      <c r="K644" t="s">
        <v>97</v>
      </c>
      <c r="L644" t="s">
        <v>981</v>
      </c>
      <c r="O644" t="s">
        <v>81</v>
      </c>
      <c r="P644" t="s">
        <v>81</v>
      </c>
      <c r="Q644">
        <v>2</v>
      </c>
      <c r="R644" s="24">
        <v>46032</v>
      </c>
      <c r="T644" t="s">
        <v>38</v>
      </c>
      <c r="V644" t="s">
        <v>921</v>
      </c>
      <c r="Z644" t="s">
        <v>924</v>
      </c>
      <c r="AA644" t="s">
        <v>39</v>
      </c>
      <c r="AC644" t="s">
        <v>982</v>
      </c>
    </row>
    <row r="645" spans="1:29" hidden="1" x14ac:dyDescent="0.25">
      <c r="A645">
        <v>134</v>
      </c>
      <c r="B645" t="s">
        <v>123</v>
      </c>
      <c r="C645" t="s">
        <v>77</v>
      </c>
      <c r="D645" t="s">
        <v>117</v>
      </c>
      <c r="E645">
        <v>6</v>
      </c>
      <c r="F645">
        <v>298</v>
      </c>
      <c r="G645">
        <v>378</v>
      </c>
      <c r="H645">
        <v>2</v>
      </c>
      <c r="I645">
        <v>5.27</v>
      </c>
      <c r="J645">
        <v>10.54</v>
      </c>
      <c r="K645" t="s">
        <v>97</v>
      </c>
      <c r="L645" t="s">
        <v>981</v>
      </c>
      <c r="Q645">
        <v>2</v>
      </c>
      <c r="R645" s="24">
        <v>46032</v>
      </c>
      <c r="T645" t="s">
        <v>38</v>
      </c>
      <c r="V645" t="s">
        <v>921</v>
      </c>
      <c r="W645" t="s">
        <v>81</v>
      </c>
      <c r="Z645" t="s">
        <v>924</v>
      </c>
      <c r="AA645" t="s">
        <v>39</v>
      </c>
      <c r="AC645" t="s">
        <v>982</v>
      </c>
    </row>
    <row r="646" spans="1:29" hidden="1" x14ac:dyDescent="0.25">
      <c r="A646">
        <v>135</v>
      </c>
      <c r="B646" t="s">
        <v>171</v>
      </c>
      <c r="C646" t="s">
        <v>77</v>
      </c>
      <c r="D646" t="s">
        <v>117</v>
      </c>
      <c r="E646">
        <v>6</v>
      </c>
      <c r="F646">
        <v>298</v>
      </c>
      <c r="G646">
        <v>378</v>
      </c>
      <c r="H646">
        <v>1</v>
      </c>
      <c r="I646">
        <v>5.27</v>
      </c>
      <c r="J646">
        <v>5.27</v>
      </c>
      <c r="K646" t="s">
        <v>97</v>
      </c>
      <c r="L646" t="s">
        <v>981</v>
      </c>
      <c r="Q646">
        <v>2</v>
      </c>
      <c r="R646" s="24">
        <v>46032</v>
      </c>
      <c r="T646" t="s">
        <v>38</v>
      </c>
      <c r="V646" t="s">
        <v>921</v>
      </c>
      <c r="W646" t="s">
        <v>81</v>
      </c>
      <c r="Z646" t="s">
        <v>924</v>
      </c>
      <c r="AA646" t="s">
        <v>39</v>
      </c>
      <c r="AC646" t="s">
        <v>982</v>
      </c>
    </row>
    <row r="647" spans="1:29" hidden="1" x14ac:dyDescent="0.25">
      <c r="A647">
        <v>136</v>
      </c>
      <c r="B647" t="s">
        <v>212</v>
      </c>
      <c r="C647" t="s">
        <v>77</v>
      </c>
      <c r="D647" t="s">
        <v>203</v>
      </c>
      <c r="E647">
        <v>6</v>
      </c>
      <c r="F647">
        <v>188</v>
      </c>
      <c r="G647">
        <v>2348</v>
      </c>
      <c r="H647">
        <v>6</v>
      </c>
      <c r="I647">
        <v>20.61</v>
      </c>
      <c r="J647">
        <v>123.67</v>
      </c>
      <c r="K647" t="s">
        <v>97</v>
      </c>
      <c r="L647" t="s">
        <v>983</v>
      </c>
      <c r="O647" t="s">
        <v>81</v>
      </c>
      <c r="P647" t="s">
        <v>81</v>
      </c>
      <c r="Q647">
        <v>2</v>
      </c>
      <c r="R647" s="24">
        <v>46032</v>
      </c>
      <c r="T647" t="s">
        <v>38</v>
      </c>
      <c r="V647" t="s">
        <v>921</v>
      </c>
      <c r="Z647" t="s">
        <v>924</v>
      </c>
      <c r="AA647" t="s">
        <v>39</v>
      </c>
      <c r="AC647" t="s">
        <v>984</v>
      </c>
    </row>
    <row r="648" spans="1:29" hidden="1" x14ac:dyDescent="0.25">
      <c r="A648">
        <v>137</v>
      </c>
      <c r="B648" t="s">
        <v>215</v>
      </c>
      <c r="C648" t="s">
        <v>77</v>
      </c>
      <c r="D648" t="s">
        <v>203</v>
      </c>
      <c r="E648">
        <v>6</v>
      </c>
      <c r="F648">
        <v>188</v>
      </c>
      <c r="G648">
        <v>2348</v>
      </c>
      <c r="H648">
        <v>6</v>
      </c>
      <c r="I648">
        <v>20.61</v>
      </c>
      <c r="J648">
        <v>123.67</v>
      </c>
      <c r="K648" t="s">
        <v>97</v>
      </c>
      <c r="L648" t="s">
        <v>983</v>
      </c>
      <c r="O648" t="s">
        <v>81</v>
      </c>
      <c r="P648" t="s">
        <v>81</v>
      </c>
      <c r="Q648">
        <v>2</v>
      </c>
      <c r="R648" s="24">
        <v>46032</v>
      </c>
      <c r="T648" t="s">
        <v>38</v>
      </c>
      <c r="V648" t="s">
        <v>921</v>
      </c>
      <c r="Z648" t="s">
        <v>924</v>
      </c>
      <c r="AA648" t="s">
        <v>39</v>
      </c>
      <c r="AC648" t="s">
        <v>984</v>
      </c>
    </row>
    <row r="649" spans="1:29" hidden="1" x14ac:dyDescent="0.25">
      <c r="A649">
        <v>138</v>
      </c>
      <c r="B649" t="s">
        <v>216</v>
      </c>
      <c r="C649" t="s">
        <v>77</v>
      </c>
      <c r="D649" t="s">
        <v>203</v>
      </c>
      <c r="E649">
        <v>6</v>
      </c>
      <c r="F649">
        <v>188</v>
      </c>
      <c r="G649">
        <v>2348</v>
      </c>
      <c r="H649">
        <v>8</v>
      </c>
      <c r="I649">
        <v>20.61</v>
      </c>
      <c r="J649">
        <v>164.9</v>
      </c>
      <c r="K649" t="s">
        <v>97</v>
      </c>
      <c r="L649" t="s">
        <v>983</v>
      </c>
      <c r="O649" t="s">
        <v>81</v>
      </c>
      <c r="P649" t="s">
        <v>81</v>
      </c>
      <c r="Q649">
        <v>2</v>
      </c>
      <c r="R649" s="24">
        <v>46032</v>
      </c>
      <c r="T649" t="s">
        <v>38</v>
      </c>
      <c r="V649" t="s">
        <v>921</v>
      </c>
      <c r="Z649" t="s">
        <v>924</v>
      </c>
      <c r="AA649" t="s">
        <v>39</v>
      </c>
      <c r="AC649" t="s">
        <v>984</v>
      </c>
    </row>
    <row r="650" spans="1:29" hidden="1" x14ac:dyDescent="0.25">
      <c r="A650">
        <v>139</v>
      </c>
      <c r="B650" t="s">
        <v>195</v>
      </c>
      <c r="C650" t="s">
        <v>77</v>
      </c>
      <c r="D650" t="s">
        <v>122</v>
      </c>
      <c r="E650">
        <v>6</v>
      </c>
      <c r="F650">
        <v>328</v>
      </c>
      <c r="G650">
        <v>934</v>
      </c>
      <c r="H650">
        <v>7</v>
      </c>
      <c r="I650">
        <v>14.43</v>
      </c>
      <c r="J650">
        <v>101</v>
      </c>
      <c r="K650" t="s">
        <v>97</v>
      </c>
      <c r="L650" t="s">
        <v>983</v>
      </c>
      <c r="O650" t="s">
        <v>81</v>
      </c>
      <c r="Q650">
        <v>2</v>
      </c>
      <c r="R650" s="24">
        <v>46032</v>
      </c>
      <c r="T650" t="s">
        <v>38</v>
      </c>
      <c r="V650" t="s">
        <v>921</v>
      </c>
      <c r="Z650" t="s">
        <v>924</v>
      </c>
      <c r="AA650" t="s">
        <v>39</v>
      </c>
      <c r="AC650" t="s">
        <v>984</v>
      </c>
    </row>
    <row r="651" spans="1:29" hidden="1" x14ac:dyDescent="0.25">
      <c r="A651">
        <v>140</v>
      </c>
      <c r="B651" t="s">
        <v>207</v>
      </c>
      <c r="C651" t="s">
        <v>77</v>
      </c>
      <c r="D651" t="s">
        <v>203</v>
      </c>
      <c r="E651">
        <v>6</v>
      </c>
      <c r="F651">
        <v>188</v>
      </c>
      <c r="G651">
        <v>2348</v>
      </c>
      <c r="H651">
        <v>3</v>
      </c>
      <c r="I651">
        <v>20.61</v>
      </c>
      <c r="J651">
        <v>61.84</v>
      </c>
      <c r="K651" t="s">
        <v>97</v>
      </c>
      <c r="L651" t="s">
        <v>983</v>
      </c>
      <c r="O651" t="s">
        <v>81</v>
      </c>
      <c r="P651" t="s">
        <v>81</v>
      </c>
      <c r="Q651">
        <v>2</v>
      </c>
      <c r="R651" s="24">
        <v>46032</v>
      </c>
      <c r="T651" t="s">
        <v>38</v>
      </c>
      <c r="V651" t="s">
        <v>921</v>
      </c>
      <c r="Z651" t="s">
        <v>924</v>
      </c>
      <c r="AA651" t="s">
        <v>39</v>
      </c>
      <c r="AC651" t="s">
        <v>984</v>
      </c>
    </row>
    <row r="652" spans="1:29" hidden="1" x14ac:dyDescent="0.25">
      <c r="A652">
        <v>141</v>
      </c>
      <c r="B652" t="s">
        <v>217</v>
      </c>
      <c r="C652" t="s">
        <v>77</v>
      </c>
      <c r="D652" t="s">
        <v>122</v>
      </c>
      <c r="E652">
        <v>6</v>
      </c>
      <c r="F652">
        <v>328</v>
      </c>
      <c r="G652">
        <v>934</v>
      </c>
      <c r="H652">
        <v>9</v>
      </c>
      <c r="I652">
        <v>14.43</v>
      </c>
      <c r="J652">
        <v>129.86000000000001</v>
      </c>
      <c r="K652" t="s">
        <v>97</v>
      </c>
      <c r="L652" t="s">
        <v>983</v>
      </c>
      <c r="O652" t="s">
        <v>81</v>
      </c>
      <c r="Q652">
        <v>2</v>
      </c>
      <c r="R652" s="24">
        <v>46032</v>
      </c>
      <c r="T652" t="s">
        <v>38</v>
      </c>
      <c r="V652" t="s">
        <v>921</v>
      </c>
      <c r="Z652" t="s">
        <v>924</v>
      </c>
      <c r="AA652" t="s">
        <v>39</v>
      </c>
      <c r="AC652" t="s">
        <v>984</v>
      </c>
    </row>
    <row r="653" spans="1:29" hidden="1" x14ac:dyDescent="0.25">
      <c r="A653">
        <v>142</v>
      </c>
      <c r="B653" t="s">
        <v>148</v>
      </c>
      <c r="C653" t="s">
        <v>77</v>
      </c>
      <c r="D653" t="s">
        <v>122</v>
      </c>
      <c r="E653">
        <v>6</v>
      </c>
      <c r="F653">
        <v>328</v>
      </c>
      <c r="G653">
        <v>934</v>
      </c>
      <c r="H653">
        <v>4</v>
      </c>
      <c r="I653">
        <v>14.43</v>
      </c>
      <c r="J653">
        <v>57.72</v>
      </c>
      <c r="K653" t="s">
        <v>97</v>
      </c>
      <c r="L653" t="s">
        <v>983</v>
      </c>
      <c r="O653" t="s">
        <v>81</v>
      </c>
      <c r="Q653">
        <v>2</v>
      </c>
      <c r="R653" s="24">
        <v>46032</v>
      </c>
      <c r="T653" t="s">
        <v>38</v>
      </c>
      <c r="V653" t="s">
        <v>921</v>
      </c>
      <c r="Z653" t="s">
        <v>924</v>
      </c>
      <c r="AA653" t="s">
        <v>39</v>
      </c>
      <c r="AC653" t="s">
        <v>984</v>
      </c>
    </row>
    <row r="654" spans="1:29" hidden="1" x14ac:dyDescent="0.25">
      <c r="A654">
        <v>143</v>
      </c>
      <c r="B654" t="s">
        <v>123</v>
      </c>
      <c r="C654" t="s">
        <v>77</v>
      </c>
      <c r="D654" t="s">
        <v>117</v>
      </c>
      <c r="E654">
        <v>6</v>
      </c>
      <c r="F654">
        <v>298</v>
      </c>
      <c r="G654">
        <v>378</v>
      </c>
      <c r="H654">
        <v>2</v>
      </c>
      <c r="I654">
        <v>5.27</v>
      </c>
      <c r="J654">
        <v>10.54</v>
      </c>
      <c r="K654" t="s">
        <v>97</v>
      </c>
      <c r="L654" t="s">
        <v>983</v>
      </c>
      <c r="Q654">
        <v>2</v>
      </c>
      <c r="R654" s="24">
        <v>46032</v>
      </c>
      <c r="T654" t="s">
        <v>38</v>
      </c>
      <c r="V654" t="s">
        <v>921</v>
      </c>
      <c r="W654" t="s">
        <v>81</v>
      </c>
      <c r="Z654" t="s">
        <v>924</v>
      </c>
      <c r="AA654" t="s">
        <v>39</v>
      </c>
      <c r="AC654" t="s">
        <v>984</v>
      </c>
    </row>
    <row r="655" spans="1:29" hidden="1" x14ac:dyDescent="0.25">
      <c r="A655">
        <v>144</v>
      </c>
      <c r="B655" t="s">
        <v>179</v>
      </c>
      <c r="C655" t="s">
        <v>77</v>
      </c>
      <c r="D655" t="s">
        <v>122</v>
      </c>
      <c r="E655">
        <v>6</v>
      </c>
      <c r="F655">
        <v>328</v>
      </c>
      <c r="G655">
        <v>934</v>
      </c>
      <c r="H655">
        <v>1</v>
      </c>
      <c r="I655">
        <v>14.43</v>
      </c>
      <c r="J655">
        <v>14.43</v>
      </c>
      <c r="K655" t="s">
        <v>985</v>
      </c>
      <c r="L655" t="s">
        <v>986</v>
      </c>
      <c r="O655" t="s">
        <v>81</v>
      </c>
      <c r="Q655">
        <v>2</v>
      </c>
      <c r="R655" s="24">
        <v>46032</v>
      </c>
      <c r="T655" t="s">
        <v>38</v>
      </c>
      <c r="V655" t="s">
        <v>921</v>
      </c>
      <c r="Z655" t="s">
        <v>924</v>
      </c>
      <c r="AA655" t="s">
        <v>987</v>
      </c>
      <c r="AC655" t="s">
        <v>988</v>
      </c>
    </row>
    <row r="656" spans="1:29" hidden="1" x14ac:dyDescent="0.25">
      <c r="A656">
        <v>145</v>
      </c>
      <c r="B656" t="s">
        <v>206</v>
      </c>
      <c r="C656" t="s">
        <v>77</v>
      </c>
      <c r="D656" t="s">
        <v>203</v>
      </c>
      <c r="E656">
        <v>6</v>
      </c>
      <c r="F656">
        <v>188</v>
      </c>
      <c r="G656">
        <v>2348</v>
      </c>
      <c r="H656">
        <v>2</v>
      </c>
      <c r="I656">
        <v>20.62</v>
      </c>
      <c r="J656">
        <v>41.23</v>
      </c>
      <c r="K656" t="s">
        <v>985</v>
      </c>
      <c r="L656" t="s">
        <v>986</v>
      </c>
      <c r="O656" t="s">
        <v>81</v>
      </c>
      <c r="P656" t="s">
        <v>81</v>
      </c>
      <c r="Q656">
        <v>2</v>
      </c>
      <c r="R656" s="24">
        <v>46032</v>
      </c>
      <c r="T656" t="s">
        <v>38</v>
      </c>
      <c r="V656" t="s">
        <v>921</v>
      </c>
      <c r="Z656" t="s">
        <v>924</v>
      </c>
      <c r="AA656" t="s">
        <v>987</v>
      </c>
      <c r="AC656" t="s">
        <v>988</v>
      </c>
    </row>
    <row r="657" spans="1:29" hidden="1" x14ac:dyDescent="0.25">
      <c r="A657">
        <v>146</v>
      </c>
      <c r="B657" t="s">
        <v>196</v>
      </c>
      <c r="C657" t="s">
        <v>77</v>
      </c>
      <c r="D657" t="s">
        <v>159</v>
      </c>
      <c r="E657">
        <v>6</v>
      </c>
      <c r="F657">
        <v>328</v>
      </c>
      <c r="G657">
        <v>894</v>
      </c>
      <c r="H657">
        <v>1</v>
      </c>
      <c r="I657">
        <v>13.81</v>
      </c>
      <c r="J657">
        <v>13.81</v>
      </c>
      <c r="K657" t="s">
        <v>985</v>
      </c>
      <c r="L657" t="s">
        <v>986</v>
      </c>
      <c r="O657" t="s">
        <v>81</v>
      </c>
      <c r="Q657">
        <v>2</v>
      </c>
      <c r="R657" s="24">
        <v>46032</v>
      </c>
      <c r="T657" t="s">
        <v>38</v>
      </c>
      <c r="V657" t="s">
        <v>921</v>
      </c>
      <c r="Z657" t="s">
        <v>924</v>
      </c>
      <c r="AA657" t="s">
        <v>987</v>
      </c>
      <c r="AC657" t="s">
        <v>988</v>
      </c>
    </row>
    <row r="658" spans="1:29" hidden="1" x14ac:dyDescent="0.25">
      <c r="A658">
        <v>147</v>
      </c>
      <c r="B658" t="s">
        <v>220</v>
      </c>
      <c r="C658" t="s">
        <v>77</v>
      </c>
      <c r="D658" t="s">
        <v>203</v>
      </c>
      <c r="E658">
        <v>6</v>
      </c>
      <c r="F658">
        <v>188</v>
      </c>
      <c r="G658">
        <v>2348</v>
      </c>
      <c r="H658">
        <v>12</v>
      </c>
      <c r="I658">
        <v>20.61</v>
      </c>
      <c r="J658">
        <v>247.35</v>
      </c>
      <c r="K658" t="s">
        <v>985</v>
      </c>
      <c r="L658" t="s">
        <v>986</v>
      </c>
      <c r="O658" t="s">
        <v>81</v>
      </c>
      <c r="P658" t="s">
        <v>81</v>
      </c>
      <c r="Q658">
        <v>2</v>
      </c>
      <c r="R658" s="24">
        <v>46032</v>
      </c>
      <c r="T658" t="s">
        <v>38</v>
      </c>
      <c r="V658" t="s">
        <v>921</v>
      </c>
      <c r="Z658" t="s">
        <v>924</v>
      </c>
      <c r="AA658" t="s">
        <v>987</v>
      </c>
      <c r="AC658" t="s">
        <v>988</v>
      </c>
    </row>
    <row r="659" spans="1:29" hidden="1" x14ac:dyDescent="0.25">
      <c r="A659">
        <v>148</v>
      </c>
      <c r="B659" t="s">
        <v>116</v>
      </c>
      <c r="C659" t="s">
        <v>77</v>
      </c>
      <c r="D659" t="s">
        <v>117</v>
      </c>
      <c r="E659">
        <v>6</v>
      </c>
      <c r="F659">
        <v>298</v>
      </c>
      <c r="G659">
        <v>378</v>
      </c>
      <c r="H659">
        <v>1</v>
      </c>
      <c r="I659">
        <v>5.27</v>
      </c>
      <c r="J659">
        <v>5.27</v>
      </c>
      <c r="K659" t="s">
        <v>985</v>
      </c>
      <c r="L659" t="s">
        <v>986</v>
      </c>
      <c r="Q659">
        <v>2</v>
      </c>
      <c r="R659" s="24">
        <v>46032</v>
      </c>
      <c r="T659" t="s">
        <v>38</v>
      </c>
      <c r="V659" t="s">
        <v>921</v>
      </c>
      <c r="W659" t="s">
        <v>81</v>
      </c>
      <c r="Z659" t="s">
        <v>924</v>
      </c>
      <c r="AA659" t="s">
        <v>987</v>
      </c>
      <c r="AC659" t="s">
        <v>988</v>
      </c>
    </row>
    <row r="660" spans="1:29" hidden="1" x14ac:dyDescent="0.25">
      <c r="A660">
        <v>149</v>
      </c>
      <c r="B660" t="s">
        <v>123</v>
      </c>
      <c r="C660" t="s">
        <v>77</v>
      </c>
      <c r="D660" t="s">
        <v>117</v>
      </c>
      <c r="E660">
        <v>6</v>
      </c>
      <c r="F660">
        <v>298</v>
      </c>
      <c r="G660">
        <v>378</v>
      </c>
      <c r="H660">
        <v>2</v>
      </c>
      <c r="I660">
        <v>5.27</v>
      </c>
      <c r="J660">
        <v>10.54</v>
      </c>
      <c r="K660" t="s">
        <v>985</v>
      </c>
      <c r="L660" t="s">
        <v>986</v>
      </c>
      <c r="Q660">
        <v>2</v>
      </c>
      <c r="R660" s="24">
        <v>46032</v>
      </c>
      <c r="T660" t="s">
        <v>38</v>
      </c>
      <c r="V660" t="s">
        <v>921</v>
      </c>
      <c r="W660" t="s">
        <v>81</v>
      </c>
      <c r="Z660" t="s">
        <v>924</v>
      </c>
      <c r="AA660" t="s">
        <v>987</v>
      </c>
      <c r="AC660" t="s">
        <v>988</v>
      </c>
    </row>
    <row r="661" spans="1:29" hidden="1" x14ac:dyDescent="0.25">
      <c r="A661">
        <v>150</v>
      </c>
      <c r="B661" t="s">
        <v>171</v>
      </c>
      <c r="C661" t="s">
        <v>77</v>
      </c>
      <c r="D661" t="s">
        <v>117</v>
      </c>
      <c r="E661">
        <v>6</v>
      </c>
      <c r="F661">
        <v>298</v>
      </c>
      <c r="G661">
        <v>378</v>
      </c>
      <c r="H661">
        <v>2</v>
      </c>
      <c r="I661">
        <v>5.27</v>
      </c>
      <c r="J661">
        <v>10.54</v>
      </c>
      <c r="K661" t="s">
        <v>985</v>
      </c>
      <c r="L661" t="s">
        <v>986</v>
      </c>
      <c r="Q661">
        <v>2</v>
      </c>
      <c r="R661" s="24">
        <v>46032</v>
      </c>
      <c r="T661" t="s">
        <v>38</v>
      </c>
      <c r="V661" t="s">
        <v>921</v>
      </c>
      <c r="W661" t="s">
        <v>81</v>
      </c>
      <c r="Z661" t="s">
        <v>924</v>
      </c>
      <c r="AA661" t="s">
        <v>987</v>
      </c>
      <c r="AC661" t="s">
        <v>988</v>
      </c>
    </row>
    <row r="662" spans="1:29" hidden="1" x14ac:dyDescent="0.25">
      <c r="A662">
        <v>151</v>
      </c>
      <c r="B662" t="s">
        <v>221</v>
      </c>
      <c r="C662" t="s">
        <v>77</v>
      </c>
      <c r="D662" t="s">
        <v>222</v>
      </c>
      <c r="E662">
        <v>8</v>
      </c>
      <c r="F662">
        <v>334</v>
      </c>
      <c r="G662">
        <v>11992</v>
      </c>
      <c r="H662">
        <v>4</v>
      </c>
      <c r="I662">
        <v>245.5</v>
      </c>
      <c r="J662">
        <v>981.99</v>
      </c>
      <c r="K662" t="s">
        <v>223</v>
      </c>
      <c r="L662" t="s">
        <v>989</v>
      </c>
      <c r="Q662">
        <v>2</v>
      </c>
      <c r="R662" s="24">
        <v>46032</v>
      </c>
      <c r="T662" t="s">
        <v>38</v>
      </c>
      <c r="V662" t="s">
        <v>921</v>
      </c>
      <c r="Y662" t="s">
        <v>81</v>
      </c>
      <c r="Z662" t="s">
        <v>924</v>
      </c>
      <c r="AA662" t="s">
        <v>39</v>
      </c>
      <c r="AC662" t="s">
        <v>990</v>
      </c>
    </row>
    <row r="663" spans="1:29" hidden="1" x14ac:dyDescent="0.25">
      <c r="A663">
        <v>152</v>
      </c>
      <c r="B663" t="s">
        <v>226</v>
      </c>
      <c r="C663" t="s">
        <v>77</v>
      </c>
      <c r="D663" t="s">
        <v>227</v>
      </c>
      <c r="E663">
        <v>8</v>
      </c>
      <c r="F663">
        <v>334</v>
      </c>
      <c r="G663">
        <v>11998</v>
      </c>
      <c r="H663">
        <v>1</v>
      </c>
      <c r="I663">
        <v>244.33</v>
      </c>
      <c r="J663">
        <v>244.33</v>
      </c>
      <c r="K663" t="s">
        <v>223</v>
      </c>
      <c r="L663" t="s">
        <v>989</v>
      </c>
      <c r="N663" t="s">
        <v>228</v>
      </c>
      <c r="Q663">
        <v>2</v>
      </c>
      <c r="R663" s="24">
        <v>46032</v>
      </c>
      <c r="T663" t="s">
        <v>38</v>
      </c>
      <c r="V663" t="s">
        <v>921</v>
      </c>
      <c r="Y663" t="s">
        <v>81</v>
      </c>
      <c r="Z663" t="s">
        <v>924</v>
      </c>
      <c r="AA663" t="s">
        <v>39</v>
      </c>
      <c r="AC663" t="s">
        <v>990</v>
      </c>
    </row>
    <row r="664" spans="1:29" hidden="1" x14ac:dyDescent="0.25">
      <c r="A664">
        <v>153</v>
      </c>
      <c r="B664" t="s">
        <v>229</v>
      </c>
      <c r="C664" t="s">
        <v>77</v>
      </c>
      <c r="D664" t="s">
        <v>230</v>
      </c>
      <c r="E664">
        <v>8</v>
      </c>
      <c r="F664">
        <v>90</v>
      </c>
      <c r="G664">
        <v>150</v>
      </c>
      <c r="H664">
        <v>1</v>
      </c>
      <c r="I664">
        <v>0.62</v>
      </c>
      <c r="J664">
        <v>0.62</v>
      </c>
      <c r="K664" t="s">
        <v>223</v>
      </c>
      <c r="L664" t="s">
        <v>989</v>
      </c>
      <c r="Q664">
        <v>2</v>
      </c>
      <c r="R664" s="24">
        <v>46032</v>
      </c>
      <c r="T664" t="s">
        <v>38</v>
      </c>
      <c r="V664" t="s">
        <v>921</v>
      </c>
      <c r="W664" t="s">
        <v>81</v>
      </c>
      <c r="Z664" t="s">
        <v>924</v>
      </c>
      <c r="AA664" t="s">
        <v>39</v>
      </c>
      <c r="AC664" t="s">
        <v>990</v>
      </c>
    </row>
    <row r="665" spans="1:29" hidden="1" x14ac:dyDescent="0.25">
      <c r="A665">
        <v>154</v>
      </c>
      <c r="B665" t="s">
        <v>231</v>
      </c>
      <c r="C665" t="s">
        <v>77</v>
      </c>
      <c r="D665" t="s">
        <v>232</v>
      </c>
      <c r="E665">
        <v>8</v>
      </c>
      <c r="F665">
        <v>150</v>
      </c>
      <c r="G665">
        <v>4252</v>
      </c>
      <c r="H665">
        <v>2</v>
      </c>
      <c r="I665">
        <v>40.06</v>
      </c>
      <c r="J665">
        <v>80.11</v>
      </c>
      <c r="K665" t="s">
        <v>223</v>
      </c>
      <c r="L665" t="s">
        <v>989</v>
      </c>
      <c r="Q665">
        <v>2</v>
      </c>
      <c r="R665" s="24">
        <v>46032</v>
      </c>
      <c r="T665" t="s">
        <v>38</v>
      </c>
      <c r="V665" t="s">
        <v>921</v>
      </c>
      <c r="Y665" t="s">
        <v>81</v>
      </c>
      <c r="Z665" t="s">
        <v>924</v>
      </c>
      <c r="AA665" t="s">
        <v>39</v>
      </c>
      <c r="AC665" t="s">
        <v>990</v>
      </c>
    </row>
    <row r="666" spans="1:29" hidden="1" x14ac:dyDescent="0.25">
      <c r="A666">
        <v>155</v>
      </c>
      <c r="B666" t="s">
        <v>233</v>
      </c>
      <c r="C666" t="s">
        <v>77</v>
      </c>
      <c r="D666" t="s">
        <v>234</v>
      </c>
      <c r="E666">
        <v>8</v>
      </c>
      <c r="F666">
        <v>150</v>
      </c>
      <c r="G666">
        <v>6824</v>
      </c>
      <c r="H666">
        <v>2</v>
      </c>
      <c r="I666">
        <v>64.28</v>
      </c>
      <c r="J666">
        <v>128.56</v>
      </c>
      <c r="K666" t="s">
        <v>223</v>
      </c>
      <c r="L666" t="s">
        <v>989</v>
      </c>
      <c r="Q666">
        <v>2</v>
      </c>
      <c r="R666" s="24">
        <v>46032</v>
      </c>
      <c r="T666" t="s">
        <v>38</v>
      </c>
      <c r="V666" t="s">
        <v>921</v>
      </c>
      <c r="Y666" t="s">
        <v>81</v>
      </c>
      <c r="Z666" t="s">
        <v>924</v>
      </c>
      <c r="AA666" t="s">
        <v>39</v>
      </c>
      <c r="AC666" t="s">
        <v>990</v>
      </c>
    </row>
    <row r="667" spans="1:29" hidden="1" x14ac:dyDescent="0.25">
      <c r="A667">
        <v>156</v>
      </c>
      <c r="B667" t="s">
        <v>235</v>
      </c>
      <c r="C667" t="s">
        <v>77</v>
      </c>
      <c r="D667" t="s">
        <v>236</v>
      </c>
      <c r="E667">
        <v>8</v>
      </c>
      <c r="F667">
        <v>150</v>
      </c>
      <c r="G667">
        <v>792</v>
      </c>
      <c r="H667">
        <v>2</v>
      </c>
      <c r="I667">
        <v>7.46</v>
      </c>
      <c r="J667">
        <v>14.92</v>
      </c>
      <c r="K667" t="s">
        <v>223</v>
      </c>
      <c r="L667" t="s">
        <v>989</v>
      </c>
      <c r="Q667">
        <v>2</v>
      </c>
      <c r="R667" s="24">
        <v>46032</v>
      </c>
      <c r="T667" t="s">
        <v>38</v>
      </c>
      <c r="V667" t="s">
        <v>921</v>
      </c>
      <c r="Y667" t="s">
        <v>81</v>
      </c>
      <c r="Z667" t="s">
        <v>924</v>
      </c>
      <c r="AA667" t="s">
        <v>39</v>
      </c>
      <c r="AC667" t="s">
        <v>990</v>
      </c>
    </row>
    <row r="668" spans="1:29" hidden="1" x14ac:dyDescent="0.25">
      <c r="A668">
        <v>157</v>
      </c>
      <c r="B668" t="s">
        <v>237</v>
      </c>
      <c r="C668" t="s">
        <v>77</v>
      </c>
      <c r="D668" t="s">
        <v>238</v>
      </c>
      <c r="E668">
        <v>8</v>
      </c>
      <c r="F668">
        <v>148</v>
      </c>
      <c r="G668">
        <v>441</v>
      </c>
      <c r="H668">
        <v>1</v>
      </c>
      <c r="I668">
        <v>4.0999999999999996</v>
      </c>
      <c r="J668">
        <v>4.0999999999999996</v>
      </c>
      <c r="K668" t="s">
        <v>223</v>
      </c>
      <c r="L668" t="s">
        <v>991</v>
      </c>
      <c r="Q668">
        <v>2</v>
      </c>
      <c r="R668" s="24">
        <v>46032</v>
      </c>
      <c r="T668" t="s">
        <v>38</v>
      </c>
      <c r="V668" t="s">
        <v>921</v>
      </c>
      <c r="W668" t="s">
        <v>81</v>
      </c>
      <c r="Z668" t="s">
        <v>924</v>
      </c>
      <c r="AA668" t="s">
        <v>39</v>
      </c>
      <c r="AC668" t="s">
        <v>992</v>
      </c>
    </row>
    <row r="669" spans="1:29" hidden="1" x14ac:dyDescent="0.25">
      <c r="A669">
        <v>158</v>
      </c>
      <c r="B669" t="s">
        <v>241</v>
      </c>
      <c r="C669" t="s">
        <v>77</v>
      </c>
      <c r="D669" t="s">
        <v>242</v>
      </c>
      <c r="E669">
        <v>8</v>
      </c>
      <c r="F669">
        <v>156</v>
      </c>
      <c r="G669">
        <v>465</v>
      </c>
      <c r="H669">
        <v>1</v>
      </c>
      <c r="I669">
        <v>4.55</v>
      </c>
      <c r="J669">
        <v>4.55</v>
      </c>
      <c r="K669" t="s">
        <v>223</v>
      </c>
      <c r="L669" t="s">
        <v>991</v>
      </c>
      <c r="Q669">
        <v>2</v>
      </c>
      <c r="R669" s="24">
        <v>46032</v>
      </c>
      <c r="T669" t="s">
        <v>38</v>
      </c>
      <c r="V669" t="s">
        <v>921</v>
      </c>
      <c r="W669" t="s">
        <v>81</v>
      </c>
      <c r="Z669" t="s">
        <v>924</v>
      </c>
      <c r="AA669" t="s">
        <v>39</v>
      </c>
      <c r="AC669" t="s">
        <v>992</v>
      </c>
    </row>
    <row r="670" spans="1:29" hidden="1" x14ac:dyDescent="0.25">
      <c r="A670">
        <v>159</v>
      </c>
      <c r="B670" t="s">
        <v>243</v>
      </c>
      <c r="C670" t="s">
        <v>77</v>
      </c>
      <c r="D670" t="s">
        <v>244</v>
      </c>
      <c r="E670">
        <v>8</v>
      </c>
      <c r="F670">
        <v>464</v>
      </c>
      <c r="G670">
        <v>12000</v>
      </c>
      <c r="H670">
        <v>1</v>
      </c>
      <c r="I670">
        <v>332.54</v>
      </c>
      <c r="J670">
        <v>332.54</v>
      </c>
      <c r="K670" t="s">
        <v>223</v>
      </c>
      <c r="L670" t="s">
        <v>991</v>
      </c>
      <c r="N670" t="s">
        <v>228</v>
      </c>
      <c r="Q670">
        <v>2</v>
      </c>
      <c r="R670" s="24">
        <v>46032</v>
      </c>
      <c r="T670" t="s">
        <v>38</v>
      </c>
      <c r="V670" t="s">
        <v>921</v>
      </c>
      <c r="Y670" t="s">
        <v>81</v>
      </c>
      <c r="Z670" t="s">
        <v>924</v>
      </c>
      <c r="AA670" t="s">
        <v>39</v>
      </c>
      <c r="AC670" t="s">
        <v>992</v>
      </c>
    </row>
    <row r="671" spans="1:29" hidden="1" x14ac:dyDescent="0.25">
      <c r="A671">
        <v>160</v>
      </c>
      <c r="B671" t="s">
        <v>245</v>
      </c>
      <c r="C671" t="s">
        <v>77</v>
      </c>
      <c r="D671" t="s">
        <v>246</v>
      </c>
      <c r="E671">
        <v>8</v>
      </c>
      <c r="F671">
        <v>342</v>
      </c>
      <c r="G671">
        <v>11990</v>
      </c>
      <c r="H671">
        <v>1</v>
      </c>
      <c r="I671">
        <v>244.16</v>
      </c>
      <c r="J671">
        <v>244.16</v>
      </c>
      <c r="K671" t="s">
        <v>223</v>
      </c>
      <c r="L671" t="s">
        <v>991</v>
      </c>
      <c r="N671" t="s">
        <v>228</v>
      </c>
      <c r="Q671">
        <v>2</v>
      </c>
      <c r="R671" s="24">
        <v>46032</v>
      </c>
      <c r="T671" t="s">
        <v>38</v>
      </c>
      <c r="V671" t="s">
        <v>921</v>
      </c>
      <c r="Y671" t="s">
        <v>81</v>
      </c>
      <c r="Z671" t="s">
        <v>924</v>
      </c>
      <c r="AA671" t="s">
        <v>39</v>
      </c>
      <c r="AC671" t="s">
        <v>992</v>
      </c>
    </row>
    <row r="672" spans="1:29" hidden="1" x14ac:dyDescent="0.25">
      <c r="A672">
        <v>161</v>
      </c>
      <c r="B672" t="s">
        <v>226</v>
      </c>
      <c r="C672" t="s">
        <v>77</v>
      </c>
      <c r="D672" t="s">
        <v>227</v>
      </c>
      <c r="E672">
        <v>8</v>
      </c>
      <c r="F672">
        <v>334</v>
      </c>
      <c r="G672">
        <v>11998</v>
      </c>
      <c r="H672">
        <v>3</v>
      </c>
      <c r="I672">
        <v>244.33</v>
      </c>
      <c r="J672">
        <v>732.99</v>
      </c>
      <c r="K672" t="s">
        <v>223</v>
      </c>
      <c r="L672" t="s">
        <v>991</v>
      </c>
      <c r="N672" t="s">
        <v>228</v>
      </c>
      <c r="Q672">
        <v>2</v>
      </c>
      <c r="R672" s="24">
        <v>46032</v>
      </c>
      <c r="T672" t="s">
        <v>38</v>
      </c>
      <c r="V672" t="s">
        <v>921</v>
      </c>
      <c r="Y672" t="s">
        <v>81</v>
      </c>
      <c r="Z672" t="s">
        <v>924</v>
      </c>
      <c r="AA672" t="s">
        <v>39</v>
      </c>
      <c r="AC672" t="s">
        <v>992</v>
      </c>
    </row>
    <row r="673" spans="1:29" hidden="1" x14ac:dyDescent="0.25">
      <c r="A673">
        <v>162</v>
      </c>
      <c r="B673" t="s">
        <v>231</v>
      </c>
      <c r="C673" t="s">
        <v>77</v>
      </c>
      <c r="D673" t="s">
        <v>232</v>
      </c>
      <c r="E673">
        <v>8</v>
      </c>
      <c r="F673">
        <v>150</v>
      </c>
      <c r="G673">
        <v>4252</v>
      </c>
      <c r="H673">
        <v>1</v>
      </c>
      <c r="I673">
        <v>40.049999999999997</v>
      </c>
      <c r="J673">
        <v>40.049999999999997</v>
      </c>
      <c r="K673" t="s">
        <v>223</v>
      </c>
      <c r="L673" t="s">
        <v>991</v>
      </c>
      <c r="Q673">
        <v>2</v>
      </c>
      <c r="R673" s="24">
        <v>46032</v>
      </c>
      <c r="T673" t="s">
        <v>38</v>
      </c>
      <c r="V673" t="s">
        <v>921</v>
      </c>
      <c r="Y673" t="s">
        <v>81</v>
      </c>
      <c r="Z673" t="s">
        <v>924</v>
      </c>
      <c r="AA673" t="s">
        <v>39</v>
      </c>
      <c r="AC673" t="s">
        <v>992</v>
      </c>
    </row>
    <row r="674" spans="1:29" hidden="1" x14ac:dyDescent="0.25">
      <c r="A674">
        <v>163</v>
      </c>
      <c r="B674" t="s">
        <v>233</v>
      </c>
      <c r="C674" t="s">
        <v>77</v>
      </c>
      <c r="D674" t="s">
        <v>234</v>
      </c>
      <c r="E674">
        <v>8</v>
      </c>
      <c r="F674">
        <v>150</v>
      </c>
      <c r="G674">
        <v>6824</v>
      </c>
      <c r="H674">
        <v>1</v>
      </c>
      <c r="I674">
        <v>64.28</v>
      </c>
      <c r="J674">
        <v>64.28</v>
      </c>
      <c r="K674" t="s">
        <v>223</v>
      </c>
      <c r="L674" t="s">
        <v>991</v>
      </c>
      <c r="Q674">
        <v>2</v>
      </c>
      <c r="R674" s="24">
        <v>46032</v>
      </c>
      <c r="T674" t="s">
        <v>38</v>
      </c>
      <c r="V674" t="s">
        <v>921</v>
      </c>
      <c r="Y674" t="s">
        <v>81</v>
      </c>
      <c r="Z674" t="s">
        <v>924</v>
      </c>
      <c r="AA674" t="s">
        <v>39</v>
      </c>
      <c r="AC674" t="s">
        <v>992</v>
      </c>
    </row>
    <row r="675" spans="1:29" hidden="1" x14ac:dyDescent="0.25">
      <c r="A675">
        <v>164</v>
      </c>
      <c r="B675" t="s">
        <v>243</v>
      </c>
      <c r="C675" t="s">
        <v>77</v>
      </c>
      <c r="D675" t="s">
        <v>244</v>
      </c>
      <c r="E675">
        <v>8</v>
      </c>
      <c r="F675">
        <v>464</v>
      </c>
      <c r="G675">
        <v>12000</v>
      </c>
      <c r="H675">
        <v>1</v>
      </c>
      <c r="I675">
        <v>332.54</v>
      </c>
      <c r="J675">
        <v>332.54</v>
      </c>
      <c r="K675" t="s">
        <v>223</v>
      </c>
      <c r="L675" t="s">
        <v>993</v>
      </c>
      <c r="N675" t="s">
        <v>228</v>
      </c>
      <c r="Q675">
        <v>2</v>
      </c>
      <c r="R675" s="24">
        <v>46032</v>
      </c>
      <c r="T675" t="s">
        <v>38</v>
      </c>
      <c r="V675" t="s">
        <v>921</v>
      </c>
      <c r="Y675" t="s">
        <v>81</v>
      </c>
      <c r="Z675" t="s">
        <v>924</v>
      </c>
      <c r="AA675" t="s">
        <v>39</v>
      </c>
      <c r="AC675" t="s">
        <v>994</v>
      </c>
    </row>
    <row r="676" spans="1:29" hidden="1" x14ac:dyDescent="0.25">
      <c r="A676">
        <v>165</v>
      </c>
      <c r="B676" t="s">
        <v>249</v>
      </c>
      <c r="C676" t="s">
        <v>77</v>
      </c>
      <c r="D676" t="s">
        <v>250</v>
      </c>
      <c r="E676">
        <v>8</v>
      </c>
      <c r="F676">
        <v>347</v>
      </c>
      <c r="G676">
        <v>12000</v>
      </c>
      <c r="H676">
        <v>4</v>
      </c>
      <c r="I676">
        <v>244.38</v>
      </c>
      <c r="J676">
        <v>977.5</v>
      </c>
      <c r="K676" t="s">
        <v>223</v>
      </c>
      <c r="L676" t="s">
        <v>993</v>
      </c>
      <c r="N676" t="s">
        <v>228</v>
      </c>
      <c r="Q676">
        <v>2</v>
      </c>
      <c r="R676" s="24">
        <v>46032</v>
      </c>
      <c r="T676" t="s">
        <v>38</v>
      </c>
      <c r="V676" t="s">
        <v>921</v>
      </c>
      <c r="Y676" t="s">
        <v>81</v>
      </c>
      <c r="Z676" t="s">
        <v>924</v>
      </c>
      <c r="AA676" t="s">
        <v>39</v>
      </c>
      <c r="AC676" t="s">
        <v>994</v>
      </c>
    </row>
    <row r="677" spans="1:29" hidden="1" x14ac:dyDescent="0.25">
      <c r="A677">
        <v>166</v>
      </c>
      <c r="B677" t="s">
        <v>229</v>
      </c>
      <c r="C677" t="s">
        <v>77</v>
      </c>
      <c r="D677" t="s">
        <v>230</v>
      </c>
      <c r="E677">
        <v>8</v>
      </c>
      <c r="F677">
        <v>90</v>
      </c>
      <c r="G677">
        <v>150</v>
      </c>
      <c r="H677">
        <v>1</v>
      </c>
      <c r="I677">
        <v>0.62</v>
      </c>
      <c r="J677">
        <v>0.62</v>
      </c>
      <c r="K677" t="s">
        <v>223</v>
      </c>
      <c r="L677" t="s">
        <v>993</v>
      </c>
      <c r="Q677">
        <v>2</v>
      </c>
      <c r="R677" s="24">
        <v>46032</v>
      </c>
      <c r="T677" t="s">
        <v>38</v>
      </c>
      <c r="V677" t="s">
        <v>921</v>
      </c>
      <c r="W677" t="s">
        <v>81</v>
      </c>
      <c r="Z677" t="s">
        <v>924</v>
      </c>
      <c r="AA677" t="s">
        <v>39</v>
      </c>
      <c r="AC677" t="s">
        <v>994</v>
      </c>
    </row>
    <row r="678" spans="1:29" hidden="1" x14ac:dyDescent="0.25">
      <c r="A678">
        <v>167</v>
      </c>
      <c r="B678" t="s">
        <v>231</v>
      </c>
      <c r="C678" t="s">
        <v>77</v>
      </c>
      <c r="D678" t="s">
        <v>232</v>
      </c>
      <c r="E678">
        <v>8</v>
      </c>
      <c r="F678">
        <v>150</v>
      </c>
      <c r="G678">
        <v>4252</v>
      </c>
      <c r="H678">
        <v>1</v>
      </c>
      <c r="I678">
        <v>40.049999999999997</v>
      </c>
      <c r="J678">
        <v>40.049999999999997</v>
      </c>
      <c r="K678" t="s">
        <v>223</v>
      </c>
      <c r="L678" t="s">
        <v>993</v>
      </c>
      <c r="Q678">
        <v>2</v>
      </c>
      <c r="R678" s="24">
        <v>46032</v>
      </c>
      <c r="T678" t="s">
        <v>38</v>
      </c>
      <c r="V678" t="s">
        <v>921</v>
      </c>
      <c r="Y678" t="s">
        <v>81</v>
      </c>
      <c r="Z678" t="s">
        <v>924</v>
      </c>
      <c r="AA678" t="s">
        <v>39</v>
      </c>
      <c r="AC678" t="s">
        <v>994</v>
      </c>
    </row>
    <row r="679" spans="1:29" hidden="1" x14ac:dyDescent="0.25">
      <c r="A679">
        <v>168</v>
      </c>
      <c r="B679" t="s">
        <v>233</v>
      </c>
      <c r="C679" t="s">
        <v>77</v>
      </c>
      <c r="D679" t="s">
        <v>234</v>
      </c>
      <c r="E679">
        <v>8</v>
      </c>
      <c r="F679">
        <v>150</v>
      </c>
      <c r="G679">
        <v>6824</v>
      </c>
      <c r="H679">
        <v>1</v>
      </c>
      <c r="I679">
        <v>64.28</v>
      </c>
      <c r="J679">
        <v>64.28</v>
      </c>
      <c r="K679" t="s">
        <v>223</v>
      </c>
      <c r="L679" t="s">
        <v>993</v>
      </c>
      <c r="Q679">
        <v>2</v>
      </c>
      <c r="R679" s="24">
        <v>46032</v>
      </c>
      <c r="T679" t="s">
        <v>38</v>
      </c>
      <c r="V679" t="s">
        <v>921</v>
      </c>
      <c r="Y679" t="s">
        <v>81</v>
      </c>
      <c r="Z679" t="s">
        <v>924</v>
      </c>
      <c r="AA679" t="s">
        <v>39</v>
      </c>
      <c r="AC679" t="s">
        <v>994</v>
      </c>
    </row>
    <row r="680" spans="1:29" hidden="1" x14ac:dyDescent="0.25">
      <c r="A680">
        <v>169</v>
      </c>
      <c r="B680" t="s">
        <v>235</v>
      </c>
      <c r="C680" t="s">
        <v>77</v>
      </c>
      <c r="D680" t="s">
        <v>236</v>
      </c>
      <c r="E680">
        <v>8</v>
      </c>
      <c r="F680">
        <v>150</v>
      </c>
      <c r="G680">
        <v>792</v>
      </c>
      <c r="H680">
        <v>1</v>
      </c>
      <c r="I680">
        <v>7.46</v>
      </c>
      <c r="J680">
        <v>7.46</v>
      </c>
      <c r="K680" t="s">
        <v>223</v>
      </c>
      <c r="L680" t="s">
        <v>993</v>
      </c>
      <c r="Q680">
        <v>2</v>
      </c>
      <c r="R680" s="24">
        <v>46032</v>
      </c>
      <c r="T680" t="s">
        <v>38</v>
      </c>
      <c r="V680" t="s">
        <v>921</v>
      </c>
      <c r="Y680" t="s">
        <v>81</v>
      </c>
      <c r="Z680" t="s">
        <v>924</v>
      </c>
      <c r="AA680" t="s">
        <v>39</v>
      </c>
      <c r="AC680" t="s">
        <v>994</v>
      </c>
    </row>
    <row r="681" spans="1:29" hidden="1" x14ac:dyDescent="0.25">
      <c r="A681">
        <v>170</v>
      </c>
      <c r="B681" t="s">
        <v>251</v>
      </c>
      <c r="C681" t="s">
        <v>77</v>
      </c>
      <c r="D681" t="s">
        <v>252</v>
      </c>
      <c r="E681">
        <v>8</v>
      </c>
      <c r="F681">
        <v>459</v>
      </c>
      <c r="G681">
        <v>11977</v>
      </c>
      <c r="H681">
        <v>1</v>
      </c>
      <c r="I681">
        <v>331.9</v>
      </c>
      <c r="J681">
        <v>331.9</v>
      </c>
      <c r="K681" t="s">
        <v>223</v>
      </c>
      <c r="L681" t="s">
        <v>995</v>
      </c>
      <c r="N681" t="s">
        <v>228</v>
      </c>
      <c r="Q681">
        <v>2</v>
      </c>
      <c r="R681" s="24">
        <v>46032</v>
      </c>
      <c r="T681" t="s">
        <v>38</v>
      </c>
      <c r="V681" t="s">
        <v>921</v>
      </c>
      <c r="Y681" t="s">
        <v>81</v>
      </c>
      <c r="Z681" t="s">
        <v>924</v>
      </c>
      <c r="AA681" t="s">
        <v>39</v>
      </c>
      <c r="AC681" t="s">
        <v>996</v>
      </c>
    </row>
    <row r="682" spans="1:29" hidden="1" x14ac:dyDescent="0.25">
      <c r="A682">
        <v>171</v>
      </c>
      <c r="B682" t="s">
        <v>255</v>
      </c>
      <c r="C682" t="s">
        <v>77</v>
      </c>
      <c r="D682" t="s">
        <v>246</v>
      </c>
      <c r="E682">
        <v>8</v>
      </c>
      <c r="F682">
        <v>342</v>
      </c>
      <c r="G682">
        <v>11990</v>
      </c>
      <c r="H682">
        <v>3</v>
      </c>
      <c r="I682">
        <v>244.16</v>
      </c>
      <c r="J682">
        <v>732.47</v>
      </c>
      <c r="K682" t="s">
        <v>223</v>
      </c>
      <c r="L682" t="s">
        <v>995</v>
      </c>
      <c r="N682" t="s">
        <v>228</v>
      </c>
      <c r="Q682">
        <v>2</v>
      </c>
      <c r="R682" s="24">
        <v>46032</v>
      </c>
      <c r="T682" t="s">
        <v>38</v>
      </c>
      <c r="V682" t="s">
        <v>921</v>
      </c>
      <c r="Y682" t="s">
        <v>81</v>
      </c>
      <c r="Z682" t="s">
        <v>924</v>
      </c>
      <c r="AA682" t="s">
        <v>39</v>
      </c>
      <c r="AC682" t="s">
        <v>996</v>
      </c>
    </row>
    <row r="683" spans="1:29" hidden="1" x14ac:dyDescent="0.25">
      <c r="A683">
        <v>172</v>
      </c>
      <c r="B683" t="s">
        <v>256</v>
      </c>
      <c r="C683" t="s">
        <v>77</v>
      </c>
      <c r="D683" t="s">
        <v>257</v>
      </c>
      <c r="E683">
        <v>8</v>
      </c>
      <c r="F683">
        <v>458</v>
      </c>
      <c r="G683">
        <v>11977</v>
      </c>
      <c r="H683">
        <v>1</v>
      </c>
      <c r="I683">
        <v>331.9</v>
      </c>
      <c r="J683">
        <v>331.9</v>
      </c>
      <c r="K683" t="s">
        <v>223</v>
      </c>
      <c r="L683" t="s">
        <v>995</v>
      </c>
      <c r="N683" t="s">
        <v>228</v>
      </c>
      <c r="Q683">
        <v>2</v>
      </c>
      <c r="R683" s="24">
        <v>46032</v>
      </c>
      <c r="T683" t="s">
        <v>38</v>
      </c>
      <c r="V683" t="s">
        <v>921</v>
      </c>
      <c r="Y683" t="s">
        <v>81</v>
      </c>
      <c r="Z683" t="s">
        <v>924</v>
      </c>
      <c r="AA683" t="s">
        <v>39</v>
      </c>
      <c r="AC683" t="s">
        <v>996</v>
      </c>
    </row>
    <row r="684" spans="1:29" hidden="1" x14ac:dyDescent="0.25">
      <c r="A684">
        <v>173</v>
      </c>
      <c r="B684" t="s">
        <v>255</v>
      </c>
      <c r="C684" t="s">
        <v>77</v>
      </c>
      <c r="D684" t="s">
        <v>246</v>
      </c>
      <c r="E684">
        <v>8</v>
      </c>
      <c r="F684">
        <v>342</v>
      </c>
      <c r="G684">
        <v>11990</v>
      </c>
      <c r="H684">
        <v>1</v>
      </c>
      <c r="I684">
        <v>244.16</v>
      </c>
      <c r="J684">
        <v>244.16</v>
      </c>
      <c r="K684" t="s">
        <v>223</v>
      </c>
      <c r="L684" t="s">
        <v>997</v>
      </c>
      <c r="N684" t="s">
        <v>228</v>
      </c>
      <c r="Q684">
        <v>2</v>
      </c>
      <c r="R684" s="24">
        <v>46032</v>
      </c>
      <c r="T684" t="s">
        <v>38</v>
      </c>
      <c r="V684" t="s">
        <v>921</v>
      </c>
      <c r="Y684" t="s">
        <v>81</v>
      </c>
      <c r="Z684" t="s">
        <v>924</v>
      </c>
      <c r="AA684" t="s">
        <v>39</v>
      </c>
      <c r="AC684" t="s">
        <v>998</v>
      </c>
    </row>
    <row r="685" spans="1:29" hidden="1" x14ac:dyDescent="0.25">
      <c r="A685">
        <v>174</v>
      </c>
      <c r="B685" t="s">
        <v>245</v>
      </c>
      <c r="C685" t="s">
        <v>77</v>
      </c>
      <c r="D685" t="s">
        <v>246</v>
      </c>
      <c r="E685">
        <v>8</v>
      </c>
      <c r="F685">
        <v>342</v>
      </c>
      <c r="G685">
        <v>11990</v>
      </c>
      <c r="H685">
        <v>2</v>
      </c>
      <c r="I685">
        <v>244.16</v>
      </c>
      <c r="J685">
        <v>488.31</v>
      </c>
      <c r="K685" t="s">
        <v>223</v>
      </c>
      <c r="L685" t="s">
        <v>997</v>
      </c>
      <c r="N685" t="s">
        <v>228</v>
      </c>
      <c r="Q685">
        <v>2</v>
      </c>
      <c r="R685" s="24">
        <v>46032</v>
      </c>
      <c r="T685" t="s">
        <v>38</v>
      </c>
      <c r="V685" t="s">
        <v>921</v>
      </c>
      <c r="Y685" t="s">
        <v>81</v>
      </c>
      <c r="Z685" t="s">
        <v>924</v>
      </c>
      <c r="AA685" t="s">
        <v>39</v>
      </c>
      <c r="AC685" t="s">
        <v>998</v>
      </c>
    </row>
    <row r="686" spans="1:29" hidden="1" x14ac:dyDescent="0.25">
      <c r="A686">
        <v>175</v>
      </c>
      <c r="B686" t="s">
        <v>260</v>
      </c>
      <c r="C686" t="s">
        <v>77</v>
      </c>
      <c r="D686" t="s">
        <v>261</v>
      </c>
      <c r="E686">
        <v>8</v>
      </c>
      <c r="F686">
        <v>451</v>
      </c>
      <c r="G686">
        <v>12000</v>
      </c>
      <c r="H686">
        <v>2</v>
      </c>
      <c r="I686">
        <v>332.59</v>
      </c>
      <c r="J686">
        <v>665.18</v>
      </c>
      <c r="K686" t="s">
        <v>223</v>
      </c>
      <c r="L686" t="s">
        <v>997</v>
      </c>
      <c r="N686" t="s">
        <v>228</v>
      </c>
      <c r="Q686">
        <v>2</v>
      </c>
      <c r="R686" s="24">
        <v>46032</v>
      </c>
      <c r="T686" t="s">
        <v>38</v>
      </c>
      <c r="V686" t="s">
        <v>921</v>
      </c>
      <c r="Y686" t="s">
        <v>81</v>
      </c>
      <c r="Z686" t="s">
        <v>924</v>
      </c>
      <c r="AA686" t="s">
        <v>39</v>
      </c>
      <c r="AC686" t="s">
        <v>998</v>
      </c>
    </row>
    <row r="687" spans="1:29" hidden="1" x14ac:dyDescent="0.25">
      <c r="A687">
        <v>176</v>
      </c>
      <c r="B687" t="s">
        <v>262</v>
      </c>
      <c r="C687" t="s">
        <v>77</v>
      </c>
      <c r="D687" t="s">
        <v>222</v>
      </c>
      <c r="E687">
        <v>8</v>
      </c>
      <c r="F687">
        <v>334</v>
      </c>
      <c r="G687">
        <v>11992</v>
      </c>
      <c r="H687">
        <v>4</v>
      </c>
      <c r="I687">
        <v>245.5</v>
      </c>
      <c r="J687">
        <v>981.99</v>
      </c>
      <c r="K687" t="s">
        <v>223</v>
      </c>
      <c r="L687" t="s">
        <v>999</v>
      </c>
      <c r="Q687">
        <v>2</v>
      </c>
      <c r="R687" s="24">
        <v>46032</v>
      </c>
      <c r="T687" t="s">
        <v>38</v>
      </c>
      <c r="V687" t="s">
        <v>921</v>
      </c>
      <c r="Y687" t="s">
        <v>81</v>
      </c>
      <c r="Z687" t="s">
        <v>924</v>
      </c>
      <c r="AA687" t="s">
        <v>39</v>
      </c>
      <c r="AC687" t="s">
        <v>1000</v>
      </c>
    </row>
    <row r="688" spans="1:29" hidden="1" x14ac:dyDescent="0.25">
      <c r="A688">
        <v>177</v>
      </c>
      <c r="B688" t="s">
        <v>245</v>
      </c>
      <c r="C688" t="s">
        <v>77</v>
      </c>
      <c r="D688" t="s">
        <v>246</v>
      </c>
      <c r="E688">
        <v>8</v>
      </c>
      <c r="F688">
        <v>342</v>
      </c>
      <c r="G688">
        <v>11990</v>
      </c>
      <c r="H688">
        <v>1</v>
      </c>
      <c r="I688">
        <v>244.16</v>
      </c>
      <c r="J688">
        <v>244.16</v>
      </c>
      <c r="K688" t="s">
        <v>223</v>
      </c>
      <c r="L688" t="s">
        <v>999</v>
      </c>
      <c r="N688" t="s">
        <v>228</v>
      </c>
      <c r="Q688">
        <v>2</v>
      </c>
      <c r="R688" s="24">
        <v>46032</v>
      </c>
      <c r="T688" t="s">
        <v>38</v>
      </c>
      <c r="V688" t="s">
        <v>921</v>
      </c>
      <c r="Y688" t="s">
        <v>81</v>
      </c>
      <c r="Z688" t="s">
        <v>924</v>
      </c>
      <c r="AA688" t="s">
        <v>39</v>
      </c>
      <c r="AC688" t="s">
        <v>1000</v>
      </c>
    </row>
    <row r="689" spans="1:29" hidden="1" x14ac:dyDescent="0.25">
      <c r="A689">
        <v>178</v>
      </c>
      <c r="B689" t="s">
        <v>265</v>
      </c>
      <c r="C689" t="s">
        <v>77</v>
      </c>
      <c r="D689" t="s">
        <v>266</v>
      </c>
      <c r="E689">
        <v>8</v>
      </c>
      <c r="F689">
        <v>124</v>
      </c>
      <c r="G689">
        <v>4252</v>
      </c>
      <c r="H689">
        <v>2</v>
      </c>
      <c r="I689">
        <v>33.11</v>
      </c>
      <c r="J689">
        <v>66.22</v>
      </c>
      <c r="K689" t="s">
        <v>223</v>
      </c>
      <c r="L689" t="s">
        <v>999</v>
      </c>
      <c r="Q689">
        <v>2</v>
      </c>
      <c r="R689" s="24">
        <v>46032</v>
      </c>
      <c r="T689" t="s">
        <v>38</v>
      </c>
      <c r="V689" t="s">
        <v>921</v>
      </c>
      <c r="Y689" t="s">
        <v>81</v>
      </c>
      <c r="Z689" t="s">
        <v>924</v>
      </c>
      <c r="AA689" t="s">
        <v>39</v>
      </c>
      <c r="AC689" t="s">
        <v>1000</v>
      </c>
    </row>
    <row r="690" spans="1:29" hidden="1" x14ac:dyDescent="0.25">
      <c r="A690">
        <v>179</v>
      </c>
      <c r="B690" t="s">
        <v>267</v>
      </c>
      <c r="C690" t="s">
        <v>77</v>
      </c>
      <c r="D690" t="s">
        <v>268</v>
      </c>
      <c r="E690">
        <v>8</v>
      </c>
      <c r="F690">
        <v>124</v>
      </c>
      <c r="G690">
        <v>6824</v>
      </c>
      <c r="H690">
        <v>2</v>
      </c>
      <c r="I690">
        <v>53.14</v>
      </c>
      <c r="J690">
        <v>106.28</v>
      </c>
      <c r="K690" t="s">
        <v>223</v>
      </c>
      <c r="L690" t="s">
        <v>999</v>
      </c>
      <c r="Q690">
        <v>2</v>
      </c>
      <c r="R690" s="24">
        <v>46032</v>
      </c>
      <c r="T690" t="s">
        <v>38</v>
      </c>
      <c r="V690" t="s">
        <v>921</v>
      </c>
      <c r="Y690" t="s">
        <v>81</v>
      </c>
      <c r="Z690" t="s">
        <v>924</v>
      </c>
      <c r="AA690" t="s">
        <v>39</v>
      </c>
      <c r="AC690" t="s">
        <v>1000</v>
      </c>
    </row>
    <row r="691" spans="1:29" hidden="1" x14ac:dyDescent="0.25">
      <c r="A691">
        <v>180</v>
      </c>
      <c r="B691" t="s">
        <v>235</v>
      </c>
      <c r="C691" t="s">
        <v>77</v>
      </c>
      <c r="D691" t="s">
        <v>236</v>
      </c>
      <c r="E691">
        <v>8</v>
      </c>
      <c r="F691">
        <v>150</v>
      </c>
      <c r="G691">
        <v>792</v>
      </c>
      <c r="H691">
        <v>1</v>
      </c>
      <c r="I691">
        <v>7.46</v>
      </c>
      <c r="J691">
        <v>7.46</v>
      </c>
      <c r="K691" t="s">
        <v>223</v>
      </c>
      <c r="L691" t="s">
        <v>999</v>
      </c>
      <c r="Q691">
        <v>2</v>
      </c>
      <c r="R691" s="24">
        <v>46032</v>
      </c>
      <c r="T691" t="s">
        <v>38</v>
      </c>
      <c r="V691" t="s">
        <v>921</v>
      </c>
      <c r="Y691" t="s">
        <v>81</v>
      </c>
      <c r="Z691" t="s">
        <v>924</v>
      </c>
      <c r="AA691" t="s">
        <v>39</v>
      </c>
      <c r="AC691" t="s">
        <v>1000</v>
      </c>
    </row>
    <row r="692" spans="1:29" hidden="1" x14ac:dyDescent="0.25">
      <c r="A692">
        <v>181</v>
      </c>
      <c r="B692" t="s">
        <v>269</v>
      </c>
      <c r="C692" t="s">
        <v>77</v>
      </c>
      <c r="D692" t="s">
        <v>270</v>
      </c>
      <c r="E692">
        <v>8</v>
      </c>
      <c r="F692">
        <v>124</v>
      </c>
      <c r="G692">
        <v>792</v>
      </c>
      <c r="H692">
        <v>1</v>
      </c>
      <c r="I692">
        <v>6.17</v>
      </c>
      <c r="J692">
        <v>6.17</v>
      </c>
      <c r="K692" t="s">
        <v>223</v>
      </c>
      <c r="L692" t="s">
        <v>999</v>
      </c>
      <c r="Q692">
        <v>2</v>
      </c>
      <c r="R692" s="24">
        <v>46032</v>
      </c>
      <c r="T692" t="s">
        <v>38</v>
      </c>
      <c r="V692" t="s">
        <v>921</v>
      </c>
      <c r="Y692" t="s">
        <v>81</v>
      </c>
      <c r="Z692" t="s">
        <v>924</v>
      </c>
      <c r="AA692" t="s">
        <v>39</v>
      </c>
      <c r="AC692" t="s">
        <v>1000</v>
      </c>
    </row>
    <row r="693" spans="1:29" hidden="1" x14ac:dyDescent="0.25">
      <c r="A693">
        <v>182</v>
      </c>
      <c r="B693" t="s">
        <v>251</v>
      </c>
      <c r="C693" t="s">
        <v>77</v>
      </c>
      <c r="D693" t="s">
        <v>252</v>
      </c>
      <c r="E693">
        <v>8</v>
      </c>
      <c r="F693">
        <v>459</v>
      </c>
      <c r="G693">
        <v>11977</v>
      </c>
      <c r="H693">
        <v>1</v>
      </c>
      <c r="I693">
        <v>331.9</v>
      </c>
      <c r="J693">
        <v>331.9</v>
      </c>
      <c r="K693" t="s">
        <v>223</v>
      </c>
      <c r="L693" t="s">
        <v>1001</v>
      </c>
      <c r="N693" t="s">
        <v>228</v>
      </c>
      <c r="Q693">
        <v>2</v>
      </c>
      <c r="R693" s="24">
        <v>46032</v>
      </c>
      <c r="T693" t="s">
        <v>38</v>
      </c>
      <c r="V693" t="s">
        <v>921</v>
      </c>
      <c r="Y693" t="s">
        <v>81</v>
      </c>
      <c r="Z693" t="s">
        <v>924</v>
      </c>
      <c r="AA693" t="s">
        <v>39</v>
      </c>
      <c r="AC693" t="s">
        <v>1002</v>
      </c>
    </row>
    <row r="694" spans="1:29" hidden="1" x14ac:dyDescent="0.25">
      <c r="A694">
        <v>183</v>
      </c>
      <c r="B694" t="s">
        <v>256</v>
      </c>
      <c r="C694" t="s">
        <v>77</v>
      </c>
      <c r="D694" t="s">
        <v>257</v>
      </c>
      <c r="E694">
        <v>8</v>
      </c>
      <c r="F694">
        <v>458</v>
      </c>
      <c r="G694">
        <v>11977</v>
      </c>
      <c r="H694">
        <v>1</v>
      </c>
      <c r="I694">
        <v>331.9</v>
      </c>
      <c r="J694">
        <v>331.9</v>
      </c>
      <c r="K694" t="s">
        <v>223</v>
      </c>
      <c r="L694" t="s">
        <v>1001</v>
      </c>
      <c r="N694" t="s">
        <v>228</v>
      </c>
      <c r="Q694">
        <v>2</v>
      </c>
      <c r="R694" s="24">
        <v>46032</v>
      </c>
      <c r="T694" t="s">
        <v>38</v>
      </c>
      <c r="V694" t="s">
        <v>921</v>
      </c>
      <c r="Y694" t="s">
        <v>81</v>
      </c>
      <c r="Z694" t="s">
        <v>924</v>
      </c>
      <c r="AA694" t="s">
        <v>39</v>
      </c>
      <c r="AC694" t="s">
        <v>1002</v>
      </c>
    </row>
    <row r="695" spans="1:29" hidden="1" x14ac:dyDescent="0.25">
      <c r="A695">
        <v>184</v>
      </c>
      <c r="B695" t="s">
        <v>273</v>
      </c>
      <c r="C695" t="s">
        <v>77</v>
      </c>
      <c r="D695" t="s">
        <v>274</v>
      </c>
      <c r="E695">
        <v>8</v>
      </c>
      <c r="F695">
        <v>448</v>
      </c>
      <c r="G695">
        <v>7587</v>
      </c>
      <c r="H695">
        <v>2</v>
      </c>
      <c r="I695">
        <v>211.05</v>
      </c>
      <c r="J695">
        <v>422.1</v>
      </c>
      <c r="K695" t="s">
        <v>223</v>
      </c>
      <c r="L695" t="s">
        <v>1001</v>
      </c>
      <c r="N695" t="s">
        <v>228</v>
      </c>
      <c r="Q695">
        <v>2</v>
      </c>
      <c r="R695" s="24">
        <v>46032</v>
      </c>
      <c r="T695" t="s">
        <v>38</v>
      </c>
      <c r="V695" t="s">
        <v>921</v>
      </c>
      <c r="Y695" t="s">
        <v>81</v>
      </c>
      <c r="Z695" t="s">
        <v>924</v>
      </c>
      <c r="AA695" t="s">
        <v>39</v>
      </c>
      <c r="AC695" t="s">
        <v>1002</v>
      </c>
    </row>
    <row r="696" spans="1:29" hidden="1" x14ac:dyDescent="0.25">
      <c r="A696">
        <v>185</v>
      </c>
      <c r="B696" t="s">
        <v>265</v>
      </c>
      <c r="C696" t="s">
        <v>77</v>
      </c>
      <c r="D696" t="s">
        <v>266</v>
      </c>
      <c r="E696">
        <v>8</v>
      </c>
      <c r="F696">
        <v>124</v>
      </c>
      <c r="G696">
        <v>4252</v>
      </c>
      <c r="H696">
        <v>2</v>
      </c>
      <c r="I696">
        <v>33.11</v>
      </c>
      <c r="J696">
        <v>66.22</v>
      </c>
      <c r="K696" t="s">
        <v>223</v>
      </c>
      <c r="L696" t="s">
        <v>1001</v>
      </c>
      <c r="Q696">
        <v>2</v>
      </c>
      <c r="R696" s="24">
        <v>46032</v>
      </c>
      <c r="T696" t="s">
        <v>38</v>
      </c>
      <c r="V696" t="s">
        <v>921</v>
      </c>
      <c r="Y696" t="s">
        <v>81</v>
      </c>
      <c r="Z696" t="s">
        <v>924</v>
      </c>
      <c r="AA696" t="s">
        <v>39</v>
      </c>
      <c r="AC696" t="s">
        <v>1002</v>
      </c>
    </row>
    <row r="697" spans="1:29" hidden="1" x14ac:dyDescent="0.25">
      <c r="A697">
        <v>186</v>
      </c>
      <c r="B697" t="s">
        <v>275</v>
      </c>
      <c r="C697" t="s">
        <v>77</v>
      </c>
      <c r="D697" t="s">
        <v>276</v>
      </c>
      <c r="E697">
        <v>8</v>
      </c>
      <c r="F697">
        <v>150</v>
      </c>
      <c r="G697">
        <v>2972</v>
      </c>
      <c r="H697">
        <v>1</v>
      </c>
      <c r="I697">
        <v>28</v>
      </c>
      <c r="J697">
        <v>28</v>
      </c>
      <c r="K697" t="s">
        <v>223</v>
      </c>
      <c r="L697" t="s">
        <v>1001</v>
      </c>
      <c r="Q697">
        <v>2</v>
      </c>
      <c r="R697" s="24">
        <v>46032</v>
      </c>
      <c r="T697" t="s">
        <v>38</v>
      </c>
      <c r="V697" t="s">
        <v>921</v>
      </c>
      <c r="Y697" t="s">
        <v>81</v>
      </c>
      <c r="Z697" t="s">
        <v>924</v>
      </c>
      <c r="AA697" t="s">
        <v>39</v>
      </c>
      <c r="AC697" t="s">
        <v>1002</v>
      </c>
    </row>
    <row r="698" spans="1:29" hidden="1" x14ac:dyDescent="0.25">
      <c r="A698">
        <v>187</v>
      </c>
      <c r="B698" t="s">
        <v>277</v>
      </c>
      <c r="C698" t="s">
        <v>77</v>
      </c>
      <c r="D698" t="s">
        <v>278</v>
      </c>
      <c r="E698">
        <v>8</v>
      </c>
      <c r="F698">
        <v>124</v>
      </c>
      <c r="G698">
        <v>2972</v>
      </c>
      <c r="H698">
        <v>4</v>
      </c>
      <c r="I698">
        <v>23.14</v>
      </c>
      <c r="J698">
        <v>92.57</v>
      </c>
      <c r="K698" t="s">
        <v>223</v>
      </c>
      <c r="L698" t="s">
        <v>1001</v>
      </c>
      <c r="Q698">
        <v>2</v>
      </c>
      <c r="R698" s="24">
        <v>46032</v>
      </c>
      <c r="T698" t="s">
        <v>38</v>
      </c>
      <c r="V698" t="s">
        <v>921</v>
      </c>
      <c r="Y698" t="s">
        <v>81</v>
      </c>
      <c r="Z698" t="s">
        <v>924</v>
      </c>
      <c r="AA698" t="s">
        <v>39</v>
      </c>
      <c r="AC698" t="s">
        <v>1002</v>
      </c>
    </row>
    <row r="699" spans="1:29" hidden="1" x14ac:dyDescent="0.25">
      <c r="A699">
        <v>188</v>
      </c>
      <c r="B699" t="s">
        <v>279</v>
      </c>
      <c r="C699" t="s">
        <v>77</v>
      </c>
      <c r="D699" t="s">
        <v>278</v>
      </c>
      <c r="E699">
        <v>8</v>
      </c>
      <c r="F699">
        <v>124</v>
      </c>
      <c r="G699">
        <v>2972</v>
      </c>
      <c r="H699">
        <v>1</v>
      </c>
      <c r="I699">
        <v>23.14</v>
      </c>
      <c r="J699">
        <v>23.14</v>
      </c>
      <c r="K699" t="s">
        <v>223</v>
      </c>
      <c r="L699" t="s">
        <v>1001</v>
      </c>
      <c r="Q699">
        <v>2</v>
      </c>
      <c r="R699" s="24">
        <v>46032</v>
      </c>
      <c r="T699" t="s">
        <v>38</v>
      </c>
      <c r="V699" t="s">
        <v>921</v>
      </c>
      <c r="Y699" t="s">
        <v>81</v>
      </c>
      <c r="Z699" t="s">
        <v>924</v>
      </c>
      <c r="AA699" t="s">
        <v>39</v>
      </c>
      <c r="AC699" t="s">
        <v>1002</v>
      </c>
    </row>
    <row r="700" spans="1:29" hidden="1" x14ac:dyDescent="0.25">
      <c r="A700">
        <v>189</v>
      </c>
      <c r="B700" t="s">
        <v>280</v>
      </c>
      <c r="C700" t="s">
        <v>77</v>
      </c>
      <c r="D700" t="s">
        <v>281</v>
      </c>
      <c r="E700">
        <v>8</v>
      </c>
      <c r="F700">
        <v>124</v>
      </c>
      <c r="G700">
        <v>601</v>
      </c>
      <c r="H700">
        <v>1</v>
      </c>
      <c r="I700">
        <v>4.68</v>
      </c>
      <c r="J700">
        <v>4.68</v>
      </c>
      <c r="K700" t="s">
        <v>223</v>
      </c>
      <c r="L700" t="s">
        <v>1001</v>
      </c>
      <c r="Q700">
        <v>2</v>
      </c>
      <c r="R700" s="24">
        <v>46032</v>
      </c>
      <c r="T700" t="s">
        <v>38</v>
      </c>
      <c r="V700" t="s">
        <v>921</v>
      </c>
      <c r="Y700" t="s">
        <v>81</v>
      </c>
      <c r="Z700" t="s">
        <v>924</v>
      </c>
      <c r="AA700" t="s">
        <v>39</v>
      </c>
      <c r="AC700" t="s">
        <v>1002</v>
      </c>
    </row>
    <row r="701" spans="1:29" hidden="1" x14ac:dyDescent="0.25">
      <c r="A701">
        <v>190</v>
      </c>
      <c r="B701" t="s">
        <v>282</v>
      </c>
      <c r="C701" t="s">
        <v>77</v>
      </c>
      <c r="D701" t="s">
        <v>283</v>
      </c>
      <c r="E701">
        <v>8</v>
      </c>
      <c r="F701">
        <v>150</v>
      </c>
      <c r="G701">
        <v>1381</v>
      </c>
      <c r="H701">
        <v>1</v>
      </c>
      <c r="I701">
        <v>13.01</v>
      </c>
      <c r="J701">
        <v>13.01</v>
      </c>
      <c r="K701" t="s">
        <v>223</v>
      </c>
      <c r="L701" t="s">
        <v>1001</v>
      </c>
      <c r="Q701">
        <v>2</v>
      </c>
      <c r="R701" s="24">
        <v>46032</v>
      </c>
      <c r="T701" t="s">
        <v>38</v>
      </c>
      <c r="V701" t="s">
        <v>921</v>
      </c>
      <c r="Y701" t="s">
        <v>81</v>
      </c>
      <c r="Z701" t="s">
        <v>924</v>
      </c>
      <c r="AA701" t="s">
        <v>39</v>
      </c>
      <c r="AC701" t="s">
        <v>1002</v>
      </c>
    </row>
    <row r="702" spans="1:29" hidden="1" x14ac:dyDescent="0.25">
      <c r="A702">
        <v>191</v>
      </c>
      <c r="B702" t="s">
        <v>284</v>
      </c>
      <c r="C702" t="s">
        <v>77</v>
      </c>
      <c r="D702" t="s">
        <v>285</v>
      </c>
      <c r="E702">
        <v>8</v>
      </c>
      <c r="F702">
        <v>124</v>
      </c>
      <c r="G702">
        <v>1381</v>
      </c>
      <c r="H702">
        <v>4</v>
      </c>
      <c r="I702">
        <v>10.76</v>
      </c>
      <c r="J702">
        <v>43.02</v>
      </c>
      <c r="K702" t="s">
        <v>223</v>
      </c>
      <c r="L702" t="s">
        <v>1001</v>
      </c>
      <c r="Q702">
        <v>2</v>
      </c>
      <c r="R702" s="24">
        <v>46032</v>
      </c>
      <c r="T702" t="s">
        <v>38</v>
      </c>
      <c r="V702" t="s">
        <v>921</v>
      </c>
      <c r="Y702" t="s">
        <v>81</v>
      </c>
      <c r="Z702" t="s">
        <v>924</v>
      </c>
      <c r="AA702" t="s">
        <v>39</v>
      </c>
      <c r="AC702" t="s">
        <v>1002</v>
      </c>
    </row>
    <row r="703" spans="1:29" hidden="1" x14ac:dyDescent="0.25">
      <c r="A703">
        <v>192</v>
      </c>
      <c r="B703" t="s">
        <v>267</v>
      </c>
      <c r="C703" t="s">
        <v>77</v>
      </c>
      <c r="D703" t="s">
        <v>268</v>
      </c>
      <c r="E703">
        <v>8</v>
      </c>
      <c r="F703">
        <v>124</v>
      </c>
      <c r="G703">
        <v>6824</v>
      </c>
      <c r="H703">
        <v>1</v>
      </c>
      <c r="I703">
        <v>53.14</v>
      </c>
      <c r="J703">
        <v>53.14</v>
      </c>
      <c r="K703" t="s">
        <v>223</v>
      </c>
      <c r="L703" t="s">
        <v>1001</v>
      </c>
      <c r="Q703">
        <v>2</v>
      </c>
      <c r="R703" s="24">
        <v>46032</v>
      </c>
      <c r="T703" t="s">
        <v>38</v>
      </c>
      <c r="V703" t="s">
        <v>921</v>
      </c>
      <c r="Y703" t="s">
        <v>81</v>
      </c>
      <c r="Z703" t="s">
        <v>924</v>
      </c>
      <c r="AA703" t="s">
        <v>39</v>
      </c>
      <c r="AC703" t="s">
        <v>1002</v>
      </c>
    </row>
    <row r="704" spans="1:29" hidden="1" x14ac:dyDescent="0.25">
      <c r="A704">
        <v>193</v>
      </c>
      <c r="B704" t="s">
        <v>269</v>
      </c>
      <c r="C704" t="s">
        <v>77</v>
      </c>
      <c r="D704" t="s">
        <v>270</v>
      </c>
      <c r="E704">
        <v>8</v>
      </c>
      <c r="F704">
        <v>124</v>
      </c>
      <c r="G704">
        <v>792</v>
      </c>
      <c r="H704">
        <v>2</v>
      </c>
      <c r="I704">
        <v>6.16</v>
      </c>
      <c r="J704">
        <v>12.33</v>
      </c>
      <c r="K704" t="s">
        <v>223</v>
      </c>
      <c r="L704" t="s">
        <v>1001</v>
      </c>
      <c r="Q704">
        <v>2</v>
      </c>
      <c r="R704" s="24">
        <v>46032</v>
      </c>
      <c r="T704" t="s">
        <v>38</v>
      </c>
      <c r="V704" t="s">
        <v>921</v>
      </c>
      <c r="Y704" t="s">
        <v>81</v>
      </c>
      <c r="Z704" t="s">
        <v>924</v>
      </c>
      <c r="AA704" t="s">
        <v>39</v>
      </c>
      <c r="AC704" t="s">
        <v>1002</v>
      </c>
    </row>
    <row r="705" spans="1:29" hidden="1" x14ac:dyDescent="0.25">
      <c r="A705">
        <v>194</v>
      </c>
      <c r="B705" t="s">
        <v>286</v>
      </c>
      <c r="C705" t="s">
        <v>77</v>
      </c>
      <c r="D705" t="s">
        <v>287</v>
      </c>
      <c r="E705">
        <v>8</v>
      </c>
      <c r="F705">
        <v>450</v>
      </c>
      <c r="G705">
        <v>12007</v>
      </c>
      <c r="H705">
        <v>2</v>
      </c>
      <c r="I705">
        <v>334.02</v>
      </c>
      <c r="J705">
        <v>668.05</v>
      </c>
      <c r="K705" t="s">
        <v>223</v>
      </c>
      <c r="L705" t="s">
        <v>1003</v>
      </c>
      <c r="Q705">
        <v>2</v>
      </c>
      <c r="R705" s="24">
        <v>46032</v>
      </c>
      <c r="T705" t="s">
        <v>38</v>
      </c>
      <c r="V705" t="s">
        <v>921</v>
      </c>
      <c r="Y705" t="s">
        <v>81</v>
      </c>
      <c r="Z705" t="s">
        <v>924</v>
      </c>
      <c r="AA705" t="s">
        <v>39</v>
      </c>
      <c r="AC705" t="s">
        <v>1004</v>
      </c>
    </row>
    <row r="706" spans="1:29" hidden="1" x14ac:dyDescent="0.25">
      <c r="A706">
        <v>195</v>
      </c>
      <c r="B706" t="s">
        <v>290</v>
      </c>
      <c r="C706" t="s">
        <v>77</v>
      </c>
      <c r="D706" t="s">
        <v>287</v>
      </c>
      <c r="E706">
        <v>8</v>
      </c>
      <c r="F706">
        <v>450</v>
      </c>
      <c r="G706">
        <v>12007</v>
      </c>
      <c r="H706">
        <v>2</v>
      </c>
      <c r="I706">
        <v>334.02</v>
      </c>
      <c r="J706">
        <v>668.05</v>
      </c>
      <c r="K706" t="s">
        <v>223</v>
      </c>
      <c r="L706" t="s">
        <v>1003</v>
      </c>
      <c r="Q706">
        <v>2</v>
      </c>
      <c r="R706" s="24">
        <v>46032</v>
      </c>
      <c r="T706" t="s">
        <v>38</v>
      </c>
      <c r="V706" t="s">
        <v>921</v>
      </c>
      <c r="Y706" t="s">
        <v>81</v>
      </c>
      <c r="Z706" t="s">
        <v>924</v>
      </c>
      <c r="AA706" t="s">
        <v>39</v>
      </c>
      <c r="AC706" t="s">
        <v>1004</v>
      </c>
    </row>
    <row r="707" spans="1:29" hidden="1" x14ac:dyDescent="0.25">
      <c r="A707">
        <v>196</v>
      </c>
      <c r="B707" t="s">
        <v>229</v>
      </c>
      <c r="C707" t="s">
        <v>77</v>
      </c>
      <c r="D707" t="s">
        <v>230</v>
      </c>
      <c r="E707">
        <v>8</v>
      </c>
      <c r="F707">
        <v>90</v>
      </c>
      <c r="G707">
        <v>150</v>
      </c>
      <c r="H707">
        <v>1</v>
      </c>
      <c r="I707">
        <v>0.62</v>
      </c>
      <c r="J707">
        <v>0.62</v>
      </c>
      <c r="K707" t="s">
        <v>223</v>
      </c>
      <c r="L707" t="s">
        <v>1003</v>
      </c>
      <c r="Q707">
        <v>2</v>
      </c>
      <c r="R707" s="24">
        <v>46032</v>
      </c>
      <c r="T707" t="s">
        <v>38</v>
      </c>
      <c r="V707" t="s">
        <v>921</v>
      </c>
      <c r="W707" t="s">
        <v>81</v>
      </c>
      <c r="Z707" t="s">
        <v>924</v>
      </c>
      <c r="AA707" t="s">
        <v>39</v>
      </c>
      <c r="AC707" t="s">
        <v>1004</v>
      </c>
    </row>
    <row r="708" spans="1:29" hidden="1" x14ac:dyDescent="0.25">
      <c r="A708">
        <v>197</v>
      </c>
      <c r="B708" t="s">
        <v>275</v>
      </c>
      <c r="C708" t="s">
        <v>77</v>
      </c>
      <c r="D708" t="s">
        <v>276</v>
      </c>
      <c r="E708">
        <v>8</v>
      </c>
      <c r="F708">
        <v>150</v>
      </c>
      <c r="G708">
        <v>2972</v>
      </c>
      <c r="H708">
        <v>3</v>
      </c>
      <c r="I708">
        <v>28</v>
      </c>
      <c r="J708">
        <v>83.99</v>
      </c>
      <c r="K708" t="s">
        <v>223</v>
      </c>
      <c r="L708" t="s">
        <v>1003</v>
      </c>
      <c r="Q708">
        <v>2</v>
      </c>
      <c r="R708" s="24">
        <v>46032</v>
      </c>
      <c r="T708" t="s">
        <v>38</v>
      </c>
      <c r="V708" t="s">
        <v>921</v>
      </c>
      <c r="Y708" t="s">
        <v>81</v>
      </c>
      <c r="Z708" t="s">
        <v>924</v>
      </c>
      <c r="AA708" t="s">
        <v>39</v>
      </c>
      <c r="AC708" t="s">
        <v>1004</v>
      </c>
    </row>
    <row r="709" spans="1:29" hidden="1" x14ac:dyDescent="0.25">
      <c r="A709">
        <v>198</v>
      </c>
      <c r="B709" t="s">
        <v>291</v>
      </c>
      <c r="C709" t="s">
        <v>77</v>
      </c>
      <c r="D709" t="s">
        <v>276</v>
      </c>
      <c r="E709">
        <v>8</v>
      </c>
      <c r="F709">
        <v>150</v>
      </c>
      <c r="G709">
        <v>2972</v>
      </c>
      <c r="H709">
        <v>1</v>
      </c>
      <c r="I709">
        <v>28</v>
      </c>
      <c r="J709">
        <v>28</v>
      </c>
      <c r="K709" t="s">
        <v>223</v>
      </c>
      <c r="L709" t="s">
        <v>1003</v>
      </c>
      <c r="Q709">
        <v>2</v>
      </c>
      <c r="R709" s="24">
        <v>46032</v>
      </c>
      <c r="T709" t="s">
        <v>38</v>
      </c>
      <c r="V709" t="s">
        <v>921</v>
      </c>
      <c r="Y709" t="s">
        <v>81</v>
      </c>
      <c r="Z709" t="s">
        <v>924</v>
      </c>
      <c r="AA709" t="s">
        <v>39</v>
      </c>
      <c r="AC709" t="s">
        <v>1004</v>
      </c>
    </row>
    <row r="710" spans="1:29" hidden="1" x14ac:dyDescent="0.25">
      <c r="A710">
        <v>199</v>
      </c>
      <c r="B710" t="s">
        <v>292</v>
      </c>
      <c r="C710" t="s">
        <v>77</v>
      </c>
      <c r="D710" t="s">
        <v>293</v>
      </c>
      <c r="E710">
        <v>8</v>
      </c>
      <c r="F710">
        <v>446</v>
      </c>
      <c r="G710">
        <v>7588</v>
      </c>
      <c r="H710">
        <v>2</v>
      </c>
      <c r="I710">
        <v>211.08</v>
      </c>
      <c r="J710">
        <v>422.16</v>
      </c>
      <c r="K710" t="s">
        <v>223</v>
      </c>
      <c r="L710" t="s">
        <v>1005</v>
      </c>
      <c r="N710" t="s">
        <v>228</v>
      </c>
      <c r="Q710">
        <v>2</v>
      </c>
      <c r="R710" s="24">
        <v>46032</v>
      </c>
      <c r="T710" t="s">
        <v>38</v>
      </c>
      <c r="V710" t="s">
        <v>921</v>
      </c>
      <c r="Y710" t="s">
        <v>81</v>
      </c>
      <c r="Z710" t="s">
        <v>924</v>
      </c>
      <c r="AA710" t="s">
        <v>39</v>
      </c>
      <c r="AC710" t="s">
        <v>1006</v>
      </c>
    </row>
    <row r="711" spans="1:29" hidden="1" x14ac:dyDescent="0.25">
      <c r="A711">
        <v>200</v>
      </c>
      <c r="B711" t="s">
        <v>296</v>
      </c>
      <c r="C711" t="s">
        <v>77</v>
      </c>
      <c r="D711" t="s">
        <v>297</v>
      </c>
      <c r="E711">
        <v>8</v>
      </c>
      <c r="F711">
        <v>329</v>
      </c>
      <c r="G711">
        <v>7565</v>
      </c>
      <c r="H711">
        <v>2</v>
      </c>
      <c r="I711">
        <v>154.86000000000001</v>
      </c>
      <c r="J711">
        <v>309.73</v>
      </c>
      <c r="K711" t="s">
        <v>223</v>
      </c>
      <c r="L711" t="s">
        <v>1005</v>
      </c>
      <c r="N711" t="s">
        <v>228</v>
      </c>
      <c r="Q711">
        <v>2</v>
      </c>
      <c r="R711" s="24">
        <v>46032</v>
      </c>
      <c r="T711" t="s">
        <v>38</v>
      </c>
      <c r="V711" t="s">
        <v>921</v>
      </c>
      <c r="Y711" t="s">
        <v>81</v>
      </c>
      <c r="Z711" t="s">
        <v>924</v>
      </c>
      <c r="AA711" t="s">
        <v>39</v>
      </c>
      <c r="AC711" t="s">
        <v>1006</v>
      </c>
    </row>
    <row r="712" spans="1:29" hidden="1" x14ac:dyDescent="0.25">
      <c r="A712">
        <v>201</v>
      </c>
      <c r="B712" t="s">
        <v>298</v>
      </c>
      <c r="C712" t="s">
        <v>77</v>
      </c>
      <c r="D712" t="s">
        <v>299</v>
      </c>
      <c r="E712">
        <v>8</v>
      </c>
      <c r="F712">
        <v>329</v>
      </c>
      <c r="G712">
        <v>7566</v>
      </c>
      <c r="H712">
        <v>1</v>
      </c>
      <c r="I712">
        <v>154.88</v>
      </c>
      <c r="J712">
        <v>154.88</v>
      </c>
      <c r="K712" t="s">
        <v>223</v>
      </c>
      <c r="L712" t="s">
        <v>1005</v>
      </c>
      <c r="N712" t="s">
        <v>228</v>
      </c>
      <c r="Q712">
        <v>2</v>
      </c>
      <c r="R712" s="24">
        <v>46032</v>
      </c>
      <c r="T712" t="s">
        <v>38</v>
      </c>
      <c r="V712" t="s">
        <v>921</v>
      </c>
      <c r="Y712" t="s">
        <v>81</v>
      </c>
      <c r="Z712" t="s">
        <v>924</v>
      </c>
      <c r="AA712" t="s">
        <v>39</v>
      </c>
      <c r="AC712" t="s">
        <v>1006</v>
      </c>
    </row>
    <row r="713" spans="1:29" hidden="1" x14ac:dyDescent="0.25">
      <c r="A713">
        <v>202</v>
      </c>
      <c r="B713" t="s">
        <v>300</v>
      </c>
      <c r="C713" t="s">
        <v>77</v>
      </c>
      <c r="D713" t="s">
        <v>301</v>
      </c>
      <c r="E713">
        <v>8</v>
      </c>
      <c r="F713">
        <v>66</v>
      </c>
      <c r="G713">
        <v>150</v>
      </c>
      <c r="H713">
        <v>3</v>
      </c>
      <c r="I713">
        <v>0.46</v>
      </c>
      <c r="J713">
        <v>1.38</v>
      </c>
      <c r="K713" t="s">
        <v>223</v>
      </c>
      <c r="L713" t="s">
        <v>1005</v>
      </c>
      <c r="Q713">
        <v>2</v>
      </c>
      <c r="R713" s="24">
        <v>46032</v>
      </c>
      <c r="T713" t="s">
        <v>38</v>
      </c>
      <c r="V713" t="s">
        <v>921</v>
      </c>
      <c r="W713" t="s">
        <v>81</v>
      </c>
      <c r="Z713" t="s">
        <v>924</v>
      </c>
      <c r="AA713" t="s">
        <v>39</v>
      </c>
      <c r="AC713" t="s">
        <v>1006</v>
      </c>
    </row>
    <row r="714" spans="1:29" hidden="1" x14ac:dyDescent="0.25">
      <c r="A714">
        <v>203</v>
      </c>
      <c r="B714" t="s">
        <v>302</v>
      </c>
      <c r="C714" t="s">
        <v>77</v>
      </c>
      <c r="D714" t="s">
        <v>301</v>
      </c>
      <c r="E714">
        <v>8</v>
      </c>
      <c r="F714">
        <v>66</v>
      </c>
      <c r="G714">
        <v>150</v>
      </c>
      <c r="H714">
        <v>6</v>
      </c>
      <c r="I714">
        <v>0.46</v>
      </c>
      <c r="J714">
        <v>2.77</v>
      </c>
      <c r="K714" t="s">
        <v>223</v>
      </c>
      <c r="L714" t="s">
        <v>1005</v>
      </c>
      <c r="Q714">
        <v>2</v>
      </c>
      <c r="R714" s="24">
        <v>46032</v>
      </c>
      <c r="T714" t="s">
        <v>38</v>
      </c>
      <c r="V714" t="s">
        <v>921</v>
      </c>
      <c r="W714" t="s">
        <v>81</v>
      </c>
      <c r="Z714" t="s">
        <v>924</v>
      </c>
      <c r="AA714" t="s">
        <v>39</v>
      </c>
      <c r="AC714" t="s">
        <v>1006</v>
      </c>
    </row>
    <row r="715" spans="1:29" hidden="1" x14ac:dyDescent="0.25">
      <c r="A715">
        <v>204</v>
      </c>
      <c r="B715" t="s">
        <v>303</v>
      </c>
      <c r="C715" t="s">
        <v>77</v>
      </c>
      <c r="D715" t="s">
        <v>301</v>
      </c>
      <c r="E715">
        <v>8</v>
      </c>
      <c r="F715">
        <v>66</v>
      </c>
      <c r="G715">
        <v>150</v>
      </c>
      <c r="H715">
        <v>3</v>
      </c>
      <c r="I715">
        <v>0.46</v>
      </c>
      <c r="J715">
        <v>1.38</v>
      </c>
      <c r="K715" t="s">
        <v>223</v>
      </c>
      <c r="L715" t="s">
        <v>1005</v>
      </c>
      <c r="Q715">
        <v>2</v>
      </c>
      <c r="R715" s="24">
        <v>46032</v>
      </c>
      <c r="T715" t="s">
        <v>38</v>
      </c>
      <c r="V715" t="s">
        <v>921</v>
      </c>
      <c r="W715" t="s">
        <v>81</v>
      </c>
      <c r="Z715" t="s">
        <v>924</v>
      </c>
      <c r="AA715" t="s">
        <v>39</v>
      </c>
      <c r="AC715" t="s">
        <v>1006</v>
      </c>
    </row>
    <row r="716" spans="1:29" hidden="1" x14ac:dyDescent="0.25">
      <c r="A716">
        <v>205</v>
      </c>
      <c r="B716" t="s">
        <v>304</v>
      </c>
      <c r="C716" t="s">
        <v>77</v>
      </c>
      <c r="D716" t="s">
        <v>305</v>
      </c>
      <c r="E716">
        <v>8</v>
      </c>
      <c r="F716">
        <v>150</v>
      </c>
      <c r="G716">
        <v>1882</v>
      </c>
      <c r="H716">
        <v>6</v>
      </c>
      <c r="I716">
        <v>17.73</v>
      </c>
      <c r="J716">
        <v>106.37</v>
      </c>
      <c r="K716" t="s">
        <v>223</v>
      </c>
      <c r="L716" t="s">
        <v>1005</v>
      </c>
      <c r="Q716">
        <v>2</v>
      </c>
      <c r="R716" s="24">
        <v>46032</v>
      </c>
      <c r="T716" t="s">
        <v>38</v>
      </c>
      <c r="V716" t="s">
        <v>921</v>
      </c>
      <c r="Y716" t="s">
        <v>81</v>
      </c>
      <c r="Z716" t="s">
        <v>924</v>
      </c>
      <c r="AA716" t="s">
        <v>39</v>
      </c>
      <c r="AC716" t="s">
        <v>1006</v>
      </c>
    </row>
    <row r="717" spans="1:29" hidden="1" x14ac:dyDescent="0.25">
      <c r="A717">
        <v>206</v>
      </c>
      <c r="B717" t="s">
        <v>306</v>
      </c>
      <c r="C717" t="s">
        <v>77</v>
      </c>
      <c r="D717" t="s">
        <v>307</v>
      </c>
      <c r="E717">
        <v>8</v>
      </c>
      <c r="F717">
        <v>124</v>
      </c>
      <c r="G717">
        <v>1882</v>
      </c>
      <c r="H717">
        <v>2</v>
      </c>
      <c r="I717">
        <v>14.66</v>
      </c>
      <c r="J717">
        <v>29.31</v>
      </c>
      <c r="K717" t="s">
        <v>223</v>
      </c>
      <c r="L717" t="s">
        <v>1005</v>
      </c>
      <c r="Q717">
        <v>2</v>
      </c>
      <c r="R717" s="24">
        <v>46032</v>
      </c>
      <c r="T717" t="s">
        <v>38</v>
      </c>
      <c r="V717" t="s">
        <v>921</v>
      </c>
      <c r="Y717" t="s">
        <v>81</v>
      </c>
      <c r="Z717" t="s">
        <v>924</v>
      </c>
      <c r="AA717" t="s">
        <v>39</v>
      </c>
      <c r="AC717" t="s">
        <v>1006</v>
      </c>
    </row>
    <row r="718" spans="1:29" hidden="1" x14ac:dyDescent="0.25">
      <c r="A718">
        <v>207</v>
      </c>
      <c r="B718" t="s">
        <v>291</v>
      </c>
      <c r="C718" t="s">
        <v>77</v>
      </c>
      <c r="D718" t="s">
        <v>276</v>
      </c>
      <c r="E718">
        <v>8</v>
      </c>
      <c r="F718">
        <v>150</v>
      </c>
      <c r="G718">
        <v>2972</v>
      </c>
      <c r="H718">
        <v>3</v>
      </c>
      <c r="I718">
        <v>28</v>
      </c>
      <c r="J718">
        <v>83.99</v>
      </c>
      <c r="K718" t="s">
        <v>223</v>
      </c>
      <c r="L718" t="s">
        <v>1005</v>
      </c>
      <c r="Q718">
        <v>2</v>
      </c>
      <c r="R718" s="24">
        <v>46032</v>
      </c>
      <c r="T718" t="s">
        <v>38</v>
      </c>
      <c r="V718" t="s">
        <v>921</v>
      </c>
      <c r="Y718" t="s">
        <v>81</v>
      </c>
      <c r="Z718" t="s">
        <v>924</v>
      </c>
      <c r="AA718" t="s">
        <v>39</v>
      </c>
      <c r="AC718" t="s">
        <v>1006</v>
      </c>
    </row>
    <row r="719" spans="1:29" hidden="1" x14ac:dyDescent="0.25">
      <c r="A719">
        <v>208</v>
      </c>
      <c r="B719" t="s">
        <v>279</v>
      </c>
      <c r="C719" t="s">
        <v>77</v>
      </c>
      <c r="D719" t="s">
        <v>278</v>
      </c>
      <c r="E719">
        <v>8</v>
      </c>
      <c r="F719">
        <v>124</v>
      </c>
      <c r="G719">
        <v>2972</v>
      </c>
      <c r="H719">
        <v>3</v>
      </c>
      <c r="I719">
        <v>23.14</v>
      </c>
      <c r="J719">
        <v>69.430000000000007</v>
      </c>
      <c r="K719" t="s">
        <v>223</v>
      </c>
      <c r="L719" t="s">
        <v>1005</v>
      </c>
      <c r="Q719">
        <v>2</v>
      </c>
      <c r="R719" s="24">
        <v>46032</v>
      </c>
      <c r="T719" t="s">
        <v>38</v>
      </c>
      <c r="V719" t="s">
        <v>921</v>
      </c>
      <c r="Y719" t="s">
        <v>81</v>
      </c>
      <c r="Z719" t="s">
        <v>924</v>
      </c>
      <c r="AA719" t="s">
        <v>39</v>
      </c>
      <c r="AC719" t="s">
        <v>1006</v>
      </c>
    </row>
    <row r="720" spans="1:29" hidden="1" x14ac:dyDescent="0.25">
      <c r="A720">
        <v>209</v>
      </c>
      <c r="B720" t="s">
        <v>308</v>
      </c>
      <c r="C720" t="s">
        <v>77</v>
      </c>
      <c r="D720" t="s">
        <v>309</v>
      </c>
      <c r="E720">
        <v>8</v>
      </c>
      <c r="F720">
        <v>150</v>
      </c>
      <c r="G720">
        <v>2523</v>
      </c>
      <c r="H720">
        <v>2</v>
      </c>
      <c r="I720">
        <v>23.76</v>
      </c>
      <c r="J720">
        <v>47.53</v>
      </c>
      <c r="K720" t="s">
        <v>223</v>
      </c>
      <c r="L720" t="s">
        <v>1005</v>
      </c>
      <c r="Q720">
        <v>2</v>
      </c>
      <c r="R720" s="24">
        <v>46032</v>
      </c>
      <c r="T720" t="s">
        <v>38</v>
      </c>
      <c r="V720" t="s">
        <v>921</v>
      </c>
      <c r="Y720" t="s">
        <v>81</v>
      </c>
      <c r="Z720" t="s">
        <v>924</v>
      </c>
      <c r="AA720" t="s">
        <v>39</v>
      </c>
      <c r="AC720" t="s">
        <v>1006</v>
      </c>
    </row>
    <row r="721" spans="1:29" hidden="1" x14ac:dyDescent="0.25">
      <c r="A721">
        <v>210</v>
      </c>
      <c r="B721" t="s">
        <v>310</v>
      </c>
      <c r="C721" t="s">
        <v>77</v>
      </c>
      <c r="D721" t="s">
        <v>311</v>
      </c>
      <c r="E721">
        <v>8</v>
      </c>
      <c r="F721">
        <v>124</v>
      </c>
      <c r="G721">
        <v>2523</v>
      </c>
      <c r="H721">
        <v>2</v>
      </c>
      <c r="I721">
        <v>19.64</v>
      </c>
      <c r="J721">
        <v>39.29</v>
      </c>
      <c r="K721" t="s">
        <v>223</v>
      </c>
      <c r="L721" t="s">
        <v>1005</v>
      </c>
      <c r="Q721">
        <v>2</v>
      </c>
      <c r="R721" s="24">
        <v>46032</v>
      </c>
      <c r="T721" t="s">
        <v>38</v>
      </c>
      <c r="V721" t="s">
        <v>921</v>
      </c>
      <c r="Y721" t="s">
        <v>81</v>
      </c>
      <c r="Z721" t="s">
        <v>924</v>
      </c>
      <c r="AA721" t="s">
        <v>39</v>
      </c>
      <c r="AC721" t="s">
        <v>1006</v>
      </c>
    </row>
    <row r="722" spans="1:29" hidden="1" x14ac:dyDescent="0.25">
      <c r="A722">
        <v>211</v>
      </c>
      <c r="B722" t="s">
        <v>312</v>
      </c>
      <c r="C722" t="s">
        <v>77</v>
      </c>
      <c r="D722" t="s">
        <v>309</v>
      </c>
      <c r="E722">
        <v>8</v>
      </c>
      <c r="F722">
        <v>150</v>
      </c>
      <c r="G722">
        <v>2523</v>
      </c>
      <c r="H722">
        <v>4</v>
      </c>
      <c r="I722">
        <v>23.77</v>
      </c>
      <c r="J722">
        <v>95.07</v>
      </c>
      <c r="K722" t="s">
        <v>223</v>
      </c>
      <c r="L722" t="s">
        <v>1005</v>
      </c>
      <c r="Q722">
        <v>2</v>
      </c>
      <c r="R722" s="24">
        <v>46032</v>
      </c>
      <c r="T722" t="s">
        <v>38</v>
      </c>
      <c r="V722" t="s">
        <v>921</v>
      </c>
      <c r="Y722" t="s">
        <v>81</v>
      </c>
      <c r="Z722" t="s">
        <v>924</v>
      </c>
      <c r="AA722" t="s">
        <v>39</v>
      </c>
      <c r="AC722" t="s">
        <v>1006</v>
      </c>
    </row>
    <row r="723" spans="1:29" hidden="1" x14ac:dyDescent="0.25">
      <c r="A723">
        <v>212</v>
      </c>
      <c r="B723" t="s">
        <v>280</v>
      </c>
      <c r="C723" t="s">
        <v>77</v>
      </c>
      <c r="D723" t="s">
        <v>281</v>
      </c>
      <c r="E723">
        <v>8</v>
      </c>
      <c r="F723">
        <v>124</v>
      </c>
      <c r="G723">
        <v>601</v>
      </c>
      <c r="H723">
        <v>3</v>
      </c>
      <c r="I723">
        <v>4.68</v>
      </c>
      <c r="J723">
        <v>14.04</v>
      </c>
      <c r="K723" t="s">
        <v>223</v>
      </c>
      <c r="L723" t="s">
        <v>1005</v>
      </c>
      <c r="Q723">
        <v>2</v>
      </c>
      <c r="R723" s="24">
        <v>46032</v>
      </c>
      <c r="T723" t="s">
        <v>38</v>
      </c>
      <c r="V723" t="s">
        <v>921</v>
      </c>
      <c r="Y723" t="s">
        <v>81</v>
      </c>
      <c r="Z723" t="s">
        <v>924</v>
      </c>
      <c r="AA723" t="s">
        <v>39</v>
      </c>
      <c r="AC723" t="s">
        <v>1006</v>
      </c>
    </row>
    <row r="724" spans="1:29" hidden="1" x14ac:dyDescent="0.25">
      <c r="A724">
        <v>213</v>
      </c>
      <c r="B724" t="s">
        <v>282</v>
      </c>
      <c r="C724" t="s">
        <v>77</v>
      </c>
      <c r="D724" t="s">
        <v>283</v>
      </c>
      <c r="E724">
        <v>8</v>
      </c>
      <c r="F724">
        <v>150</v>
      </c>
      <c r="G724">
        <v>1381</v>
      </c>
      <c r="H724">
        <v>3</v>
      </c>
      <c r="I724">
        <v>13.01</v>
      </c>
      <c r="J724">
        <v>39.03</v>
      </c>
      <c r="K724" t="s">
        <v>223</v>
      </c>
      <c r="L724" t="s">
        <v>1005</v>
      </c>
      <c r="Q724">
        <v>2</v>
      </c>
      <c r="R724" s="24">
        <v>46032</v>
      </c>
      <c r="T724" t="s">
        <v>38</v>
      </c>
      <c r="V724" t="s">
        <v>921</v>
      </c>
      <c r="Y724" t="s">
        <v>81</v>
      </c>
      <c r="Z724" t="s">
        <v>924</v>
      </c>
      <c r="AA724" t="s">
        <v>39</v>
      </c>
      <c r="AC724" t="s">
        <v>1006</v>
      </c>
    </row>
    <row r="725" spans="1:29" hidden="1" x14ac:dyDescent="0.25">
      <c r="A725">
        <v>214</v>
      </c>
      <c r="B725" t="s">
        <v>269</v>
      </c>
      <c r="C725" t="s">
        <v>77</v>
      </c>
      <c r="D725" t="s">
        <v>270</v>
      </c>
      <c r="E725">
        <v>8</v>
      </c>
      <c r="F725">
        <v>124</v>
      </c>
      <c r="G725">
        <v>792</v>
      </c>
      <c r="H725">
        <v>3</v>
      </c>
      <c r="I725">
        <v>6.17</v>
      </c>
      <c r="J725">
        <v>18.5</v>
      </c>
      <c r="K725" t="s">
        <v>223</v>
      </c>
      <c r="L725" t="s">
        <v>1005</v>
      </c>
      <c r="Q725">
        <v>2</v>
      </c>
      <c r="R725" s="24">
        <v>46032</v>
      </c>
      <c r="T725" t="s">
        <v>38</v>
      </c>
      <c r="V725" t="s">
        <v>921</v>
      </c>
      <c r="Y725" t="s">
        <v>81</v>
      </c>
      <c r="Z725" t="s">
        <v>924</v>
      </c>
      <c r="AA725" t="s">
        <v>39</v>
      </c>
      <c r="AC725" t="s">
        <v>1006</v>
      </c>
    </row>
    <row r="726" spans="1:29" hidden="1" x14ac:dyDescent="0.25">
      <c r="A726">
        <v>215</v>
      </c>
      <c r="B726" t="s">
        <v>313</v>
      </c>
      <c r="C726" t="s">
        <v>77</v>
      </c>
      <c r="D726" t="s">
        <v>314</v>
      </c>
      <c r="E726">
        <v>8</v>
      </c>
      <c r="F726">
        <v>158</v>
      </c>
      <c r="G726">
        <v>228</v>
      </c>
      <c r="H726">
        <v>18</v>
      </c>
      <c r="I726">
        <v>2.25</v>
      </c>
      <c r="J726">
        <v>40.5</v>
      </c>
      <c r="K726" t="s">
        <v>223</v>
      </c>
      <c r="L726" t="s">
        <v>1007</v>
      </c>
      <c r="Q726">
        <v>2</v>
      </c>
      <c r="R726" s="24">
        <v>46032</v>
      </c>
      <c r="T726" t="s">
        <v>38</v>
      </c>
      <c r="V726" t="s">
        <v>921</v>
      </c>
      <c r="W726" t="s">
        <v>81</v>
      </c>
      <c r="Z726" t="s">
        <v>924</v>
      </c>
      <c r="AA726" t="s">
        <v>39</v>
      </c>
      <c r="AC726" t="s">
        <v>1008</v>
      </c>
    </row>
    <row r="727" spans="1:29" hidden="1" x14ac:dyDescent="0.25">
      <c r="A727">
        <v>216</v>
      </c>
      <c r="B727" t="s">
        <v>317</v>
      </c>
      <c r="C727" t="s">
        <v>77</v>
      </c>
      <c r="D727" t="s">
        <v>318</v>
      </c>
      <c r="E727">
        <v>8</v>
      </c>
      <c r="F727">
        <v>206</v>
      </c>
      <c r="G727">
        <v>465</v>
      </c>
      <c r="H727">
        <v>1</v>
      </c>
      <c r="I727">
        <v>6.01</v>
      </c>
      <c r="J727">
        <v>6.01</v>
      </c>
      <c r="K727" t="s">
        <v>223</v>
      </c>
      <c r="L727" t="s">
        <v>1007</v>
      </c>
      <c r="Q727">
        <v>2</v>
      </c>
      <c r="R727" s="24">
        <v>46032</v>
      </c>
      <c r="T727" t="s">
        <v>38</v>
      </c>
      <c r="V727" t="s">
        <v>921</v>
      </c>
      <c r="W727" t="s">
        <v>81</v>
      </c>
      <c r="Z727" t="s">
        <v>924</v>
      </c>
      <c r="AA727" t="s">
        <v>39</v>
      </c>
      <c r="AC727" t="s">
        <v>1008</v>
      </c>
    </row>
    <row r="728" spans="1:29" hidden="1" x14ac:dyDescent="0.25">
      <c r="A728">
        <v>217</v>
      </c>
      <c r="B728" t="s">
        <v>319</v>
      </c>
      <c r="C728" t="s">
        <v>77</v>
      </c>
      <c r="D728" t="s">
        <v>320</v>
      </c>
      <c r="E728">
        <v>8</v>
      </c>
      <c r="F728">
        <v>196</v>
      </c>
      <c r="G728">
        <v>340</v>
      </c>
      <c r="H728">
        <v>2</v>
      </c>
      <c r="I728">
        <v>4.18</v>
      </c>
      <c r="J728">
        <v>8.36</v>
      </c>
      <c r="K728" t="s">
        <v>223</v>
      </c>
      <c r="L728" t="s">
        <v>1007</v>
      </c>
      <c r="Q728">
        <v>2</v>
      </c>
      <c r="R728" s="24">
        <v>46032</v>
      </c>
      <c r="T728" t="s">
        <v>38</v>
      </c>
      <c r="V728" t="s">
        <v>921</v>
      </c>
      <c r="W728" t="s">
        <v>81</v>
      </c>
      <c r="Z728" t="s">
        <v>924</v>
      </c>
      <c r="AA728" t="s">
        <v>39</v>
      </c>
      <c r="AC728" t="s">
        <v>1008</v>
      </c>
    </row>
    <row r="729" spans="1:29" hidden="1" x14ac:dyDescent="0.25">
      <c r="A729">
        <v>218</v>
      </c>
      <c r="B729" t="s">
        <v>321</v>
      </c>
      <c r="C729" t="s">
        <v>77</v>
      </c>
      <c r="D729" t="s">
        <v>322</v>
      </c>
      <c r="E729">
        <v>8</v>
      </c>
      <c r="F729">
        <v>148</v>
      </c>
      <c r="G729">
        <v>324</v>
      </c>
      <c r="H729">
        <v>2</v>
      </c>
      <c r="I729">
        <v>3.01</v>
      </c>
      <c r="J729">
        <v>6.02</v>
      </c>
      <c r="K729" t="s">
        <v>223</v>
      </c>
      <c r="L729" t="s">
        <v>1007</v>
      </c>
      <c r="Q729">
        <v>2</v>
      </c>
      <c r="R729" s="24">
        <v>46032</v>
      </c>
      <c r="T729" t="s">
        <v>38</v>
      </c>
      <c r="V729" t="s">
        <v>921</v>
      </c>
      <c r="W729" t="s">
        <v>81</v>
      </c>
      <c r="Z729" t="s">
        <v>924</v>
      </c>
      <c r="AA729" t="s">
        <v>39</v>
      </c>
      <c r="AC729" t="s">
        <v>1008</v>
      </c>
    </row>
    <row r="730" spans="1:29" hidden="1" x14ac:dyDescent="0.25">
      <c r="A730">
        <v>219</v>
      </c>
      <c r="B730" t="s">
        <v>323</v>
      </c>
      <c r="C730" t="s">
        <v>77</v>
      </c>
      <c r="D730" t="s">
        <v>324</v>
      </c>
      <c r="E730">
        <v>8</v>
      </c>
      <c r="F730">
        <v>160</v>
      </c>
      <c r="G730">
        <v>340</v>
      </c>
      <c r="H730">
        <v>2</v>
      </c>
      <c r="I730">
        <v>3.42</v>
      </c>
      <c r="J730">
        <v>6.83</v>
      </c>
      <c r="K730" t="s">
        <v>223</v>
      </c>
      <c r="L730" t="s">
        <v>1007</v>
      </c>
      <c r="Q730">
        <v>2</v>
      </c>
      <c r="R730" s="24">
        <v>46032</v>
      </c>
      <c r="T730" t="s">
        <v>38</v>
      </c>
      <c r="V730" t="s">
        <v>921</v>
      </c>
      <c r="W730" t="s">
        <v>81</v>
      </c>
      <c r="Z730" t="s">
        <v>924</v>
      </c>
      <c r="AA730" t="s">
        <v>39</v>
      </c>
      <c r="AC730" t="s">
        <v>1008</v>
      </c>
    </row>
    <row r="731" spans="1:29" hidden="1" x14ac:dyDescent="0.25">
      <c r="A731">
        <v>220</v>
      </c>
      <c r="B731" t="s">
        <v>325</v>
      </c>
      <c r="C731" t="s">
        <v>77</v>
      </c>
      <c r="D731" t="s">
        <v>238</v>
      </c>
      <c r="E731">
        <v>8</v>
      </c>
      <c r="F731">
        <v>148</v>
      </c>
      <c r="G731">
        <v>441</v>
      </c>
      <c r="H731">
        <v>1</v>
      </c>
      <c r="I731">
        <v>4.0999999999999996</v>
      </c>
      <c r="J731">
        <v>4.0999999999999996</v>
      </c>
      <c r="K731" t="s">
        <v>223</v>
      </c>
      <c r="L731" t="s">
        <v>1007</v>
      </c>
      <c r="Q731">
        <v>2</v>
      </c>
      <c r="R731" s="24">
        <v>46032</v>
      </c>
      <c r="T731" t="s">
        <v>38</v>
      </c>
      <c r="V731" t="s">
        <v>921</v>
      </c>
      <c r="W731" t="s">
        <v>81</v>
      </c>
      <c r="Z731" t="s">
        <v>924</v>
      </c>
      <c r="AA731" t="s">
        <v>39</v>
      </c>
      <c r="AC731" t="s">
        <v>1008</v>
      </c>
    </row>
    <row r="732" spans="1:29" hidden="1" x14ac:dyDescent="0.25">
      <c r="A732">
        <v>221</v>
      </c>
      <c r="B732" t="s">
        <v>326</v>
      </c>
      <c r="C732" t="s">
        <v>77</v>
      </c>
      <c r="D732" t="s">
        <v>322</v>
      </c>
      <c r="E732">
        <v>8</v>
      </c>
      <c r="F732">
        <v>148</v>
      </c>
      <c r="G732">
        <v>324</v>
      </c>
      <c r="H732">
        <v>2</v>
      </c>
      <c r="I732">
        <v>3.01</v>
      </c>
      <c r="J732">
        <v>6.02</v>
      </c>
      <c r="K732" t="s">
        <v>223</v>
      </c>
      <c r="L732" t="s">
        <v>1007</v>
      </c>
      <c r="Q732">
        <v>2</v>
      </c>
      <c r="R732" s="24">
        <v>46032</v>
      </c>
      <c r="T732" t="s">
        <v>38</v>
      </c>
      <c r="V732" t="s">
        <v>921</v>
      </c>
      <c r="W732" t="s">
        <v>81</v>
      </c>
      <c r="Z732" t="s">
        <v>924</v>
      </c>
      <c r="AA732" t="s">
        <v>39</v>
      </c>
      <c r="AC732" t="s">
        <v>1008</v>
      </c>
    </row>
    <row r="733" spans="1:29" hidden="1" x14ac:dyDescent="0.25">
      <c r="A733">
        <v>222</v>
      </c>
      <c r="B733" t="s">
        <v>327</v>
      </c>
      <c r="C733" t="s">
        <v>77</v>
      </c>
      <c r="D733" t="s">
        <v>238</v>
      </c>
      <c r="E733">
        <v>8</v>
      </c>
      <c r="F733">
        <v>148</v>
      </c>
      <c r="G733">
        <v>441</v>
      </c>
      <c r="H733">
        <v>2</v>
      </c>
      <c r="I733">
        <v>4.0999999999999996</v>
      </c>
      <c r="J733">
        <v>8.19</v>
      </c>
      <c r="K733" t="s">
        <v>223</v>
      </c>
      <c r="L733" t="s">
        <v>1007</v>
      </c>
      <c r="Q733">
        <v>2</v>
      </c>
      <c r="R733" s="24">
        <v>46032</v>
      </c>
      <c r="T733" t="s">
        <v>38</v>
      </c>
      <c r="V733" t="s">
        <v>921</v>
      </c>
      <c r="W733" t="s">
        <v>81</v>
      </c>
      <c r="Z733" t="s">
        <v>924</v>
      </c>
      <c r="AA733" t="s">
        <v>39</v>
      </c>
      <c r="AC733" t="s">
        <v>1008</v>
      </c>
    </row>
    <row r="734" spans="1:29" hidden="1" x14ac:dyDescent="0.25">
      <c r="A734">
        <v>223</v>
      </c>
      <c r="B734" t="s">
        <v>328</v>
      </c>
      <c r="C734" t="s">
        <v>77</v>
      </c>
      <c r="D734" t="s">
        <v>322</v>
      </c>
      <c r="E734">
        <v>8</v>
      </c>
      <c r="F734">
        <v>148</v>
      </c>
      <c r="G734">
        <v>324</v>
      </c>
      <c r="H734">
        <v>4</v>
      </c>
      <c r="I734">
        <v>3.01</v>
      </c>
      <c r="J734">
        <v>12.03</v>
      </c>
      <c r="K734" t="s">
        <v>223</v>
      </c>
      <c r="L734" t="s">
        <v>1007</v>
      </c>
      <c r="Q734">
        <v>2</v>
      </c>
      <c r="R734" s="24">
        <v>46032</v>
      </c>
      <c r="T734" t="s">
        <v>38</v>
      </c>
      <c r="V734" t="s">
        <v>921</v>
      </c>
      <c r="W734" t="s">
        <v>81</v>
      </c>
      <c r="Z734" t="s">
        <v>924</v>
      </c>
      <c r="AA734" t="s">
        <v>39</v>
      </c>
      <c r="AC734" t="s">
        <v>1008</v>
      </c>
    </row>
    <row r="735" spans="1:29" hidden="1" x14ac:dyDescent="0.25">
      <c r="A735">
        <v>224</v>
      </c>
      <c r="B735" t="s">
        <v>296</v>
      </c>
      <c r="C735" t="s">
        <v>77</v>
      </c>
      <c r="D735" t="s">
        <v>297</v>
      </c>
      <c r="E735">
        <v>8</v>
      </c>
      <c r="F735">
        <v>329</v>
      </c>
      <c r="G735">
        <v>7565</v>
      </c>
      <c r="H735">
        <v>2</v>
      </c>
      <c r="I735">
        <v>154.86000000000001</v>
      </c>
      <c r="J735">
        <v>309.73</v>
      </c>
      <c r="K735" t="s">
        <v>223</v>
      </c>
      <c r="L735" t="s">
        <v>1007</v>
      </c>
      <c r="N735" t="s">
        <v>228</v>
      </c>
      <c r="Q735">
        <v>2</v>
      </c>
      <c r="R735" s="24">
        <v>46032</v>
      </c>
      <c r="T735" t="s">
        <v>38</v>
      </c>
      <c r="V735" t="s">
        <v>921</v>
      </c>
      <c r="Y735" t="s">
        <v>81</v>
      </c>
      <c r="Z735" t="s">
        <v>924</v>
      </c>
      <c r="AA735" t="s">
        <v>39</v>
      </c>
      <c r="AC735" t="s">
        <v>1008</v>
      </c>
    </row>
    <row r="736" spans="1:29" hidden="1" x14ac:dyDescent="0.25">
      <c r="A736">
        <v>225</v>
      </c>
      <c r="B736" t="s">
        <v>329</v>
      </c>
      <c r="C736" t="s">
        <v>77</v>
      </c>
      <c r="D736" t="s">
        <v>318</v>
      </c>
      <c r="E736">
        <v>8</v>
      </c>
      <c r="F736">
        <v>206</v>
      </c>
      <c r="G736">
        <v>465</v>
      </c>
      <c r="H736">
        <v>1</v>
      </c>
      <c r="I736">
        <v>6.01</v>
      </c>
      <c r="J736">
        <v>6.01</v>
      </c>
      <c r="K736" t="s">
        <v>223</v>
      </c>
      <c r="L736" t="s">
        <v>1007</v>
      </c>
      <c r="Q736">
        <v>2</v>
      </c>
      <c r="R736" s="24">
        <v>46032</v>
      </c>
      <c r="T736" t="s">
        <v>38</v>
      </c>
      <c r="V736" t="s">
        <v>921</v>
      </c>
      <c r="W736" t="s">
        <v>81</v>
      </c>
      <c r="Z736" t="s">
        <v>924</v>
      </c>
      <c r="AA736" t="s">
        <v>39</v>
      </c>
      <c r="AC736" t="s">
        <v>1008</v>
      </c>
    </row>
    <row r="737" spans="1:29" hidden="1" x14ac:dyDescent="0.25">
      <c r="A737">
        <v>226</v>
      </c>
      <c r="B737" t="s">
        <v>330</v>
      </c>
      <c r="C737" t="s">
        <v>77</v>
      </c>
      <c r="D737" t="s">
        <v>320</v>
      </c>
      <c r="E737">
        <v>8</v>
      </c>
      <c r="F737">
        <v>196</v>
      </c>
      <c r="G737">
        <v>340</v>
      </c>
      <c r="H737">
        <v>2</v>
      </c>
      <c r="I737">
        <v>4.18</v>
      </c>
      <c r="J737">
        <v>8.36</v>
      </c>
      <c r="K737" t="s">
        <v>223</v>
      </c>
      <c r="L737" t="s">
        <v>1007</v>
      </c>
      <c r="Q737">
        <v>2</v>
      </c>
      <c r="R737" s="24">
        <v>46032</v>
      </c>
      <c r="T737" t="s">
        <v>38</v>
      </c>
      <c r="V737" t="s">
        <v>921</v>
      </c>
      <c r="W737" t="s">
        <v>81</v>
      </c>
      <c r="Z737" t="s">
        <v>924</v>
      </c>
      <c r="AA737" t="s">
        <v>39</v>
      </c>
      <c r="AC737" t="s">
        <v>1008</v>
      </c>
    </row>
    <row r="738" spans="1:29" hidden="1" x14ac:dyDescent="0.25">
      <c r="A738">
        <v>227</v>
      </c>
      <c r="B738" t="s">
        <v>331</v>
      </c>
      <c r="C738" t="s">
        <v>77</v>
      </c>
      <c r="D738" t="s">
        <v>238</v>
      </c>
      <c r="E738">
        <v>8</v>
      </c>
      <c r="F738">
        <v>148</v>
      </c>
      <c r="G738">
        <v>441</v>
      </c>
      <c r="H738">
        <v>1</v>
      </c>
      <c r="I738">
        <v>4.0999999999999996</v>
      </c>
      <c r="J738">
        <v>4.0999999999999996</v>
      </c>
      <c r="K738" t="s">
        <v>223</v>
      </c>
      <c r="L738" t="s">
        <v>1007</v>
      </c>
      <c r="Q738">
        <v>2</v>
      </c>
      <c r="R738" s="24">
        <v>46032</v>
      </c>
      <c r="T738" t="s">
        <v>38</v>
      </c>
      <c r="V738" t="s">
        <v>921</v>
      </c>
      <c r="W738" t="s">
        <v>81</v>
      </c>
      <c r="Z738" t="s">
        <v>924</v>
      </c>
      <c r="AA738" t="s">
        <v>39</v>
      </c>
      <c r="AC738" t="s">
        <v>1008</v>
      </c>
    </row>
    <row r="739" spans="1:29" hidden="1" x14ac:dyDescent="0.25">
      <c r="A739">
        <v>228</v>
      </c>
      <c r="B739" t="s">
        <v>332</v>
      </c>
      <c r="C739" t="s">
        <v>77</v>
      </c>
      <c r="D739" t="s">
        <v>322</v>
      </c>
      <c r="E739">
        <v>8</v>
      </c>
      <c r="F739">
        <v>148</v>
      </c>
      <c r="G739">
        <v>324</v>
      </c>
      <c r="H739">
        <v>2</v>
      </c>
      <c r="I739">
        <v>3.01</v>
      </c>
      <c r="J739">
        <v>6.02</v>
      </c>
      <c r="K739" t="s">
        <v>223</v>
      </c>
      <c r="L739" t="s">
        <v>1007</v>
      </c>
      <c r="Q739">
        <v>2</v>
      </c>
      <c r="R739" s="24">
        <v>46032</v>
      </c>
      <c r="T739" t="s">
        <v>38</v>
      </c>
      <c r="V739" t="s">
        <v>921</v>
      </c>
      <c r="W739" t="s">
        <v>81</v>
      </c>
      <c r="Z739" t="s">
        <v>924</v>
      </c>
      <c r="AA739" t="s">
        <v>39</v>
      </c>
      <c r="AC739" t="s">
        <v>1008</v>
      </c>
    </row>
    <row r="740" spans="1:29" hidden="1" x14ac:dyDescent="0.25">
      <c r="A740">
        <v>229</v>
      </c>
      <c r="B740" t="s">
        <v>333</v>
      </c>
      <c r="C740" t="s">
        <v>77</v>
      </c>
      <c r="D740" t="s">
        <v>242</v>
      </c>
      <c r="E740">
        <v>8</v>
      </c>
      <c r="F740">
        <v>156</v>
      </c>
      <c r="G740">
        <v>465</v>
      </c>
      <c r="H740">
        <v>1</v>
      </c>
      <c r="I740">
        <v>4.55</v>
      </c>
      <c r="J740">
        <v>4.55</v>
      </c>
      <c r="K740" t="s">
        <v>223</v>
      </c>
      <c r="L740" t="s">
        <v>1007</v>
      </c>
      <c r="Q740">
        <v>2</v>
      </c>
      <c r="R740" s="24">
        <v>46032</v>
      </c>
      <c r="T740" t="s">
        <v>38</v>
      </c>
      <c r="V740" t="s">
        <v>921</v>
      </c>
      <c r="W740" t="s">
        <v>81</v>
      </c>
      <c r="Z740" t="s">
        <v>924</v>
      </c>
      <c r="AA740" t="s">
        <v>39</v>
      </c>
      <c r="AC740" t="s">
        <v>1008</v>
      </c>
    </row>
    <row r="741" spans="1:29" hidden="1" x14ac:dyDescent="0.25">
      <c r="A741">
        <v>230</v>
      </c>
      <c r="B741" t="s">
        <v>334</v>
      </c>
      <c r="C741" t="s">
        <v>77</v>
      </c>
      <c r="D741" t="s">
        <v>324</v>
      </c>
      <c r="E741">
        <v>8</v>
      </c>
      <c r="F741">
        <v>160</v>
      </c>
      <c r="G741">
        <v>340</v>
      </c>
      <c r="H741">
        <v>2</v>
      </c>
      <c r="I741">
        <v>3.42</v>
      </c>
      <c r="J741">
        <v>6.83</v>
      </c>
      <c r="K741" t="s">
        <v>223</v>
      </c>
      <c r="L741" t="s">
        <v>1007</v>
      </c>
      <c r="Q741">
        <v>2</v>
      </c>
      <c r="R741" s="24">
        <v>46032</v>
      </c>
      <c r="T741" t="s">
        <v>38</v>
      </c>
      <c r="V741" t="s">
        <v>921</v>
      </c>
      <c r="W741" t="s">
        <v>81</v>
      </c>
      <c r="Z741" t="s">
        <v>924</v>
      </c>
      <c r="AA741" t="s">
        <v>39</v>
      </c>
      <c r="AC741" t="s">
        <v>1008</v>
      </c>
    </row>
    <row r="742" spans="1:29" hidden="1" x14ac:dyDescent="0.25">
      <c r="A742">
        <v>231</v>
      </c>
      <c r="B742" t="s">
        <v>335</v>
      </c>
      <c r="C742" t="s">
        <v>77</v>
      </c>
      <c r="D742" t="s">
        <v>238</v>
      </c>
      <c r="E742">
        <v>8</v>
      </c>
      <c r="F742">
        <v>148</v>
      </c>
      <c r="G742">
        <v>441</v>
      </c>
      <c r="H742">
        <v>1</v>
      </c>
      <c r="I742">
        <v>4.0999999999999996</v>
      </c>
      <c r="J742">
        <v>4.0999999999999996</v>
      </c>
      <c r="K742" t="s">
        <v>223</v>
      </c>
      <c r="L742" t="s">
        <v>1007</v>
      </c>
      <c r="Q742">
        <v>2</v>
      </c>
      <c r="R742" s="24">
        <v>46032</v>
      </c>
      <c r="T742" t="s">
        <v>38</v>
      </c>
      <c r="V742" t="s">
        <v>921</v>
      </c>
      <c r="W742" t="s">
        <v>81</v>
      </c>
      <c r="Z742" t="s">
        <v>924</v>
      </c>
      <c r="AA742" t="s">
        <v>39</v>
      </c>
      <c r="AC742" t="s">
        <v>1008</v>
      </c>
    </row>
    <row r="743" spans="1:29" hidden="1" x14ac:dyDescent="0.25">
      <c r="A743">
        <v>232</v>
      </c>
      <c r="B743" t="s">
        <v>336</v>
      </c>
      <c r="C743" t="s">
        <v>77</v>
      </c>
      <c r="D743" t="s">
        <v>322</v>
      </c>
      <c r="E743">
        <v>8</v>
      </c>
      <c r="F743">
        <v>148</v>
      </c>
      <c r="G743">
        <v>324</v>
      </c>
      <c r="H743">
        <v>2</v>
      </c>
      <c r="I743">
        <v>3.01</v>
      </c>
      <c r="J743">
        <v>6.02</v>
      </c>
      <c r="K743" t="s">
        <v>223</v>
      </c>
      <c r="L743" t="s">
        <v>1007</v>
      </c>
      <c r="Q743">
        <v>2</v>
      </c>
      <c r="R743" s="24">
        <v>46032</v>
      </c>
      <c r="T743" t="s">
        <v>38</v>
      </c>
      <c r="V743" t="s">
        <v>921</v>
      </c>
      <c r="W743" t="s">
        <v>81</v>
      </c>
      <c r="Z743" t="s">
        <v>924</v>
      </c>
      <c r="AA743" t="s">
        <v>39</v>
      </c>
      <c r="AC743" t="s">
        <v>1008</v>
      </c>
    </row>
    <row r="744" spans="1:29" hidden="1" x14ac:dyDescent="0.25">
      <c r="A744">
        <v>233</v>
      </c>
      <c r="B744" t="s">
        <v>337</v>
      </c>
      <c r="C744" t="s">
        <v>77</v>
      </c>
      <c r="D744" t="s">
        <v>238</v>
      </c>
      <c r="E744">
        <v>8</v>
      </c>
      <c r="F744">
        <v>148</v>
      </c>
      <c r="G744">
        <v>441</v>
      </c>
      <c r="H744">
        <v>2</v>
      </c>
      <c r="I744">
        <v>4.0999999999999996</v>
      </c>
      <c r="J744">
        <v>8.19</v>
      </c>
      <c r="K744" t="s">
        <v>223</v>
      </c>
      <c r="L744" t="s">
        <v>1007</v>
      </c>
      <c r="Q744">
        <v>2</v>
      </c>
      <c r="R744" s="24">
        <v>46032</v>
      </c>
      <c r="T744" t="s">
        <v>38</v>
      </c>
      <c r="V744" t="s">
        <v>921</v>
      </c>
      <c r="W744" t="s">
        <v>81</v>
      </c>
      <c r="Z744" t="s">
        <v>924</v>
      </c>
      <c r="AA744" t="s">
        <v>39</v>
      </c>
      <c r="AC744" t="s">
        <v>1008</v>
      </c>
    </row>
    <row r="745" spans="1:29" hidden="1" x14ac:dyDescent="0.25">
      <c r="A745">
        <v>234</v>
      </c>
      <c r="B745" t="s">
        <v>338</v>
      </c>
      <c r="C745" t="s">
        <v>77</v>
      </c>
      <c r="D745" t="s">
        <v>322</v>
      </c>
      <c r="E745">
        <v>8</v>
      </c>
      <c r="F745">
        <v>148</v>
      </c>
      <c r="G745">
        <v>324</v>
      </c>
      <c r="H745">
        <v>4</v>
      </c>
      <c r="I745">
        <v>3.01</v>
      </c>
      <c r="J745">
        <v>12.03</v>
      </c>
      <c r="K745" t="s">
        <v>223</v>
      </c>
      <c r="L745" t="s">
        <v>1007</v>
      </c>
      <c r="Q745">
        <v>2</v>
      </c>
      <c r="R745" s="24">
        <v>46032</v>
      </c>
      <c r="T745" t="s">
        <v>38</v>
      </c>
      <c r="V745" t="s">
        <v>921</v>
      </c>
      <c r="W745" t="s">
        <v>81</v>
      </c>
      <c r="Z745" t="s">
        <v>924</v>
      </c>
      <c r="AA745" t="s">
        <v>39</v>
      </c>
      <c r="AC745" t="s">
        <v>1008</v>
      </c>
    </row>
    <row r="746" spans="1:29" hidden="1" x14ac:dyDescent="0.25">
      <c r="A746">
        <v>235</v>
      </c>
      <c r="B746" t="s">
        <v>298</v>
      </c>
      <c r="C746" t="s">
        <v>77</v>
      </c>
      <c r="D746" t="s">
        <v>299</v>
      </c>
      <c r="E746">
        <v>8</v>
      </c>
      <c r="F746">
        <v>329</v>
      </c>
      <c r="G746">
        <v>7566</v>
      </c>
      <c r="H746">
        <v>3</v>
      </c>
      <c r="I746">
        <v>154.88</v>
      </c>
      <c r="J746">
        <v>464.63</v>
      </c>
      <c r="K746" t="s">
        <v>223</v>
      </c>
      <c r="L746" t="s">
        <v>1007</v>
      </c>
      <c r="N746" t="s">
        <v>228</v>
      </c>
      <c r="Q746">
        <v>2</v>
      </c>
      <c r="R746" s="24">
        <v>46032</v>
      </c>
      <c r="T746" t="s">
        <v>38</v>
      </c>
      <c r="V746" t="s">
        <v>921</v>
      </c>
      <c r="Y746" t="s">
        <v>81</v>
      </c>
      <c r="Z746" t="s">
        <v>924</v>
      </c>
      <c r="AA746" t="s">
        <v>39</v>
      </c>
      <c r="AC746" t="s">
        <v>1008</v>
      </c>
    </row>
    <row r="747" spans="1:29" hidden="1" x14ac:dyDescent="0.25">
      <c r="A747">
        <v>236</v>
      </c>
      <c r="B747" t="s">
        <v>339</v>
      </c>
      <c r="C747" t="s">
        <v>77</v>
      </c>
      <c r="D747" t="s">
        <v>340</v>
      </c>
      <c r="E747">
        <v>8</v>
      </c>
      <c r="F747">
        <v>142</v>
      </c>
      <c r="G747">
        <v>1799</v>
      </c>
      <c r="H747">
        <v>1</v>
      </c>
      <c r="I747">
        <v>16.04</v>
      </c>
      <c r="J747">
        <v>16.04</v>
      </c>
      <c r="K747" t="s">
        <v>223</v>
      </c>
      <c r="L747" t="s">
        <v>1007</v>
      </c>
      <c r="O747" t="s">
        <v>81</v>
      </c>
      <c r="Q747">
        <v>2</v>
      </c>
      <c r="R747" s="24">
        <v>46032</v>
      </c>
      <c r="T747" t="s">
        <v>38</v>
      </c>
      <c r="V747" t="s">
        <v>921</v>
      </c>
      <c r="Z747" t="s">
        <v>924</v>
      </c>
      <c r="AA747" t="s">
        <v>39</v>
      </c>
      <c r="AC747" t="s">
        <v>1008</v>
      </c>
    </row>
    <row r="748" spans="1:29" hidden="1" x14ac:dyDescent="0.25">
      <c r="A748">
        <v>237</v>
      </c>
      <c r="B748" t="s">
        <v>341</v>
      </c>
      <c r="C748" t="s">
        <v>77</v>
      </c>
      <c r="D748" t="s">
        <v>342</v>
      </c>
      <c r="E748">
        <v>8</v>
      </c>
      <c r="F748">
        <v>74</v>
      </c>
      <c r="G748">
        <v>172</v>
      </c>
      <c r="H748">
        <v>2</v>
      </c>
      <c r="I748">
        <v>0.54</v>
      </c>
      <c r="J748">
        <v>1.07</v>
      </c>
      <c r="K748" t="s">
        <v>223</v>
      </c>
      <c r="L748" t="s">
        <v>1007</v>
      </c>
      <c r="Q748">
        <v>2</v>
      </c>
      <c r="R748" s="24">
        <v>46032</v>
      </c>
      <c r="T748" t="s">
        <v>38</v>
      </c>
      <c r="V748" t="s">
        <v>921</v>
      </c>
      <c r="W748" t="s">
        <v>81</v>
      </c>
      <c r="Z748" t="s">
        <v>924</v>
      </c>
      <c r="AA748" t="s">
        <v>39</v>
      </c>
      <c r="AC748" t="s">
        <v>1008</v>
      </c>
    </row>
    <row r="749" spans="1:29" hidden="1" x14ac:dyDescent="0.25">
      <c r="A749">
        <v>238</v>
      </c>
      <c r="B749" t="s">
        <v>343</v>
      </c>
      <c r="C749" t="s">
        <v>77</v>
      </c>
      <c r="D749" t="s">
        <v>230</v>
      </c>
      <c r="E749">
        <v>8</v>
      </c>
      <c r="F749">
        <v>90</v>
      </c>
      <c r="G749">
        <v>150</v>
      </c>
      <c r="H749">
        <v>6</v>
      </c>
      <c r="I749">
        <v>0.62</v>
      </c>
      <c r="J749">
        <v>3.71</v>
      </c>
      <c r="K749" t="s">
        <v>223</v>
      </c>
      <c r="L749" t="s">
        <v>1007</v>
      </c>
      <c r="Q749">
        <v>2</v>
      </c>
      <c r="R749" s="24">
        <v>46032</v>
      </c>
      <c r="T749" t="s">
        <v>38</v>
      </c>
      <c r="V749" t="s">
        <v>921</v>
      </c>
      <c r="W749" t="s">
        <v>81</v>
      </c>
      <c r="Z749" t="s">
        <v>924</v>
      </c>
      <c r="AA749" t="s">
        <v>39</v>
      </c>
      <c r="AC749" t="s">
        <v>1008</v>
      </c>
    </row>
    <row r="750" spans="1:29" hidden="1" x14ac:dyDescent="0.25">
      <c r="A750">
        <v>239</v>
      </c>
      <c r="B750" t="s">
        <v>344</v>
      </c>
      <c r="C750" t="s">
        <v>77</v>
      </c>
      <c r="D750" t="s">
        <v>340</v>
      </c>
      <c r="E750">
        <v>8</v>
      </c>
      <c r="F750">
        <v>142</v>
      </c>
      <c r="G750">
        <v>1799</v>
      </c>
      <c r="H750">
        <v>2</v>
      </c>
      <c r="I750">
        <v>16.05</v>
      </c>
      <c r="J750">
        <v>32.090000000000003</v>
      </c>
      <c r="K750" t="s">
        <v>223</v>
      </c>
      <c r="L750" t="s">
        <v>1007</v>
      </c>
      <c r="O750" t="s">
        <v>81</v>
      </c>
      <c r="Q750">
        <v>2</v>
      </c>
      <c r="R750" s="24">
        <v>46032</v>
      </c>
      <c r="T750" t="s">
        <v>38</v>
      </c>
      <c r="V750" t="s">
        <v>921</v>
      </c>
      <c r="Z750" t="s">
        <v>924</v>
      </c>
      <c r="AA750" t="s">
        <v>39</v>
      </c>
      <c r="AC750" t="s">
        <v>1008</v>
      </c>
    </row>
    <row r="751" spans="1:29" hidden="1" x14ac:dyDescent="0.25">
      <c r="A751">
        <v>240</v>
      </c>
      <c r="B751" t="s">
        <v>229</v>
      </c>
      <c r="C751" t="s">
        <v>77</v>
      </c>
      <c r="D751" t="s">
        <v>230</v>
      </c>
      <c r="E751">
        <v>8</v>
      </c>
      <c r="F751">
        <v>90</v>
      </c>
      <c r="G751">
        <v>150</v>
      </c>
      <c r="H751">
        <v>9</v>
      </c>
      <c r="I751">
        <v>0.62</v>
      </c>
      <c r="J751">
        <v>5.57</v>
      </c>
      <c r="K751" t="s">
        <v>223</v>
      </c>
      <c r="L751" t="s">
        <v>1007</v>
      </c>
      <c r="Q751">
        <v>2</v>
      </c>
      <c r="R751" s="24">
        <v>46032</v>
      </c>
      <c r="T751" t="s">
        <v>38</v>
      </c>
      <c r="V751" t="s">
        <v>921</v>
      </c>
      <c r="W751" t="s">
        <v>81</v>
      </c>
      <c r="Z751" t="s">
        <v>924</v>
      </c>
      <c r="AA751" t="s">
        <v>39</v>
      </c>
      <c r="AC751" t="s">
        <v>1008</v>
      </c>
    </row>
    <row r="752" spans="1:29" hidden="1" x14ac:dyDescent="0.25">
      <c r="A752">
        <v>241</v>
      </c>
      <c r="B752" t="s">
        <v>345</v>
      </c>
      <c r="C752" t="s">
        <v>77</v>
      </c>
      <c r="D752" t="s">
        <v>340</v>
      </c>
      <c r="E752">
        <v>8</v>
      </c>
      <c r="F752">
        <v>142</v>
      </c>
      <c r="G752">
        <v>1799</v>
      </c>
      <c r="H752">
        <v>1</v>
      </c>
      <c r="I752">
        <v>16.04</v>
      </c>
      <c r="J752">
        <v>16.04</v>
      </c>
      <c r="K752" t="s">
        <v>223</v>
      </c>
      <c r="L752" t="s">
        <v>1007</v>
      </c>
      <c r="O752" t="s">
        <v>81</v>
      </c>
      <c r="Q752">
        <v>2</v>
      </c>
      <c r="R752" s="24">
        <v>46032</v>
      </c>
      <c r="T752" t="s">
        <v>38</v>
      </c>
      <c r="V752" t="s">
        <v>921</v>
      </c>
      <c r="Z752" t="s">
        <v>924</v>
      </c>
      <c r="AA752" t="s">
        <v>39</v>
      </c>
      <c r="AC752" t="s">
        <v>1008</v>
      </c>
    </row>
    <row r="753" spans="1:29" hidden="1" x14ac:dyDescent="0.25">
      <c r="A753">
        <v>242</v>
      </c>
      <c r="B753" t="s">
        <v>346</v>
      </c>
      <c r="C753" t="s">
        <v>77</v>
      </c>
      <c r="D753" t="s">
        <v>342</v>
      </c>
      <c r="E753">
        <v>8</v>
      </c>
      <c r="F753">
        <v>74</v>
      </c>
      <c r="G753">
        <v>172</v>
      </c>
      <c r="H753">
        <v>3</v>
      </c>
      <c r="I753">
        <v>0.53</v>
      </c>
      <c r="J753">
        <v>1.6</v>
      </c>
      <c r="K753" t="s">
        <v>223</v>
      </c>
      <c r="L753" t="s">
        <v>1007</v>
      </c>
      <c r="Q753">
        <v>2</v>
      </c>
      <c r="R753" s="24">
        <v>46032</v>
      </c>
      <c r="T753" t="s">
        <v>38</v>
      </c>
      <c r="V753" t="s">
        <v>921</v>
      </c>
      <c r="W753" t="s">
        <v>81</v>
      </c>
      <c r="Z753" t="s">
        <v>924</v>
      </c>
      <c r="AA753" t="s">
        <v>39</v>
      </c>
      <c r="AC753" t="s">
        <v>1008</v>
      </c>
    </row>
    <row r="754" spans="1:29" hidden="1" x14ac:dyDescent="0.25">
      <c r="A754">
        <v>243</v>
      </c>
      <c r="B754" t="s">
        <v>347</v>
      </c>
      <c r="C754" t="s">
        <v>77</v>
      </c>
      <c r="D754" t="s">
        <v>230</v>
      </c>
      <c r="E754">
        <v>8</v>
      </c>
      <c r="F754">
        <v>90</v>
      </c>
      <c r="G754">
        <v>150</v>
      </c>
      <c r="H754">
        <v>5</v>
      </c>
      <c r="I754">
        <v>0.62</v>
      </c>
      <c r="J754">
        <v>3.09</v>
      </c>
      <c r="K754" t="s">
        <v>223</v>
      </c>
      <c r="L754" t="s">
        <v>1007</v>
      </c>
      <c r="Q754">
        <v>2</v>
      </c>
      <c r="R754" s="24">
        <v>46032</v>
      </c>
      <c r="T754" t="s">
        <v>38</v>
      </c>
      <c r="V754" t="s">
        <v>921</v>
      </c>
      <c r="W754" t="s">
        <v>81</v>
      </c>
      <c r="Z754" t="s">
        <v>924</v>
      </c>
      <c r="AA754" t="s">
        <v>39</v>
      </c>
      <c r="AC754" t="s">
        <v>1008</v>
      </c>
    </row>
    <row r="755" spans="1:29" hidden="1" x14ac:dyDescent="0.25">
      <c r="A755">
        <v>244</v>
      </c>
      <c r="B755" t="s">
        <v>348</v>
      </c>
      <c r="C755" t="s">
        <v>77</v>
      </c>
      <c r="D755" t="s">
        <v>314</v>
      </c>
      <c r="E755">
        <v>8</v>
      </c>
      <c r="F755">
        <v>158</v>
      </c>
      <c r="G755">
        <v>228</v>
      </c>
      <c r="H755">
        <v>27</v>
      </c>
      <c r="I755">
        <v>2.21</v>
      </c>
      <c r="J755">
        <v>59.73</v>
      </c>
      <c r="K755" t="s">
        <v>223</v>
      </c>
      <c r="L755" t="s">
        <v>1007</v>
      </c>
      <c r="Q755">
        <v>2</v>
      </c>
      <c r="R755" s="24">
        <v>46032</v>
      </c>
      <c r="T755" t="s">
        <v>38</v>
      </c>
      <c r="V755" t="s">
        <v>921</v>
      </c>
      <c r="W755" t="s">
        <v>81</v>
      </c>
      <c r="Z755" t="s">
        <v>924</v>
      </c>
      <c r="AA755" t="s">
        <v>39</v>
      </c>
      <c r="AC755" t="s">
        <v>1008</v>
      </c>
    </row>
    <row r="756" spans="1:29" hidden="1" x14ac:dyDescent="0.25">
      <c r="A756">
        <v>245</v>
      </c>
      <c r="B756" t="s">
        <v>306</v>
      </c>
      <c r="C756" t="s">
        <v>77</v>
      </c>
      <c r="D756" t="s">
        <v>307</v>
      </c>
      <c r="E756">
        <v>8</v>
      </c>
      <c r="F756">
        <v>124</v>
      </c>
      <c r="G756">
        <v>1882</v>
      </c>
      <c r="H756">
        <v>4</v>
      </c>
      <c r="I756">
        <v>14.66</v>
      </c>
      <c r="J756">
        <v>58.62</v>
      </c>
      <c r="K756" t="s">
        <v>223</v>
      </c>
      <c r="L756" t="s">
        <v>1007</v>
      </c>
      <c r="Q756">
        <v>2</v>
      </c>
      <c r="R756" s="24">
        <v>46032</v>
      </c>
      <c r="T756" t="s">
        <v>38</v>
      </c>
      <c r="V756" t="s">
        <v>921</v>
      </c>
      <c r="Y756" t="s">
        <v>81</v>
      </c>
      <c r="Z756" t="s">
        <v>924</v>
      </c>
      <c r="AA756" t="s">
        <v>39</v>
      </c>
      <c r="AC756" t="s">
        <v>1008</v>
      </c>
    </row>
    <row r="757" spans="1:29" hidden="1" x14ac:dyDescent="0.25">
      <c r="A757">
        <v>246</v>
      </c>
      <c r="B757" t="s">
        <v>308</v>
      </c>
      <c r="C757" t="s">
        <v>77</v>
      </c>
      <c r="D757" t="s">
        <v>309</v>
      </c>
      <c r="E757">
        <v>8</v>
      </c>
      <c r="F757">
        <v>150</v>
      </c>
      <c r="G757">
        <v>2523</v>
      </c>
      <c r="H757">
        <v>2</v>
      </c>
      <c r="I757">
        <v>23.76</v>
      </c>
      <c r="J757">
        <v>47.53</v>
      </c>
      <c r="K757" t="s">
        <v>223</v>
      </c>
      <c r="L757" t="s">
        <v>1007</v>
      </c>
      <c r="Q757">
        <v>2</v>
      </c>
      <c r="R757" s="24">
        <v>46032</v>
      </c>
      <c r="T757" t="s">
        <v>38</v>
      </c>
      <c r="V757" t="s">
        <v>921</v>
      </c>
      <c r="Y757" t="s">
        <v>81</v>
      </c>
      <c r="Z757" t="s">
        <v>924</v>
      </c>
      <c r="AA757" t="s">
        <v>39</v>
      </c>
      <c r="AC757" t="s">
        <v>1008</v>
      </c>
    </row>
    <row r="758" spans="1:29" hidden="1" x14ac:dyDescent="0.25">
      <c r="A758">
        <v>247</v>
      </c>
      <c r="B758" t="s">
        <v>310</v>
      </c>
      <c r="C758" t="s">
        <v>77</v>
      </c>
      <c r="D758" t="s">
        <v>311</v>
      </c>
      <c r="E758">
        <v>8</v>
      </c>
      <c r="F758">
        <v>124</v>
      </c>
      <c r="G758">
        <v>2523</v>
      </c>
      <c r="H758">
        <v>2</v>
      </c>
      <c r="I758">
        <v>19.64</v>
      </c>
      <c r="J758">
        <v>39.29</v>
      </c>
      <c r="K758" t="s">
        <v>223</v>
      </c>
      <c r="L758" t="s">
        <v>1007</v>
      </c>
      <c r="Q758">
        <v>2</v>
      </c>
      <c r="R758" s="24">
        <v>46032</v>
      </c>
      <c r="T758" t="s">
        <v>38</v>
      </c>
      <c r="V758" t="s">
        <v>921</v>
      </c>
      <c r="Y758" t="s">
        <v>81</v>
      </c>
      <c r="Z758" t="s">
        <v>924</v>
      </c>
      <c r="AA758" t="s">
        <v>39</v>
      </c>
      <c r="AC758" t="s">
        <v>1008</v>
      </c>
    </row>
    <row r="759" spans="1:29" hidden="1" x14ac:dyDescent="0.25">
      <c r="A759">
        <v>248</v>
      </c>
      <c r="B759" t="s">
        <v>349</v>
      </c>
      <c r="C759" t="s">
        <v>77</v>
      </c>
      <c r="D759" t="s">
        <v>311</v>
      </c>
      <c r="E759">
        <v>8</v>
      </c>
      <c r="F759">
        <v>124</v>
      </c>
      <c r="G759">
        <v>2523</v>
      </c>
      <c r="H759">
        <v>4</v>
      </c>
      <c r="I759">
        <v>19.649999999999999</v>
      </c>
      <c r="J759">
        <v>78.59</v>
      </c>
      <c r="K759" t="s">
        <v>223</v>
      </c>
      <c r="L759" t="s">
        <v>1007</v>
      </c>
      <c r="Q759">
        <v>2</v>
      </c>
      <c r="R759" s="24">
        <v>46032</v>
      </c>
      <c r="T759" t="s">
        <v>38</v>
      </c>
      <c r="V759" t="s">
        <v>921</v>
      </c>
      <c r="Y759" t="s">
        <v>81</v>
      </c>
      <c r="Z759" t="s">
        <v>924</v>
      </c>
      <c r="AA759" t="s">
        <v>39</v>
      </c>
      <c r="AC759" t="s">
        <v>1008</v>
      </c>
    </row>
    <row r="760" spans="1:29" hidden="1" x14ac:dyDescent="0.25">
      <c r="A760">
        <v>249</v>
      </c>
      <c r="B760" t="s">
        <v>350</v>
      </c>
      <c r="C760" t="s">
        <v>77</v>
      </c>
      <c r="D760" t="s">
        <v>351</v>
      </c>
      <c r="E760">
        <v>8</v>
      </c>
      <c r="F760">
        <v>150</v>
      </c>
      <c r="G760">
        <v>601</v>
      </c>
      <c r="H760">
        <v>4</v>
      </c>
      <c r="I760">
        <v>5.66</v>
      </c>
      <c r="J760">
        <v>22.65</v>
      </c>
      <c r="K760" t="s">
        <v>223</v>
      </c>
      <c r="L760" t="s">
        <v>1007</v>
      </c>
      <c r="Q760">
        <v>2</v>
      </c>
      <c r="R760" s="24">
        <v>46032</v>
      </c>
      <c r="T760" t="s">
        <v>38</v>
      </c>
      <c r="V760" t="s">
        <v>921</v>
      </c>
      <c r="Y760" t="s">
        <v>81</v>
      </c>
      <c r="Z760" t="s">
        <v>924</v>
      </c>
      <c r="AA760" t="s">
        <v>39</v>
      </c>
      <c r="AC760" t="s">
        <v>1008</v>
      </c>
    </row>
    <row r="761" spans="1:29" hidden="1" x14ac:dyDescent="0.25">
      <c r="A761">
        <v>250</v>
      </c>
      <c r="B761" t="s">
        <v>267</v>
      </c>
      <c r="C761" t="s">
        <v>77</v>
      </c>
      <c r="D761" t="s">
        <v>268</v>
      </c>
      <c r="E761">
        <v>8</v>
      </c>
      <c r="F761">
        <v>124</v>
      </c>
      <c r="G761">
        <v>6824</v>
      </c>
      <c r="H761">
        <v>1</v>
      </c>
      <c r="I761">
        <v>53.14</v>
      </c>
      <c r="J761">
        <v>53.14</v>
      </c>
      <c r="K761" t="s">
        <v>223</v>
      </c>
      <c r="L761" t="s">
        <v>1007</v>
      </c>
      <c r="Q761">
        <v>2</v>
      </c>
      <c r="R761" s="24">
        <v>46032</v>
      </c>
      <c r="T761" t="s">
        <v>38</v>
      </c>
      <c r="V761" t="s">
        <v>921</v>
      </c>
      <c r="Y761" t="s">
        <v>81</v>
      </c>
      <c r="Z761" t="s">
        <v>924</v>
      </c>
      <c r="AA761" t="s">
        <v>39</v>
      </c>
      <c r="AC761" t="s">
        <v>1008</v>
      </c>
    </row>
    <row r="762" spans="1:29" hidden="1" x14ac:dyDescent="0.25">
      <c r="A762">
        <v>251</v>
      </c>
      <c r="B762" t="s">
        <v>235</v>
      </c>
      <c r="C762" t="s">
        <v>77</v>
      </c>
      <c r="D762" t="s">
        <v>236</v>
      </c>
      <c r="E762">
        <v>8</v>
      </c>
      <c r="F762">
        <v>150</v>
      </c>
      <c r="G762">
        <v>792</v>
      </c>
      <c r="H762">
        <v>2</v>
      </c>
      <c r="I762">
        <v>7.46</v>
      </c>
      <c r="J762">
        <v>14.92</v>
      </c>
      <c r="K762" t="s">
        <v>223</v>
      </c>
      <c r="L762" t="s">
        <v>1007</v>
      </c>
      <c r="Q762">
        <v>2</v>
      </c>
      <c r="R762" s="24">
        <v>46032</v>
      </c>
      <c r="T762" t="s">
        <v>38</v>
      </c>
      <c r="V762" t="s">
        <v>921</v>
      </c>
      <c r="Y762" t="s">
        <v>81</v>
      </c>
      <c r="Z762" t="s">
        <v>924</v>
      </c>
      <c r="AA762" t="s">
        <v>39</v>
      </c>
      <c r="AC762" t="s">
        <v>1008</v>
      </c>
    </row>
    <row r="763" spans="1:29" hidden="1" x14ac:dyDescent="0.25">
      <c r="A763">
        <v>252</v>
      </c>
      <c r="B763" t="s">
        <v>352</v>
      </c>
      <c r="C763" t="s">
        <v>77</v>
      </c>
      <c r="D763" t="s">
        <v>340</v>
      </c>
      <c r="E763">
        <v>8</v>
      </c>
      <c r="F763">
        <v>142</v>
      </c>
      <c r="G763">
        <v>1799</v>
      </c>
      <c r="H763">
        <v>2</v>
      </c>
      <c r="I763">
        <v>16.05</v>
      </c>
      <c r="J763">
        <v>32.090000000000003</v>
      </c>
      <c r="K763" t="s">
        <v>223</v>
      </c>
      <c r="L763" t="s">
        <v>1007</v>
      </c>
      <c r="O763" t="s">
        <v>81</v>
      </c>
      <c r="Q763">
        <v>2</v>
      </c>
      <c r="R763" s="24">
        <v>46032</v>
      </c>
      <c r="T763" t="s">
        <v>38</v>
      </c>
      <c r="V763" t="s">
        <v>921</v>
      </c>
      <c r="Z763" t="s">
        <v>924</v>
      </c>
      <c r="AA763" t="s">
        <v>39</v>
      </c>
      <c r="AC763" t="s">
        <v>1008</v>
      </c>
    </row>
    <row r="764" spans="1:29" hidden="1" x14ac:dyDescent="0.25">
      <c r="A764">
        <v>253</v>
      </c>
      <c r="B764" t="s">
        <v>341</v>
      </c>
      <c r="C764" t="s">
        <v>77</v>
      </c>
      <c r="D764" t="s">
        <v>342</v>
      </c>
      <c r="E764">
        <v>8</v>
      </c>
      <c r="F764">
        <v>74</v>
      </c>
      <c r="G764">
        <v>172</v>
      </c>
      <c r="H764">
        <v>1</v>
      </c>
      <c r="I764">
        <v>0.53</v>
      </c>
      <c r="J764">
        <v>0.53</v>
      </c>
      <c r="K764" t="s">
        <v>353</v>
      </c>
      <c r="L764" t="s">
        <v>1009</v>
      </c>
      <c r="Q764">
        <v>2</v>
      </c>
      <c r="R764" s="24">
        <v>46032</v>
      </c>
      <c r="T764" t="s">
        <v>38</v>
      </c>
      <c r="V764" t="s">
        <v>921</v>
      </c>
      <c r="W764" t="s">
        <v>81</v>
      </c>
      <c r="Z764" t="s">
        <v>924</v>
      </c>
      <c r="AA764" t="s">
        <v>355</v>
      </c>
      <c r="AC764" t="s">
        <v>1010</v>
      </c>
    </row>
    <row r="765" spans="1:29" hidden="1" x14ac:dyDescent="0.25">
      <c r="A765">
        <v>254</v>
      </c>
      <c r="B765" t="s">
        <v>357</v>
      </c>
      <c r="C765" t="s">
        <v>77</v>
      </c>
      <c r="D765" t="s">
        <v>342</v>
      </c>
      <c r="E765">
        <v>8</v>
      </c>
      <c r="F765">
        <v>74</v>
      </c>
      <c r="G765">
        <v>172</v>
      </c>
      <c r="H765">
        <v>6</v>
      </c>
      <c r="I765">
        <v>0.53</v>
      </c>
      <c r="J765">
        <v>3.2</v>
      </c>
      <c r="K765" t="s">
        <v>353</v>
      </c>
      <c r="L765" t="s">
        <v>1009</v>
      </c>
      <c r="Q765">
        <v>2</v>
      </c>
      <c r="R765" s="24">
        <v>46032</v>
      </c>
      <c r="T765" t="s">
        <v>38</v>
      </c>
      <c r="V765" t="s">
        <v>921</v>
      </c>
      <c r="W765" t="s">
        <v>81</v>
      </c>
      <c r="Z765" t="s">
        <v>924</v>
      </c>
      <c r="AA765" t="s">
        <v>355</v>
      </c>
      <c r="AC765" t="s">
        <v>1010</v>
      </c>
    </row>
    <row r="766" spans="1:29" hidden="1" x14ac:dyDescent="0.25">
      <c r="A766">
        <v>255</v>
      </c>
      <c r="B766" t="s">
        <v>347</v>
      </c>
      <c r="C766" t="s">
        <v>77</v>
      </c>
      <c r="D766" t="s">
        <v>230</v>
      </c>
      <c r="E766">
        <v>8</v>
      </c>
      <c r="F766">
        <v>90</v>
      </c>
      <c r="G766">
        <v>150</v>
      </c>
      <c r="H766">
        <v>1</v>
      </c>
      <c r="I766">
        <v>0.62</v>
      </c>
      <c r="J766">
        <v>0.62</v>
      </c>
      <c r="K766" t="s">
        <v>353</v>
      </c>
      <c r="L766" t="s">
        <v>1009</v>
      </c>
      <c r="Q766">
        <v>2</v>
      </c>
      <c r="R766" s="24">
        <v>46032</v>
      </c>
      <c r="T766" t="s">
        <v>38</v>
      </c>
      <c r="V766" t="s">
        <v>921</v>
      </c>
      <c r="W766" t="s">
        <v>81</v>
      </c>
      <c r="Z766" t="s">
        <v>924</v>
      </c>
      <c r="AA766" t="s">
        <v>355</v>
      </c>
      <c r="AC766" t="s">
        <v>1010</v>
      </c>
    </row>
    <row r="767" spans="1:29" hidden="1" x14ac:dyDescent="0.25">
      <c r="A767">
        <v>256</v>
      </c>
      <c r="B767" t="s">
        <v>348</v>
      </c>
      <c r="C767" t="s">
        <v>77</v>
      </c>
      <c r="D767" t="s">
        <v>314</v>
      </c>
      <c r="E767">
        <v>8</v>
      </c>
      <c r="F767">
        <v>158</v>
      </c>
      <c r="G767">
        <v>228</v>
      </c>
      <c r="H767">
        <v>3</v>
      </c>
      <c r="I767">
        <v>2.21</v>
      </c>
      <c r="J767">
        <v>6.64</v>
      </c>
      <c r="K767" t="s">
        <v>353</v>
      </c>
      <c r="L767" t="s">
        <v>1009</v>
      </c>
      <c r="Q767">
        <v>2</v>
      </c>
      <c r="R767" s="24">
        <v>46032</v>
      </c>
      <c r="T767" t="s">
        <v>38</v>
      </c>
      <c r="V767" t="s">
        <v>921</v>
      </c>
      <c r="W767" t="s">
        <v>81</v>
      </c>
      <c r="Z767" t="s">
        <v>924</v>
      </c>
      <c r="AA767" t="s">
        <v>355</v>
      </c>
      <c r="AC767" t="s">
        <v>1010</v>
      </c>
    </row>
    <row r="768" spans="1:29" hidden="1" x14ac:dyDescent="0.25">
      <c r="A768">
        <v>257</v>
      </c>
      <c r="B768" t="s">
        <v>358</v>
      </c>
      <c r="C768" t="s">
        <v>77</v>
      </c>
      <c r="D768" t="s">
        <v>359</v>
      </c>
      <c r="E768">
        <v>10</v>
      </c>
      <c r="F768">
        <v>350</v>
      </c>
      <c r="G768">
        <v>12000</v>
      </c>
      <c r="H768">
        <v>1</v>
      </c>
      <c r="I768">
        <v>329.7</v>
      </c>
      <c r="J768">
        <v>329.7</v>
      </c>
      <c r="K768" t="s">
        <v>360</v>
      </c>
      <c r="L768" t="s">
        <v>1011</v>
      </c>
      <c r="P768" t="s">
        <v>81</v>
      </c>
      <c r="Q768">
        <v>2</v>
      </c>
      <c r="R768" s="24">
        <v>46032</v>
      </c>
      <c r="T768" t="s">
        <v>38</v>
      </c>
      <c r="V768" t="s">
        <v>921</v>
      </c>
      <c r="Y768" t="s">
        <v>81</v>
      </c>
      <c r="Z768" t="s">
        <v>924</v>
      </c>
      <c r="AA768" t="s">
        <v>39</v>
      </c>
      <c r="AC768" t="s">
        <v>1012</v>
      </c>
    </row>
    <row r="769" spans="1:29" hidden="1" x14ac:dyDescent="0.25">
      <c r="A769">
        <v>258</v>
      </c>
      <c r="B769" t="s">
        <v>363</v>
      </c>
      <c r="C769" t="s">
        <v>77</v>
      </c>
      <c r="D769" t="s">
        <v>359</v>
      </c>
      <c r="E769">
        <v>10</v>
      </c>
      <c r="F769">
        <v>350</v>
      </c>
      <c r="G769">
        <v>12000</v>
      </c>
      <c r="H769">
        <v>1</v>
      </c>
      <c r="I769">
        <v>329.7</v>
      </c>
      <c r="J769">
        <v>329.7</v>
      </c>
      <c r="K769" t="s">
        <v>360</v>
      </c>
      <c r="L769" t="s">
        <v>1011</v>
      </c>
      <c r="P769" t="s">
        <v>81</v>
      </c>
      <c r="Q769">
        <v>2</v>
      </c>
      <c r="R769" s="24">
        <v>46032</v>
      </c>
      <c r="T769" t="s">
        <v>38</v>
      </c>
      <c r="V769" t="s">
        <v>921</v>
      </c>
      <c r="Y769" t="s">
        <v>81</v>
      </c>
      <c r="Z769" t="s">
        <v>924</v>
      </c>
      <c r="AA769" t="s">
        <v>39</v>
      </c>
      <c r="AC769" t="s">
        <v>1012</v>
      </c>
    </row>
    <row r="770" spans="1:29" hidden="1" x14ac:dyDescent="0.25">
      <c r="A770">
        <v>259</v>
      </c>
      <c r="B770" t="s">
        <v>364</v>
      </c>
      <c r="C770" t="s">
        <v>77</v>
      </c>
      <c r="D770" t="s">
        <v>365</v>
      </c>
      <c r="E770">
        <v>10</v>
      </c>
      <c r="F770">
        <v>380</v>
      </c>
      <c r="G770">
        <v>12000</v>
      </c>
      <c r="H770">
        <v>2</v>
      </c>
      <c r="I770">
        <v>357.96</v>
      </c>
      <c r="J770">
        <v>715.91</v>
      </c>
      <c r="K770" t="s">
        <v>360</v>
      </c>
      <c r="L770" t="s">
        <v>1011</v>
      </c>
      <c r="Q770">
        <v>2</v>
      </c>
      <c r="R770" s="24">
        <v>46032</v>
      </c>
      <c r="T770" t="s">
        <v>38</v>
      </c>
      <c r="V770" t="s">
        <v>921</v>
      </c>
      <c r="Y770" t="s">
        <v>81</v>
      </c>
      <c r="Z770" t="s">
        <v>924</v>
      </c>
      <c r="AA770" t="s">
        <v>39</v>
      </c>
      <c r="AC770" t="s">
        <v>1012</v>
      </c>
    </row>
    <row r="771" spans="1:29" hidden="1" x14ac:dyDescent="0.25">
      <c r="A771">
        <v>260</v>
      </c>
      <c r="B771" t="s">
        <v>366</v>
      </c>
      <c r="C771" t="s">
        <v>77</v>
      </c>
      <c r="D771" t="s">
        <v>365</v>
      </c>
      <c r="E771">
        <v>10</v>
      </c>
      <c r="F771">
        <v>380</v>
      </c>
      <c r="G771">
        <v>12000</v>
      </c>
      <c r="H771">
        <v>2</v>
      </c>
      <c r="I771">
        <v>357.96</v>
      </c>
      <c r="J771">
        <v>715.91</v>
      </c>
      <c r="K771" t="s">
        <v>360</v>
      </c>
      <c r="L771" t="s">
        <v>1013</v>
      </c>
      <c r="Q771">
        <v>2</v>
      </c>
      <c r="R771" s="24">
        <v>46032</v>
      </c>
      <c r="T771" t="s">
        <v>38</v>
      </c>
      <c r="V771" t="s">
        <v>921</v>
      </c>
      <c r="Y771" t="s">
        <v>81</v>
      </c>
      <c r="Z771" t="s">
        <v>924</v>
      </c>
      <c r="AA771" t="s">
        <v>39</v>
      </c>
      <c r="AC771" t="s">
        <v>1014</v>
      </c>
    </row>
    <row r="772" spans="1:29" hidden="1" x14ac:dyDescent="0.25">
      <c r="A772">
        <v>261</v>
      </c>
      <c r="B772" t="s">
        <v>369</v>
      </c>
      <c r="C772" t="s">
        <v>77</v>
      </c>
      <c r="D772" t="s">
        <v>359</v>
      </c>
      <c r="E772">
        <v>10</v>
      </c>
      <c r="F772">
        <v>350</v>
      </c>
      <c r="G772">
        <v>12000</v>
      </c>
      <c r="H772">
        <v>1</v>
      </c>
      <c r="I772">
        <v>329.7</v>
      </c>
      <c r="J772">
        <v>329.7</v>
      </c>
      <c r="K772" t="s">
        <v>360</v>
      </c>
      <c r="L772" t="s">
        <v>1013</v>
      </c>
      <c r="P772" t="s">
        <v>81</v>
      </c>
      <c r="Q772">
        <v>2</v>
      </c>
      <c r="R772" s="24">
        <v>46032</v>
      </c>
      <c r="T772" t="s">
        <v>38</v>
      </c>
      <c r="V772" t="s">
        <v>921</v>
      </c>
      <c r="Y772" t="s">
        <v>81</v>
      </c>
      <c r="Z772" t="s">
        <v>924</v>
      </c>
      <c r="AA772" t="s">
        <v>39</v>
      </c>
      <c r="AC772" t="s">
        <v>1014</v>
      </c>
    </row>
    <row r="773" spans="1:29" hidden="1" x14ac:dyDescent="0.25">
      <c r="A773">
        <v>262</v>
      </c>
      <c r="B773" t="s">
        <v>370</v>
      </c>
      <c r="C773" t="s">
        <v>77</v>
      </c>
      <c r="D773" t="s">
        <v>359</v>
      </c>
      <c r="E773">
        <v>10</v>
      </c>
      <c r="F773">
        <v>350</v>
      </c>
      <c r="G773">
        <v>12000</v>
      </c>
      <c r="H773">
        <v>1</v>
      </c>
      <c r="I773">
        <v>329.7</v>
      </c>
      <c r="J773">
        <v>329.7</v>
      </c>
      <c r="K773" t="s">
        <v>360</v>
      </c>
      <c r="L773" t="s">
        <v>1013</v>
      </c>
      <c r="P773" t="s">
        <v>81</v>
      </c>
      <c r="Q773">
        <v>2</v>
      </c>
      <c r="R773" s="24">
        <v>46032</v>
      </c>
      <c r="T773" t="s">
        <v>38</v>
      </c>
      <c r="V773" t="s">
        <v>921</v>
      </c>
      <c r="Y773" t="s">
        <v>81</v>
      </c>
      <c r="Z773" t="s">
        <v>924</v>
      </c>
      <c r="AA773" t="s">
        <v>39</v>
      </c>
      <c r="AC773" t="s">
        <v>1014</v>
      </c>
    </row>
    <row r="774" spans="1:29" hidden="1" x14ac:dyDescent="0.25">
      <c r="A774">
        <v>263</v>
      </c>
      <c r="B774" t="s">
        <v>371</v>
      </c>
      <c r="C774" t="s">
        <v>77</v>
      </c>
      <c r="D774" t="s">
        <v>359</v>
      </c>
      <c r="E774">
        <v>10</v>
      </c>
      <c r="F774">
        <v>350</v>
      </c>
      <c r="G774">
        <v>12000</v>
      </c>
      <c r="H774">
        <v>2</v>
      </c>
      <c r="I774">
        <v>329.7</v>
      </c>
      <c r="J774">
        <v>659.41</v>
      </c>
      <c r="K774" t="s">
        <v>360</v>
      </c>
      <c r="L774" t="s">
        <v>1015</v>
      </c>
      <c r="P774" t="s">
        <v>81</v>
      </c>
      <c r="Q774">
        <v>2</v>
      </c>
      <c r="R774" s="24">
        <v>46032</v>
      </c>
      <c r="T774" t="s">
        <v>38</v>
      </c>
      <c r="V774" t="s">
        <v>921</v>
      </c>
      <c r="Y774" t="s">
        <v>81</v>
      </c>
      <c r="Z774" t="s">
        <v>924</v>
      </c>
      <c r="AA774" t="s">
        <v>39</v>
      </c>
      <c r="AC774" t="s">
        <v>1016</v>
      </c>
    </row>
    <row r="775" spans="1:29" hidden="1" x14ac:dyDescent="0.25">
      <c r="A775">
        <v>264</v>
      </c>
      <c r="B775" t="s">
        <v>366</v>
      </c>
      <c r="C775" t="s">
        <v>77</v>
      </c>
      <c r="D775" t="s">
        <v>365</v>
      </c>
      <c r="E775">
        <v>10</v>
      </c>
      <c r="F775">
        <v>380</v>
      </c>
      <c r="G775">
        <v>12000</v>
      </c>
      <c r="H775">
        <v>2</v>
      </c>
      <c r="I775">
        <v>357.96</v>
      </c>
      <c r="J775">
        <v>715.91</v>
      </c>
      <c r="K775" t="s">
        <v>360</v>
      </c>
      <c r="L775" t="s">
        <v>1015</v>
      </c>
      <c r="Q775">
        <v>2</v>
      </c>
      <c r="R775" s="24">
        <v>46032</v>
      </c>
      <c r="T775" t="s">
        <v>38</v>
      </c>
      <c r="V775" t="s">
        <v>921</v>
      </c>
      <c r="Y775" t="s">
        <v>81</v>
      </c>
      <c r="Z775" t="s">
        <v>924</v>
      </c>
      <c r="AA775" t="s">
        <v>39</v>
      </c>
      <c r="AC775" t="s">
        <v>1016</v>
      </c>
    </row>
    <row r="776" spans="1:29" hidden="1" x14ac:dyDescent="0.25">
      <c r="A776">
        <v>265</v>
      </c>
      <c r="B776" t="s">
        <v>374</v>
      </c>
      <c r="C776" t="s">
        <v>77</v>
      </c>
      <c r="D776" t="s">
        <v>365</v>
      </c>
      <c r="E776">
        <v>10</v>
      </c>
      <c r="F776">
        <v>380</v>
      </c>
      <c r="G776">
        <v>12000</v>
      </c>
      <c r="H776">
        <v>2</v>
      </c>
      <c r="I776">
        <v>357.96</v>
      </c>
      <c r="J776">
        <v>715.91</v>
      </c>
      <c r="K776" t="s">
        <v>360</v>
      </c>
      <c r="L776" t="s">
        <v>1017</v>
      </c>
      <c r="Q776">
        <v>2</v>
      </c>
      <c r="R776" s="24">
        <v>46032</v>
      </c>
      <c r="T776" t="s">
        <v>38</v>
      </c>
      <c r="V776" t="s">
        <v>921</v>
      </c>
      <c r="Y776" t="s">
        <v>81</v>
      </c>
      <c r="Z776" t="s">
        <v>924</v>
      </c>
      <c r="AA776" t="s">
        <v>39</v>
      </c>
      <c r="AC776" t="s">
        <v>1018</v>
      </c>
    </row>
    <row r="777" spans="1:29" hidden="1" x14ac:dyDescent="0.25">
      <c r="A777">
        <v>266</v>
      </c>
      <c r="B777" t="s">
        <v>377</v>
      </c>
      <c r="C777" t="s">
        <v>77</v>
      </c>
      <c r="D777" t="s">
        <v>378</v>
      </c>
      <c r="E777">
        <v>10</v>
      </c>
      <c r="F777">
        <v>230</v>
      </c>
      <c r="G777">
        <v>12000</v>
      </c>
      <c r="H777">
        <v>3</v>
      </c>
      <c r="I777">
        <v>216.66</v>
      </c>
      <c r="J777">
        <v>649.98</v>
      </c>
      <c r="K777" t="s">
        <v>360</v>
      </c>
      <c r="L777" t="s">
        <v>1017</v>
      </c>
      <c r="Q777">
        <v>2</v>
      </c>
      <c r="R777" s="24">
        <v>46032</v>
      </c>
      <c r="T777" t="s">
        <v>38</v>
      </c>
      <c r="V777" t="s">
        <v>921</v>
      </c>
      <c r="Y777" t="s">
        <v>81</v>
      </c>
      <c r="Z777" t="s">
        <v>924</v>
      </c>
      <c r="AA777" t="s">
        <v>39</v>
      </c>
      <c r="AC777" t="s">
        <v>1018</v>
      </c>
    </row>
    <row r="778" spans="1:29" hidden="1" x14ac:dyDescent="0.25">
      <c r="A778">
        <v>267</v>
      </c>
      <c r="B778" t="s">
        <v>379</v>
      </c>
      <c r="C778" t="s">
        <v>77</v>
      </c>
      <c r="D778" t="s">
        <v>380</v>
      </c>
      <c r="E778">
        <v>10</v>
      </c>
      <c r="F778">
        <v>230</v>
      </c>
      <c r="G778">
        <v>9518</v>
      </c>
      <c r="H778">
        <v>2</v>
      </c>
      <c r="I778">
        <v>171.84</v>
      </c>
      <c r="J778">
        <v>343.69</v>
      </c>
      <c r="K778" t="s">
        <v>360</v>
      </c>
      <c r="L778" t="s">
        <v>1019</v>
      </c>
      <c r="Q778">
        <v>2</v>
      </c>
      <c r="R778" s="24">
        <v>46032</v>
      </c>
      <c r="T778" t="s">
        <v>38</v>
      </c>
      <c r="V778" t="s">
        <v>921</v>
      </c>
      <c r="Y778" t="s">
        <v>81</v>
      </c>
      <c r="Z778" t="s">
        <v>924</v>
      </c>
      <c r="AA778" t="s">
        <v>39</v>
      </c>
      <c r="AC778" t="s">
        <v>1020</v>
      </c>
    </row>
    <row r="779" spans="1:29" hidden="1" x14ac:dyDescent="0.25">
      <c r="A779">
        <v>268</v>
      </c>
      <c r="B779" t="s">
        <v>383</v>
      </c>
      <c r="C779" t="s">
        <v>77</v>
      </c>
      <c r="D779" t="s">
        <v>384</v>
      </c>
      <c r="E779">
        <v>10</v>
      </c>
      <c r="F779">
        <v>375</v>
      </c>
      <c r="G779">
        <v>500</v>
      </c>
      <c r="H779">
        <v>4</v>
      </c>
      <c r="I779">
        <v>14.72</v>
      </c>
      <c r="J779">
        <v>58.88</v>
      </c>
      <c r="K779" t="s">
        <v>360</v>
      </c>
      <c r="L779" t="s">
        <v>1019</v>
      </c>
      <c r="Q779">
        <v>2</v>
      </c>
      <c r="R779" s="24">
        <v>46032</v>
      </c>
      <c r="T779" t="s">
        <v>38</v>
      </c>
      <c r="V779" t="s">
        <v>921</v>
      </c>
      <c r="W779" t="s">
        <v>81</v>
      </c>
      <c r="Z779" t="s">
        <v>924</v>
      </c>
      <c r="AA779" t="s">
        <v>39</v>
      </c>
      <c r="AC779" t="s">
        <v>1020</v>
      </c>
    </row>
    <row r="780" spans="1:29" hidden="1" x14ac:dyDescent="0.25">
      <c r="A780">
        <v>269</v>
      </c>
      <c r="B780" t="s">
        <v>385</v>
      </c>
      <c r="C780" t="s">
        <v>77</v>
      </c>
      <c r="D780" t="s">
        <v>384</v>
      </c>
      <c r="E780">
        <v>10</v>
      </c>
      <c r="F780">
        <v>375</v>
      </c>
      <c r="G780">
        <v>500</v>
      </c>
      <c r="H780">
        <v>2</v>
      </c>
      <c r="I780">
        <v>14.72</v>
      </c>
      <c r="J780">
        <v>29.44</v>
      </c>
      <c r="K780" t="s">
        <v>360</v>
      </c>
      <c r="L780" t="s">
        <v>1019</v>
      </c>
      <c r="Q780">
        <v>2</v>
      </c>
      <c r="R780" s="24">
        <v>46032</v>
      </c>
      <c r="T780" t="s">
        <v>38</v>
      </c>
      <c r="V780" t="s">
        <v>921</v>
      </c>
      <c r="W780" t="s">
        <v>81</v>
      </c>
      <c r="Z780" t="s">
        <v>924</v>
      </c>
      <c r="AA780" t="s">
        <v>39</v>
      </c>
      <c r="AC780" t="s">
        <v>1020</v>
      </c>
    </row>
    <row r="781" spans="1:29" hidden="1" x14ac:dyDescent="0.25">
      <c r="A781">
        <v>270</v>
      </c>
      <c r="B781" t="s">
        <v>386</v>
      </c>
      <c r="C781" t="s">
        <v>77</v>
      </c>
      <c r="D781" t="s">
        <v>387</v>
      </c>
      <c r="E781">
        <v>10</v>
      </c>
      <c r="F781">
        <v>148</v>
      </c>
      <c r="G781">
        <v>441</v>
      </c>
      <c r="H781">
        <v>1</v>
      </c>
      <c r="I781">
        <v>5.0599999999999996</v>
      </c>
      <c r="J781">
        <v>5.0599999999999996</v>
      </c>
      <c r="K781" t="s">
        <v>360</v>
      </c>
      <c r="L781" t="s">
        <v>1019</v>
      </c>
      <c r="Q781">
        <v>2</v>
      </c>
      <c r="R781" s="24">
        <v>46032</v>
      </c>
      <c r="T781" t="s">
        <v>38</v>
      </c>
      <c r="V781" t="s">
        <v>921</v>
      </c>
      <c r="W781" t="s">
        <v>81</v>
      </c>
      <c r="Z781" t="s">
        <v>924</v>
      </c>
      <c r="AA781" t="s">
        <v>39</v>
      </c>
      <c r="AC781" t="s">
        <v>1020</v>
      </c>
    </row>
    <row r="782" spans="1:29" hidden="1" x14ac:dyDescent="0.25">
      <c r="A782">
        <v>271</v>
      </c>
      <c r="B782" t="s">
        <v>388</v>
      </c>
      <c r="C782" t="s">
        <v>77</v>
      </c>
      <c r="D782" t="s">
        <v>359</v>
      </c>
      <c r="E782">
        <v>10</v>
      </c>
      <c r="F782">
        <v>350</v>
      </c>
      <c r="G782">
        <v>12000</v>
      </c>
      <c r="H782">
        <v>2</v>
      </c>
      <c r="I782">
        <v>329.7</v>
      </c>
      <c r="J782">
        <v>659.41</v>
      </c>
      <c r="K782" t="s">
        <v>360</v>
      </c>
      <c r="L782" t="s">
        <v>1019</v>
      </c>
      <c r="P782" t="s">
        <v>81</v>
      </c>
      <c r="Q782">
        <v>2</v>
      </c>
      <c r="R782" s="24">
        <v>46032</v>
      </c>
      <c r="T782" t="s">
        <v>38</v>
      </c>
      <c r="V782" t="s">
        <v>921</v>
      </c>
      <c r="Y782" t="s">
        <v>81</v>
      </c>
      <c r="Z782" t="s">
        <v>924</v>
      </c>
      <c r="AA782" t="s">
        <v>39</v>
      </c>
      <c r="AC782" t="s">
        <v>1020</v>
      </c>
    </row>
    <row r="783" spans="1:29" hidden="1" x14ac:dyDescent="0.25">
      <c r="A783">
        <v>272</v>
      </c>
      <c r="B783" t="s">
        <v>377</v>
      </c>
      <c r="C783" t="s">
        <v>77</v>
      </c>
      <c r="D783" t="s">
        <v>378</v>
      </c>
      <c r="E783">
        <v>10</v>
      </c>
      <c r="F783">
        <v>230</v>
      </c>
      <c r="G783">
        <v>12000</v>
      </c>
      <c r="H783">
        <v>1</v>
      </c>
      <c r="I783">
        <v>216.66</v>
      </c>
      <c r="J783">
        <v>216.66</v>
      </c>
      <c r="K783" t="s">
        <v>360</v>
      </c>
      <c r="L783" t="s">
        <v>1019</v>
      </c>
      <c r="Q783">
        <v>2</v>
      </c>
      <c r="R783" s="24">
        <v>46032</v>
      </c>
      <c r="T783" t="s">
        <v>38</v>
      </c>
      <c r="V783" t="s">
        <v>921</v>
      </c>
      <c r="Y783" t="s">
        <v>81</v>
      </c>
      <c r="Z783" t="s">
        <v>924</v>
      </c>
      <c r="AA783" t="s">
        <v>39</v>
      </c>
      <c r="AC783" t="s">
        <v>1020</v>
      </c>
    </row>
    <row r="784" spans="1:29" hidden="1" x14ac:dyDescent="0.25">
      <c r="A784">
        <v>273</v>
      </c>
      <c r="B784" t="s">
        <v>389</v>
      </c>
      <c r="C784" t="s">
        <v>77</v>
      </c>
      <c r="D784" t="s">
        <v>390</v>
      </c>
      <c r="E784">
        <v>10</v>
      </c>
      <c r="F784">
        <v>200</v>
      </c>
      <c r="G784">
        <v>9518</v>
      </c>
      <c r="H784">
        <v>3</v>
      </c>
      <c r="I784">
        <v>149.43</v>
      </c>
      <c r="J784">
        <v>448.3</v>
      </c>
      <c r="K784" t="s">
        <v>360</v>
      </c>
      <c r="L784" t="s">
        <v>1021</v>
      </c>
      <c r="Q784">
        <v>2</v>
      </c>
      <c r="R784" s="24">
        <v>46032</v>
      </c>
      <c r="T784" t="s">
        <v>38</v>
      </c>
      <c r="V784" t="s">
        <v>921</v>
      </c>
      <c r="Y784" t="s">
        <v>81</v>
      </c>
      <c r="Z784" t="s">
        <v>924</v>
      </c>
      <c r="AA784" t="s">
        <v>39</v>
      </c>
      <c r="AC784" t="s">
        <v>1022</v>
      </c>
    </row>
    <row r="785" spans="1:29" hidden="1" x14ac:dyDescent="0.25">
      <c r="A785">
        <v>274</v>
      </c>
      <c r="B785" t="s">
        <v>379</v>
      </c>
      <c r="C785" t="s">
        <v>77</v>
      </c>
      <c r="D785" t="s">
        <v>380</v>
      </c>
      <c r="E785">
        <v>10</v>
      </c>
      <c r="F785">
        <v>230</v>
      </c>
      <c r="G785">
        <v>9518</v>
      </c>
      <c r="H785">
        <v>2</v>
      </c>
      <c r="I785">
        <v>171.84</v>
      </c>
      <c r="J785">
        <v>343.69</v>
      </c>
      <c r="K785" t="s">
        <v>360</v>
      </c>
      <c r="L785" t="s">
        <v>1021</v>
      </c>
      <c r="Q785">
        <v>2</v>
      </c>
      <c r="R785" s="24">
        <v>46032</v>
      </c>
      <c r="T785" t="s">
        <v>38</v>
      </c>
      <c r="V785" t="s">
        <v>921</v>
      </c>
      <c r="Y785" t="s">
        <v>81</v>
      </c>
      <c r="Z785" t="s">
        <v>924</v>
      </c>
      <c r="AA785" t="s">
        <v>39</v>
      </c>
      <c r="AC785" t="s">
        <v>1022</v>
      </c>
    </row>
    <row r="786" spans="1:29" hidden="1" x14ac:dyDescent="0.25">
      <c r="A786">
        <v>275</v>
      </c>
      <c r="B786" t="s">
        <v>393</v>
      </c>
      <c r="C786" t="s">
        <v>77</v>
      </c>
      <c r="D786" t="s">
        <v>394</v>
      </c>
      <c r="E786">
        <v>10</v>
      </c>
      <c r="F786">
        <v>240</v>
      </c>
      <c r="G786">
        <v>375</v>
      </c>
      <c r="H786">
        <v>4</v>
      </c>
      <c r="I786">
        <v>7.06</v>
      </c>
      <c r="J786">
        <v>28.26</v>
      </c>
      <c r="K786" t="s">
        <v>360</v>
      </c>
      <c r="L786" t="s">
        <v>1021</v>
      </c>
      <c r="Q786">
        <v>2</v>
      </c>
      <c r="R786" s="24">
        <v>46032</v>
      </c>
      <c r="T786" t="s">
        <v>38</v>
      </c>
      <c r="V786" t="s">
        <v>921</v>
      </c>
      <c r="W786" t="s">
        <v>81</v>
      </c>
      <c r="Z786" t="s">
        <v>924</v>
      </c>
      <c r="AA786" t="s">
        <v>39</v>
      </c>
      <c r="AC786" t="s">
        <v>1022</v>
      </c>
    </row>
    <row r="787" spans="1:29" hidden="1" x14ac:dyDescent="0.25">
      <c r="A787">
        <v>276</v>
      </c>
      <c r="B787" t="s">
        <v>395</v>
      </c>
      <c r="C787" t="s">
        <v>77</v>
      </c>
      <c r="D787" t="s">
        <v>394</v>
      </c>
      <c r="E787">
        <v>10</v>
      </c>
      <c r="F787">
        <v>240</v>
      </c>
      <c r="G787">
        <v>375</v>
      </c>
      <c r="H787">
        <v>2</v>
      </c>
      <c r="I787">
        <v>7.06</v>
      </c>
      <c r="J787">
        <v>14.13</v>
      </c>
      <c r="K787" t="s">
        <v>360</v>
      </c>
      <c r="L787" t="s">
        <v>1021</v>
      </c>
      <c r="Q787">
        <v>2</v>
      </c>
      <c r="R787" s="24">
        <v>46032</v>
      </c>
      <c r="T787" t="s">
        <v>38</v>
      </c>
      <c r="V787" t="s">
        <v>921</v>
      </c>
      <c r="W787" t="s">
        <v>81</v>
      </c>
      <c r="Z787" t="s">
        <v>924</v>
      </c>
      <c r="AA787" t="s">
        <v>39</v>
      </c>
      <c r="AC787" t="s">
        <v>1022</v>
      </c>
    </row>
    <row r="788" spans="1:29" hidden="1" x14ac:dyDescent="0.25">
      <c r="A788">
        <v>277</v>
      </c>
      <c r="B788" t="s">
        <v>396</v>
      </c>
      <c r="C788" t="s">
        <v>77</v>
      </c>
      <c r="D788" t="s">
        <v>397</v>
      </c>
      <c r="E788">
        <v>10</v>
      </c>
      <c r="F788">
        <v>86</v>
      </c>
      <c r="G788">
        <v>338</v>
      </c>
      <c r="H788">
        <v>4</v>
      </c>
      <c r="I788">
        <v>2.2599999999999998</v>
      </c>
      <c r="J788">
        <v>9.06</v>
      </c>
      <c r="K788" t="s">
        <v>360</v>
      </c>
      <c r="L788" t="s">
        <v>1021</v>
      </c>
      <c r="Q788">
        <v>2</v>
      </c>
      <c r="R788" s="24">
        <v>46032</v>
      </c>
      <c r="T788" t="s">
        <v>38</v>
      </c>
      <c r="V788" t="s">
        <v>921</v>
      </c>
      <c r="W788" t="s">
        <v>81</v>
      </c>
      <c r="Z788" t="s">
        <v>924</v>
      </c>
      <c r="AA788" t="s">
        <v>39</v>
      </c>
      <c r="AC788" t="s">
        <v>1022</v>
      </c>
    </row>
    <row r="789" spans="1:29" hidden="1" x14ac:dyDescent="0.25">
      <c r="A789">
        <v>278</v>
      </c>
      <c r="B789" t="s">
        <v>386</v>
      </c>
      <c r="C789" t="s">
        <v>77</v>
      </c>
      <c r="D789" t="s">
        <v>387</v>
      </c>
      <c r="E789">
        <v>10</v>
      </c>
      <c r="F789">
        <v>148</v>
      </c>
      <c r="G789">
        <v>441</v>
      </c>
      <c r="H789">
        <v>12</v>
      </c>
      <c r="I789">
        <v>5.0599999999999996</v>
      </c>
      <c r="J789">
        <v>60.73</v>
      </c>
      <c r="K789" t="s">
        <v>360</v>
      </c>
      <c r="L789" t="s">
        <v>1021</v>
      </c>
      <c r="Q789">
        <v>2</v>
      </c>
      <c r="R789" s="24">
        <v>46032</v>
      </c>
      <c r="T789" t="s">
        <v>38</v>
      </c>
      <c r="V789" t="s">
        <v>921</v>
      </c>
      <c r="W789" t="s">
        <v>81</v>
      </c>
      <c r="Z789" t="s">
        <v>924</v>
      </c>
      <c r="AA789" t="s">
        <v>39</v>
      </c>
      <c r="AC789" t="s">
        <v>1022</v>
      </c>
    </row>
    <row r="790" spans="1:29" hidden="1" x14ac:dyDescent="0.25">
      <c r="A790">
        <v>279</v>
      </c>
      <c r="B790" t="s">
        <v>398</v>
      </c>
      <c r="C790" t="s">
        <v>77</v>
      </c>
      <c r="D790" t="s">
        <v>399</v>
      </c>
      <c r="E790">
        <v>10</v>
      </c>
      <c r="F790">
        <v>200</v>
      </c>
      <c r="G790">
        <v>250</v>
      </c>
      <c r="H790">
        <v>1</v>
      </c>
      <c r="I790">
        <v>3.93</v>
      </c>
      <c r="J790">
        <v>3.93</v>
      </c>
      <c r="K790" t="s">
        <v>360</v>
      </c>
      <c r="L790" t="s">
        <v>1021</v>
      </c>
      <c r="Q790">
        <v>2</v>
      </c>
      <c r="R790" s="24">
        <v>46032</v>
      </c>
      <c r="T790" t="s">
        <v>38</v>
      </c>
      <c r="V790" t="s">
        <v>921</v>
      </c>
      <c r="W790" t="s">
        <v>81</v>
      </c>
      <c r="Z790" t="s">
        <v>924</v>
      </c>
      <c r="AA790" t="s">
        <v>39</v>
      </c>
      <c r="AC790" t="s">
        <v>1022</v>
      </c>
    </row>
    <row r="791" spans="1:29" hidden="1" x14ac:dyDescent="0.25">
      <c r="A791">
        <v>280</v>
      </c>
      <c r="B791" t="s">
        <v>400</v>
      </c>
      <c r="C791" t="s">
        <v>77</v>
      </c>
      <c r="D791" t="s">
        <v>387</v>
      </c>
      <c r="E791">
        <v>10</v>
      </c>
      <c r="F791">
        <v>148</v>
      </c>
      <c r="G791">
        <v>441</v>
      </c>
      <c r="H791">
        <v>10</v>
      </c>
      <c r="I791">
        <v>5.0599999999999996</v>
      </c>
      <c r="J791">
        <v>50.61</v>
      </c>
      <c r="K791" t="s">
        <v>360</v>
      </c>
      <c r="L791" t="s">
        <v>1021</v>
      </c>
      <c r="Q791">
        <v>2</v>
      </c>
      <c r="R791" s="24">
        <v>46032</v>
      </c>
      <c r="T791" t="s">
        <v>38</v>
      </c>
      <c r="V791" t="s">
        <v>921</v>
      </c>
      <c r="W791" t="s">
        <v>81</v>
      </c>
      <c r="Z791" t="s">
        <v>924</v>
      </c>
      <c r="AA791" t="s">
        <v>39</v>
      </c>
      <c r="AC791" t="s">
        <v>1022</v>
      </c>
    </row>
    <row r="792" spans="1:29" hidden="1" x14ac:dyDescent="0.25">
      <c r="A792">
        <v>281</v>
      </c>
      <c r="B792" t="s">
        <v>401</v>
      </c>
      <c r="C792" t="s">
        <v>77</v>
      </c>
      <c r="D792" t="s">
        <v>402</v>
      </c>
      <c r="E792">
        <v>10</v>
      </c>
      <c r="F792">
        <v>80</v>
      </c>
      <c r="G792">
        <v>120</v>
      </c>
      <c r="H792">
        <v>2</v>
      </c>
      <c r="I792">
        <v>0.72</v>
      </c>
      <c r="J792">
        <v>1.45</v>
      </c>
      <c r="K792" t="s">
        <v>360</v>
      </c>
      <c r="L792" t="s">
        <v>1021</v>
      </c>
      <c r="N792" t="s">
        <v>228</v>
      </c>
      <c r="Q792">
        <v>2</v>
      </c>
      <c r="R792" s="24">
        <v>46032</v>
      </c>
      <c r="T792" t="s">
        <v>38</v>
      </c>
      <c r="V792" t="s">
        <v>921</v>
      </c>
      <c r="W792" t="s">
        <v>81</v>
      </c>
      <c r="Z792" t="s">
        <v>924</v>
      </c>
      <c r="AA792" t="s">
        <v>39</v>
      </c>
      <c r="AC792" t="s">
        <v>1022</v>
      </c>
    </row>
    <row r="793" spans="1:29" hidden="1" x14ac:dyDescent="0.25">
      <c r="A793">
        <v>282</v>
      </c>
      <c r="B793" t="s">
        <v>403</v>
      </c>
      <c r="C793" t="s">
        <v>77</v>
      </c>
      <c r="D793" t="s">
        <v>387</v>
      </c>
      <c r="E793">
        <v>10</v>
      </c>
      <c r="F793">
        <v>148</v>
      </c>
      <c r="G793">
        <v>441</v>
      </c>
      <c r="H793">
        <v>21</v>
      </c>
      <c r="I793">
        <v>5.0599999999999996</v>
      </c>
      <c r="J793">
        <v>106.28</v>
      </c>
      <c r="K793" t="s">
        <v>360</v>
      </c>
      <c r="L793" t="s">
        <v>1021</v>
      </c>
      <c r="Q793">
        <v>2</v>
      </c>
      <c r="R793" s="24">
        <v>46032</v>
      </c>
      <c r="T793" t="s">
        <v>38</v>
      </c>
      <c r="V793" t="s">
        <v>921</v>
      </c>
      <c r="W793" t="s">
        <v>81</v>
      </c>
      <c r="Z793" t="s">
        <v>924</v>
      </c>
      <c r="AA793" t="s">
        <v>39</v>
      </c>
      <c r="AC793" t="s">
        <v>1022</v>
      </c>
    </row>
    <row r="794" spans="1:29" hidden="1" x14ac:dyDescent="0.25">
      <c r="A794">
        <v>283</v>
      </c>
      <c r="B794" t="s">
        <v>404</v>
      </c>
      <c r="C794" t="s">
        <v>77</v>
      </c>
      <c r="D794" t="s">
        <v>405</v>
      </c>
      <c r="E794">
        <v>10</v>
      </c>
      <c r="F794">
        <v>120</v>
      </c>
      <c r="G794">
        <v>220</v>
      </c>
      <c r="H794">
        <v>1</v>
      </c>
      <c r="I794">
        <v>2.0099999999999998</v>
      </c>
      <c r="J794">
        <v>2.0099999999999998</v>
      </c>
      <c r="K794" t="s">
        <v>360</v>
      </c>
      <c r="L794" t="s">
        <v>1021</v>
      </c>
      <c r="N794" t="s">
        <v>228</v>
      </c>
      <c r="Q794">
        <v>2</v>
      </c>
      <c r="R794" s="24">
        <v>46032</v>
      </c>
      <c r="T794" t="s">
        <v>38</v>
      </c>
      <c r="V794" t="s">
        <v>921</v>
      </c>
      <c r="W794" t="s">
        <v>81</v>
      </c>
      <c r="Z794" t="s">
        <v>924</v>
      </c>
      <c r="AA794" t="s">
        <v>39</v>
      </c>
      <c r="AC794" t="s">
        <v>1022</v>
      </c>
    </row>
    <row r="795" spans="1:29" hidden="1" x14ac:dyDescent="0.25">
      <c r="A795">
        <v>284</v>
      </c>
      <c r="B795" t="s">
        <v>406</v>
      </c>
      <c r="C795" t="s">
        <v>77</v>
      </c>
      <c r="D795" t="s">
        <v>407</v>
      </c>
      <c r="E795">
        <v>10</v>
      </c>
      <c r="F795">
        <v>380</v>
      </c>
      <c r="G795">
        <v>4577</v>
      </c>
      <c r="H795">
        <v>2</v>
      </c>
      <c r="I795">
        <v>135.07</v>
      </c>
      <c r="J795">
        <v>270.14999999999998</v>
      </c>
      <c r="K795" t="s">
        <v>360</v>
      </c>
      <c r="L795" t="s">
        <v>1021</v>
      </c>
      <c r="Q795">
        <v>2</v>
      </c>
      <c r="R795" s="24">
        <v>46032</v>
      </c>
      <c r="T795" t="s">
        <v>38</v>
      </c>
      <c r="V795" t="s">
        <v>921</v>
      </c>
      <c r="Y795" t="s">
        <v>81</v>
      </c>
      <c r="Z795" t="s">
        <v>924</v>
      </c>
      <c r="AA795" t="s">
        <v>39</v>
      </c>
      <c r="AC795" t="s">
        <v>1022</v>
      </c>
    </row>
    <row r="796" spans="1:29" hidden="1" x14ac:dyDescent="0.25">
      <c r="A796">
        <v>285</v>
      </c>
      <c r="B796" t="s">
        <v>408</v>
      </c>
      <c r="C796" t="s">
        <v>77</v>
      </c>
      <c r="D796" t="s">
        <v>397</v>
      </c>
      <c r="E796">
        <v>10</v>
      </c>
      <c r="F796">
        <v>86</v>
      </c>
      <c r="G796">
        <v>338</v>
      </c>
      <c r="H796">
        <v>16</v>
      </c>
      <c r="I796">
        <v>2.2599999999999998</v>
      </c>
      <c r="J796">
        <v>36.229999999999997</v>
      </c>
      <c r="K796" t="s">
        <v>360</v>
      </c>
      <c r="L796" t="s">
        <v>1023</v>
      </c>
      <c r="Q796">
        <v>2</v>
      </c>
      <c r="R796" s="24">
        <v>46032</v>
      </c>
      <c r="T796" t="s">
        <v>38</v>
      </c>
      <c r="V796" t="s">
        <v>921</v>
      </c>
      <c r="W796" t="s">
        <v>81</v>
      </c>
      <c r="Z796" t="s">
        <v>924</v>
      </c>
      <c r="AA796" t="s">
        <v>39</v>
      </c>
      <c r="AC796" t="s">
        <v>1024</v>
      </c>
    </row>
    <row r="797" spans="1:29" hidden="1" x14ac:dyDescent="0.25">
      <c r="A797">
        <v>286</v>
      </c>
      <c r="B797" t="s">
        <v>411</v>
      </c>
      <c r="C797" t="s">
        <v>77</v>
      </c>
      <c r="D797" t="s">
        <v>412</v>
      </c>
      <c r="E797">
        <v>10</v>
      </c>
      <c r="F797">
        <v>532</v>
      </c>
      <c r="G797">
        <v>4080</v>
      </c>
      <c r="H797">
        <v>2</v>
      </c>
      <c r="I797">
        <v>168.27</v>
      </c>
      <c r="J797">
        <v>336.54</v>
      </c>
      <c r="K797" t="s">
        <v>360</v>
      </c>
      <c r="L797" t="s">
        <v>1023</v>
      </c>
      <c r="O797" t="s">
        <v>81</v>
      </c>
      <c r="P797" t="s">
        <v>81</v>
      </c>
      <c r="Q797">
        <v>2</v>
      </c>
      <c r="R797" s="24">
        <v>46032</v>
      </c>
      <c r="T797" t="s">
        <v>38</v>
      </c>
      <c r="V797" t="s">
        <v>921</v>
      </c>
      <c r="Z797" t="s">
        <v>924</v>
      </c>
      <c r="AA797" t="s">
        <v>39</v>
      </c>
      <c r="AC797" t="s">
        <v>1024</v>
      </c>
    </row>
    <row r="798" spans="1:29" hidden="1" x14ac:dyDescent="0.25">
      <c r="A798">
        <v>287</v>
      </c>
      <c r="B798" t="s">
        <v>396</v>
      </c>
      <c r="C798" t="s">
        <v>77</v>
      </c>
      <c r="D798" t="s">
        <v>397</v>
      </c>
      <c r="E798">
        <v>10</v>
      </c>
      <c r="F798">
        <v>86</v>
      </c>
      <c r="G798">
        <v>338</v>
      </c>
      <c r="H798">
        <v>4</v>
      </c>
      <c r="I798">
        <v>2.2599999999999998</v>
      </c>
      <c r="J798">
        <v>9.06</v>
      </c>
      <c r="K798" t="s">
        <v>360</v>
      </c>
      <c r="L798" t="s">
        <v>1023</v>
      </c>
      <c r="Q798">
        <v>2</v>
      </c>
      <c r="R798" s="24">
        <v>46032</v>
      </c>
      <c r="T798" t="s">
        <v>38</v>
      </c>
      <c r="V798" t="s">
        <v>921</v>
      </c>
      <c r="W798" t="s">
        <v>81</v>
      </c>
      <c r="Z798" t="s">
        <v>924</v>
      </c>
      <c r="AA798" t="s">
        <v>39</v>
      </c>
      <c r="AC798" t="s">
        <v>1024</v>
      </c>
    </row>
    <row r="799" spans="1:29" hidden="1" x14ac:dyDescent="0.25">
      <c r="A799">
        <v>288</v>
      </c>
      <c r="B799" t="s">
        <v>401</v>
      </c>
      <c r="C799" t="s">
        <v>77</v>
      </c>
      <c r="D799" t="s">
        <v>402</v>
      </c>
      <c r="E799">
        <v>10</v>
      </c>
      <c r="F799">
        <v>80</v>
      </c>
      <c r="G799">
        <v>120</v>
      </c>
      <c r="H799">
        <v>1</v>
      </c>
      <c r="I799">
        <v>0.72</v>
      </c>
      <c r="J799">
        <v>0.72</v>
      </c>
      <c r="K799" t="s">
        <v>360</v>
      </c>
      <c r="L799" t="s">
        <v>1023</v>
      </c>
      <c r="N799" t="s">
        <v>228</v>
      </c>
      <c r="Q799">
        <v>2</v>
      </c>
      <c r="R799" s="24">
        <v>46032</v>
      </c>
      <c r="T799" t="s">
        <v>38</v>
      </c>
      <c r="V799" t="s">
        <v>921</v>
      </c>
      <c r="W799" t="s">
        <v>81</v>
      </c>
      <c r="Z799" t="s">
        <v>924</v>
      </c>
      <c r="AA799" t="s">
        <v>39</v>
      </c>
      <c r="AC799" t="s">
        <v>1024</v>
      </c>
    </row>
    <row r="800" spans="1:29" hidden="1" x14ac:dyDescent="0.25">
      <c r="A800">
        <v>289</v>
      </c>
      <c r="B800" t="s">
        <v>413</v>
      </c>
      <c r="C800" t="s">
        <v>77</v>
      </c>
      <c r="D800" t="s">
        <v>414</v>
      </c>
      <c r="E800">
        <v>10</v>
      </c>
      <c r="F800">
        <v>100</v>
      </c>
      <c r="G800">
        <v>100</v>
      </c>
      <c r="H800">
        <v>2</v>
      </c>
      <c r="I800">
        <v>0.4</v>
      </c>
      <c r="J800">
        <v>0.79</v>
      </c>
      <c r="K800" t="s">
        <v>360</v>
      </c>
      <c r="L800" t="s">
        <v>1023</v>
      </c>
      <c r="N800" t="s">
        <v>228</v>
      </c>
      <c r="Q800">
        <v>2</v>
      </c>
      <c r="R800" s="24">
        <v>46032</v>
      </c>
      <c r="T800" t="s">
        <v>38</v>
      </c>
      <c r="V800" t="s">
        <v>921</v>
      </c>
      <c r="X800" t="s">
        <v>81</v>
      </c>
      <c r="Z800" t="s">
        <v>924</v>
      </c>
      <c r="AA800" t="s">
        <v>39</v>
      </c>
      <c r="AC800" t="s">
        <v>1024</v>
      </c>
    </row>
    <row r="801" spans="1:29" hidden="1" x14ac:dyDescent="0.25">
      <c r="A801">
        <v>290</v>
      </c>
      <c r="B801" t="s">
        <v>415</v>
      </c>
      <c r="C801" t="s">
        <v>77</v>
      </c>
      <c r="D801" t="s">
        <v>414</v>
      </c>
      <c r="E801">
        <v>10</v>
      </c>
      <c r="F801">
        <v>100</v>
      </c>
      <c r="G801">
        <v>100</v>
      </c>
      <c r="H801">
        <v>4</v>
      </c>
      <c r="I801">
        <v>0.4</v>
      </c>
      <c r="J801">
        <v>1.58</v>
      </c>
      <c r="K801" t="s">
        <v>360</v>
      </c>
      <c r="L801" t="s">
        <v>1023</v>
      </c>
      <c r="N801" t="s">
        <v>228</v>
      </c>
      <c r="Q801">
        <v>2</v>
      </c>
      <c r="R801" s="24">
        <v>46032</v>
      </c>
      <c r="T801" t="s">
        <v>38</v>
      </c>
      <c r="V801" t="s">
        <v>921</v>
      </c>
      <c r="X801" t="s">
        <v>81</v>
      </c>
      <c r="Z801" t="s">
        <v>924</v>
      </c>
      <c r="AA801" t="s">
        <v>39</v>
      </c>
      <c r="AC801" t="s">
        <v>1024</v>
      </c>
    </row>
    <row r="802" spans="1:29" hidden="1" x14ac:dyDescent="0.25">
      <c r="A802">
        <v>291</v>
      </c>
      <c r="B802" t="s">
        <v>404</v>
      </c>
      <c r="C802" t="s">
        <v>77</v>
      </c>
      <c r="D802" t="s">
        <v>405</v>
      </c>
      <c r="E802">
        <v>10</v>
      </c>
      <c r="F802">
        <v>120</v>
      </c>
      <c r="G802">
        <v>220</v>
      </c>
      <c r="H802">
        <v>5</v>
      </c>
      <c r="I802">
        <v>2.0099999999999998</v>
      </c>
      <c r="J802">
        <v>10.06</v>
      </c>
      <c r="K802" t="s">
        <v>360</v>
      </c>
      <c r="L802" t="s">
        <v>1023</v>
      </c>
      <c r="N802" t="s">
        <v>228</v>
      </c>
      <c r="Q802">
        <v>2</v>
      </c>
      <c r="R802" s="24">
        <v>46032</v>
      </c>
      <c r="T802" t="s">
        <v>38</v>
      </c>
      <c r="V802" t="s">
        <v>921</v>
      </c>
      <c r="W802" t="s">
        <v>81</v>
      </c>
      <c r="Z802" t="s">
        <v>924</v>
      </c>
      <c r="AA802" t="s">
        <v>39</v>
      </c>
      <c r="AC802" t="s">
        <v>1024</v>
      </c>
    </row>
    <row r="803" spans="1:29" hidden="1" x14ac:dyDescent="0.25">
      <c r="A803">
        <v>292</v>
      </c>
      <c r="B803" t="s">
        <v>416</v>
      </c>
      <c r="C803" t="s">
        <v>77</v>
      </c>
      <c r="D803" t="s">
        <v>414</v>
      </c>
      <c r="E803">
        <v>10</v>
      </c>
      <c r="F803">
        <v>100</v>
      </c>
      <c r="G803">
        <v>100</v>
      </c>
      <c r="H803">
        <v>1</v>
      </c>
      <c r="I803">
        <v>0.39</v>
      </c>
      <c r="J803">
        <v>0.39</v>
      </c>
      <c r="K803" t="s">
        <v>360</v>
      </c>
      <c r="L803" t="s">
        <v>1023</v>
      </c>
      <c r="N803" t="s">
        <v>228</v>
      </c>
      <c r="Q803">
        <v>2</v>
      </c>
      <c r="R803" s="24">
        <v>46032</v>
      </c>
      <c r="T803" t="s">
        <v>38</v>
      </c>
      <c r="V803" t="s">
        <v>921</v>
      </c>
      <c r="X803" t="s">
        <v>81</v>
      </c>
      <c r="Z803" t="s">
        <v>924</v>
      </c>
      <c r="AA803" t="s">
        <v>39</v>
      </c>
      <c r="AC803" t="s">
        <v>1024</v>
      </c>
    </row>
    <row r="804" spans="1:29" hidden="1" x14ac:dyDescent="0.25">
      <c r="A804">
        <v>293</v>
      </c>
      <c r="B804" t="s">
        <v>417</v>
      </c>
      <c r="C804" t="s">
        <v>77</v>
      </c>
      <c r="D804" t="s">
        <v>418</v>
      </c>
      <c r="E804">
        <v>10</v>
      </c>
      <c r="F804">
        <v>200</v>
      </c>
      <c r="G804">
        <v>12000</v>
      </c>
      <c r="H804">
        <v>4</v>
      </c>
      <c r="I804">
        <v>188.4</v>
      </c>
      <c r="J804">
        <v>753.62</v>
      </c>
      <c r="K804" t="s">
        <v>360</v>
      </c>
      <c r="L804" t="s">
        <v>1023</v>
      </c>
      <c r="Q804">
        <v>2</v>
      </c>
      <c r="R804" s="24">
        <v>46032</v>
      </c>
      <c r="T804" t="s">
        <v>38</v>
      </c>
      <c r="V804" t="s">
        <v>921</v>
      </c>
      <c r="Y804" t="s">
        <v>81</v>
      </c>
      <c r="Z804" t="s">
        <v>924</v>
      </c>
      <c r="AA804" t="s">
        <v>39</v>
      </c>
      <c r="AC804" t="s">
        <v>1024</v>
      </c>
    </row>
    <row r="805" spans="1:29" hidden="1" x14ac:dyDescent="0.25">
      <c r="A805">
        <v>294</v>
      </c>
      <c r="B805" t="s">
        <v>419</v>
      </c>
      <c r="C805" t="s">
        <v>77</v>
      </c>
      <c r="D805" t="s">
        <v>420</v>
      </c>
      <c r="E805">
        <v>10</v>
      </c>
      <c r="F805">
        <v>200</v>
      </c>
      <c r="G805">
        <v>3586</v>
      </c>
      <c r="H805">
        <v>2</v>
      </c>
      <c r="I805">
        <v>56.3</v>
      </c>
      <c r="J805">
        <v>112.6</v>
      </c>
      <c r="K805" t="s">
        <v>360</v>
      </c>
      <c r="L805" t="s">
        <v>1023</v>
      </c>
      <c r="Q805">
        <v>2</v>
      </c>
      <c r="R805" s="24">
        <v>46032</v>
      </c>
      <c r="T805" t="s">
        <v>38</v>
      </c>
      <c r="V805" t="s">
        <v>921</v>
      </c>
      <c r="Y805" t="s">
        <v>81</v>
      </c>
      <c r="Z805" t="s">
        <v>924</v>
      </c>
      <c r="AA805" t="s">
        <v>39</v>
      </c>
      <c r="AC805" t="s">
        <v>1024</v>
      </c>
    </row>
    <row r="806" spans="1:29" hidden="1" x14ac:dyDescent="0.25">
      <c r="A806">
        <v>295</v>
      </c>
      <c r="B806" t="s">
        <v>421</v>
      </c>
      <c r="C806" t="s">
        <v>77</v>
      </c>
      <c r="D806" t="s">
        <v>422</v>
      </c>
      <c r="E806">
        <v>10</v>
      </c>
      <c r="F806">
        <v>230</v>
      </c>
      <c r="G806">
        <v>3586</v>
      </c>
      <c r="H806">
        <v>1</v>
      </c>
      <c r="I806">
        <v>64.75</v>
      </c>
      <c r="J806">
        <v>64.75</v>
      </c>
      <c r="K806" t="s">
        <v>360</v>
      </c>
      <c r="L806" t="s">
        <v>1023</v>
      </c>
      <c r="Q806">
        <v>2</v>
      </c>
      <c r="R806" s="24">
        <v>46032</v>
      </c>
      <c r="T806" t="s">
        <v>38</v>
      </c>
      <c r="V806" t="s">
        <v>921</v>
      </c>
      <c r="Y806" t="s">
        <v>81</v>
      </c>
      <c r="Z806" t="s">
        <v>924</v>
      </c>
      <c r="AA806" t="s">
        <v>39</v>
      </c>
      <c r="AC806" t="s">
        <v>1024</v>
      </c>
    </row>
    <row r="807" spans="1:29" hidden="1" x14ac:dyDescent="0.25">
      <c r="A807">
        <v>296</v>
      </c>
      <c r="B807" t="s">
        <v>423</v>
      </c>
      <c r="C807" t="s">
        <v>77</v>
      </c>
      <c r="D807" t="s">
        <v>414</v>
      </c>
      <c r="E807">
        <v>10</v>
      </c>
      <c r="F807">
        <v>100</v>
      </c>
      <c r="G807">
        <v>100</v>
      </c>
      <c r="H807">
        <v>4</v>
      </c>
      <c r="I807">
        <v>0.4</v>
      </c>
      <c r="J807">
        <v>1.58</v>
      </c>
      <c r="K807" t="s">
        <v>360</v>
      </c>
      <c r="L807" t="s">
        <v>1023</v>
      </c>
      <c r="N807" t="s">
        <v>228</v>
      </c>
      <c r="Q807">
        <v>2</v>
      </c>
      <c r="R807" s="24">
        <v>46032</v>
      </c>
      <c r="T807" t="s">
        <v>38</v>
      </c>
      <c r="V807" t="s">
        <v>921</v>
      </c>
      <c r="X807" t="s">
        <v>81</v>
      </c>
      <c r="Z807" t="s">
        <v>924</v>
      </c>
      <c r="AA807" t="s">
        <v>39</v>
      </c>
      <c r="AC807" t="s">
        <v>1024</v>
      </c>
    </row>
    <row r="808" spans="1:29" hidden="1" x14ac:dyDescent="0.25">
      <c r="A808">
        <v>297</v>
      </c>
      <c r="B808" t="s">
        <v>389</v>
      </c>
      <c r="C808" t="s">
        <v>77</v>
      </c>
      <c r="D808" t="s">
        <v>390</v>
      </c>
      <c r="E808">
        <v>10</v>
      </c>
      <c r="F808">
        <v>200</v>
      </c>
      <c r="G808">
        <v>9518</v>
      </c>
      <c r="H808">
        <v>1</v>
      </c>
      <c r="I808">
        <v>149.43</v>
      </c>
      <c r="J808">
        <v>149.43</v>
      </c>
      <c r="K808" t="s">
        <v>360</v>
      </c>
      <c r="L808" t="s">
        <v>1025</v>
      </c>
      <c r="Q808">
        <v>2</v>
      </c>
      <c r="R808" s="24">
        <v>46032</v>
      </c>
      <c r="T808" t="s">
        <v>38</v>
      </c>
      <c r="V808" t="s">
        <v>921</v>
      </c>
      <c r="Y808" t="s">
        <v>81</v>
      </c>
      <c r="Z808" t="s">
        <v>924</v>
      </c>
      <c r="AA808" t="s">
        <v>39</v>
      </c>
      <c r="AC808" t="s">
        <v>1026</v>
      </c>
    </row>
    <row r="809" spans="1:29" hidden="1" x14ac:dyDescent="0.25">
      <c r="A809">
        <v>298</v>
      </c>
      <c r="B809" t="s">
        <v>426</v>
      </c>
      <c r="C809" t="s">
        <v>77</v>
      </c>
      <c r="D809" t="s">
        <v>412</v>
      </c>
      <c r="E809">
        <v>10</v>
      </c>
      <c r="F809">
        <v>532</v>
      </c>
      <c r="G809">
        <v>4080</v>
      </c>
      <c r="H809">
        <v>2</v>
      </c>
      <c r="I809">
        <v>168.27</v>
      </c>
      <c r="J809">
        <v>336.54</v>
      </c>
      <c r="K809" t="s">
        <v>360</v>
      </c>
      <c r="L809" t="s">
        <v>1025</v>
      </c>
      <c r="O809" t="s">
        <v>81</v>
      </c>
      <c r="P809" t="s">
        <v>81</v>
      </c>
      <c r="Q809">
        <v>2</v>
      </c>
      <c r="R809" s="24">
        <v>46032</v>
      </c>
      <c r="T809" t="s">
        <v>38</v>
      </c>
      <c r="V809" t="s">
        <v>921</v>
      </c>
      <c r="Z809" t="s">
        <v>924</v>
      </c>
      <c r="AA809" t="s">
        <v>39</v>
      </c>
      <c r="AC809" t="s">
        <v>1026</v>
      </c>
    </row>
    <row r="810" spans="1:29" hidden="1" x14ac:dyDescent="0.25">
      <c r="A810">
        <v>299</v>
      </c>
      <c r="B810" t="s">
        <v>427</v>
      </c>
      <c r="C810" t="s">
        <v>77</v>
      </c>
      <c r="D810" t="s">
        <v>428</v>
      </c>
      <c r="E810">
        <v>10</v>
      </c>
      <c r="F810">
        <v>280</v>
      </c>
      <c r="G810">
        <v>349</v>
      </c>
      <c r="H810">
        <v>8</v>
      </c>
      <c r="I810">
        <v>5.3</v>
      </c>
      <c r="J810">
        <v>42.42</v>
      </c>
      <c r="K810" t="s">
        <v>360</v>
      </c>
      <c r="L810" t="s">
        <v>1025</v>
      </c>
      <c r="Q810">
        <v>2</v>
      </c>
      <c r="R810" s="24">
        <v>46032</v>
      </c>
      <c r="T810" t="s">
        <v>38</v>
      </c>
      <c r="V810" t="s">
        <v>921</v>
      </c>
      <c r="W810" t="s">
        <v>81</v>
      </c>
      <c r="Z810" t="s">
        <v>924</v>
      </c>
      <c r="AA810" t="s">
        <v>39</v>
      </c>
      <c r="AC810" t="s">
        <v>1026</v>
      </c>
    </row>
    <row r="811" spans="1:29" hidden="1" x14ac:dyDescent="0.25">
      <c r="A811">
        <v>300</v>
      </c>
      <c r="B811" t="s">
        <v>429</v>
      </c>
      <c r="C811" t="s">
        <v>77</v>
      </c>
      <c r="D811" t="s">
        <v>402</v>
      </c>
      <c r="E811">
        <v>10</v>
      </c>
      <c r="F811">
        <v>80</v>
      </c>
      <c r="G811">
        <v>120</v>
      </c>
      <c r="H811">
        <v>1</v>
      </c>
      <c r="I811">
        <v>0.72</v>
      </c>
      <c r="J811">
        <v>0.72</v>
      </c>
      <c r="K811" t="s">
        <v>360</v>
      </c>
      <c r="L811" t="s">
        <v>1025</v>
      </c>
      <c r="N811" t="s">
        <v>228</v>
      </c>
      <c r="Q811">
        <v>2</v>
      </c>
      <c r="R811" s="24">
        <v>46032</v>
      </c>
      <c r="T811" t="s">
        <v>38</v>
      </c>
      <c r="V811" t="s">
        <v>921</v>
      </c>
      <c r="W811" t="s">
        <v>81</v>
      </c>
      <c r="Z811" t="s">
        <v>924</v>
      </c>
      <c r="AA811" t="s">
        <v>39</v>
      </c>
      <c r="AC811" t="s">
        <v>1026</v>
      </c>
    </row>
    <row r="812" spans="1:29" hidden="1" x14ac:dyDescent="0.25">
      <c r="A812">
        <v>301</v>
      </c>
      <c r="B812" t="s">
        <v>430</v>
      </c>
      <c r="C812" t="s">
        <v>77</v>
      </c>
      <c r="D812" t="s">
        <v>431</v>
      </c>
      <c r="E812">
        <v>10</v>
      </c>
      <c r="F812">
        <v>120</v>
      </c>
      <c r="G812">
        <v>250</v>
      </c>
      <c r="H812">
        <v>1</v>
      </c>
      <c r="I812">
        <v>2.36</v>
      </c>
      <c r="J812">
        <v>2.36</v>
      </c>
      <c r="K812" t="s">
        <v>360</v>
      </c>
      <c r="L812" t="s">
        <v>1025</v>
      </c>
      <c r="Q812">
        <v>2</v>
      </c>
      <c r="R812" s="24">
        <v>46032</v>
      </c>
      <c r="T812" t="s">
        <v>38</v>
      </c>
      <c r="V812" t="s">
        <v>921</v>
      </c>
      <c r="W812" t="s">
        <v>81</v>
      </c>
      <c r="Z812" t="s">
        <v>924</v>
      </c>
      <c r="AA812" t="s">
        <v>39</v>
      </c>
      <c r="AC812" t="s">
        <v>1026</v>
      </c>
    </row>
    <row r="813" spans="1:29" hidden="1" x14ac:dyDescent="0.25">
      <c r="A813">
        <v>302</v>
      </c>
      <c r="B813" t="s">
        <v>432</v>
      </c>
      <c r="C813" t="s">
        <v>77</v>
      </c>
      <c r="D813" t="s">
        <v>433</v>
      </c>
      <c r="E813">
        <v>10</v>
      </c>
      <c r="F813">
        <v>105</v>
      </c>
      <c r="G813">
        <v>195</v>
      </c>
      <c r="H813">
        <v>1</v>
      </c>
      <c r="I813">
        <v>1.02</v>
      </c>
      <c r="J813">
        <v>1.02</v>
      </c>
      <c r="K813" t="s">
        <v>360</v>
      </c>
      <c r="L813" t="s">
        <v>1025</v>
      </c>
      <c r="Q813">
        <v>2</v>
      </c>
      <c r="R813" s="24">
        <v>46032</v>
      </c>
      <c r="T813" t="s">
        <v>38</v>
      </c>
      <c r="V813" t="s">
        <v>921</v>
      </c>
      <c r="W813" t="s">
        <v>81</v>
      </c>
      <c r="Z813" t="s">
        <v>924</v>
      </c>
      <c r="AA813" t="s">
        <v>39</v>
      </c>
      <c r="AC813" t="s">
        <v>1026</v>
      </c>
    </row>
    <row r="814" spans="1:29" hidden="1" x14ac:dyDescent="0.25">
      <c r="A814">
        <v>303</v>
      </c>
      <c r="B814" t="s">
        <v>434</v>
      </c>
      <c r="C814" t="s">
        <v>77</v>
      </c>
      <c r="D814" t="s">
        <v>435</v>
      </c>
      <c r="E814">
        <v>10</v>
      </c>
      <c r="F814">
        <v>148</v>
      </c>
      <c r="G814">
        <v>324</v>
      </c>
      <c r="H814">
        <v>2</v>
      </c>
      <c r="I814">
        <v>3.7</v>
      </c>
      <c r="J814">
        <v>7.4</v>
      </c>
      <c r="K814" t="s">
        <v>360</v>
      </c>
      <c r="L814" t="s">
        <v>1025</v>
      </c>
      <c r="Q814">
        <v>2</v>
      </c>
      <c r="R814" s="24">
        <v>46032</v>
      </c>
      <c r="T814" t="s">
        <v>38</v>
      </c>
      <c r="V814" t="s">
        <v>921</v>
      </c>
      <c r="W814" t="s">
        <v>81</v>
      </c>
      <c r="Z814" t="s">
        <v>924</v>
      </c>
      <c r="AA814" t="s">
        <v>39</v>
      </c>
      <c r="AC814" t="s">
        <v>1026</v>
      </c>
    </row>
    <row r="815" spans="1:29" hidden="1" x14ac:dyDescent="0.25">
      <c r="A815">
        <v>304</v>
      </c>
      <c r="B815" t="s">
        <v>436</v>
      </c>
      <c r="C815" t="s">
        <v>77</v>
      </c>
      <c r="D815" t="s">
        <v>387</v>
      </c>
      <c r="E815">
        <v>10</v>
      </c>
      <c r="F815">
        <v>148</v>
      </c>
      <c r="G815">
        <v>441</v>
      </c>
      <c r="H815">
        <v>9</v>
      </c>
      <c r="I815">
        <v>5.0599999999999996</v>
      </c>
      <c r="J815">
        <v>45.55</v>
      </c>
      <c r="K815" t="s">
        <v>360</v>
      </c>
      <c r="L815" t="s">
        <v>1025</v>
      </c>
      <c r="Q815">
        <v>2</v>
      </c>
      <c r="R815" s="24">
        <v>46032</v>
      </c>
      <c r="T815" t="s">
        <v>38</v>
      </c>
      <c r="V815" t="s">
        <v>921</v>
      </c>
      <c r="W815" t="s">
        <v>81</v>
      </c>
      <c r="Z815" t="s">
        <v>924</v>
      </c>
      <c r="AA815" t="s">
        <v>39</v>
      </c>
      <c r="AC815" t="s">
        <v>1026</v>
      </c>
    </row>
    <row r="816" spans="1:29" hidden="1" x14ac:dyDescent="0.25">
      <c r="A816">
        <v>305</v>
      </c>
      <c r="B816" t="s">
        <v>437</v>
      </c>
      <c r="C816" t="s">
        <v>77</v>
      </c>
      <c r="D816" t="s">
        <v>387</v>
      </c>
      <c r="E816">
        <v>10</v>
      </c>
      <c r="F816">
        <v>148</v>
      </c>
      <c r="G816">
        <v>441</v>
      </c>
      <c r="H816">
        <v>13</v>
      </c>
      <c r="I816">
        <v>5.0599999999999996</v>
      </c>
      <c r="J816">
        <v>65.790000000000006</v>
      </c>
      <c r="K816" t="s">
        <v>360</v>
      </c>
      <c r="L816" t="s">
        <v>1025</v>
      </c>
      <c r="Q816">
        <v>2</v>
      </c>
      <c r="R816" s="24">
        <v>46032</v>
      </c>
      <c r="T816" t="s">
        <v>38</v>
      </c>
      <c r="V816" t="s">
        <v>921</v>
      </c>
      <c r="W816" t="s">
        <v>81</v>
      </c>
      <c r="Z816" t="s">
        <v>924</v>
      </c>
      <c r="AA816" t="s">
        <v>39</v>
      </c>
      <c r="AC816" t="s">
        <v>1026</v>
      </c>
    </row>
    <row r="817" spans="1:29" hidden="1" x14ac:dyDescent="0.25">
      <c r="A817">
        <v>306</v>
      </c>
      <c r="B817" t="s">
        <v>400</v>
      </c>
      <c r="C817" t="s">
        <v>77</v>
      </c>
      <c r="D817" t="s">
        <v>387</v>
      </c>
      <c r="E817">
        <v>10</v>
      </c>
      <c r="F817">
        <v>148</v>
      </c>
      <c r="G817">
        <v>441</v>
      </c>
      <c r="H817">
        <v>2</v>
      </c>
      <c r="I817">
        <v>5.0599999999999996</v>
      </c>
      <c r="J817">
        <v>10.119999999999999</v>
      </c>
      <c r="K817" t="s">
        <v>360</v>
      </c>
      <c r="L817" t="s">
        <v>1025</v>
      </c>
      <c r="Q817">
        <v>2</v>
      </c>
      <c r="R817" s="24">
        <v>46032</v>
      </c>
      <c r="T817" t="s">
        <v>38</v>
      </c>
      <c r="V817" t="s">
        <v>921</v>
      </c>
      <c r="W817" t="s">
        <v>81</v>
      </c>
      <c r="Z817" t="s">
        <v>924</v>
      </c>
      <c r="AA817" t="s">
        <v>39</v>
      </c>
      <c r="AC817" t="s">
        <v>1026</v>
      </c>
    </row>
    <row r="818" spans="1:29" hidden="1" x14ac:dyDescent="0.25">
      <c r="A818">
        <v>307</v>
      </c>
      <c r="B818" t="s">
        <v>401</v>
      </c>
      <c r="C818" t="s">
        <v>77</v>
      </c>
      <c r="D818" t="s">
        <v>402</v>
      </c>
      <c r="E818">
        <v>10</v>
      </c>
      <c r="F818">
        <v>80</v>
      </c>
      <c r="G818">
        <v>120</v>
      </c>
      <c r="H818">
        <v>5</v>
      </c>
      <c r="I818">
        <v>0.72</v>
      </c>
      <c r="J818">
        <v>3.62</v>
      </c>
      <c r="K818" t="s">
        <v>360</v>
      </c>
      <c r="L818" t="s">
        <v>1025</v>
      </c>
      <c r="N818" t="s">
        <v>228</v>
      </c>
      <c r="Q818">
        <v>2</v>
      </c>
      <c r="R818" s="24">
        <v>46032</v>
      </c>
      <c r="T818" t="s">
        <v>38</v>
      </c>
      <c r="V818" t="s">
        <v>921</v>
      </c>
      <c r="W818" t="s">
        <v>81</v>
      </c>
      <c r="Z818" t="s">
        <v>924</v>
      </c>
      <c r="AA818" t="s">
        <v>39</v>
      </c>
      <c r="AC818" t="s">
        <v>1026</v>
      </c>
    </row>
    <row r="819" spans="1:29" hidden="1" x14ac:dyDescent="0.25">
      <c r="A819">
        <v>308</v>
      </c>
      <c r="B819" t="s">
        <v>438</v>
      </c>
      <c r="C819" t="s">
        <v>77</v>
      </c>
      <c r="D819" t="s">
        <v>405</v>
      </c>
      <c r="E819">
        <v>10</v>
      </c>
      <c r="F819">
        <v>120</v>
      </c>
      <c r="G819">
        <v>220</v>
      </c>
      <c r="H819">
        <v>6</v>
      </c>
      <c r="I819">
        <v>2.0099999999999998</v>
      </c>
      <c r="J819">
        <v>12.08</v>
      </c>
      <c r="K819" t="s">
        <v>360</v>
      </c>
      <c r="L819" t="s">
        <v>1025</v>
      </c>
      <c r="N819" t="s">
        <v>228</v>
      </c>
      <c r="Q819">
        <v>2</v>
      </c>
      <c r="R819" s="24">
        <v>46032</v>
      </c>
      <c r="T819" t="s">
        <v>38</v>
      </c>
      <c r="V819" t="s">
        <v>921</v>
      </c>
      <c r="W819" t="s">
        <v>81</v>
      </c>
      <c r="Z819" t="s">
        <v>924</v>
      </c>
      <c r="AA819" t="s">
        <v>39</v>
      </c>
      <c r="AC819" t="s">
        <v>1026</v>
      </c>
    </row>
    <row r="820" spans="1:29" hidden="1" x14ac:dyDescent="0.25">
      <c r="A820">
        <v>309</v>
      </c>
      <c r="B820" t="s">
        <v>439</v>
      </c>
      <c r="C820" t="s">
        <v>77</v>
      </c>
      <c r="D820" t="s">
        <v>440</v>
      </c>
      <c r="E820">
        <v>10</v>
      </c>
      <c r="F820">
        <v>350</v>
      </c>
      <c r="G820">
        <v>4580</v>
      </c>
      <c r="H820">
        <v>1</v>
      </c>
      <c r="I820">
        <v>125.84</v>
      </c>
      <c r="J820">
        <v>125.84</v>
      </c>
      <c r="K820" t="s">
        <v>360</v>
      </c>
      <c r="L820" t="s">
        <v>1025</v>
      </c>
      <c r="P820" t="s">
        <v>81</v>
      </c>
      <c r="Q820">
        <v>2</v>
      </c>
      <c r="R820" s="24">
        <v>46032</v>
      </c>
      <c r="T820" t="s">
        <v>38</v>
      </c>
      <c r="V820" t="s">
        <v>921</v>
      </c>
      <c r="Y820" t="s">
        <v>81</v>
      </c>
      <c r="Z820" t="s">
        <v>924</v>
      </c>
      <c r="AA820" t="s">
        <v>39</v>
      </c>
      <c r="AC820" t="s">
        <v>1026</v>
      </c>
    </row>
    <row r="821" spans="1:29" hidden="1" x14ac:dyDescent="0.25">
      <c r="A821">
        <v>310</v>
      </c>
      <c r="B821" t="s">
        <v>441</v>
      </c>
      <c r="C821" t="s">
        <v>77</v>
      </c>
      <c r="D821" t="s">
        <v>407</v>
      </c>
      <c r="E821">
        <v>10</v>
      </c>
      <c r="F821">
        <v>380</v>
      </c>
      <c r="G821">
        <v>4577</v>
      </c>
      <c r="H821">
        <v>2</v>
      </c>
      <c r="I821">
        <v>135.07</v>
      </c>
      <c r="J821">
        <v>270.14999999999998</v>
      </c>
      <c r="K821" t="s">
        <v>360</v>
      </c>
      <c r="L821" t="s">
        <v>1025</v>
      </c>
      <c r="Q821">
        <v>2</v>
      </c>
      <c r="R821" s="24">
        <v>46032</v>
      </c>
      <c r="T821" t="s">
        <v>38</v>
      </c>
      <c r="V821" t="s">
        <v>921</v>
      </c>
      <c r="Y821" t="s">
        <v>81</v>
      </c>
      <c r="Z821" t="s">
        <v>924</v>
      </c>
      <c r="AA821" t="s">
        <v>39</v>
      </c>
      <c r="AC821" t="s">
        <v>1026</v>
      </c>
    </row>
    <row r="822" spans="1:29" hidden="1" x14ac:dyDescent="0.25">
      <c r="A822">
        <v>311</v>
      </c>
      <c r="B822" t="s">
        <v>404</v>
      </c>
      <c r="C822" t="s">
        <v>77</v>
      </c>
      <c r="D822" t="s">
        <v>405</v>
      </c>
      <c r="E822">
        <v>10</v>
      </c>
      <c r="F822">
        <v>120</v>
      </c>
      <c r="G822">
        <v>220</v>
      </c>
      <c r="H822">
        <v>5</v>
      </c>
      <c r="I822">
        <v>2.0099999999999998</v>
      </c>
      <c r="J822">
        <v>10.06</v>
      </c>
      <c r="K822" t="s">
        <v>360</v>
      </c>
      <c r="L822" t="s">
        <v>1025</v>
      </c>
      <c r="N822" t="s">
        <v>228</v>
      </c>
      <c r="Q822">
        <v>2</v>
      </c>
      <c r="R822" s="24">
        <v>46032</v>
      </c>
      <c r="T822" t="s">
        <v>38</v>
      </c>
      <c r="V822" t="s">
        <v>921</v>
      </c>
      <c r="W822" t="s">
        <v>81</v>
      </c>
      <c r="Z822" t="s">
        <v>924</v>
      </c>
      <c r="AA822" t="s">
        <v>39</v>
      </c>
      <c r="AC822" t="s">
        <v>1026</v>
      </c>
    </row>
    <row r="823" spans="1:29" hidden="1" x14ac:dyDescent="0.25">
      <c r="A823">
        <v>312</v>
      </c>
      <c r="B823" t="s">
        <v>442</v>
      </c>
      <c r="C823" t="s">
        <v>77</v>
      </c>
      <c r="D823" t="s">
        <v>440</v>
      </c>
      <c r="E823">
        <v>10</v>
      </c>
      <c r="F823">
        <v>350</v>
      </c>
      <c r="G823">
        <v>4580</v>
      </c>
      <c r="H823">
        <v>1</v>
      </c>
      <c r="I823">
        <v>125.84</v>
      </c>
      <c r="J823">
        <v>125.84</v>
      </c>
      <c r="K823" t="s">
        <v>360</v>
      </c>
      <c r="L823" t="s">
        <v>1025</v>
      </c>
      <c r="P823" t="s">
        <v>81</v>
      </c>
      <c r="Q823">
        <v>2</v>
      </c>
      <c r="R823" s="24">
        <v>46032</v>
      </c>
      <c r="T823" t="s">
        <v>38</v>
      </c>
      <c r="V823" t="s">
        <v>921</v>
      </c>
      <c r="Y823" t="s">
        <v>81</v>
      </c>
      <c r="Z823" t="s">
        <v>924</v>
      </c>
      <c r="AA823" t="s">
        <v>39</v>
      </c>
      <c r="AC823" t="s">
        <v>1026</v>
      </c>
    </row>
    <row r="824" spans="1:29" hidden="1" x14ac:dyDescent="0.25">
      <c r="A824">
        <v>313</v>
      </c>
      <c r="B824" t="s">
        <v>416</v>
      </c>
      <c r="C824" t="s">
        <v>77</v>
      </c>
      <c r="D824" t="s">
        <v>414</v>
      </c>
      <c r="E824">
        <v>10</v>
      </c>
      <c r="F824">
        <v>100</v>
      </c>
      <c r="G824">
        <v>100</v>
      </c>
      <c r="H824">
        <v>1</v>
      </c>
      <c r="I824">
        <v>0.39</v>
      </c>
      <c r="J824">
        <v>0.39</v>
      </c>
      <c r="K824" t="s">
        <v>360</v>
      </c>
      <c r="L824" t="s">
        <v>1025</v>
      </c>
      <c r="N824" t="s">
        <v>228</v>
      </c>
      <c r="Q824">
        <v>2</v>
      </c>
      <c r="R824" s="24">
        <v>46032</v>
      </c>
      <c r="T824" t="s">
        <v>38</v>
      </c>
      <c r="V824" t="s">
        <v>921</v>
      </c>
      <c r="X824" t="s">
        <v>81</v>
      </c>
      <c r="Z824" t="s">
        <v>924</v>
      </c>
      <c r="AA824" t="s">
        <v>39</v>
      </c>
      <c r="AC824" t="s">
        <v>1026</v>
      </c>
    </row>
    <row r="825" spans="1:29" hidden="1" x14ac:dyDescent="0.25">
      <c r="A825">
        <v>314</v>
      </c>
      <c r="B825" t="s">
        <v>421</v>
      </c>
      <c r="C825" t="s">
        <v>77</v>
      </c>
      <c r="D825" t="s">
        <v>422</v>
      </c>
      <c r="E825">
        <v>10</v>
      </c>
      <c r="F825">
        <v>230</v>
      </c>
      <c r="G825">
        <v>3586</v>
      </c>
      <c r="H825">
        <v>2</v>
      </c>
      <c r="I825">
        <v>64.739999999999995</v>
      </c>
      <c r="J825">
        <v>129.49</v>
      </c>
      <c r="K825" t="s">
        <v>360</v>
      </c>
      <c r="L825" t="s">
        <v>1025</v>
      </c>
      <c r="Q825">
        <v>2</v>
      </c>
      <c r="R825" s="24">
        <v>46032</v>
      </c>
      <c r="T825" t="s">
        <v>38</v>
      </c>
      <c r="V825" t="s">
        <v>921</v>
      </c>
      <c r="Y825" t="s">
        <v>81</v>
      </c>
      <c r="Z825" t="s">
        <v>924</v>
      </c>
      <c r="AA825" t="s">
        <v>39</v>
      </c>
      <c r="AC825" t="s">
        <v>1026</v>
      </c>
    </row>
    <row r="826" spans="1:29" hidden="1" x14ac:dyDescent="0.25">
      <c r="A826">
        <v>315</v>
      </c>
      <c r="B826" t="s">
        <v>429</v>
      </c>
      <c r="C826" t="s">
        <v>77</v>
      </c>
      <c r="D826" t="s">
        <v>402</v>
      </c>
      <c r="E826">
        <v>10</v>
      </c>
      <c r="F826">
        <v>80</v>
      </c>
      <c r="G826">
        <v>120</v>
      </c>
      <c r="H826">
        <v>1</v>
      </c>
      <c r="I826">
        <v>0.72</v>
      </c>
      <c r="J826">
        <v>0.72</v>
      </c>
      <c r="K826" t="s">
        <v>360</v>
      </c>
      <c r="L826" t="s">
        <v>1027</v>
      </c>
      <c r="N826" t="s">
        <v>228</v>
      </c>
      <c r="Q826">
        <v>2</v>
      </c>
      <c r="R826" s="24">
        <v>46032</v>
      </c>
      <c r="T826" t="s">
        <v>38</v>
      </c>
      <c r="V826" t="s">
        <v>921</v>
      </c>
      <c r="W826" t="s">
        <v>81</v>
      </c>
      <c r="Z826" t="s">
        <v>924</v>
      </c>
      <c r="AA826" t="s">
        <v>39</v>
      </c>
      <c r="AC826" t="s">
        <v>1028</v>
      </c>
    </row>
    <row r="827" spans="1:29" hidden="1" x14ac:dyDescent="0.25">
      <c r="A827">
        <v>316</v>
      </c>
      <c r="B827" t="s">
        <v>445</v>
      </c>
      <c r="C827" t="s">
        <v>77</v>
      </c>
      <c r="D827" t="s">
        <v>435</v>
      </c>
      <c r="E827">
        <v>10</v>
      </c>
      <c r="F827">
        <v>148</v>
      </c>
      <c r="G827">
        <v>324</v>
      </c>
      <c r="H827">
        <v>26</v>
      </c>
      <c r="I827">
        <v>3.7</v>
      </c>
      <c r="J827">
        <v>96.24</v>
      </c>
      <c r="K827" t="s">
        <v>360</v>
      </c>
      <c r="L827" t="s">
        <v>1027</v>
      </c>
      <c r="Q827">
        <v>2</v>
      </c>
      <c r="R827" s="24">
        <v>46032</v>
      </c>
      <c r="T827" t="s">
        <v>38</v>
      </c>
      <c r="V827" t="s">
        <v>921</v>
      </c>
      <c r="W827" t="s">
        <v>81</v>
      </c>
      <c r="Z827" t="s">
        <v>924</v>
      </c>
      <c r="AA827" t="s">
        <v>39</v>
      </c>
      <c r="AC827" t="s">
        <v>1028</v>
      </c>
    </row>
    <row r="828" spans="1:29" hidden="1" x14ac:dyDescent="0.25">
      <c r="A828">
        <v>317</v>
      </c>
      <c r="B828" t="s">
        <v>446</v>
      </c>
      <c r="C828" t="s">
        <v>77</v>
      </c>
      <c r="D828" t="s">
        <v>387</v>
      </c>
      <c r="E828">
        <v>10</v>
      </c>
      <c r="F828">
        <v>148</v>
      </c>
      <c r="G828">
        <v>441</v>
      </c>
      <c r="H828">
        <v>8</v>
      </c>
      <c r="I828">
        <v>5.0599999999999996</v>
      </c>
      <c r="J828">
        <v>40.49</v>
      </c>
      <c r="K828" t="s">
        <v>360</v>
      </c>
      <c r="L828" t="s">
        <v>1027</v>
      </c>
      <c r="Q828">
        <v>2</v>
      </c>
      <c r="R828" s="24">
        <v>46032</v>
      </c>
      <c r="T828" t="s">
        <v>38</v>
      </c>
      <c r="V828" t="s">
        <v>921</v>
      </c>
      <c r="W828" t="s">
        <v>81</v>
      </c>
      <c r="Z828" t="s">
        <v>924</v>
      </c>
      <c r="AA828" t="s">
        <v>39</v>
      </c>
      <c r="AC828" t="s">
        <v>1028</v>
      </c>
    </row>
    <row r="829" spans="1:29" hidden="1" x14ac:dyDescent="0.25">
      <c r="A829">
        <v>318</v>
      </c>
      <c r="B829" t="s">
        <v>434</v>
      </c>
      <c r="C829" t="s">
        <v>77</v>
      </c>
      <c r="D829" t="s">
        <v>435</v>
      </c>
      <c r="E829">
        <v>10</v>
      </c>
      <c r="F829">
        <v>148</v>
      </c>
      <c r="G829">
        <v>324</v>
      </c>
      <c r="H829">
        <v>26</v>
      </c>
      <c r="I829">
        <v>3.7</v>
      </c>
      <c r="J829">
        <v>96.24</v>
      </c>
      <c r="K829" t="s">
        <v>360</v>
      </c>
      <c r="L829" t="s">
        <v>1027</v>
      </c>
      <c r="Q829">
        <v>2</v>
      </c>
      <c r="R829" s="24">
        <v>46032</v>
      </c>
      <c r="T829" t="s">
        <v>38</v>
      </c>
      <c r="V829" t="s">
        <v>921</v>
      </c>
      <c r="W829" t="s">
        <v>81</v>
      </c>
      <c r="Z829" t="s">
        <v>924</v>
      </c>
      <c r="AA829" t="s">
        <v>39</v>
      </c>
      <c r="AC829" t="s">
        <v>1028</v>
      </c>
    </row>
    <row r="830" spans="1:29" hidden="1" x14ac:dyDescent="0.25">
      <c r="A830">
        <v>319</v>
      </c>
      <c r="B830" t="s">
        <v>436</v>
      </c>
      <c r="C830" t="s">
        <v>77</v>
      </c>
      <c r="D830" t="s">
        <v>387</v>
      </c>
      <c r="E830">
        <v>10</v>
      </c>
      <c r="F830">
        <v>148</v>
      </c>
      <c r="G830">
        <v>441</v>
      </c>
      <c r="H830">
        <v>12</v>
      </c>
      <c r="I830">
        <v>5.0599999999999996</v>
      </c>
      <c r="J830">
        <v>60.73</v>
      </c>
      <c r="K830" t="s">
        <v>360</v>
      </c>
      <c r="L830" t="s">
        <v>1027</v>
      </c>
      <c r="Q830">
        <v>2</v>
      </c>
      <c r="R830" s="24">
        <v>46032</v>
      </c>
      <c r="T830" t="s">
        <v>38</v>
      </c>
      <c r="V830" t="s">
        <v>921</v>
      </c>
      <c r="W830" t="s">
        <v>81</v>
      </c>
      <c r="Z830" t="s">
        <v>924</v>
      </c>
      <c r="AA830" t="s">
        <v>39</v>
      </c>
      <c r="AC830" t="s">
        <v>1028</v>
      </c>
    </row>
    <row r="831" spans="1:29" hidden="1" x14ac:dyDescent="0.25">
      <c r="A831">
        <v>320</v>
      </c>
      <c r="B831" t="s">
        <v>438</v>
      </c>
      <c r="C831" t="s">
        <v>77</v>
      </c>
      <c r="D831" t="s">
        <v>405</v>
      </c>
      <c r="E831">
        <v>10</v>
      </c>
      <c r="F831">
        <v>120</v>
      </c>
      <c r="G831">
        <v>220</v>
      </c>
      <c r="H831">
        <v>2</v>
      </c>
      <c r="I831">
        <v>2.02</v>
      </c>
      <c r="J831">
        <v>4.03</v>
      </c>
      <c r="K831" t="s">
        <v>360</v>
      </c>
      <c r="L831" t="s">
        <v>1027</v>
      </c>
      <c r="N831" t="s">
        <v>228</v>
      </c>
      <c r="Q831">
        <v>2</v>
      </c>
      <c r="R831" s="24">
        <v>46032</v>
      </c>
      <c r="T831" t="s">
        <v>38</v>
      </c>
      <c r="V831" t="s">
        <v>921</v>
      </c>
      <c r="W831" t="s">
        <v>81</v>
      </c>
      <c r="Z831" t="s">
        <v>924</v>
      </c>
      <c r="AA831" t="s">
        <v>39</v>
      </c>
      <c r="AC831" t="s">
        <v>1028</v>
      </c>
    </row>
    <row r="832" spans="1:29" hidden="1" x14ac:dyDescent="0.25">
      <c r="A832">
        <v>321</v>
      </c>
      <c r="B832" t="s">
        <v>447</v>
      </c>
      <c r="C832" t="s">
        <v>77</v>
      </c>
      <c r="D832" t="s">
        <v>435</v>
      </c>
      <c r="E832">
        <v>10</v>
      </c>
      <c r="F832">
        <v>148</v>
      </c>
      <c r="G832">
        <v>324</v>
      </c>
      <c r="H832">
        <v>2</v>
      </c>
      <c r="I832">
        <v>3.7</v>
      </c>
      <c r="J832">
        <v>7.4</v>
      </c>
      <c r="K832" t="s">
        <v>360</v>
      </c>
      <c r="L832" t="s">
        <v>1027</v>
      </c>
      <c r="Q832">
        <v>2</v>
      </c>
      <c r="R832" s="24">
        <v>46032</v>
      </c>
      <c r="T832" t="s">
        <v>38</v>
      </c>
      <c r="V832" t="s">
        <v>921</v>
      </c>
      <c r="W832" t="s">
        <v>81</v>
      </c>
      <c r="Z832" t="s">
        <v>924</v>
      </c>
      <c r="AA832" t="s">
        <v>39</v>
      </c>
      <c r="AC832" t="s">
        <v>1028</v>
      </c>
    </row>
    <row r="833" spans="1:29" hidden="1" x14ac:dyDescent="0.25">
      <c r="A833">
        <v>322</v>
      </c>
      <c r="B833" t="s">
        <v>448</v>
      </c>
      <c r="C833" t="s">
        <v>77</v>
      </c>
      <c r="D833" t="s">
        <v>407</v>
      </c>
      <c r="E833">
        <v>10</v>
      </c>
      <c r="F833">
        <v>380</v>
      </c>
      <c r="G833">
        <v>4577</v>
      </c>
      <c r="H833">
        <v>2</v>
      </c>
      <c r="I833">
        <v>135.07</v>
      </c>
      <c r="J833">
        <v>270.14999999999998</v>
      </c>
      <c r="K833" t="s">
        <v>360</v>
      </c>
      <c r="L833" t="s">
        <v>1027</v>
      </c>
      <c r="Q833">
        <v>2</v>
      </c>
      <c r="R833" s="24">
        <v>46032</v>
      </c>
      <c r="T833" t="s">
        <v>38</v>
      </c>
      <c r="V833" t="s">
        <v>921</v>
      </c>
      <c r="Y833" t="s">
        <v>81</v>
      </c>
      <c r="Z833" t="s">
        <v>924</v>
      </c>
      <c r="AA833" t="s">
        <v>39</v>
      </c>
      <c r="AC833" t="s">
        <v>1028</v>
      </c>
    </row>
    <row r="834" spans="1:29" hidden="1" x14ac:dyDescent="0.25">
      <c r="A834">
        <v>323</v>
      </c>
      <c r="B834" t="s">
        <v>439</v>
      </c>
      <c r="C834" t="s">
        <v>77</v>
      </c>
      <c r="D834" t="s">
        <v>440</v>
      </c>
      <c r="E834">
        <v>10</v>
      </c>
      <c r="F834">
        <v>350</v>
      </c>
      <c r="G834">
        <v>4580</v>
      </c>
      <c r="H834">
        <v>1</v>
      </c>
      <c r="I834">
        <v>125.84</v>
      </c>
      <c r="J834">
        <v>125.84</v>
      </c>
      <c r="K834" t="s">
        <v>360</v>
      </c>
      <c r="L834" t="s">
        <v>1027</v>
      </c>
      <c r="P834" t="s">
        <v>81</v>
      </c>
      <c r="Q834">
        <v>2</v>
      </c>
      <c r="R834" s="24">
        <v>46032</v>
      </c>
      <c r="T834" t="s">
        <v>38</v>
      </c>
      <c r="V834" t="s">
        <v>921</v>
      </c>
      <c r="Y834" t="s">
        <v>81</v>
      </c>
      <c r="Z834" t="s">
        <v>924</v>
      </c>
      <c r="AA834" t="s">
        <v>39</v>
      </c>
      <c r="AC834" t="s">
        <v>1028</v>
      </c>
    </row>
    <row r="835" spans="1:29" hidden="1" x14ac:dyDescent="0.25">
      <c r="A835">
        <v>324</v>
      </c>
      <c r="B835" t="s">
        <v>449</v>
      </c>
      <c r="C835" t="s">
        <v>77</v>
      </c>
      <c r="D835" t="s">
        <v>450</v>
      </c>
      <c r="E835">
        <v>10</v>
      </c>
      <c r="F835">
        <v>350</v>
      </c>
      <c r="G835">
        <v>4480</v>
      </c>
      <c r="H835">
        <v>2</v>
      </c>
      <c r="I835">
        <v>123.09</v>
      </c>
      <c r="J835">
        <v>246.18</v>
      </c>
      <c r="K835" t="s">
        <v>360</v>
      </c>
      <c r="L835" t="s">
        <v>1027</v>
      </c>
      <c r="P835" t="s">
        <v>81</v>
      </c>
      <c r="Q835">
        <v>2</v>
      </c>
      <c r="R835" s="24">
        <v>46032</v>
      </c>
      <c r="T835" t="s">
        <v>38</v>
      </c>
      <c r="V835" t="s">
        <v>921</v>
      </c>
      <c r="Y835" t="s">
        <v>81</v>
      </c>
      <c r="Z835" t="s">
        <v>924</v>
      </c>
      <c r="AA835" t="s">
        <v>39</v>
      </c>
      <c r="AC835" t="s">
        <v>1028</v>
      </c>
    </row>
    <row r="836" spans="1:29" hidden="1" x14ac:dyDescent="0.25">
      <c r="A836">
        <v>325</v>
      </c>
      <c r="B836" t="s">
        <v>441</v>
      </c>
      <c r="C836" t="s">
        <v>77</v>
      </c>
      <c r="D836" t="s">
        <v>407</v>
      </c>
      <c r="E836">
        <v>10</v>
      </c>
      <c r="F836">
        <v>380</v>
      </c>
      <c r="G836">
        <v>4577</v>
      </c>
      <c r="H836">
        <v>2</v>
      </c>
      <c r="I836">
        <v>135.07</v>
      </c>
      <c r="J836">
        <v>270.14999999999998</v>
      </c>
      <c r="K836" t="s">
        <v>360</v>
      </c>
      <c r="L836" t="s">
        <v>1027</v>
      </c>
      <c r="Q836">
        <v>2</v>
      </c>
      <c r="R836" s="24">
        <v>46032</v>
      </c>
      <c r="T836" t="s">
        <v>38</v>
      </c>
      <c r="V836" t="s">
        <v>921</v>
      </c>
      <c r="Y836" t="s">
        <v>81</v>
      </c>
      <c r="Z836" t="s">
        <v>924</v>
      </c>
      <c r="AA836" t="s">
        <v>39</v>
      </c>
      <c r="AC836" t="s">
        <v>1028</v>
      </c>
    </row>
    <row r="837" spans="1:29" hidden="1" x14ac:dyDescent="0.25">
      <c r="A837">
        <v>326</v>
      </c>
      <c r="B837" t="s">
        <v>451</v>
      </c>
      <c r="C837" t="s">
        <v>77</v>
      </c>
      <c r="D837" t="s">
        <v>452</v>
      </c>
      <c r="E837">
        <v>10</v>
      </c>
      <c r="F837">
        <v>127</v>
      </c>
      <c r="G837">
        <v>220</v>
      </c>
      <c r="H837">
        <v>1</v>
      </c>
      <c r="I837">
        <v>2.13</v>
      </c>
      <c r="J837">
        <v>2.13</v>
      </c>
      <c r="K837" t="s">
        <v>360</v>
      </c>
      <c r="L837" t="s">
        <v>1027</v>
      </c>
      <c r="N837" t="s">
        <v>228</v>
      </c>
      <c r="Q837">
        <v>2</v>
      </c>
      <c r="R837" s="24">
        <v>46032</v>
      </c>
      <c r="T837" t="s">
        <v>38</v>
      </c>
      <c r="V837" t="s">
        <v>921</v>
      </c>
      <c r="W837" t="s">
        <v>81</v>
      </c>
      <c r="Z837" t="s">
        <v>924</v>
      </c>
      <c r="AA837" t="s">
        <v>39</v>
      </c>
      <c r="AC837" t="s">
        <v>1028</v>
      </c>
    </row>
    <row r="838" spans="1:29" hidden="1" x14ac:dyDescent="0.25">
      <c r="A838">
        <v>327</v>
      </c>
      <c r="B838" t="s">
        <v>453</v>
      </c>
      <c r="C838" t="s">
        <v>77</v>
      </c>
      <c r="D838" t="s">
        <v>450</v>
      </c>
      <c r="E838">
        <v>10</v>
      </c>
      <c r="F838">
        <v>350</v>
      </c>
      <c r="G838">
        <v>4480</v>
      </c>
      <c r="H838">
        <v>1</v>
      </c>
      <c r="I838">
        <v>123.09</v>
      </c>
      <c r="J838">
        <v>123.09</v>
      </c>
      <c r="K838" t="s">
        <v>360</v>
      </c>
      <c r="L838" t="s">
        <v>1027</v>
      </c>
      <c r="P838" t="s">
        <v>81</v>
      </c>
      <c r="Q838">
        <v>2</v>
      </c>
      <c r="R838" s="24">
        <v>46032</v>
      </c>
      <c r="T838" t="s">
        <v>38</v>
      </c>
      <c r="V838" t="s">
        <v>921</v>
      </c>
      <c r="Y838" t="s">
        <v>81</v>
      </c>
      <c r="Z838" t="s">
        <v>924</v>
      </c>
      <c r="AA838" t="s">
        <v>39</v>
      </c>
      <c r="AC838" t="s">
        <v>1028</v>
      </c>
    </row>
    <row r="839" spans="1:29" hidden="1" x14ac:dyDescent="0.25">
      <c r="A839">
        <v>328</v>
      </c>
      <c r="B839" t="s">
        <v>426</v>
      </c>
      <c r="C839" t="s">
        <v>77</v>
      </c>
      <c r="D839" t="s">
        <v>412</v>
      </c>
      <c r="E839">
        <v>10</v>
      </c>
      <c r="F839">
        <v>532</v>
      </c>
      <c r="G839">
        <v>4080</v>
      </c>
      <c r="H839">
        <v>2</v>
      </c>
      <c r="I839">
        <v>168.27</v>
      </c>
      <c r="J839">
        <v>336.54</v>
      </c>
      <c r="K839" t="s">
        <v>360</v>
      </c>
      <c r="L839" t="s">
        <v>1029</v>
      </c>
      <c r="O839" t="s">
        <v>81</v>
      </c>
      <c r="P839" t="s">
        <v>81</v>
      </c>
      <c r="Q839">
        <v>2</v>
      </c>
      <c r="R839" s="24">
        <v>46032</v>
      </c>
      <c r="T839" t="s">
        <v>38</v>
      </c>
      <c r="V839" t="s">
        <v>921</v>
      </c>
      <c r="Z839" t="s">
        <v>924</v>
      </c>
      <c r="AA839" t="s">
        <v>39</v>
      </c>
      <c r="AC839" t="s">
        <v>1030</v>
      </c>
    </row>
    <row r="840" spans="1:29" hidden="1" x14ac:dyDescent="0.25">
      <c r="A840">
        <v>329</v>
      </c>
      <c r="B840" t="s">
        <v>456</v>
      </c>
      <c r="C840" t="s">
        <v>77</v>
      </c>
      <c r="D840" t="s">
        <v>457</v>
      </c>
      <c r="E840">
        <v>10</v>
      </c>
      <c r="F840">
        <v>70</v>
      </c>
      <c r="G840">
        <v>120</v>
      </c>
      <c r="H840">
        <v>4</v>
      </c>
      <c r="I840">
        <v>0.63</v>
      </c>
      <c r="J840">
        <v>2.52</v>
      </c>
      <c r="K840" t="s">
        <v>360</v>
      </c>
      <c r="L840" t="s">
        <v>1029</v>
      </c>
      <c r="N840" t="s">
        <v>228</v>
      </c>
      <c r="Q840">
        <v>2</v>
      </c>
      <c r="R840" s="24">
        <v>46032</v>
      </c>
      <c r="T840" t="s">
        <v>38</v>
      </c>
      <c r="V840" t="s">
        <v>921</v>
      </c>
      <c r="W840" t="s">
        <v>81</v>
      </c>
      <c r="Z840" t="s">
        <v>924</v>
      </c>
      <c r="AA840" t="s">
        <v>39</v>
      </c>
      <c r="AC840" t="s">
        <v>1030</v>
      </c>
    </row>
    <row r="841" spans="1:29" hidden="1" x14ac:dyDescent="0.25">
      <c r="A841">
        <v>330</v>
      </c>
      <c r="B841" t="s">
        <v>429</v>
      </c>
      <c r="C841" t="s">
        <v>77</v>
      </c>
      <c r="D841" t="s">
        <v>402</v>
      </c>
      <c r="E841">
        <v>10</v>
      </c>
      <c r="F841">
        <v>80</v>
      </c>
      <c r="G841">
        <v>120</v>
      </c>
      <c r="H841">
        <v>4</v>
      </c>
      <c r="I841">
        <v>0.72</v>
      </c>
      <c r="J841">
        <v>2.9</v>
      </c>
      <c r="K841" t="s">
        <v>360</v>
      </c>
      <c r="L841" t="s">
        <v>1029</v>
      </c>
      <c r="N841" t="s">
        <v>228</v>
      </c>
      <c r="Q841">
        <v>2</v>
      </c>
      <c r="R841" s="24">
        <v>46032</v>
      </c>
      <c r="T841" t="s">
        <v>38</v>
      </c>
      <c r="V841" t="s">
        <v>921</v>
      </c>
      <c r="W841" t="s">
        <v>81</v>
      </c>
      <c r="Z841" t="s">
        <v>924</v>
      </c>
      <c r="AA841" t="s">
        <v>39</v>
      </c>
      <c r="AC841" t="s">
        <v>1030</v>
      </c>
    </row>
    <row r="842" spans="1:29" hidden="1" x14ac:dyDescent="0.25">
      <c r="A842">
        <v>331</v>
      </c>
      <c r="B842" t="s">
        <v>458</v>
      </c>
      <c r="C842" t="s">
        <v>77</v>
      </c>
      <c r="D842" t="s">
        <v>405</v>
      </c>
      <c r="E842">
        <v>10</v>
      </c>
      <c r="F842">
        <v>120</v>
      </c>
      <c r="G842">
        <v>220</v>
      </c>
      <c r="H842">
        <v>9</v>
      </c>
      <c r="I842">
        <v>2.0099999999999998</v>
      </c>
      <c r="J842">
        <v>18.11</v>
      </c>
      <c r="K842" t="s">
        <v>360</v>
      </c>
      <c r="L842" t="s">
        <v>1029</v>
      </c>
      <c r="N842" t="s">
        <v>228</v>
      </c>
      <c r="Q842">
        <v>2</v>
      </c>
      <c r="R842" s="24">
        <v>46032</v>
      </c>
      <c r="T842" t="s">
        <v>38</v>
      </c>
      <c r="V842" t="s">
        <v>921</v>
      </c>
      <c r="W842" t="s">
        <v>81</v>
      </c>
      <c r="Z842" t="s">
        <v>924</v>
      </c>
      <c r="AA842" t="s">
        <v>39</v>
      </c>
      <c r="AC842" t="s">
        <v>1030</v>
      </c>
    </row>
    <row r="843" spans="1:29" hidden="1" x14ac:dyDescent="0.25">
      <c r="A843">
        <v>332</v>
      </c>
      <c r="B843" t="s">
        <v>459</v>
      </c>
      <c r="C843" t="s">
        <v>77</v>
      </c>
      <c r="D843" t="s">
        <v>402</v>
      </c>
      <c r="E843">
        <v>10</v>
      </c>
      <c r="F843">
        <v>80</v>
      </c>
      <c r="G843">
        <v>120</v>
      </c>
      <c r="H843">
        <v>1</v>
      </c>
      <c r="I843">
        <v>0.72</v>
      </c>
      <c r="J843">
        <v>0.72</v>
      </c>
      <c r="K843" t="s">
        <v>360</v>
      </c>
      <c r="L843" t="s">
        <v>1029</v>
      </c>
      <c r="N843" t="s">
        <v>228</v>
      </c>
      <c r="Q843">
        <v>2</v>
      </c>
      <c r="R843" s="24">
        <v>46032</v>
      </c>
      <c r="T843" t="s">
        <v>38</v>
      </c>
      <c r="V843" t="s">
        <v>921</v>
      </c>
      <c r="W843" t="s">
        <v>81</v>
      </c>
      <c r="Z843" t="s">
        <v>924</v>
      </c>
      <c r="AA843" t="s">
        <v>39</v>
      </c>
      <c r="AC843" t="s">
        <v>1030</v>
      </c>
    </row>
    <row r="844" spans="1:29" hidden="1" x14ac:dyDescent="0.25">
      <c r="A844">
        <v>333</v>
      </c>
      <c r="B844" t="s">
        <v>446</v>
      </c>
      <c r="C844" t="s">
        <v>77</v>
      </c>
      <c r="D844" t="s">
        <v>387</v>
      </c>
      <c r="E844">
        <v>10</v>
      </c>
      <c r="F844">
        <v>148</v>
      </c>
      <c r="G844">
        <v>441</v>
      </c>
      <c r="H844">
        <v>4</v>
      </c>
      <c r="I844">
        <v>5.0599999999999996</v>
      </c>
      <c r="J844">
        <v>20.239999999999998</v>
      </c>
      <c r="K844" t="s">
        <v>360</v>
      </c>
      <c r="L844" t="s">
        <v>1029</v>
      </c>
      <c r="Q844">
        <v>2</v>
      </c>
      <c r="R844" s="24">
        <v>46032</v>
      </c>
      <c r="T844" t="s">
        <v>38</v>
      </c>
      <c r="V844" t="s">
        <v>921</v>
      </c>
      <c r="W844" t="s">
        <v>81</v>
      </c>
      <c r="Z844" t="s">
        <v>924</v>
      </c>
      <c r="AA844" t="s">
        <v>39</v>
      </c>
      <c r="AC844" t="s">
        <v>1030</v>
      </c>
    </row>
    <row r="845" spans="1:29" hidden="1" x14ac:dyDescent="0.25">
      <c r="A845">
        <v>334</v>
      </c>
      <c r="B845" t="s">
        <v>460</v>
      </c>
      <c r="C845" t="s">
        <v>77</v>
      </c>
      <c r="D845" t="s">
        <v>435</v>
      </c>
      <c r="E845">
        <v>10</v>
      </c>
      <c r="F845">
        <v>148</v>
      </c>
      <c r="G845">
        <v>324</v>
      </c>
      <c r="H845">
        <v>40</v>
      </c>
      <c r="I845">
        <v>3.7</v>
      </c>
      <c r="J845">
        <v>148.06</v>
      </c>
      <c r="K845" t="s">
        <v>360</v>
      </c>
      <c r="L845" t="s">
        <v>1029</v>
      </c>
      <c r="Q845">
        <v>2</v>
      </c>
      <c r="R845" s="24">
        <v>46032</v>
      </c>
      <c r="T845" t="s">
        <v>38</v>
      </c>
      <c r="V845" t="s">
        <v>921</v>
      </c>
      <c r="W845" t="s">
        <v>81</v>
      </c>
      <c r="Z845" t="s">
        <v>924</v>
      </c>
      <c r="AA845" t="s">
        <v>39</v>
      </c>
      <c r="AC845" t="s">
        <v>1030</v>
      </c>
    </row>
    <row r="846" spans="1:29" hidden="1" x14ac:dyDescent="0.25">
      <c r="A846">
        <v>335</v>
      </c>
      <c r="B846" t="s">
        <v>461</v>
      </c>
      <c r="C846" t="s">
        <v>77</v>
      </c>
      <c r="D846" t="s">
        <v>435</v>
      </c>
      <c r="E846">
        <v>10</v>
      </c>
      <c r="F846">
        <v>148</v>
      </c>
      <c r="G846">
        <v>324</v>
      </c>
      <c r="H846">
        <v>26</v>
      </c>
      <c r="I846">
        <v>3.7</v>
      </c>
      <c r="J846">
        <v>96.24</v>
      </c>
      <c r="K846" t="s">
        <v>360</v>
      </c>
      <c r="L846" t="s">
        <v>1029</v>
      </c>
      <c r="Q846">
        <v>2</v>
      </c>
      <c r="R846" s="24">
        <v>46032</v>
      </c>
      <c r="T846" t="s">
        <v>38</v>
      </c>
      <c r="V846" t="s">
        <v>921</v>
      </c>
      <c r="W846" t="s">
        <v>81</v>
      </c>
      <c r="Z846" t="s">
        <v>924</v>
      </c>
      <c r="AA846" t="s">
        <v>39</v>
      </c>
      <c r="AC846" t="s">
        <v>1030</v>
      </c>
    </row>
    <row r="847" spans="1:29" hidden="1" x14ac:dyDescent="0.25">
      <c r="A847">
        <v>336</v>
      </c>
      <c r="B847" t="s">
        <v>462</v>
      </c>
      <c r="C847" t="s">
        <v>77</v>
      </c>
      <c r="D847" t="s">
        <v>435</v>
      </c>
      <c r="E847">
        <v>10</v>
      </c>
      <c r="F847">
        <v>148</v>
      </c>
      <c r="G847">
        <v>324</v>
      </c>
      <c r="H847">
        <v>28</v>
      </c>
      <c r="I847">
        <v>3.7</v>
      </c>
      <c r="J847">
        <v>103.64</v>
      </c>
      <c r="K847" t="s">
        <v>360</v>
      </c>
      <c r="L847" t="s">
        <v>1029</v>
      </c>
      <c r="Q847">
        <v>2</v>
      </c>
      <c r="R847" s="24">
        <v>46032</v>
      </c>
      <c r="T847" t="s">
        <v>38</v>
      </c>
      <c r="V847" t="s">
        <v>921</v>
      </c>
      <c r="W847" t="s">
        <v>81</v>
      </c>
      <c r="Z847" t="s">
        <v>924</v>
      </c>
      <c r="AA847" t="s">
        <v>39</v>
      </c>
      <c r="AC847" t="s">
        <v>1030</v>
      </c>
    </row>
    <row r="848" spans="1:29" hidden="1" x14ac:dyDescent="0.25">
      <c r="A848">
        <v>337</v>
      </c>
      <c r="B848" t="s">
        <v>438</v>
      </c>
      <c r="C848" t="s">
        <v>77</v>
      </c>
      <c r="D848" t="s">
        <v>405</v>
      </c>
      <c r="E848">
        <v>10</v>
      </c>
      <c r="F848">
        <v>120</v>
      </c>
      <c r="G848">
        <v>220</v>
      </c>
      <c r="H848">
        <v>3</v>
      </c>
      <c r="I848">
        <v>2.0099999999999998</v>
      </c>
      <c r="J848">
        <v>6.04</v>
      </c>
      <c r="K848" t="s">
        <v>360</v>
      </c>
      <c r="L848" t="s">
        <v>1029</v>
      </c>
      <c r="N848" t="s">
        <v>228</v>
      </c>
      <c r="Q848">
        <v>2</v>
      </c>
      <c r="R848" s="24">
        <v>46032</v>
      </c>
      <c r="T848" t="s">
        <v>38</v>
      </c>
      <c r="V848" t="s">
        <v>921</v>
      </c>
      <c r="W848" t="s">
        <v>81</v>
      </c>
      <c r="Z848" t="s">
        <v>924</v>
      </c>
      <c r="AA848" t="s">
        <v>39</v>
      </c>
      <c r="AC848" t="s">
        <v>1030</v>
      </c>
    </row>
    <row r="849" spans="1:29" hidden="1" x14ac:dyDescent="0.25">
      <c r="A849">
        <v>338</v>
      </c>
      <c r="B849" t="s">
        <v>447</v>
      </c>
      <c r="C849" t="s">
        <v>77</v>
      </c>
      <c r="D849" t="s">
        <v>435</v>
      </c>
      <c r="E849">
        <v>10</v>
      </c>
      <c r="F849">
        <v>148</v>
      </c>
      <c r="G849">
        <v>324</v>
      </c>
      <c r="H849">
        <v>40</v>
      </c>
      <c r="I849">
        <v>3.7</v>
      </c>
      <c r="J849">
        <v>148.06</v>
      </c>
      <c r="K849" t="s">
        <v>360</v>
      </c>
      <c r="L849" t="s">
        <v>1029</v>
      </c>
      <c r="Q849">
        <v>2</v>
      </c>
      <c r="R849" s="24">
        <v>46032</v>
      </c>
      <c r="T849" t="s">
        <v>38</v>
      </c>
      <c r="V849" t="s">
        <v>921</v>
      </c>
      <c r="W849" t="s">
        <v>81</v>
      </c>
      <c r="Z849" t="s">
        <v>924</v>
      </c>
      <c r="AA849" t="s">
        <v>39</v>
      </c>
      <c r="AC849" t="s">
        <v>1030</v>
      </c>
    </row>
    <row r="850" spans="1:29" hidden="1" x14ac:dyDescent="0.25">
      <c r="A850">
        <v>339</v>
      </c>
      <c r="B850" t="s">
        <v>463</v>
      </c>
      <c r="C850" t="s">
        <v>77</v>
      </c>
      <c r="D850" t="s">
        <v>440</v>
      </c>
      <c r="E850">
        <v>10</v>
      </c>
      <c r="F850">
        <v>350</v>
      </c>
      <c r="G850">
        <v>4580</v>
      </c>
      <c r="H850">
        <v>1</v>
      </c>
      <c r="I850">
        <v>125.84</v>
      </c>
      <c r="J850">
        <v>125.84</v>
      </c>
      <c r="K850" t="s">
        <v>360</v>
      </c>
      <c r="L850" t="s">
        <v>1029</v>
      </c>
      <c r="P850" t="s">
        <v>81</v>
      </c>
      <c r="Q850">
        <v>2</v>
      </c>
      <c r="R850" s="24">
        <v>46032</v>
      </c>
      <c r="T850" t="s">
        <v>38</v>
      </c>
      <c r="V850" t="s">
        <v>921</v>
      </c>
      <c r="Y850" t="s">
        <v>81</v>
      </c>
      <c r="Z850" t="s">
        <v>924</v>
      </c>
      <c r="AA850" t="s">
        <v>39</v>
      </c>
      <c r="AC850" t="s">
        <v>1030</v>
      </c>
    </row>
    <row r="851" spans="1:29" hidden="1" x14ac:dyDescent="0.25">
      <c r="A851">
        <v>340</v>
      </c>
      <c r="B851" t="s">
        <v>464</v>
      </c>
      <c r="C851" t="s">
        <v>77</v>
      </c>
      <c r="D851" t="s">
        <v>450</v>
      </c>
      <c r="E851">
        <v>10</v>
      </c>
      <c r="F851">
        <v>350</v>
      </c>
      <c r="G851">
        <v>4480</v>
      </c>
      <c r="H851">
        <v>1</v>
      </c>
      <c r="I851">
        <v>123.09</v>
      </c>
      <c r="J851">
        <v>123.09</v>
      </c>
      <c r="K851" t="s">
        <v>360</v>
      </c>
      <c r="L851" t="s">
        <v>1029</v>
      </c>
      <c r="P851" t="s">
        <v>81</v>
      </c>
      <c r="Q851">
        <v>2</v>
      </c>
      <c r="R851" s="24">
        <v>46032</v>
      </c>
      <c r="T851" t="s">
        <v>38</v>
      </c>
      <c r="V851" t="s">
        <v>921</v>
      </c>
      <c r="Y851" t="s">
        <v>81</v>
      </c>
      <c r="Z851" t="s">
        <v>924</v>
      </c>
      <c r="AA851" t="s">
        <v>39</v>
      </c>
      <c r="AC851" t="s">
        <v>1030</v>
      </c>
    </row>
    <row r="852" spans="1:29" hidden="1" x14ac:dyDescent="0.25">
      <c r="A852">
        <v>341</v>
      </c>
      <c r="B852" t="s">
        <v>419</v>
      </c>
      <c r="C852" t="s">
        <v>77</v>
      </c>
      <c r="D852" t="s">
        <v>420</v>
      </c>
      <c r="E852">
        <v>10</v>
      </c>
      <c r="F852">
        <v>200</v>
      </c>
      <c r="G852">
        <v>3586</v>
      </c>
      <c r="H852">
        <v>2</v>
      </c>
      <c r="I852">
        <v>56.3</v>
      </c>
      <c r="J852">
        <v>112.6</v>
      </c>
      <c r="K852" t="s">
        <v>360</v>
      </c>
      <c r="L852" t="s">
        <v>1029</v>
      </c>
      <c r="Q852">
        <v>2</v>
      </c>
      <c r="R852" s="24">
        <v>46032</v>
      </c>
      <c r="T852" t="s">
        <v>38</v>
      </c>
      <c r="V852" t="s">
        <v>921</v>
      </c>
      <c r="Y852" t="s">
        <v>81</v>
      </c>
      <c r="Z852" t="s">
        <v>924</v>
      </c>
      <c r="AA852" t="s">
        <v>39</v>
      </c>
      <c r="AC852" t="s">
        <v>1030</v>
      </c>
    </row>
    <row r="853" spans="1:29" hidden="1" x14ac:dyDescent="0.25">
      <c r="A853">
        <v>342</v>
      </c>
      <c r="B853" t="s">
        <v>421</v>
      </c>
      <c r="C853" t="s">
        <v>77</v>
      </c>
      <c r="D853" t="s">
        <v>422</v>
      </c>
      <c r="E853">
        <v>10</v>
      </c>
      <c r="F853">
        <v>230</v>
      </c>
      <c r="G853">
        <v>3586</v>
      </c>
      <c r="H853">
        <v>1</v>
      </c>
      <c r="I853">
        <v>64.75</v>
      </c>
      <c r="J853">
        <v>64.75</v>
      </c>
      <c r="K853" t="s">
        <v>360</v>
      </c>
      <c r="L853" t="s">
        <v>1029</v>
      </c>
      <c r="Q853">
        <v>2</v>
      </c>
      <c r="R853" s="24">
        <v>46032</v>
      </c>
      <c r="T853" t="s">
        <v>38</v>
      </c>
      <c r="V853" t="s">
        <v>921</v>
      </c>
      <c r="Y853" t="s">
        <v>81</v>
      </c>
      <c r="Z853" t="s">
        <v>924</v>
      </c>
      <c r="AA853" t="s">
        <v>39</v>
      </c>
      <c r="AC853" t="s">
        <v>1030</v>
      </c>
    </row>
    <row r="854" spans="1:29" hidden="1" x14ac:dyDescent="0.25">
      <c r="A854">
        <v>343</v>
      </c>
      <c r="B854" t="s">
        <v>456</v>
      </c>
      <c r="C854" t="s">
        <v>77</v>
      </c>
      <c r="D854" t="s">
        <v>457</v>
      </c>
      <c r="E854">
        <v>10</v>
      </c>
      <c r="F854">
        <v>70</v>
      </c>
      <c r="G854">
        <v>120</v>
      </c>
      <c r="H854">
        <v>2</v>
      </c>
      <c r="I854">
        <v>0.63</v>
      </c>
      <c r="J854">
        <v>1.26</v>
      </c>
      <c r="K854" t="s">
        <v>1031</v>
      </c>
      <c r="L854" t="s">
        <v>1032</v>
      </c>
      <c r="N854" t="s">
        <v>228</v>
      </c>
      <c r="Q854">
        <v>2</v>
      </c>
      <c r="R854" s="24">
        <v>46032</v>
      </c>
      <c r="T854" t="s">
        <v>38</v>
      </c>
      <c r="V854" t="s">
        <v>921</v>
      </c>
      <c r="W854" t="s">
        <v>81</v>
      </c>
      <c r="Z854" t="s">
        <v>924</v>
      </c>
      <c r="AA854" t="s">
        <v>1033</v>
      </c>
      <c r="AC854" t="s">
        <v>1034</v>
      </c>
    </row>
    <row r="855" spans="1:29" hidden="1" x14ac:dyDescent="0.25">
      <c r="A855">
        <v>344</v>
      </c>
      <c r="B855" t="s">
        <v>459</v>
      </c>
      <c r="C855" t="s">
        <v>77</v>
      </c>
      <c r="D855" t="s">
        <v>402</v>
      </c>
      <c r="E855">
        <v>10</v>
      </c>
      <c r="F855">
        <v>80</v>
      </c>
      <c r="G855">
        <v>120</v>
      </c>
      <c r="H855">
        <v>3</v>
      </c>
      <c r="I855">
        <v>0.72</v>
      </c>
      <c r="J855">
        <v>2.17</v>
      </c>
      <c r="K855" t="s">
        <v>1031</v>
      </c>
      <c r="L855" t="s">
        <v>1032</v>
      </c>
      <c r="N855" t="s">
        <v>228</v>
      </c>
      <c r="Q855">
        <v>2</v>
      </c>
      <c r="R855" s="24">
        <v>46032</v>
      </c>
      <c r="T855" t="s">
        <v>38</v>
      </c>
      <c r="V855" t="s">
        <v>921</v>
      </c>
      <c r="W855" t="s">
        <v>81</v>
      </c>
      <c r="Z855" t="s">
        <v>924</v>
      </c>
      <c r="AA855" t="s">
        <v>1033</v>
      </c>
      <c r="AC855" t="s">
        <v>1034</v>
      </c>
    </row>
    <row r="856" spans="1:29" hidden="1" x14ac:dyDescent="0.25">
      <c r="A856">
        <v>345</v>
      </c>
      <c r="B856" t="s">
        <v>467</v>
      </c>
      <c r="C856" t="s">
        <v>77</v>
      </c>
      <c r="D856" t="s">
        <v>405</v>
      </c>
      <c r="E856">
        <v>10</v>
      </c>
      <c r="F856">
        <v>120</v>
      </c>
      <c r="G856">
        <v>220</v>
      </c>
      <c r="H856">
        <v>7</v>
      </c>
      <c r="I856">
        <v>2.0099999999999998</v>
      </c>
      <c r="J856">
        <v>14.09</v>
      </c>
      <c r="K856" t="s">
        <v>1031</v>
      </c>
      <c r="L856" t="s">
        <v>1032</v>
      </c>
      <c r="N856" t="s">
        <v>228</v>
      </c>
      <c r="Q856">
        <v>2</v>
      </c>
      <c r="R856" s="24">
        <v>46032</v>
      </c>
      <c r="T856" t="s">
        <v>38</v>
      </c>
      <c r="V856" t="s">
        <v>921</v>
      </c>
      <c r="W856" t="s">
        <v>81</v>
      </c>
      <c r="Z856" t="s">
        <v>924</v>
      </c>
      <c r="AA856" t="s">
        <v>1033</v>
      </c>
      <c r="AC856" t="s">
        <v>1034</v>
      </c>
    </row>
    <row r="857" spans="1:29" hidden="1" x14ac:dyDescent="0.25">
      <c r="A857">
        <v>346</v>
      </c>
      <c r="B857" t="s">
        <v>460</v>
      </c>
      <c r="C857" t="s">
        <v>77</v>
      </c>
      <c r="D857" t="s">
        <v>435</v>
      </c>
      <c r="E857">
        <v>10</v>
      </c>
      <c r="F857">
        <v>148</v>
      </c>
      <c r="G857">
        <v>324</v>
      </c>
      <c r="H857">
        <v>2</v>
      </c>
      <c r="I857">
        <v>3.7</v>
      </c>
      <c r="J857">
        <v>7.4</v>
      </c>
      <c r="K857" t="s">
        <v>1031</v>
      </c>
      <c r="L857" t="s">
        <v>1032</v>
      </c>
      <c r="Q857">
        <v>2</v>
      </c>
      <c r="R857" s="24">
        <v>46032</v>
      </c>
      <c r="T857" t="s">
        <v>38</v>
      </c>
      <c r="V857" t="s">
        <v>921</v>
      </c>
      <c r="W857" t="s">
        <v>81</v>
      </c>
      <c r="Z857" t="s">
        <v>924</v>
      </c>
      <c r="AA857" t="s">
        <v>1033</v>
      </c>
      <c r="AC857" t="s">
        <v>1034</v>
      </c>
    </row>
    <row r="858" spans="1:29" hidden="1" x14ac:dyDescent="0.25">
      <c r="A858">
        <v>347</v>
      </c>
      <c r="B858" t="s">
        <v>468</v>
      </c>
      <c r="C858" t="s">
        <v>77</v>
      </c>
      <c r="D858" t="s">
        <v>469</v>
      </c>
      <c r="E858">
        <v>10</v>
      </c>
      <c r="F858">
        <v>160</v>
      </c>
      <c r="G858">
        <v>160</v>
      </c>
      <c r="H858">
        <v>2</v>
      </c>
      <c r="I858">
        <v>0.96</v>
      </c>
      <c r="J858">
        <v>1.92</v>
      </c>
      <c r="K858" t="s">
        <v>1031</v>
      </c>
      <c r="L858" t="s">
        <v>1032</v>
      </c>
      <c r="N858" t="s">
        <v>228</v>
      </c>
      <c r="Q858">
        <v>2</v>
      </c>
      <c r="R858" s="24">
        <v>46032</v>
      </c>
      <c r="T858" t="s">
        <v>38</v>
      </c>
      <c r="V858" t="s">
        <v>921</v>
      </c>
      <c r="X858" t="s">
        <v>81</v>
      </c>
      <c r="Z858" t="s">
        <v>924</v>
      </c>
      <c r="AA858" t="s">
        <v>1033</v>
      </c>
      <c r="AC858" t="s">
        <v>1034</v>
      </c>
    </row>
    <row r="859" spans="1:29" hidden="1" x14ac:dyDescent="0.25">
      <c r="A859">
        <v>348</v>
      </c>
      <c r="B859" t="s">
        <v>470</v>
      </c>
      <c r="C859" t="s">
        <v>77</v>
      </c>
      <c r="D859" t="s">
        <v>469</v>
      </c>
      <c r="E859">
        <v>10</v>
      </c>
      <c r="F859">
        <v>160</v>
      </c>
      <c r="G859">
        <v>160</v>
      </c>
      <c r="H859">
        <v>4</v>
      </c>
      <c r="I859">
        <v>0.96</v>
      </c>
      <c r="J859">
        <v>3.85</v>
      </c>
      <c r="K859" t="s">
        <v>1031</v>
      </c>
      <c r="L859" t="s">
        <v>1032</v>
      </c>
      <c r="N859" t="s">
        <v>228</v>
      </c>
      <c r="Q859">
        <v>2</v>
      </c>
      <c r="R859" s="24">
        <v>46032</v>
      </c>
      <c r="T859" t="s">
        <v>38</v>
      </c>
      <c r="V859" t="s">
        <v>921</v>
      </c>
      <c r="X859" t="s">
        <v>81</v>
      </c>
      <c r="Z859" t="s">
        <v>924</v>
      </c>
      <c r="AA859" t="s">
        <v>1033</v>
      </c>
      <c r="AC859" t="s">
        <v>1034</v>
      </c>
    </row>
    <row r="860" spans="1:29" hidden="1" x14ac:dyDescent="0.25">
      <c r="A860">
        <v>349</v>
      </c>
      <c r="B860" t="s">
        <v>471</v>
      </c>
      <c r="C860" t="s">
        <v>77</v>
      </c>
      <c r="D860" t="s">
        <v>469</v>
      </c>
      <c r="E860">
        <v>10</v>
      </c>
      <c r="F860">
        <v>160</v>
      </c>
      <c r="G860">
        <v>160</v>
      </c>
      <c r="H860">
        <v>2</v>
      </c>
      <c r="I860">
        <v>0.96</v>
      </c>
      <c r="J860">
        <v>1.92</v>
      </c>
      <c r="K860" t="s">
        <v>1031</v>
      </c>
      <c r="L860" t="s">
        <v>1032</v>
      </c>
      <c r="N860" t="s">
        <v>228</v>
      </c>
      <c r="Q860">
        <v>2</v>
      </c>
      <c r="R860" s="24">
        <v>46032</v>
      </c>
      <c r="T860" t="s">
        <v>38</v>
      </c>
      <c r="V860" t="s">
        <v>921</v>
      </c>
      <c r="X860" t="s">
        <v>81</v>
      </c>
      <c r="Z860" t="s">
        <v>924</v>
      </c>
      <c r="AA860" t="s">
        <v>1033</v>
      </c>
      <c r="AC860" t="s">
        <v>1034</v>
      </c>
    </row>
    <row r="861" spans="1:29" hidden="1" x14ac:dyDescent="0.25">
      <c r="A861">
        <v>350</v>
      </c>
      <c r="B861" t="s">
        <v>472</v>
      </c>
      <c r="C861" t="s">
        <v>77</v>
      </c>
      <c r="D861" t="s">
        <v>469</v>
      </c>
      <c r="E861">
        <v>10</v>
      </c>
      <c r="F861">
        <v>160</v>
      </c>
      <c r="G861">
        <v>160</v>
      </c>
      <c r="H861">
        <v>4</v>
      </c>
      <c r="I861">
        <v>0.96</v>
      </c>
      <c r="J861">
        <v>3.85</v>
      </c>
      <c r="K861" t="s">
        <v>1031</v>
      </c>
      <c r="L861" t="s">
        <v>1032</v>
      </c>
      <c r="N861" t="s">
        <v>228</v>
      </c>
      <c r="Q861">
        <v>2</v>
      </c>
      <c r="R861" s="24">
        <v>46032</v>
      </c>
      <c r="T861" t="s">
        <v>38</v>
      </c>
      <c r="V861" t="s">
        <v>921</v>
      </c>
      <c r="X861" t="s">
        <v>81</v>
      </c>
      <c r="Z861" t="s">
        <v>924</v>
      </c>
      <c r="AA861" t="s">
        <v>1033</v>
      </c>
      <c r="AC861" t="s">
        <v>1034</v>
      </c>
    </row>
    <row r="862" spans="1:29" hidden="1" x14ac:dyDescent="0.25">
      <c r="A862">
        <v>351</v>
      </c>
      <c r="B862" t="s">
        <v>473</v>
      </c>
      <c r="C862" t="s">
        <v>77</v>
      </c>
      <c r="D862" t="s">
        <v>474</v>
      </c>
      <c r="E862">
        <v>12</v>
      </c>
      <c r="F862">
        <v>220</v>
      </c>
      <c r="G862">
        <v>12000</v>
      </c>
      <c r="H862">
        <v>2</v>
      </c>
      <c r="I862">
        <v>248.69</v>
      </c>
      <c r="J862">
        <v>497.38</v>
      </c>
      <c r="K862" t="s">
        <v>475</v>
      </c>
      <c r="L862" t="s">
        <v>1035</v>
      </c>
      <c r="O862" t="s">
        <v>81</v>
      </c>
      <c r="Q862">
        <v>2</v>
      </c>
      <c r="R862" s="24">
        <v>46032</v>
      </c>
      <c r="T862" t="s">
        <v>38</v>
      </c>
      <c r="V862" t="s">
        <v>921</v>
      </c>
      <c r="Y862" t="s">
        <v>81</v>
      </c>
      <c r="Z862" t="s">
        <v>924</v>
      </c>
      <c r="AA862" t="s">
        <v>39</v>
      </c>
      <c r="AC862" t="s">
        <v>1036</v>
      </c>
    </row>
    <row r="863" spans="1:29" hidden="1" x14ac:dyDescent="0.25">
      <c r="A863">
        <v>352</v>
      </c>
      <c r="B863" t="s">
        <v>478</v>
      </c>
      <c r="C863" t="s">
        <v>77</v>
      </c>
      <c r="D863" t="s">
        <v>474</v>
      </c>
      <c r="E863">
        <v>12</v>
      </c>
      <c r="F863">
        <v>220</v>
      </c>
      <c r="G863">
        <v>12000</v>
      </c>
      <c r="H863">
        <v>2</v>
      </c>
      <c r="I863">
        <v>248.69</v>
      </c>
      <c r="J863">
        <v>497.38</v>
      </c>
      <c r="K863" t="s">
        <v>475</v>
      </c>
      <c r="L863" t="s">
        <v>1035</v>
      </c>
      <c r="O863" t="s">
        <v>81</v>
      </c>
      <c r="Q863">
        <v>2</v>
      </c>
      <c r="R863" s="24">
        <v>46032</v>
      </c>
      <c r="T863" t="s">
        <v>38</v>
      </c>
      <c r="V863" t="s">
        <v>921</v>
      </c>
      <c r="Y863" t="s">
        <v>81</v>
      </c>
      <c r="Z863" t="s">
        <v>924</v>
      </c>
      <c r="AA863" t="s">
        <v>39</v>
      </c>
      <c r="AC863" t="s">
        <v>1036</v>
      </c>
    </row>
    <row r="864" spans="1:29" hidden="1" x14ac:dyDescent="0.25">
      <c r="A864">
        <v>353</v>
      </c>
      <c r="B864" t="s">
        <v>479</v>
      </c>
      <c r="C864" t="s">
        <v>77</v>
      </c>
      <c r="D864" t="s">
        <v>474</v>
      </c>
      <c r="E864">
        <v>12</v>
      </c>
      <c r="F864">
        <v>220</v>
      </c>
      <c r="G864">
        <v>12000</v>
      </c>
      <c r="H864">
        <v>2</v>
      </c>
      <c r="I864">
        <v>248.69</v>
      </c>
      <c r="J864">
        <v>497.38</v>
      </c>
      <c r="K864" t="s">
        <v>475</v>
      </c>
      <c r="L864" t="s">
        <v>1035</v>
      </c>
      <c r="O864" t="s">
        <v>81</v>
      </c>
      <c r="Q864">
        <v>2</v>
      </c>
      <c r="R864" s="24">
        <v>46032</v>
      </c>
      <c r="T864" t="s">
        <v>38</v>
      </c>
      <c r="V864" t="s">
        <v>921</v>
      </c>
      <c r="Y864" t="s">
        <v>81</v>
      </c>
      <c r="Z864" t="s">
        <v>924</v>
      </c>
      <c r="AA864" t="s">
        <v>39</v>
      </c>
      <c r="AC864" t="s">
        <v>1036</v>
      </c>
    </row>
    <row r="865" spans="1:29" hidden="1" x14ac:dyDescent="0.25">
      <c r="A865">
        <v>354</v>
      </c>
      <c r="B865" t="s">
        <v>480</v>
      </c>
      <c r="C865" t="s">
        <v>77</v>
      </c>
      <c r="D865" t="s">
        <v>481</v>
      </c>
      <c r="E865">
        <v>12</v>
      </c>
      <c r="F865">
        <v>220</v>
      </c>
      <c r="G865">
        <v>11989</v>
      </c>
      <c r="H865">
        <v>2</v>
      </c>
      <c r="I865">
        <v>248.46</v>
      </c>
      <c r="J865">
        <v>496.92</v>
      </c>
      <c r="K865" t="s">
        <v>475</v>
      </c>
      <c r="L865" t="s">
        <v>1037</v>
      </c>
      <c r="O865" t="s">
        <v>81</v>
      </c>
      <c r="Q865">
        <v>2</v>
      </c>
      <c r="R865" s="24">
        <v>46032</v>
      </c>
      <c r="T865" t="s">
        <v>38</v>
      </c>
      <c r="V865" t="s">
        <v>921</v>
      </c>
      <c r="Y865" t="s">
        <v>81</v>
      </c>
      <c r="Z865" t="s">
        <v>924</v>
      </c>
      <c r="AA865" t="s">
        <v>39</v>
      </c>
      <c r="AC865" t="s">
        <v>1038</v>
      </c>
    </row>
    <row r="866" spans="1:29" hidden="1" x14ac:dyDescent="0.25">
      <c r="A866">
        <v>355</v>
      </c>
      <c r="B866" t="s">
        <v>484</v>
      </c>
      <c r="C866" t="s">
        <v>77</v>
      </c>
      <c r="D866" t="s">
        <v>474</v>
      </c>
      <c r="E866">
        <v>12</v>
      </c>
      <c r="F866">
        <v>220</v>
      </c>
      <c r="G866">
        <v>12000</v>
      </c>
      <c r="H866">
        <v>2</v>
      </c>
      <c r="I866">
        <v>248.7</v>
      </c>
      <c r="J866">
        <v>497.39</v>
      </c>
      <c r="K866" t="s">
        <v>475</v>
      </c>
      <c r="L866" t="s">
        <v>1037</v>
      </c>
      <c r="O866" t="s">
        <v>81</v>
      </c>
      <c r="Q866">
        <v>2</v>
      </c>
      <c r="R866" s="24">
        <v>46032</v>
      </c>
      <c r="T866" t="s">
        <v>38</v>
      </c>
      <c r="V866" t="s">
        <v>921</v>
      </c>
      <c r="Y866" t="s">
        <v>81</v>
      </c>
      <c r="Z866" t="s">
        <v>924</v>
      </c>
      <c r="AA866" t="s">
        <v>39</v>
      </c>
      <c r="AC866" t="s">
        <v>1038</v>
      </c>
    </row>
    <row r="867" spans="1:29" hidden="1" x14ac:dyDescent="0.25">
      <c r="A867">
        <v>356</v>
      </c>
      <c r="B867" t="s">
        <v>485</v>
      </c>
      <c r="C867" t="s">
        <v>77</v>
      </c>
      <c r="D867" t="s">
        <v>481</v>
      </c>
      <c r="E867">
        <v>12</v>
      </c>
      <c r="F867">
        <v>220</v>
      </c>
      <c r="G867">
        <v>11989</v>
      </c>
      <c r="H867">
        <v>2</v>
      </c>
      <c r="I867">
        <v>248.46</v>
      </c>
      <c r="J867">
        <v>496.92</v>
      </c>
      <c r="K867" t="s">
        <v>475</v>
      </c>
      <c r="L867" t="s">
        <v>1037</v>
      </c>
      <c r="O867" t="s">
        <v>81</v>
      </c>
      <c r="Q867">
        <v>2</v>
      </c>
      <c r="R867" s="24">
        <v>46032</v>
      </c>
      <c r="T867" t="s">
        <v>38</v>
      </c>
      <c r="V867" t="s">
        <v>921</v>
      </c>
      <c r="Y867" t="s">
        <v>81</v>
      </c>
      <c r="Z867" t="s">
        <v>924</v>
      </c>
      <c r="AA867" t="s">
        <v>39</v>
      </c>
      <c r="AC867" t="s">
        <v>1038</v>
      </c>
    </row>
    <row r="868" spans="1:29" hidden="1" x14ac:dyDescent="0.25">
      <c r="A868">
        <v>357</v>
      </c>
      <c r="B868" t="s">
        <v>486</v>
      </c>
      <c r="C868" t="s">
        <v>77</v>
      </c>
      <c r="D868" t="s">
        <v>487</v>
      </c>
      <c r="E868">
        <v>12</v>
      </c>
      <c r="F868">
        <v>220</v>
      </c>
      <c r="G868">
        <v>7562</v>
      </c>
      <c r="H868">
        <v>2</v>
      </c>
      <c r="I868">
        <v>156.72</v>
      </c>
      <c r="J868">
        <v>313.44</v>
      </c>
      <c r="K868" t="s">
        <v>475</v>
      </c>
      <c r="L868" t="s">
        <v>1039</v>
      </c>
      <c r="O868" t="s">
        <v>81</v>
      </c>
      <c r="Q868">
        <v>2</v>
      </c>
      <c r="R868" s="24">
        <v>46032</v>
      </c>
      <c r="T868" t="s">
        <v>38</v>
      </c>
      <c r="V868" t="s">
        <v>921</v>
      </c>
      <c r="Y868" t="s">
        <v>81</v>
      </c>
      <c r="Z868" t="s">
        <v>924</v>
      </c>
      <c r="AA868" t="s">
        <v>39</v>
      </c>
      <c r="AC868" t="s">
        <v>1040</v>
      </c>
    </row>
    <row r="869" spans="1:29" hidden="1" x14ac:dyDescent="0.25">
      <c r="A869">
        <v>358</v>
      </c>
      <c r="B869" t="s">
        <v>490</v>
      </c>
      <c r="C869" t="s">
        <v>77</v>
      </c>
      <c r="D869" t="s">
        <v>491</v>
      </c>
      <c r="E869">
        <v>12</v>
      </c>
      <c r="F869">
        <v>220</v>
      </c>
      <c r="G869">
        <v>7565</v>
      </c>
      <c r="H869">
        <v>2</v>
      </c>
      <c r="I869">
        <v>156.78</v>
      </c>
      <c r="J869">
        <v>313.56</v>
      </c>
      <c r="K869" t="s">
        <v>475</v>
      </c>
      <c r="L869" t="s">
        <v>1039</v>
      </c>
      <c r="O869" t="s">
        <v>81</v>
      </c>
      <c r="Q869">
        <v>2</v>
      </c>
      <c r="R869" s="24">
        <v>46032</v>
      </c>
      <c r="T869" t="s">
        <v>38</v>
      </c>
      <c r="V869" t="s">
        <v>921</v>
      </c>
      <c r="Y869" t="s">
        <v>81</v>
      </c>
      <c r="Z869" t="s">
        <v>924</v>
      </c>
      <c r="AA869" t="s">
        <v>39</v>
      </c>
      <c r="AC869" t="s">
        <v>1040</v>
      </c>
    </row>
    <row r="870" spans="1:29" hidden="1" x14ac:dyDescent="0.25">
      <c r="A870">
        <v>359</v>
      </c>
      <c r="B870" t="s">
        <v>492</v>
      </c>
      <c r="C870" t="s">
        <v>77</v>
      </c>
      <c r="D870" t="s">
        <v>493</v>
      </c>
      <c r="E870">
        <v>12</v>
      </c>
      <c r="F870">
        <v>220</v>
      </c>
      <c r="G870">
        <v>7561</v>
      </c>
      <c r="H870">
        <v>2</v>
      </c>
      <c r="I870">
        <v>156.69999999999999</v>
      </c>
      <c r="J870">
        <v>313.39</v>
      </c>
      <c r="K870" t="s">
        <v>475</v>
      </c>
      <c r="L870" t="s">
        <v>1039</v>
      </c>
      <c r="O870" t="s">
        <v>81</v>
      </c>
      <c r="Q870">
        <v>2</v>
      </c>
      <c r="R870" s="24">
        <v>46032</v>
      </c>
      <c r="T870" t="s">
        <v>38</v>
      </c>
      <c r="V870" t="s">
        <v>921</v>
      </c>
      <c r="Y870" t="s">
        <v>81</v>
      </c>
      <c r="Z870" t="s">
        <v>924</v>
      </c>
      <c r="AA870" t="s">
        <v>39</v>
      </c>
      <c r="AC870" t="s">
        <v>1040</v>
      </c>
    </row>
    <row r="871" spans="1:29" hidden="1" x14ac:dyDescent="0.25">
      <c r="A871">
        <v>360</v>
      </c>
      <c r="B871" t="s">
        <v>494</v>
      </c>
      <c r="C871" t="s">
        <v>77</v>
      </c>
      <c r="D871" t="s">
        <v>495</v>
      </c>
      <c r="E871">
        <v>12</v>
      </c>
      <c r="F871">
        <v>220</v>
      </c>
      <c r="G871">
        <v>11993</v>
      </c>
      <c r="H871">
        <v>2</v>
      </c>
      <c r="I871">
        <v>248.54</v>
      </c>
      <c r="J871">
        <v>497.09</v>
      </c>
      <c r="K871" t="s">
        <v>475</v>
      </c>
      <c r="L871" t="s">
        <v>1041</v>
      </c>
      <c r="O871" t="s">
        <v>81</v>
      </c>
      <c r="Q871">
        <v>2</v>
      </c>
      <c r="R871" s="24">
        <v>46032</v>
      </c>
      <c r="T871" t="s">
        <v>38</v>
      </c>
      <c r="V871" t="s">
        <v>921</v>
      </c>
      <c r="Y871" t="s">
        <v>81</v>
      </c>
      <c r="Z871" t="s">
        <v>924</v>
      </c>
      <c r="AA871" t="s">
        <v>39</v>
      </c>
      <c r="AC871" t="s">
        <v>1042</v>
      </c>
    </row>
    <row r="872" spans="1:29" hidden="1" x14ac:dyDescent="0.25">
      <c r="A872">
        <v>361</v>
      </c>
      <c r="B872" t="s">
        <v>498</v>
      </c>
      <c r="C872" t="s">
        <v>77</v>
      </c>
      <c r="D872" t="s">
        <v>499</v>
      </c>
      <c r="E872">
        <v>12</v>
      </c>
      <c r="F872">
        <v>220</v>
      </c>
      <c r="G872">
        <v>11991</v>
      </c>
      <c r="H872">
        <v>2</v>
      </c>
      <c r="I872">
        <v>248.5</v>
      </c>
      <c r="J872">
        <v>497</v>
      </c>
      <c r="K872" t="s">
        <v>475</v>
      </c>
      <c r="L872" t="s">
        <v>1041</v>
      </c>
      <c r="O872" t="s">
        <v>81</v>
      </c>
      <c r="Q872">
        <v>2</v>
      </c>
      <c r="R872" s="24">
        <v>46032</v>
      </c>
      <c r="T872" t="s">
        <v>38</v>
      </c>
      <c r="V872" t="s">
        <v>921</v>
      </c>
      <c r="Y872" t="s">
        <v>81</v>
      </c>
      <c r="Z872" t="s">
        <v>924</v>
      </c>
      <c r="AA872" t="s">
        <v>39</v>
      </c>
      <c r="AC872" t="s">
        <v>1042</v>
      </c>
    </row>
    <row r="873" spans="1:29" hidden="1" x14ac:dyDescent="0.25">
      <c r="A873">
        <v>362</v>
      </c>
      <c r="B873" t="s">
        <v>500</v>
      </c>
      <c r="C873" t="s">
        <v>77</v>
      </c>
      <c r="D873" t="s">
        <v>495</v>
      </c>
      <c r="E873">
        <v>12</v>
      </c>
      <c r="F873">
        <v>220</v>
      </c>
      <c r="G873">
        <v>11993</v>
      </c>
      <c r="H873">
        <v>2</v>
      </c>
      <c r="I873">
        <v>248.54</v>
      </c>
      <c r="J873">
        <v>497.09</v>
      </c>
      <c r="K873" t="s">
        <v>475</v>
      </c>
      <c r="L873" t="s">
        <v>1041</v>
      </c>
      <c r="O873" t="s">
        <v>81</v>
      </c>
      <c r="Q873">
        <v>2</v>
      </c>
      <c r="R873" s="24">
        <v>46032</v>
      </c>
      <c r="T873" t="s">
        <v>38</v>
      </c>
      <c r="V873" t="s">
        <v>921</v>
      </c>
      <c r="Y873" t="s">
        <v>81</v>
      </c>
      <c r="Z873" t="s">
        <v>924</v>
      </c>
      <c r="AA873" t="s">
        <v>39</v>
      </c>
      <c r="AC873" t="s">
        <v>1042</v>
      </c>
    </row>
    <row r="874" spans="1:29" hidden="1" x14ac:dyDescent="0.25">
      <c r="A874">
        <v>363</v>
      </c>
      <c r="B874" t="s">
        <v>501</v>
      </c>
      <c r="C874" t="s">
        <v>77</v>
      </c>
      <c r="D874" t="s">
        <v>499</v>
      </c>
      <c r="E874">
        <v>12</v>
      </c>
      <c r="F874">
        <v>220</v>
      </c>
      <c r="G874">
        <v>11991</v>
      </c>
      <c r="H874">
        <v>2</v>
      </c>
      <c r="I874">
        <v>248.5</v>
      </c>
      <c r="J874">
        <v>497</v>
      </c>
      <c r="K874" t="s">
        <v>475</v>
      </c>
      <c r="L874" t="s">
        <v>1043</v>
      </c>
      <c r="O874" t="s">
        <v>81</v>
      </c>
      <c r="Q874">
        <v>2</v>
      </c>
      <c r="R874" s="24">
        <v>46032</v>
      </c>
      <c r="T874" t="s">
        <v>38</v>
      </c>
      <c r="V874" t="s">
        <v>921</v>
      </c>
      <c r="Y874" t="s">
        <v>81</v>
      </c>
      <c r="Z874" t="s">
        <v>924</v>
      </c>
      <c r="AA874" t="s">
        <v>39</v>
      </c>
      <c r="AC874" t="s">
        <v>1044</v>
      </c>
    </row>
    <row r="875" spans="1:29" hidden="1" x14ac:dyDescent="0.25">
      <c r="A875">
        <v>364</v>
      </c>
      <c r="B875" t="s">
        <v>504</v>
      </c>
      <c r="C875" t="s">
        <v>77</v>
      </c>
      <c r="D875" t="s">
        <v>499</v>
      </c>
      <c r="E875">
        <v>12</v>
      </c>
      <c r="F875">
        <v>220</v>
      </c>
      <c r="G875">
        <v>11991</v>
      </c>
      <c r="H875">
        <v>2</v>
      </c>
      <c r="I875">
        <v>248.5</v>
      </c>
      <c r="J875">
        <v>497</v>
      </c>
      <c r="K875" t="s">
        <v>475</v>
      </c>
      <c r="L875" t="s">
        <v>1043</v>
      </c>
      <c r="O875" t="s">
        <v>81</v>
      </c>
      <c r="Q875">
        <v>2</v>
      </c>
      <c r="R875" s="24">
        <v>46032</v>
      </c>
      <c r="T875" t="s">
        <v>38</v>
      </c>
      <c r="V875" t="s">
        <v>921</v>
      </c>
      <c r="Y875" t="s">
        <v>81</v>
      </c>
      <c r="Z875" t="s">
        <v>924</v>
      </c>
      <c r="AA875" t="s">
        <v>39</v>
      </c>
      <c r="AC875" t="s">
        <v>1044</v>
      </c>
    </row>
    <row r="876" spans="1:29" hidden="1" x14ac:dyDescent="0.25">
      <c r="A876">
        <v>365</v>
      </c>
      <c r="B876" t="s">
        <v>505</v>
      </c>
      <c r="C876" t="s">
        <v>77</v>
      </c>
      <c r="D876" t="s">
        <v>499</v>
      </c>
      <c r="E876">
        <v>12</v>
      </c>
      <c r="F876">
        <v>220</v>
      </c>
      <c r="G876">
        <v>11991</v>
      </c>
      <c r="H876">
        <v>2</v>
      </c>
      <c r="I876">
        <v>248.5</v>
      </c>
      <c r="J876">
        <v>497</v>
      </c>
      <c r="K876" t="s">
        <v>475</v>
      </c>
      <c r="L876" t="s">
        <v>1043</v>
      </c>
      <c r="O876" t="s">
        <v>81</v>
      </c>
      <c r="Q876">
        <v>2</v>
      </c>
      <c r="R876" s="24">
        <v>46032</v>
      </c>
      <c r="T876" t="s">
        <v>38</v>
      </c>
      <c r="V876" t="s">
        <v>921</v>
      </c>
      <c r="Y876" t="s">
        <v>81</v>
      </c>
      <c r="Z876" t="s">
        <v>924</v>
      </c>
      <c r="AA876" t="s">
        <v>39</v>
      </c>
      <c r="AC876" t="s">
        <v>1044</v>
      </c>
    </row>
    <row r="877" spans="1:29" hidden="1" x14ac:dyDescent="0.25">
      <c r="A877">
        <v>366</v>
      </c>
      <c r="B877" t="s">
        <v>506</v>
      </c>
      <c r="C877" t="s">
        <v>77</v>
      </c>
      <c r="D877" t="s">
        <v>507</v>
      </c>
      <c r="E877">
        <v>12</v>
      </c>
      <c r="F877">
        <v>220</v>
      </c>
      <c r="G877">
        <v>7564</v>
      </c>
      <c r="H877">
        <v>2</v>
      </c>
      <c r="I877">
        <v>156.76</v>
      </c>
      <c r="J877">
        <v>313.51</v>
      </c>
      <c r="K877" t="s">
        <v>475</v>
      </c>
      <c r="L877" t="s">
        <v>1045</v>
      </c>
      <c r="O877" t="s">
        <v>81</v>
      </c>
      <c r="Q877">
        <v>2</v>
      </c>
      <c r="R877" s="24">
        <v>46032</v>
      </c>
      <c r="T877" t="s">
        <v>38</v>
      </c>
      <c r="V877" t="s">
        <v>921</v>
      </c>
      <c r="Y877" t="s">
        <v>81</v>
      </c>
      <c r="Z877" t="s">
        <v>924</v>
      </c>
      <c r="AA877" t="s">
        <v>1046</v>
      </c>
      <c r="AC877" t="s">
        <v>1047</v>
      </c>
    </row>
    <row r="878" spans="1:29" hidden="1" x14ac:dyDescent="0.25">
      <c r="A878">
        <v>367</v>
      </c>
      <c r="B878" t="s">
        <v>510</v>
      </c>
      <c r="C878" t="s">
        <v>77</v>
      </c>
      <c r="D878" t="s">
        <v>511</v>
      </c>
      <c r="E878">
        <v>16</v>
      </c>
      <c r="F878">
        <v>50</v>
      </c>
      <c r="G878">
        <v>120</v>
      </c>
      <c r="H878">
        <v>16</v>
      </c>
      <c r="I878">
        <v>0.7</v>
      </c>
      <c r="J878">
        <v>11.15</v>
      </c>
      <c r="K878" t="s">
        <v>512</v>
      </c>
      <c r="L878" t="s">
        <v>1048</v>
      </c>
      <c r="N878" t="s">
        <v>228</v>
      </c>
      <c r="Q878">
        <v>2</v>
      </c>
      <c r="R878" s="24">
        <v>46032</v>
      </c>
      <c r="T878" t="s">
        <v>38</v>
      </c>
      <c r="V878" t="s">
        <v>921</v>
      </c>
      <c r="X878" t="s">
        <v>81</v>
      </c>
      <c r="Z878" t="s">
        <v>924</v>
      </c>
      <c r="AA878" t="s">
        <v>39</v>
      </c>
      <c r="AC878" t="s">
        <v>1049</v>
      </c>
    </row>
    <row r="879" spans="1:29" hidden="1" x14ac:dyDescent="0.25">
      <c r="A879">
        <v>368</v>
      </c>
      <c r="B879" t="s">
        <v>515</v>
      </c>
      <c r="C879" t="s">
        <v>77</v>
      </c>
      <c r="D879" t="s">
        <v>516</v>
      </c>
      <c r="E879">
        <v>16</v>
      </c>
      <c r="F879">
        <v>220</v>
      </c>
      <c r="G879">
        <v>280</v>
      </c>
      <c r="H879">
        <v>4</v>
      </c>
      <c r="I879">
        <v>7.71</v>
      </c>
      <c r="J879">
        <v>30.85</v>
      </c>
      <c r="K879" t="s">
        <v>512</v>
      </c>
      <c r="L879" t="s">
        <v>1048</v>
      </c>
      <c r="Q879">
        <v>2</v>
      </c>
      <c r="R879" s="24">
        <v>46032</v>
      </c>
      <c r="T879" t="s">
        <v>38</v>
      </c>
      <c r="V879" t="s">
        <v>921</v>
      </c>
      <c r="W879" t="s">
        <v>81</v>
      </c>
      <c r="Z879" t="s">
        <v>924</v>
      </c>
      <c r="AA879" t="s">
        <v>39</v>
      </c>
      <c r="AC879" t="s">
        <v>1049</v>
      </c>
    </row>
    <row r="880" spans="1:29" hidden="1" x14ac:dyDescent="0.25">
      <c r="A880">
        <v>369</v>
      </c>
      <c r="B880" t="s">
        <v>517</v>
      </c>
      <c r="C880" t="s">
        <v>77</v>
      </c>
      <c r="D880" t="s">
        <v>518</v>
      </c>
      <c r="E880">
        <v>16</v>
      </c>
      <c r="F880">
        <v>200</v>
      </c>
      <c r="G880">
        <v>300</v>
      </c>
      <c r="H880">
        <v>2</v>
      </c>
      <c r="I880">
        <v>4.8600000000000003</v>
      </c>
      <c r="J880">
        <v>9.73</v>
      </c>
      <c r="K880" t="s">
        <v>512</v>
      </c>
      <c r="L880" t="s">
        <v>1048</v>
      </c>
      <c r="Q880">
        <v>2</v>
      </c>
      <c r="R880" s="24">
        <v>46032</v>
      </c>
      <c r="T880" t="s">
        <v>38</v>
      </c>
      <c r="V880" t="s">
        <v>921</v>
      </c>
      <c r="W880" t="s">
        <v>81</v>
      </c>
      <c r="Z880" t="s">
        <v>924</v>
      </c>
      <c r="AA880" t="s">
        <v>39</v>
      </c>
      <c r="AC880" t="s">
        <v>1049</v>
      </c>
    </row>
    <row r="881" spans="1:29" hidden="1" x14ac:dyDescent="0.25">
      <c r="A881">
        <v>370</v>
      </c>
      <c r="B881" t="s">
        <v>519</v>
      </c>
      <c r="C881" t="s">
        <v>77</v>
      </c>
      <c r="D881" t="s">
        <v>518</v>
      </c>
      <c r="E881">
        <v>16</v>
      </c>
      <c r="F881">
        <v>200</v>
      </c>
      <c r="G881">
        <v>300</v>
      </c>
      <c r="H881">
        <v>2</v>
      </c>
      <c r="I881">
        <v>4.8600000000000003</v>
      </c>
      <c r="J881">
        <v>9.73</v>
      </c>
      <c r="K881" t="s">
        <v>512</v>
      </c>
      <c r="L881" t="s">
        <v>1048</v>
      </c>
      <c r="Q881">
        <v>2</v>
      </c>
      <c r="R881" s="24">
        <v>46032</v>
      </c>
      <c r="T881" t="s">
        <v>38</v>
      </c>
      <c r="V881" t="s">
        <v>921</v>
      </c>
      <c r="W881" t="s">
        <v>81</v>
      </c>
      <c r="Z881" t="s">
        <v>924</v>
      </c>
      <c r="AA881" t="s">
        <v>39</v>
      </c>
      <c r="AC881" t="s">
        <v>1049</v>
      </c>
    </row>
    <row r="882" spans="1:29" hidden="1" x14ac:dyDescent="0.25">
      <c r="A882">
        <v>371</v>
      </c>
      <c r="B882" t="s">
        <v>520</v>
      </c>
      <c r="C882" t="s">
        <v>77</v>
      </c>
      <c r="D882" t="s">
        <v>521</v>
      </c>
      <c r="E882">
        <v>16</v>
      </c>
      <c r="F882">
        <v>275</v>
      </c>
      <c r="G882">
        <v>12000</v>
      </c>
      <c r="H882">
        <v>1</v>
      </c>
      <c r="I882">
        <v>414.49</v>
      </c>
      <c r="J882">
        <v>414.49</v>
      </c>
      <c r="K882" t="s">
        <v>512</v>
      </c>
      <c r="L882" t="s">
        <v>1048</v>
      </c>
      <c r="O882" t="s">
        <v>81</v>
      </c>
      <c r="Q882">
        <v>2</v>
      </c>
      <c r="R882" s="24">
        <v>46032</v>
      </c>
      <c r="T882" t="s">
        <v>38</v>
      </c>
      <c r="V882" t="s">
        <v>921</v>
      </c>
      <c r="Y882" t="s">
        <v>81</v>
      </c>
      <c r="Z882" t="s">
        <v>924</v>
      </c>
      <c r="AA882" t="s">
        <v>39</v>
      </c>
      <c r="AC882" t="s">
        <v>1049</v>
      </c>
    </row>
    <row r="883" spans="1:29" hidden="1" x14ac:dyDescent="0.25">
      <c r="A883">
        <v>372</v>
      </c>
      <c r="B883" t="s">
        <v>522</v>
      </c>
      <c r="C883" t="s">
        <v>77</v>
      </c>
      <c r="D883" t="s">
        <v>521</v>
      </c>
      <c r="E883">
        <v>16</v>
      </c>
      <c r="F883">
        <v>275</v>
      </c>
      <c r="G883">
        <v>12000</v>
      </c>
      <c r="H883">
        <v>1</v>
      </c>
      <c r="I883">
        <v>414.48</v>
      </c>
      <c r="J883">
        <v>414.48</v>
      </c>
      <c r="K883" t="s">
        <v>512</v>
      </c>
      <c r="L883" t="s">
        <v>1048</v>
      </c>
      <c r="O883" t="s">
        <v>81</v>
      </c>
      <c r="Q883">
        <v>2</v>
      </c>
      <c r="R883" s="24">
        <v>46032</v>
      </c>
      <c r="T883" t="s">
        <v>38</v>
      </c>
      <c r="V883" t="s">
        <v>921</v>
      </c>
      <c r="Y883" t="s">
        <v>81</v>
      </c>
      <c r="Z883" t="s">
        <v>924</v>
      </c>
      <c r="AA883" t="s">
        <v>39</v>
      </c>
      <c r="AC883" t="s">
        <v>1049</v>
      </c>
    </row>
    <row r="884" spans="1:29" hidden="1" x14ac:dyDescent="0.25">
      <c r="A884">
        <v>373</v>
      </c>
      <c r="B884" t="s">
        <v>523</v>
      </c>
      <c r="C884" t="s">
        <v>77</v>
      </c>
      <c r="D884" t="s">
        <v>524</v>
      </c>
      <c r="E884">
        <v>16</v>
      </c>
      <c r="F884">
        <v>275</v>
      </c>
      <c r="G884">
        <v>11976</v>
      </c>
      <c r="H884">
        <v>1</v>
      </c>
      <c r="I884">
        <v>413.65</v>
      </c>
      <c r="J884">
        <v>413.65</v>
      </c>
      <c r="K884" t="s">
        <v>512</v>
      </c>
      <c r="L884" t="s">
        <v>1048</v>
      </c>
      <c r="O884" t="s">
        <v>81</v>
      </c>
      <c r="Q884">
        <v>2</v>
      </c>
      <c r="R884" s="24">
        <v>46032</v>
      </c>
      <c r="T884" t="s">
        <v>38</v>
      </c>
      <c r="V884" t="s">
        <v>921</v>
      </c>
      <c r="Y884" t="s">
        <v>81</v>
      </c>
      <c r="Z884" t="s">
        <v>924</v>
      </c>
      <c r="AA884" t="s">
        <v>39</v>
      </c>
      <c r="AC884" t="s">
        <v>1049</v>
      </c>
    </row>
    <row r="885" spans="1:29" hidden="1" x14ac:dyDescent="0.25">
      <c r="A885">
        <v>374</v>
      </c>
      <c r="B885" t="s">
        <v>525</v>
      </c>
      <c r="C885" t="s">
        <v>77</v>
      </c>
      <c r="D885" t="s">
        <v>518</v>
      </c>
      <c r="E885">
        <v>16</v>
      </c>
      <c r="F885">
        <v>200</v>
      </c>
      <c r="G885">
        <v>300</v>
      </c>
      <c r="H885">
        <v>2</v>
      </c>
      <c r="I885">
        <v>4.8600000000000003</v>
      </c>
      <c r="J885">
        <v>9.73</v>
      </c>
      <c r="K885" t="s">
        <v>512</v>
      </c>
      <c r="L885" t="s">
        <v>1048</v>
      </c>
      <c r="Q885">
        <v>2</v>
      </c>
      <c r="R885" s="24">
        <v>46032</v>
      </c>
      <c r="T885" t="s">
        <v>38</v>
      </c>
      <c r="V885" t="s">
        <v>921</v>
      </c>
      <c r="W885" t="s">
        <v>81</v>
      </c>
      <c r="Z885" t="s">
        <v>924</v>
      </c>
      <c r="AA885" t="s">
        <v>39</v>
      </c>
      <c r="AC885" t="s">
        <v>1049</v>
      </c>
    </row>
    <row r="886" spans="1:29" hidden="1" x14ac:dyDescent="0.25">
      <c r="A886">
        <v>375</v>
      </c>
      <c r="B886" t="s">
        <v>526</v>
      </c>
      <c r="C886" t="s">
        <v>77</v>
      </c>
      <c r="D886" t="s">
        <v>518</v>
      </c>
      <c r="E886">
        <v>16</v>
      </c>
      <c r="F886">
        <v>200</v>
      </c>
      <c r="G886">
        <v>300</v>
      </c>
      <c r="H886">
        <v>2</v>
      </c>
      <c r="I886">
        <v>4.8600000000000003</v>
      </c>
      <c r="J886">
        <v>9.73</v>
      </c>
      <c r="K886" t="s">
        <v>512</v>
      </c>
      <c r="L886" t="s">
        <v>1048</v>
      </c>
      <c r="Q886">
        <v>2</v>
      </c>
      <c r="R886" s="24">
        <v>46032</v>
      </c>
      <c r="T886" t="s">
        <v>38</v>
      </c>
      <c r="V886" t="s">
        <v>921</v>
      </c>
      <c r="W886" t="s">
        <v>81</v>
      </c>
      <c r="Z886" t="s">
        <v>924</v>
      </c>
      <c r="AA886" t="s">
        <v>39</v>
      </c>
      <c r="AC886" t="s">
        <v>1049</v>
      </c>
    </row>
    <row r="887" spans="1:29" hidden="1" x14ac:dyDescent="0.25">
      <c r="A887">
        <v>376</v>
      </c>
      <c r="B887" t="s">
        <v>527</v>
      </c>
      <c r="C887" t="s">
        <v>77</v>
      </c>
      <c r="D887" t="s">
        <v>521</v>
      </c>
      <c r="E887">
        <v>16</v>
      </c>
      <c r="F887">
        <v>275</v>
      </c>
      <c r="G887">
        <v>12000</v>
      </c>
      <c r="H887">
        <v>1</v>
      </c>
      <c r="I887">
        <v>414.48</v>
      </c>
      <c r="J887">
        <v>414.48</v>
      </c>
      <c r="K887" t="s">
        <v>512</v>
      </c>
      <c r="L887" t="s">
        <v>1048</v>
      </c>
      <c r="O887" t="s">
        <v>81</v>
      </c>
      <c r="Q887">
        <v>2</v>
      </c>
      <c r="R887" s="24">
        <v>46032</v>
      </c>
      <c r="T887" t="s">
        <v>38</v>
      </c>
      <c r="V887" t="s">
        <v>921</v>
      </c>
      <c r="Y887" t="s">
        <v>81</v>
      </c>
      <c r="Z887" t="s">
        <v>924</v>
      </c>
      <c r="AA887" t="s">
        <v>39</v>
      </c>
      <c r="AC887" t="s">
        <v>1049</v>
      </c>
    </row>
    <row r="888" spans="1:29" hidden="1" x14ac:dyDescent="0.25">
      <c r="A888">
        <v>377</v>
      </c>
      <c r="B888" t="s">
        <v>528</v>
      </c>
      <c r="C888" t="s">
        <v>77</v>
      </c>
      <c r="D888" t="s">
        <v>529</v>
      </c>
      <c r="E888">
        <v>16</v>
      </c>
      <c r="F888">
        <v>275</v>
      </c>
      <c r="G888">
        <v>7587</v>
      </c>
      <c r="H888">
        <v>1</v>
      </c>
      <c r="I888">
        <v>262.06</v>
      </c>
      <c r="J888">
        <v>262.06</v>
      </c>
      <c r="K888" t="s">
        <v>512</v>
      </c>
      <c r="L888" t="s">
        <v>1048</v>
      </c>
      <c r="O888" t="s">
        <v>81</v>
      </c>
      <c r="Q888">
        <v>2</v>
      </c>
      <c r="R888" s="24">
        <v>46032</v>
      </c>
      <c r="T888" t="s">
        <v>38</v>
      </c>
      <c r="V888" t="s">
        <v>921</v>
      </c>
      <c r="Y888" t="s">
        <v>81</v>
      </c>
      <c r="Z888" t="s">
        <v>924</v>
      </c>
      <c r="AA888" t="s">
        <v>39</v>
      </c>
      <c r="AC888" t="s">
        <v>1049</v>
      </c>
    </row>
    <row r="889" spans="1:29" hidden="1" x14ac:dyDescent="0.25">
      <c r="A889">
        <v>378</v>
      </c>
      <c r="B889" t="s">
        <v>530</v>
      </c>
      <c r="C889" t="s">
        <v>77</v>
      </c>
      <c r="D889" t="s">
        <v>521</v>
      </c>
      <c r="E889">
        <v>16</v>
      </c>
      <c r="F889">
        <v>275</v>
      </c>
      <c r="G889">
        <v>12000</v>
      </c>
      <c r="H889">
        <v>1</v>
      </c>
      <c r="I889">
        <v>414.48</v>
      </c>
      <c r="J889">
        <v>414.48</v>
      </c>
      <c r="K889" t="s">
        <v>512</v>
      </c>
      <c r="L889" t="s">
        <v>1048</v>
      </c>
      <c r="O889" t="s">
        <v>81</v>
      </c>
      <c r="Q889">
        <v>2</v>
      </c>
      <c r="R889" s="24">
        <v>46032</v>
      </c>
      <c r="T889" t="s">
        <v>38</v>
      </c>
      <c r="V889" t="s">
        <v>921</v>
      </c>
      <c r="Y889" t="s">
        <v>81</v>
      </c>
      <c r="Z889" t="s">
        <v>924</v>
      </c>
      <c r="AA889" t="s">
        <v>39</v>
      </c>
      <c r="AC889" t="s">
        <v>1049</v>
      </c>
    </row>
    <row r="890" spans="1:29" hidden="1" x14ac:dyDescent="0.25">
      <c r="A890">
        <v>379</v>
      </c>
      <c r="B890" t="s">
        <v>531</v>
      </c>
      <c r="C890" t="s">
        <v>77</v>
      </c>
      <c r="D890" t="s">
        <v>532</v>
      </c>
      <c r="E890">
        <v>16</v>
      </c>
      <c r="F890">
        <v>275</v>
      </c>
      <c r="G890">
        <v>7583</v>
      </c>
      <c r="H890">
        <v>1</v>
      </c>
      <c r="I890">
        <v>261.92</v>
      </c>
      <c r="J890">
        <v>261.92</v>
      </c>
      <c r="K890" t="s">
        <v>512</v>
      </c>
      <c r="L890" t="s">
        <v>1048</v>
      </c>
      <c r="O890" t="s">
        <v>81</v>
      </c>
      <c r="Q890">
        <v>2</v>
      </c>
      <c r="R890" s="24">
        <v>46032</v>
      </c>
      <c r="T890" t="s">
        <v>38</v>
      </c>
      <c r="V890" t="s">
        <v>921</v>
      </c>
      <c r="Y890" t="s">
        <v>81</v>
      </c>
      <c r="Z890" t="s">
        <v>924</v>
      </c>
      <c r="AA890" t="s">
        <v>39</v>
      </c>
      <c r="AC890" t="s">
        <v>1049</v>
      </c>
    </row>
    <row r="891" spans="1:29" hidden="1" x14ac:dyDescent="0.25">
      <c r="A891">
        <v>380</v>
      </c>
      <c r="B891" t="s">
        <v>535</v>
      </c>
      <c r="C891" t="s">
        <v>77</v>
      </c>
      <c r="D891" t="s">
        <v>516</v>
      </c>
      <c r="E891">
        <v>16</v>
      </c>
      <c r="F891">
        <v>220</v>
      </c>
      <c r="G891">
        <v>280</v>
      </c>
      <c r="H891">
        <v>4</v>
      </c>
      <c r="I891">
        <v>7.71</v>
      </c>
      <c r="J891">
        <v>30.85</v>
      </c>
      <c r="K891" t="s">
        <v>512</v>
      </c>
      <c r="L891" t="s">
        <v>1048</v>
      </c>
      <c r="Q891">
        <v>2</v>
      </c>
      <c r="R891" s="24">
        <v>46032</v>
      </c>
      <c r="T891" t="s">
        <v>38</v>
      </c>
      <c r="V891" t="s">
        <v>921</v>
      </c>
      <c r="W891" t="s">
        <v>81</v>
      </c>
      <c r="Z891" t="s">
        <v>924</v>
      </c>
      <c r="AA891" t="s">
        <v>39</v>
      </c>
      <c r="AC891" t="s">
        <v>1049</v>
      </c>
    </row>
    <row r="892" spans="1:29" hidden="1" x14ac:dyDescent="0.25">
      <c r="A892">
        <v>381</v>
      </c>
      <c r="B892" t="s">
        <v>536</v>
      </c>
      <c r="C892" t="s">
        <v>77</v>
      </c>
      <c r="D892" t="s">
        <v>537</v>
      </c>
      <c r="E892">
        <v>16</v>
      </c>
      <c r="F892">
        <v>170</v>
      </c>
      <c r="G892">
        <v>170</v>
      </c>
      <c r="H892">
        <v>6</v>
      </c>
      <c r="I892">
        <v>3.6</v>
      </c>
      <c r="J892">
        <v>21.63</v>
      </c>
      <c r="K892" t="s">
        <v>512</v>
      </c>
      <c r="L892" t="s">
        <v>1048</v>
      </c>
      <c r="Q892">
        <v>2</v>
      </c>
      <c r="R892" s="24">
        <v>46032</v>
      </c>
      <c r="T892" t="s">
        <v>38</v>
      </c>
      <c r="V892" t="s">
        <v>921</v>
      </c>
      <c r="W892" t="s">
        <v>81</v>
      </c>
      <c r="Z892" t="s">
        <v>924</v>
      </c>
      <c r="AA892" t="s">
        <v>39</v>
      </c>
      <c r="AC892" t="s">
        <v>1049</v>
      </c>
    </row>
    <row r="893" spans="1:29" hidden="1" x14ac:dyDescent="0.25">
      <c r="A893">
        <v>382</v>
      </c>
      <c r="B893" t="s">
        <v>538</v>
      </c>
      <c r="C893" t="s">
        <v>77</v>
      </c>
      <c r="D893" t="s">
        <v>537</v>
      </c>
      <c r="E893">
        <v>16</v>
      </c>
      <c r="F893">
        <v>170</v>
      </c>
      <c r="G893">
        <v>170</v>
      </c>
      <c r="H893">
        <v>4</v>
      </c>
      <c r="I893">
        <v>3.6</v>
      </c>
      <c r="J893">
        <v>14.42</v>
      </c>
      <c r="K893" t="s">
        <v>512</v>
      </c>
      <c r="L893" t="s">
        <v>1048</v>
      </c>
      <c r="Q893">
        <v>2</v>
      </c>
      <c r="R893" s="24">
        <v>46032</v>
      </c>
      <c r="T893" t="s">
        <v>38</v>
      </c>
      <c r="V893" t="s">
        <v>921</v>
      </c>
      <c r="W893" t="s">
        <v>81</v>
      </c>
      <c r="Z893" t="s">
        <v>924</v>
      </c>
      <c r="AA893" t="s">
        <v>39</v>
      </c>
      <c r="AC893" t="s">
        <v>1049</v>
      </c>
    </row>
    <row r="894" spans="1:29" hidden="1" x14ac:dyDescent="0.25">
      <c r="A894">
        <v>383</v>
      </c>
      <c r="B894" t="s">
        <v>539</v>
      </c>
      <c r="C894" t="s">
        <v>77</v>
      </c>
      <c r="D894" t="s">
        <v>537</v>
      </c>
      <c r="E894">
        <v>16</v>
      </c>
      <c r="F894">
        <v>170</v>
      </c>
      <c r="G894">
        <v>170</v>
      </c>
      <c r="H894">
        <v>4</v>
      </c>
      <c r="I894">
        <v>3.6</v>
      </c>
      <c r="J894">
        <v>14.42</v>
      </c>
      <c r="K894" t="s">
        <v>512</v>
      </c>
      <c r="L894" t="s">
        <v>1048</v>
      </c>
      <c r="Q894">
        <v>2</v>
      </c>
      <c r="R894" s="24">
        <v>46032</v>
      </c>
      <c r="T894" t="s">
        <v>38</v>
      </c>
      <c r="V894" t="s">
        <v>921</v>
      </c>
      <c r="W894" t="s">
        <v>81</v>
      </c>
      <c r="Z894" t="s">
        <v>924</v>
      </c>
      <c r="AA894" t="s">
        <v>39</v>
      </c>
      <c r="AC894" t="s">
        <v>1049</v>
      </c>
    </row>
    <row r="895" spans="1:29" hidden="1" x14ac:dyDescent="0.25">
      <c r="A895">
        <v>384</v>
      </c>
      <c r="B895" t="s">
        <v>540</v>
      </c>
      <c r="C895" t="s">
        <v>77</v>
      </c>
      <c r="D895" t="s">
        <v>537</v>
      </c>
      <c r="E895">
        <v>16</v>
      </c>
      <c r="F895">
        <v>170</v>
      </c>
      <c r="G895">
        <v>170</v>
      </c>
      <c r="H895">
        <v>4</v>
      </c>
      <c r="I895">
        <v>3.6</v>
      </c>
      <c r="J895">
        <v>14.42</v>
      </c>
      <c r="K895" t="s">
        <v>512</v>
      </c>
      <c r="L895" t="s">
        <v>1048</v>
      </c>
      <c r="Q895">
        <v>2</v>
      </c>
      <c r="R895" s="24">
        <v>46032</v>
      </c>
      <c r="T895" t="s">
        <v>38</v>
      </c>
      <c r="V895" t="s">
        <v>921</v>
      </c>
      <c r="W895" t="s">
        <v>81</v>
      </c>
      <c r="Z895" t="s">
        <v>924</v>
      </c>
      <c r="AA895" t="s">
        <v>39</v>
      </c>
      <c r="AC895" t="s">
        <v>1049</v>
      </c>
    </row>
    <row r="896" spans="1:29" hidden="1" x14ac:dyDescent="0.25">
      <c r="A896">
        <v>385</v>
      </c>
      <c r="B896" t="s">
        <v>541</v>
      </c>
      <c r="C896" t="s">
        <v>77</v>
      </c>
      <c r="D896" t="s">
        <v>537</v>
      </c>
      <c r="E896">
        <v>16</v>
      </c>
      <c r="F896">
        <v>170</v>
      </c>
      <c r="G896">
        <v>170</v>
      </c>
      <c r="H896">
        <v>4</v>
      </c>
      <c r="I896">
        <v>3.6</v>
      </c>
      <c r="J896">
        <v>14.42</v>
      </c>
      <c r="K896" t="s">
        <v>512</v>
      </c>
      <c r="L896" t="s">
        <v>1048</v>
      </c>
      <c r="Q896">
        <v>2</v>
      </c>
      <c r="R896" s="24">
        <v>46032</v>
      </c>
      <c r="T896" t="s">
        <v>38</v>
      </c>
      <c r="V896" t="s">
        <v>921</v>
      </c>
      <c r="W896" t="s">
        <v>81</v>
      </c>
      <c r="Z896" t="s">
        <v>924</v>
      </c>
      <c r="AA896" t="s">
        <v>39</v>
      </c>
      <c r="AC896" t="s">
        <v>1049</v>
      </c>
    </row>
    <row r="897" spans="1:29" hidden="1" x14ac:dyDescent="0.25">
      <c r="A897">
        <v>386</v>
      </c>
      <c r="B897" t="s">
        <v>542</v>
      </c>
      <c r="C897" t="s">
        <v>77</v>
      </c>
      <c r="D897" t="s">
        <v>537</v>
      </c>
      <c r="E897">
        <v>16</v>
      </c>
      <c r="F897">
        <v>170</v>
      </c>
      <c r="G897">
        <v>170</v>
      </c>
      <c r="H897">
        <v>4</v>
      </c>
      <c r="I897">
        <v>3.6</v>
      </c>
      <c r="J897">
        <v>14.42</v>
      </c>
      <c r="K897" t="s">
        <v>512</v>
      </c>
      <c r="L897" t="s">
        <v>1048</v>
      </c>
      <c r="Q897">
        <v>2</v>
      </c>
      <c r="R897" s="24">
        <v>46032</v>
      </c>
      <c r="T897" t="s">
        <v>38</v>
      </c>
      <c r="V897" t="s">
        <v>921</v>
      </c>
      <c r="W897" t="s">
        <v>81</v>
      </c>
      <c r="Z897" t="s">
        <v>924</v>
      </c>
      <c r="AA897" t="s">
        <v>39</v>
      </c>
      <c r="AC897" t="s">
        <v>1049</v>
      </c>
    </row>
    <row r="898" spans="1:29" hidden="1" x14ac:dyDescent="0.25">
      <c r="A898">
        <v>387</v>
      </c>
      <c r="B898" t="s">
        <v>543</v>
      </c>
      <c r="C898" t="s">
        <v>77</v>
      </c>
      <c r="D898" t="s">
        <v>537</v>
      </c>
      <c r="E898">
        <v>16</v>
      </c>
      <c r="F898">
        <v>170</v>
      </c>
      <c r="G898">
        <v>170</v>
      </c>
      <c r="H898">
        <v>4</v>
      </c>
      <c r="I898">
        <v>3.6</v>
      </c>
      <c r="J898">
        <v>14.42</v>
      </c>
      <c r="K898" t="s">
        <v>512</v>
      </c>
      <c r="L898" t="s">
        <v>1048</v>
      </c>
      <c r="Q898">
        <v>2</v>
      </c>
      <c r="R898" s="24">
        <v>46032</v>
      </c>
      <c r="T898" t="s">
        <v>38</v>
      </c>
      <c r="V898" t="s">
        <v>921</v>
      </c>
      <c r="W898" t="s">
        <v>81</v>
      </c>
      <c r="Z898" t="s">
        <v>924</v>
      </c>
      <c r="AA898" t="s">
        <v>39</v>
      </c>
      <c r="AC898" t="s">
        <v>1049</v>
      </c>
    </row>
    <row r="899" spans="1:29" hidden="1" x14ac:dyDescent="0.25">
      <c r="A899">
        <v>388</v>
      </c>
      <c r="B899" t="s">
        <v>544</v>
      </c>
      <c r="C899" t="s">
        <v>77</v>
      </c>
      <c r="D899" t="s">
        <v>537</v>
      </c>
      <c r="E899">
        <v>16</v>
      </c>
      <c r="F899">
        <v>170</v>
      </c>
      <c r="G899">
        <v>170</v>
      </c>
      <c r="H899">
        <v>4</v>
      </c>
      <c r="I899">
        <v>3.6</v>
      </c>
      <c r="J899">
        <v>14.42</v>
      </c>
      <c r="K899" t="s">
        <v>512</v>
      </c>
      <c r="L899" t="s">
        <v>1048</v>
      </c>
      <c r="Q899">
        <v>2</v>
      </c>
      <c r="R899" s="24">
        <v>46032</v>
      </c>
      <c r="T899" t="s">
        <v>38</v>
      </c>
      <c r="V899" t="s">
        <v>921</v>
      </c>
      <c r="W899" t="s">
        <v>81</v>
      </c>
      <c r="Z899" t="s">
        <v>924</v>
      </c>
      <c r="AA899" t="s">
        <v>39</v>
      </c>
      <c r="AC899" t="s">
        <v>1049</v>
      </c>
    </row>
    <row r="900" spans="1:29" hidden="1" x14ac:dyDescent="0.25">
      <c r="A900">
        <v>389</v>
      </c>
      <c r="B900" t="s">
        <v>545</v>
      </c>
      <c r="C900" t="s">
        <v>77</v>
      </c>
      <c r="D900" t="s">
        <v>537</v>
      </c>
      <c r="E900">
        <v>16</v>
      </c>
      <c r="F900">
        <v>170</v>
      </c>
      <c r="G900">
        <v>170</v>
      </c>
      <c r="H900">
        <v>4</v>
      </c>
      <c r="I900">
        <v>3.6</v>
      </c>
      <c r="J900">
        <v>14.42</v>
      </c>
      <c r="K900" t="s">
        <v>512</v>
      </c>
      <c r="L900" t="s">
        <v>1048</v>
      </c>
      <c r="Q900">
        <v>2</v>
      </c>
      <c r="R900" s="24">
        <v>46032</v>
      </c>
      <c r="T900" t="s">
        <v>38</v>
      </c>
      <c r="V900" t="s">
        <v>921</v>
      </c>
      <c r="W900" t="s">
        <v>81</v>
      </c>
      <c r="Z900" t="s">
        <v>924</v>
      </c>
      <c r="AA900" t="s">
        <v>39</v>
      </c>
      <c r="AC900" t="s">
        <v>1049</v>
      </c>
    </row>
    <row r="901" spans="1:29" hidden="1" x14ac:dyDescent="0.25">
      <c r="A901">
        <v>390</v>
      </c>
      <c r="B901" t="s">
        <v>546</v>
      </c>
      <c r="C901" t="s">
        <v>77</v>
      </c>
      <c r="D901" t="s">
        <v>537</v>
      </c>
      <c r="E901">
        <v>16</v>
      </c>
      <c r="F901">
        <v>170</v>
      </c>
      <c r="G901">
        <v>170</v>
      </c>
      <c r="H901">
        <v>6</v>
      </c>
      <c r="I901">
        <v>3.6</v>
      </c>
      <c r="J901">
        <v>21.63</v>
      </c>
      <c r="K901" t="s">
        <v>512</v>
      </c>
      <c r="L901" t="s">
        <v>1048</v>
      </c>
      <c r="Q901">
        <v>2</v>
      </c>
      <c r="R901" s="24">
        <v>46032</v>
      </c>
      <c r="T901" t="s">
        <v>38</v>
      </c>
      <c r="V901" t="s">
        <v>921</v>
      </c>
      <c r="W901" t="s">
        <v>81</v>
      </c>
      <c r="Z901" t="s">
        <v>924</v>
      </c>
      <c r="AA901" t="s">
        <v>39</v>
      </c>
      <c r="AC901" t="s">
        <v>1049</v>
      </c>
    </row>
    <row r="902" spans="1:29" hidden="1" x14ac:dyDescent="0.25">
      <c r="A902">
        <v>391</v>
      </c>
      <c r="B902" t="s">
        <v>533</v>
      </c>
      <c r="C902" t="s">
        <v>77</v>
      </c>
      <c r="D902" t="s">
        <v>534</v>
      </c>
      <c r="E902">
        <v>16</v>
      </c>
      <c r="F902">
        <v>240</v>
      </c>
      <c r="G902">
        <v>240</v>
      </c>
      <c r="H902">
        <v>2</v>
      </c>
      <c r="I902">
        <v>4.01</v>
      </c>
      <c r="J902">
        <v>8.0299999999999994</v>
      </c>
      <c r="K902" t="s">
        <v>512</v>
      </c>
      <c r="L902" t="s">
        <v>1048</v>
      </c>
      <c r="N902" t="s">
        <v>228</v>
      </c>
      <c r="Q902">
        <v>2</v>
      </c>
      <c r="R902" s="24">
        <v>46032</v>
      </c>
      <c r="T902" t="s">
        <v>38</v>
      </c>
      <c r="V902" t="s">
        <v>921</v>
      </c>
      <c r="X902" t="s">
        <v>81</v>
      </c>
      <c r="Z902" t="s">
        <v>924</v>
      </c>
      <c r="AA902" t="s">
        <v>39</v>
      </c>
      <c r="AC902" t="s">
        <v>1049</v>
      </c>
    </row>
    <row r="903" spans="1:29" hidden="1" x14ac:dyDescent="0.25">
      <c r="A903">
        <v>392</v>
      </c>
      <c r="B903" t="s">
        <v>547</v>
      </c>
      <c r="C903" t="s">
        <v>77</v>
      </c>
      <c r="D903" t="s">
        <v>524</v>
      </c>
      <c r="E903">
        <v>16</v>
      </c>
      <c r="F903">
        <v>275</v>
      </c>
      <c r="G903">
        <v>11976</v>
      </c>
      <c r="H903">
        <v>1</v>
      </c>
      <c r="I903">
        <v>413.65</v>
      </c>
      <c r="J903">
        <v>413.65</v>
      </c>
      <c r="K903" t="s">
        <v>512</v>
      </c>
      <c r="L903" t="s">
        <v>1050</v>
      </c>
      <c r="O903" t="s">
        <v>81</v>
      </c>
      <c r="Q903">
        <v>2</v>
      </c>
      <c r="R903" s="24">
        <v>46032</v>
      </c>
      <c r="T903" t="s">
        <v>38</v>
      </c>
      <c r="V903" t="s">
        <v>921</v>
      </c>
      <c r="Y903" t="s">
        <v>81</v>
      </c>
      <c r="Z903" t="s">
        <v>924</v>
      </c>
      <c r="AA903" t="s">
        <v>39</v>
      </c>
      <c r="AC903" t="s">
        <v>1051</v>
      </c>
    </row>
    <row r="904" spans="1:29" hidden="1" x14ac:dyDescent="0.25">
      <c r="A904">
        <v>393</v>
      </c>
      <c r="B904" t="s">
        <v>550</v>
      </c>
      <c r="C904" t="s">
        <v>77</v>
      </c>
      <c r="D904" t="s">
        <v>551</v>
      </c>
      <c r="E904">
        <v>16</v>
      </c>
      <c r="F904">
        <v>275</v>
      </c>
      <c r="G904">
        <v>11978</v>
      </c>
      <c r="H904">
        <v>1</v>
      </c>
      <c r="I904">
        <v>413.72</v>
      </c>
      <c r="J904">
        <v>413.72</v>
      </c>
      <c r="K904" t="s">
        <v>512</v>
      </c>
      <c r="L904" t="s">
        <v>1050</v>
      </c>
      <c r="O904" t="s">
        <v>81</v>
      </c>
      <c r="Q904">
        <v>2</v>
      </c>
      <c r="R904" s="24">
        <v>46032</v>
      </c>
      <c r="T904" t="s">
        <v>38</v>
      </c>
      <c r="V904" t="s">
        <v>921</v>
      </c>
      <c r="Y904" t="s">
        <v>81</v>
      </c>
      <c r="Z904" t="s">
        <v>924</v>
      </c>
      <c r="AA904" t="s">
        <v>39</v>
      </c>
      <c r="AC904" t="s">
        <v>1051</v>
      </c>
    </row>
    <row r="905" spans="1:29" hidden="1" x14ac:dyDescent="0.25">
      <c r="A905">
        <v>394</v>
      </c>
      <c r="B905" t="s">
        <v>552</v>
      </c>
      <c r="C905" t="s">
        <v>77</v>
      </c>
      <c r="D905" t="s">
        <v>553</v>
      </c>
      <c r="E905">
        <v>16</v>
      </c>
      <c r="F905">
        <v>275</v>
      </c>
      <c r="G905">
        <v>12007</v>
      </c>
      <c r="H905">
        <v>1</v>
      </c>
      <c r="I905">
        <v>414.72</v>
      </c>
      <c r="J905">
        <v>414.72</v>
      </c>
      <c r="K905" t="s">
        <v>512</v>
      </c>
      <c r="L905" t="s">
        <v>1050</v>
      </c>
      <c r="O905" t="s">
        <v>81</v>
      </c>
      <c r="Q905">
        <v>2</v>
      </c>
      <c r="R905" s="24">
        <v>46032</v>
      </c>
      <c r="T905" t="s">
        <v>38</v>
      </c>
      <c r="V905" t="s">
        <v>921</v>
      </c>
      <c r="Y905" t="s">
        <v>81</v>
      </c>
      <c r="Z905" t="s">
        <v>924</v>
      </c>
      <c r="AA905" t="s">
        <v>39</v>
      </c>
      <c r="AC905" t="s">
        <v>1051</v>
      </c>
    </row>
    <row r="906" spans="1:29" hidden="1" x14ac:dyDescent="0.25">
      <c r="A906">
        <v>395</v>
      </c>
      <c r="B906" t="s">
        <v>554</v>
      </c>
      <c r="C906" t="s">
        <v>77</v>
      </c>
      <c r="D906" t="s">
        <v>555</v>
      </c>
      <c r="E906">
        <v>16</v>
      </c>
      <c r="F906">
        <v>275</v>
      </c>
      <c r="G906">
        <v>12005</v>
      </c>
      <c r="H906">
        <v>1</v>
      </c>
      <c r="I906">
        <v>414.65</v>
      </c>
      <c r="J906">
        <v>414.65</v>
      </c>
      <c r="K906" t="s">
        <v>512</v>
      </c>
      <c r="L906" t="s">
        <v>1050</v>
      </c>
      <c r="O906" t="s">
        <v>81</v>
      </c>
      <c r="Q906">
        <v>2</v>
      </c>
      <c r="R906" s="24">
        <v>46032</v>
      </c>
      <c r="T906" t="s">
        <v>38</v>
      </c>
      <c r="V906" t="s">
        <v>921</v>
      </c>
      <c r="Y906" t="s">
        <v>81</v>
      </c>
      <c r="Z906" t="s">
        <v>924</v>
      </c>
      <c r="AA906" t="s">
        <v>39</v>
      </c>
      <c r="AC906" t="s">
        <v>1051</v>
      </c>
    </row>
    <row r="907" spans="1:29" hidden="1" x14ac:dyDescent="0.25">
      <c r="A907">
        <v>396</v>
      </c>
      <c r="B907" t="s">
        <v>556</v>
      </c>
      <c r="C907" t="s">
        <v>77</v>
      </c>
      <c r="D907" t="s">
        <v>551</v>
      </c>
      <c r="E907">
        <v>16</v>
      </c>
      <c r="F907">
        <v>275</v>
      </c>
      <c r="G907">
        <v>11978</v>
      </c>
      <c r="H907">
        <v>1</v>
      </c>
      <c r="I907">
        <v>413.72</v>
      </c>
      <c r="J907">
        <v>413.72</v>
      </c>
      <c r="K907" t="s">
        <v>512</v>
      </c>
      <c r="L907" t="s">
        <v>1050</v>
      </c>
      <c r="O907" t="s">
        <v>81</v>
      </c>
      <c r="Q907">
        <v>2</v>
      </c>
      <c r="R907" s="24">
        <v>46032</v>
      </c>
      <c r="T907" t="s">
        <v>38</v>
      </c>
      <c r="V907" t="s">
        <v>921</v>
      </c>
      <c r="Y907" t="s">
        <v>81</v>
      </c>
      <c r="Z907" t="s">
        <v>924</v>
      </c>
      <c r="AA907" t="s">
        <v>39</v>
      </c>
      <c r="AC907" t="s">
        <v>1051</v>
      </c>
    </row>
    <row r="908" spans="1:29" hidden="1" x14ac:dyDescent="0.25">
      <c r="A908">
        <v>397</v>
      </c>
      <c r="B908" t="s">
        <v>557</v>
      </c>
      <c r="C908" t="s">
        <v>77</v>
      </c>
      <c r="D908" t="s">
        <v>553</v>
      </c>
      <c r="E908">
        <v>16</v>
      </c>
      <c r="F908">
        <v>275</v>
      </c>
      <c r="G908">
        <v>12007</v>
      </c>
      <c r="H908">
        <v>1</v>
      </c>
      <c r="I908">
        <v>414.72</v>
      </c>
      <c r="J908">
        <v>414.72</v>
      </c>
      <c r="K908" t="s">
        <v>512</v>
      </c>
      <c r="L908" t="s">
        <v>1050</v>
      </c>
      <c r="O908" t="s">
        <v>81</v>
      </c>
      <c r="Q908">
        <v>2</v>
      </c>
      <c r="R908" s="24">
        <v>46032</v>
      </c>
      <c r="T908" t="s">
        <v>38</v>
      </c>
      <c r="V908" t="s">
        <v>921</v>
      </c>
      <c r="Y908" t="s">
        <v>81</v>
      </c>
      <c r="Z908" t="s">
        <v>924</v>
      </c>
      <c r="AA908" t="s">
        <v>39</v>
      </c>
      <c r="AC908" t="s">
        <v>1051</v>
      </c>
    </row>
    <row r="909" spans="1:29" hidden="1" x14ac:dyDescent="0.25">
      <c r="A909">
        <v>398</v>
      </c>
      <c r="B909" t="s">
        <v>558</v>
      </c>
      <c r="C909" t="s">
        <v>77</v>
      </c>
      <c r="D909" t="s">
        <v>555</v>
      </c>
      <c r="E909">
        <v>16</v>
      </c>
      <c r="F909">
        <v>275</v>
      </c>
      <c r="G909">
        <v>12005</v>
      </c>
      <c r="H909">
        <v>1</v>
      </c>
      <c r="I909">
        <v>414.65</v>
      </c>
      <c r="J909">
        <v>414.65</v>
      </c>
      <c r="K909" t="s">
        <v>512</v>
      </c>
      <c r="L909" t="s">
        <v>1050</v>
      </c>
      <c r="O909" t="s">
        <v>81</v>
      </c>
      <c r="Q909">
        <v>2</v>
      </c>
      <c r="R909" s="24">
        <v>46032</v>
      </c>
      <c r="T909" t="s">
        <v>38</v>
      </c>
      <c r="V909" t="s">
        <v>921</v>
      </c>
      <c r="Y909" t="s">
        <v>81</v>
      </c>
      <c r="Z909" t="s">
        <v>924</v>
      </c>
      <c r="AA909" t="s">
        <v>39</v>
      </c>
      <c r="AC909" t="s">
        <v>1051</v>
      </c>
    </row>
    <row r="910" spans="1:29" hidden="1" x14ac:dyDescent="0.25">
      <c r="A910">
        <v>399</v>
      </c>
      <c r="B910" t="s">
        <v>559</v>
      </c>
      <c r="C910" t="s">
        <v>77</v>
      </c>
      <c r="D910" t="s">
        <v>560</v>
      </c>
      <c r="E910">
        <v>16</v>
      </c>
      <c r="F910">
        <v>275</v>
      </c>
      <c r="G910">
        <v>7588</v>
      </c>
      <c r="H910">
        <v>1</v>
      </c>
      <c r="I910">
        <v>262.08999999999997</v>
      </c>
      <c r="J910">
        <v>262.08999999999997</v>
      </c>
      <c r="K910" t="s">
        <v>1052</v>
      </c>
      <c r="L910" t="s">
        <v>1053</v>
      </c>
      <c r="O910" t="s">
        <v>81</v>
      </c>
      <c r="Q910">
        <v>2</v>
      </c>
      <c r="R910" s="24">
        <v>46032</v>
      </c>
      <c r="T910" t="s">
        <v>38</v>
      </c>
      <c r="V910" t="s">
        <v>921</v>
      </c>
      <c r="Y910" t="s">
        <v>81</v>
      </c>
      <c r="Z910" t="s">
        <v>924</v>
      </c>
      <c r="AA910" t="s">
        <v>1054</v>
      </c>
      <c r="AC910" t="s">
        <v>1055</v>
      </c>
    </row>
    <row r="911" spans="1:29" hidden="1" x14ac:dyDescent="0.25">
      <c r="A911">
        <v>400</v>
      </c>
      <c r="B911" t="s">
        <v>563</v>
      </c>
      <c r="C911" t="s">
        <v>77</v>
      </c>
      <c r="D911" t="s">
        <v>532</v>
      </c>
      <c r="E911">
        <v>16</v>
      </c>
      <c r="F911">
        <v>275</v>
      </c>
      <c r="G911">
        <v>7583</v>
      </c>
      <c r="H911">
        <v>1</v>
      </c>
      <c r="I911">
        <v>261.92</v>
      </c>
      <c r="J911">
        <v>261.92</v>
      </c>
      <c r="K911" t="s">
        <v>1052</v>
      </c>
      <c r="L911" t="s">
        <v>1053</v>
      </c>
      <c r="O911" t="s">
        <v>81</v>
      </c>
      <c r="Q911">
        <v>2</v>
      </c>
      <c r="R911" s="24">
        <v>46032</v>
      </c>
      <c r="T911" t="s">
        <v>38</v>
      </c>
      <c r="V911" t="s">
        <v>921</v>
      </c>
      <c r="Y911" t="s">
        <v>81</v>
      </c>
      <c r="Z911" t="s">
        <v>924</v>
      </c>
      <c r="AA911" t="s">
        <v>1054</v>
      </c>
      <c r="AC911" t="s">
        <v>1055</v>
      </c>
    </row>
    <row r="912" spans="1:29" hidden="1" x14ac:dyDescent="0.25">
      <c r="A912">
        <v>401</v>
      </c>
      <c r="B912" t="s">
        <v>564</v>
      </c>
      <c r="C912" t="s">
        <v>77</v>
      </c>
      <c r="D912" t="s">
        <v>534</v>
      </c>
      <c r="E912">
        <v>16</v>
      </c>
      <c r="F912">
        <v>240</v>
      </c>
      <c r="G912">
        <v>240</v>
      </c>
      <c r="H912">
        <v>2</v>
      </c>
      <c r="I912">
        <v>4.01</v>
      </c>
      <c r="J912">
        <v>8.0299999999999994</v>
      </c>
      <c r="K912" t="s">
        <v>1052</v>
      </c>
      <c r="L912" t="s">
        <v>1053</v>
      </c>
      <c r="N912" t="s">
        <v>228</v>
      </c>
      <c r="Q912">
        <v>2</v>
      </c>
      <c r="R912" s="24">
        <v>46032</v>
      </c>
      <c r="T912" t="s">
        <v>38</v>
      </c>
      <c r="V912" t="s">
        <v>921</v>
      </c>
      <c r="X912" t="s">
        <v>81</v>
      </c>
      <c r="Z912" t="s">
        <v>924</v>
      </c>
      <c r="AA912" t="s">
        <v>1054</v>
      </c>
      <c r="AC912" t="s">
        <v>1055</v>
      </c>
    </row>
    <row r="913" spans="1:29" hidden="1" x14ac:dyDescent="0.25">
      <c r="A913">
        <v>402</v>
      </c>
      <c r="B913" t="s">
        <v>565</v>
      </c>
      <c r="C913" t="s">
        <v>77</v>
      </c>
      <c r="D913" t="s">
        <v>534</v>
      </c>
      <c r="E913">
        <v>16</v>
      </c>
      <c r="F913">
        <v>240</v>
      </c>
      <c r="G913">
        <v>240</v>
      </c>
      <c r="H913">
        <v>4</v>
      </c>
      <c r="I913">
        <v>4.01</v>
      </c>
      <c r="J913">
        <v>16.05</v>
      </c>
      <c r="K913" t="s">
        <v>1052</v>
      </c>
      <c r="L913" t="s">
        <v>1053</v>
      </c>
      <c r="N913" t="s">
        <v>228</v>
      </c>
      <c r="Q913">
        <v>2</v>
      </c>
      <c r="R913" s="24">
        <v>46032</v>
      </c>
      <c r="T913" t="s">
        <v>38</v>
      </c>
      <c r="V913" t="s">
        <v>921</v>
      </c>
      <c r="X913" t="s">
        <v>81</v>
      </c>
      <c r="Z913" t="s">
        <v>924</v>
      </c>
      <c r="AA913" t="s">
        <v>1054</v>
      </c>
      <c r="AC913" t="s">
        <v>1055</v>
      </c>
    </row>
    <row r="914" spans="1:29" hidden="1" x14ac:dyDescent="0.25">
      <c r="A914">
        <v>403</v>
      </c>
      <c r="B914" t="s">
        <v>566</v>
      </c>
      <c r="C914" t="s">
        <v>77</v>
      </c>
      <c r="D914" t="s">
        <v>567</v>
      </c>
      <c r="E914">
        <v>20</v>
      </c>
      <c r="F914">
        <v>240</v>
      </c>
      <c r="G914">
        <v>250</v>
      </c>
      <c r="H914">
        <v>8</v>
      </c>
      <c r="I914">
        <v>6.68</v>
      </c>
      <c r="J914">
        <v>53.41</v>
      </c>
      <c r="K914" t="s">
        <v>568</v>
      </c>
      <c r="L914" t="s">
        <v>1056</v>
      </c>
      <c r="N914" t="s">
        <v>228</v>
      </c>
      <c r="Q914">
        <v>2</v>
      </c>
      <c r="R914" s="24">
        <v>46032</v>
      </c>
      <c r="T914" t="s">
        <v>38</v>
      </c>
      <c r="V914" t="s">
        <v>921</v>
      </c>
      <c r="X914" t="s">
        <v>81</v>
      </c>
      <c r="Z914" t="s">
        <v>924</v>
      </c>
      <c r="AA914" t="s">
        <v>39</v>
      </c>
      <c r="AC914" t="s">
        <v>1057</v>
      </c>
    </row>
    <row r="915" spans="1:29" hidden="1" x14ac:dyDescent="0.25">
      <c r="A915">
        <v>404</v>
      </c>
      <c r="B915" t="s">
        <v>571</v>
      </c>
      <c r="C915" t="s">
        <v>77</v>
      </c>
      <c r="D915" t="s">
        <v>572</v>
      </c>
      <c r="E915">
        <v>20</v>
      </c>
      <c r="F915">
        <v>400</v>
      </c>
      <c r="G915">
        <v>780</v>
      </c>
      <c r="H915">
        <v>7</v>
      </c>
      <c r="I915">
        <v>48.61</v>
      </c>
      <c r="J915">
        <v>340.24</v>
      </c>
      <c r="K915" t="s">
        <v>568</v>
      </c>
      <c r="L915" t="s">
        <v>1056</v>
      </c>
      <c r="N915" t="s">
        <v>228</v>
      </c>
      <c r="Q915">
        <v>2</v>
      </c>
      <c r="R915" s="24">
        <v>46032</v>
      </c>
      <c r="T915" t="s">
        <v>38</v>
      </c>
      <c r="V915" t="s">
        <v>921</v>
      </c>
      <c r="X915" t="s">
        <v>81</v>
      </c>
      <c r="Z915" t="s">
        <v>924</v>
      </c>
      <c r="AA915" t="s">
        <v>39</v>
      </c>
      <c r="AC915" t="s">
        <v>1057</v>
      </c>
    </row>
    <row r="916" spans="1:29" hidden="1" x14ac:dyDescent="0.25">
      <c r="A916">
        <v>405</v>
      </c>
      <c r="B916" t="s">
        <v>573</v>
      </c>
      <c r="C916" t="s">
        <v>77</v>
      </c>
      <c r="D916" t="s">
        <v>572</v>
      </c>
      <c r="E916">
        <v>20</v>
      </c>
      <c r="F916">
        <v>400</v>
      </c>
      <c r="G916">
        <v>780</v>
      </c>
      <c r="H916">
        <v>4</v>
      </c>
      <c r="I916">
        <v>48.6</v>
      </c>
      <c r="J916">
        <v>194.42</v>
      </c>
      <c r="K916" t="s">
        <v>568</v>
      </c>
      <c r="L916" t="s">
        <v>1056</v>
      </c>
      <c r="N916" t="s">
        <v>228</v>
      </c>
      <c r="Q916">
        <v>2</v>
      </c>
      <c r="R916" s="24">
        <v>46032</v>
      </c>
      <c r="T916" t="s">
        <v>38</v>
      </c>
      <c r="V916" t="s">
        <v>921</v>
      </c>
      <c r="X916" t="s">
        <v>81</v>
      </c>
      <c r="Z916" t="s">
        <v>924</v>
      </c>
      <c r="AA916" t="s">
        <v>39</v>
      </c>
      <c r="AC916" t="s">
        <v>1057</v>
      </c>
    </row>
    <row r="917" spans="1:29" hidden="1" x14ac:dyDescent="0.25">
      <c r="A917">
        <v>406</v>
      </c>
      <c r="B917" t="s">
        <v>574</v>
      </c>
      <c r="C917" t="s">
        <v>77</v>
      </c>
      <c r="D917" t="s">
        <v>572</v>
      </c>
      <c r="E917">
        <v>20</v>
      </c>
      <c r="F917">
        <v>400</v>
      </c>
      <c r="G917">
        <v>780</v>
      </c>
      <c r="H917">
        <v>4</v>
      </c>
      <c r="I917">
        <v>48.6</v>
      </c>
      <c r="J917">
        <v>194.42</v>
      </c>
      <c r="K917" t="s">
        <v>568</v>
      </c>
      <c r="L917" t="s">
        <v>1056</v>
      </c>
      <c r="N917" t="s">
        <v>228</v>
      </c>
      <c r="Q917">
        <v>2</v>
      </c>
      <c r="R917" s="24">
        <v>46032</v>
      </c>
      <c r="T917" t="s">
        <v>38</v>
      </c>
      <c r="V917" t="s">
        <v>921</v>
      </c>
      <c r="X917" t="s">
        <v>81</v>
      </c>
      <c r="Z917" t="s">
        <v>924</v>
      </c>
      <c r="AA917" t="s">
        <v>39</v>
      </c>
      <c r="AC917" t="s">
        <v>1057</v>
      </c>
    </row>
    <row r="918" spans="1:29" hidden="1" x14ac:dyDescent="0.25">
      <c r="A918">
        <v>407</v>
      </c>
      <c r="B918" t="s">
        <v>575</v>
      </c>
      <c r="C918" t="s">
        <v>77</v>
      </c>
      <c r="D918" t="s">
        <v>576</v>
      </c>
      <c r="E918">
        <v>20</v>
      </c>
      <c r="F918">
        <v>326</v>
      </c>
      <c r="G918">
        <v>525</v>
      </c>
      <c r="H918">
        <v>4</v>
      </c>
      <c r="I918">
        <v>23.66</v>
      </c>
      <c r="J918">
        <v>94.66</v>
      </c>
      <c r="K918" t="s">
        <v>568</v>
      </c>
      <c r="L918" t="s">
        <v>1056</v>
      </c>
      <c r="N918" t="s">
        <v>228</v>
      </c>
      <c r="Q918">
        <v>2</v>
      </c>
      <c r="R918" s="24">
        <v>46032</v>
      </c>
      <c r="T918" t="s">
        <v>38</v>
      </c>
      <c r="V918" t="s">
        <v>921</v>
      </c>
      <c r="X918" t="s">
        <v>81</v>
      </c>
      <c r="Z918" t="s">
        <v>924</v>
      </c>
      <c r="AA918" t="s">
        <v>39</v>
      </c>
      <c r="AC918" t="s">
        <v>1057</v>
      </c>
    </row>
    <row r="919" spans="1:29" hidden="1" x14ac:dyDescent="0.25">
      <c r="A919">
        <v>408</v>
      </c>
      <c r="B919" t="s">
        <v>577</v>
      </c>
      <c r="C919" t="s">
        <v>77</v>
      </c>
      <c r="D919" t="s">
        <v>578</v>
      </c>
      <c r="E919">
        <v>20</v>
      </c>
      <c r="F919">
        <v>175</v>
      </c>
      <c r="G919">
        <v>180</v>
      </c>
      <c r="H919">
        <v>6</v>
      </c>
      <c r="I919">
        <v>4.58</v>
      </c>
      <c r="J919">
        <v>27.45</v>
      </c>
      <c r="K919" t="s">
        <v>568</v>
      </c>
      <c r="L919" t="s">
        <v>1056</v>
      </c>
      <c r="N919" t="s">
        <v>228</v>
      </c>
      <c r="Q919">
        <v>2</v>
      </c>
      <c r="R919" s="24">
        <v>46032</v>
      </c>
      <c r="T919" t="s">
        <v>38</v>
      </c>
      <c r="V919" t="s">
        <v>921</v>
      </c>
      <c r="X919" t="s">
        <v>81</v>
      </c>
      <c r="Z919" t="s">
        <v>924</v>
      </c>
      <c r="AA919" t="s">
        <v>39</v>
      </c>
      <c r="AC919" t="s">
        <v>1057</v>
      </c>
    </row>
    <row r="920" spans="1:29" hidden="1" x14ac:dyDescent="0.25">
      <c r="A920">
        <v>409</v>
      </c>
      <c r="B920" t="s">
        <v>579</v>
      </c>
      <c r="C920" t="s">
        <v>77</v>
      </c>
      <c r="D920" t="s">
        <v>580</v>
      </c>
      <c r="E920">
        <v>20</v>
      </c>
      <c r="F920">
        <v>180</v>
      </c>
      <c r="G920">
        <v>300</v>
      </c>
      <c r="H920">
        <v>1</v>
      </c>
      <c r="I920">
        <v>8.48</v>
      </c>
      <c r="J920">
        <v>8.48</v>
      </c>
      <c r="K920" t="s">
        <v>568</v>
      </c>
      <c r="L920" t="s">
        <v>1056</v>
      </c>
      <c r="Q920">
        <v>2</v>
      </c>
      <c r="R920" s="24">
        <v>46032</v>
      </c>
      <c r="T920" t="s">
        <v>38</v>
      </c>
      <c r="V920" t="s">
        <v>921</v>
      </c>
      <c r="W920" t="s">
        <v>81</v>
      </c>
      <c r="Z920" t="s">
        <v>924</v>
      </c>
      <c r="AA920" t="s">
        <v>39</v>
      </c>
      <c r="AC920" t="s">
        <v>1057</v>
      </c>
    </row>
    <row r="921" spans="1:29" hidden="1" x14ac:dyDescent="0.25">
      <c r="A921">
        <v>410</v>
      </c>
      <c r="B921" t="s">
        <v>581</v>
      </c>
      <c r="C921" t="s">
        <v>77</v>
      </c>
      <c r="D921" t="s">
        <v>576</v>
      </c>
      <c r="E921">
        <v>20</v>
      </c>
      <c r="F921">
        <v>326</v>
      </c>
      <c r="G921">
        <v>525</v>
      </c>
      <c r="H921">
        <v>4</v>
      </c>
      <c r="I921">
        <v>26.87</v>
      </c>
      <c r="J921">
        <v>107.48</v>
      </c>
      <c r="K921" t="s">
        <v>568</v>
      </c>
      <c r="L921" t="s">
        <v>1056</v>
      </c>
      <c r="Q921">
        <v>2</v>
      </c>
      <c r="R921" s="24">
        <v>46032</v>
      </c>
      <c r="T921" t="s">
        <v>38</v>
      </c>
      <c r="V921" t="s">
        <v>921</v>
      </c>
      <c r="W921" t="s">
        <v>81</v>
      </c>
      <c r="Z921" t="s">
        <v>924</v>
      </c>
      <c r="AA921" t="s">
        <v>39</v>
      </c>
      <c r="AC921" t="s">
        <v>1057</v>
      </c>
    </row>
    <row r="922" spans="1:29" hidden="1" x14ac:dyDescent="0.25">
      <c r="A922">
        <v>411</v>
      </c>
      <c r="B922" t="s">
        <v>582</v>
      </c>
      <c r="C922" t="s">
        <v>77</v>
      </c>
      <c r="D922" t="s">
        <v>583</v>
      </c>
      <c r="E922">
        <v>20</v>
      </c>
      <c r="F922">
        <v>200</v>
      </c>
      <c r="G922">
        <v>200</v>
      </c>
      <c r="H922">
        <v>2</v>
      </c>
      <c r="I922">
        <v>6.28</v>
      </c>
      <c r="J922">
        <v>12.56</v>
      </c>
      <c r="K922" t="s">
        <v>568</v>
      </c>
      <c r="L922" t="s">
        <v>1056</v>
      </c>
      <c r="Q922">
        <v>2</v>
      </c>
      <c r="R922" s="24">
        <v>46032</v>
      </c>
      <c r="T922" t="s">
        <v>38</v>
      </c>
      <c r="V922" t="s">
        <v>921</v>
      </c>
      <c r="W922" t="s">
        <v>81</v>
      </c>
      <c r="Z922" t="s">
        <v>924</v>
      </c>
      <c r="AA922" t="s">
        <v>39</v>
      </c>
      <c r="AC922" t="s">
        <v>1057</v>
      </c>
    </row>
    <row r="923" spans="1:29" hidden="1" x14ac:dyDescent="0.25">
      <c r="A923">
        <v>412</v>
      </c>
      <c r="B923" t="s">
        <v>584</v>
      </c>
      <c r="C923" t="s">
        <v>77</v>
      </c>
      <c r="D923" t="s">
        <v>572</v>
      </c>
      <c r="E923">
        <v>20</v>
      </c>
      <c r="F923">
        <v>400</v>
      </c>
      <c r="G923">
        <v>780</v>
      </c>
      <c r="H923">
        <v>2</v>
      </c>
      <c r="I923">
        <v>48.6</v>
      </c>
      <c r="J923">
        <v>97.21</v>
      </c>
      <c r="K923" t="s">
        <v>568</v>
      </c>
      <c r="L923" t="s">
        <v>1056</v>
      </c>
      <c r="N923" t="s">
        <v>228</v>
      </c>
      <c r="Q923">
        <v>2</v>
      </c>
      <c r="R923" s="24">
        <v>46032</v>
      </c>
      <c r="T923" t="s">
        <v>38</v>
      </c>
      <c r="V923" t="s">
        <v>921</v>
      </c>
      <c r="X923" t="s">
        <v>81</v>
      </c>
      <c r="Z923" t="s">
        <v>924</v>
      </c>
      <c r="AA923" t="s">
        <v>39</v>
      </c>
      <c r="AC923" t="s">
        <v>1057</v>
      </c>
    </row>
    <row r="924" spans="1:29" hidden="1" x14ac:dyDescent="0.25">
      <c r="A924">
        <v>413</v>
      </c>
      <c r="B924" t="s">
        <v>585</v>
      </c>
      <c r="C924" t="s">
        <v>77</v>
      </c>
      <c r="D924" t="s">
        <v>578</v>
      </c>
      <c r="E924">
        <v>20</v>
      </c>
      <c r="F924">
        <v>175</v>
      </c>
      <c r="G924">
        <v>180</v>
      </c>
      <c r="H924">
        <v>4</v>
      </c>
      <c r="I924">
        <v>4.58</v>
      </c>
      <c r="J924">
        <v>18.3</v>
      </c>
      <c r="K924" t="s">
        <v>568</v>
      </c>
      <c r="L924" t="s">
        <v>1056</v>
      </c>
      <c r="N924" t="s">
        <v>228</v>
      </c>
      <c r="Q924">
        <v>2</v>
      </c>
      <c r="R924" s="24">
        <v>46032</v>
      </c>
      <c r="T924" t="s">
        <v>38</v>
      </c>
      <c r="V924" t="s">
        <v>921</v>
      </c>
      <c r="X924" t="s">
        <v>81</v>
      </c>
      <c r="Z924" t="s">
        <v>924</v>
      </c>
      <c r="AA924" t="s">
        <v>39</v>
      </c>
      <c r="AC924" t="s">
        <v>1057</v>
      </c>
    </row>
    <row r="925" spans="1:29" hidden="1" x14ac:dyDescent="0.25">
      <c r="A925">
        <v>414</v>
      </c>
      <c r="B925" t="s">
        <v>586</v>
      </c>
      <c r="C925" t="s">
        <v>77</v>
      </c>
      <c r="D925" t="s">
        <v>580</v>
      </c>
      <c r="E925">
        <v>20</v>
      </c>
      <c r="F925">
        <v>180</v>
      </c>
      <c r="G925">
        <v>300</v>
      </c>
      <c r="H925">
        <v>1</v>
      </c>
      <c r="I925">
        <v>8.48</v>
      </c>
      <c r="J925">
        <v>8.48</v>
      </c>
      <c r="K925" t="s">
        <v>568</v>
      </c>
      <c r="L925" t="s">
        <v>1056</v>
      </c>
      <c r="Q925">
        <v>2</v>
      </c>
      <c r="R925" s="24">
        <v>46032</v>
      </c>
      <c r="T925" t="s">
        <v>38</v>
      </c>
      <c r="V925" t="s">
        <v>921</v>
      </c>
      <c r="W925" t="s">
        <v>81</v>
      </c>
      <c r="Z925" t="s">
        <v>924</v>
      </c>
      <c r="AA925" t="s">
        <v>39</v>
      </c>
      <c r="AC925" t="s">
        <v>1057</v>
      </c>
    </row>
    <row r="926" spans="1:29" hidden="1" x14ac:dyDescent="0.25">
      <c r="A926">
        <v>415</v>
      </c>
      <c r="B926" t="s">
        <v>1058</v>
      </c>
      <c r="C926" t="s">
        <v>77</v>
      </c>
      <c r="D926" t="s">
        <v>588</v>
      </c>
      <c r="E926">
        <v>20</v>
      </c>
      <c r="F926">
        <v>326</v>
      </c>
      <c r="G926">
        <v>500</v>
      </c>
      <c r="H926">
        <v>2</v>
      </c>
      <c r="I926">
        <v>21.2</v>
      </c>
      <c r="J926">
        <v>42.39</v>
      </c>
      <c r="K926" t="s">
        <v>568</v>
      </c>
      <c r="L926" t="s">
        <v>1056</v>
      </c>
      <c r="N926" t="s">
        <v>228</v>
      </c>
      <c r="Q926">
        <v>2</v>
      </c>
      <c r="R926" s="24">
        <v>46032</v>
      </c>
      <c r="T926" t="s">
        <v>38</v>
      </c>
      <c r="V926" t="s">
        <v>921</v>
      </c>
      <c r="W926" t="s">
        <v>81</v>
      </c>
      <c r="Z926" t="s">
        <v>924</v>
      </c>
      <c r="AA926" t="s">
        <v>39</v>
      </c>
      <c r="AC926" t="s">
        <v>1057</v>
      </c>
    </row>
    <row r="927" spans="1:29" hidden="1" x14ac:dyDescent="0.25">
      <c r="A927">
        <v>416</v>
      </c>
      <c r="B927" t="s">
        <v>589</v>
      </c>
      <c r="C927" t="s">
        <v>77</v>
      </c>
      <c r="D927" t="s">
        <v>588</v>
      </c>
      <c r="E927">
        <v>20</v>
      </c>
      <c r="F927">
        <v>326</v>
      </c>
      <c r="G927">
        <v>500</v>
      </c>
      <c r="H927">
        <v>2</v>
      </c>
      <c r="I927">
        <v>25.59</v>
      </c>
      <c r="J927">
        <v>51.18</v>
      </c>
      <c r="K927" t="s">
        <v>568</v>
      </c>
      <c r="L927" t="s">
        <v>1056</v>
      </c>
      <c r="Q927">
        <v>2</v>
      </c>
      <c r="R927" s="24">
        <v>46032</v>
      </c>
      <c r="T927" t="s">
        <v>38</v>
      </c>
      <c r="V927" t="s">
        <v>921</v>
      </c>
      <c r="W927" t="s">
        <v>81</v>
      </c>
      <c r="Z927" t="s">
        <v>924</v>
      </c>
      <c r="AA927" t="s">
        <v>39</v>
      </c>
      <c r="AC927" t="s">
        <v>1057</v>
      </c>
    </row>
    <row r="928" spans="1:29" hidden="1" x14ac:dyDescent="0.25">
      <c r="A928">
        <v>417</v>
      </c>
      <c r="B928" t="s">
        <v>590</v>
      </c>
      <c r="C928" t="s">
        <v>77</v>
      </c>
      <c r="D928" t="s">
        <v>583</v>
      </c>
      <c r="E928">
        <v>20</v>
      </c>
      <c r="F928">
        <v>200</v>
      </c>
      <c r="G928">
        <v>200</v>
      </c>
      <c r="H928">
        <v>2</v>
      </c>
      <c r="I928">
        <v>6.28</v>
      </c>
      <c r="J928">
        <v>12.56</v>
      </c>
      <c r="K928" t="s">
        <v>568</v>
      </c>
      <c r="L928" t="s">
        <v>1056</v>
      </c>
      <c r="Q928">
        <v>2</v>
      </c>
      <c r="R928" s="24">
        <v>46032</v>
      </c>
      <c r="T928" t="s">
        <v>38</v>
      </c>
      <c r="V928" t="s">
        <v>921</v>
      </c>
      <c r="W928" t="s">
        <v>81</v>
      </c>
      <c r="Z928" t="s">
        <v>924</v>
      </c>
      <c r="AA928" t="s">
        <v>39</v>
      </c>
      <c r="AC928" t="s">
        <v>1057</v>
      </c>
    </row>
    <row r="929" spans="1:29" hidden="1" x14ac:dyDescent="0.25">
      <c r="A929">
        <v>418</v>
      </c>
      <c r="B929" t="s">
        <v>591</v>
      </c>
      <c r="C929" t="s">
        <v>77</v>
      </c>
      <c r="D929" t="s">
        <v>592</v>
      </c>
      <c r="E929">
        <v>20</v>
      </c>
      <c r="F929">
        <v>326</v>
      </c>
      <c r="G929">
        <v>550</v>
      </c>
      <c r="H929">
        <v>4</v>
      </c>
      <c r="I929">
        <v>24.94</v>
      </c>
      <c r="J929">
        <v>99.78</v>
      </c>
      <c r="K929" t="s">
        <v>568</v>
      </c>
      <c r="L929" t="s">
        <v>1056</v>
      </c>
      <c r="N929" t="s">
        <v>228</v>
      </c>
      <c r="Q929">
        <v>2</v>
      </c>
      <c r="R929" s="24">
        <v>46032</v>
      </c>
      <c r="T929" t="s">
        <v>38</v>
      </c>
      <c r="V929" t="s">
        <v>921</v>
      </c>
      <c r="X929" t="s">
        <v>81</v>
      </c>
      <c r="Z929" t="s">
        <v>924</v>
      </c>
      <c r="AA929" t="s">
        <v>39</v>
      </c>
      <c r="AC929" t="s">
        <v>1057</v>
      </c>
    </row>
    <row r="930" spans="1:29" hidden="1" x14ac:dyDescent="0.25">
      <c r="A930">
        <v>419</v>
      </c>
      <c r="B930" t="s">
        <v>593</v>
      </c>
      <c r="C930" t="s">
        <v>77</v>
      </c>
      <c r="D930" t="s">
        <v>592</v>
      </c>
      <c r="E930">
        <v>20</v>
      </c>
      <c r="F930">
        <v>326</v>
      </c>
      <c r="G930">
        <v>550</v>
      </c>
      <c r="H930">
        <v>4</v>
      </c>
      <c r="I930">
        <v>28.15</v>
      </c>
      <c r="J930">
        <v>112.6</v>
      </c>
      <c r="K930" t="s">
        <v>568</v>
      </c>
      <c r="L930" t="s">
        <v>1056</v>
      </c>
      <c r="Q930">
        <v>2</v>
      </c>
      <c r="R930" s="24">
        <v>46032</v>
      </c>
      <c r="T930" t="s">
        <v>38</v>
      </c>
      <c r="V930" t="s">
        <v>921</v>
      </c>
      <c r="W930" t="s">
        <v>81</v>
      </c>
      <c r="Z930" t="s">
        <v>924</v>
      </c>
      <c r="AA930" t="s">
        <v>39</v>
      </c>
      <c r="AC930" t="s">
        <v>1057</v>
      </c>
    </row>
    <row r="931" spans="1:29" hidden="1" x14ac:dyDescent="0.25">
      <c r="A931">
        <v>420</v>
      </c>
      <c r="B931" t="s">
        <v>594</v>
      </c>
      <c r="C931" t="s">
        <v>77</v>
      </c>
      <c r="D931" t="s">
        <v>572</v>
      </c>
      <c r="E931">
        <v>20</v>
      </c>
      <c r="F931">
        <v>400</v>
      </c>
      <c r="G931">
        <v>780</v>
      </c>
      <c r="H931">
        <v>4</v>
      </c>
      <c r="I931">
        <v>48.6</v>
      </c>
      <c r="J931">
        <v>194.42</v>
      </c>
      <c r="K931" t="s">
        <v>568</v>
      </c>
      <c r="L931" t="s">
        <v>1056</v>
      </c>
      <c r="N931" t="s">
        <v>228</v>
      </c>
      <c r="Q931">
        <v>2</v>
      </c>
      <c r="R931" s="24">
        <v>46032</v>
      </c>
      <c r="T931" t="s">
        <v>38</v>
      </c>
      <c r="V931" t="s">
        <v>921</v>
      </c>
      <c r="X931" t="s">
        <v>81</v>
      </c>
      <c r="Z931" t="s">
        <v>924</v>
      </c>
      <c r="AA931" t="s">
        <v>39</v>
      </c>
      <c r="AC931" t="s">
        <v>1057</v>
      </c>
    </row>
    <row r="932" spans="1:29" hidden="1" x14ac:dyDescent="0.25">
      <c r="A932">
        <v>421</v>
      </c>
      <c r="B932" t="s">
        <v>595</v>
      </c>
      <c r="C932" t="s">
        <v>77</v>
      </c>
      <c r="D932" t="s">
        <v>576</v>
      </c>
      <c r="E932">
        <v>20</v>
      </c>
      <c r="F932">
        <v>326</v>
      </c>
      <c r="G932">
        <v>525</v>
      </c>
      <c r="H932">
        <v>4</v>
      </c>
      <c r="I932">
        <v>23.66</v>
      </c>
      <c r="J932">
        <v>94.66</v>
      </c>
      <c r="K932" t="s">
        <v>568</v>
      </c>
      <c r="L932" t="s">
        <v>1056</v>
      </c>
      <c r="N932" t="s">
        <v>228</v>
      </c>
      <c r="Q932">
        <v>2</v>
      </c>
      <c r="R932" s="24">
        <v>46032</v>
      </c>
      <c r="T932" t="s">
        <v>38</v>
      </c>
      <c r="V932" t="s">
        <v>921</v>
      </c>
      <c r="X932" t="s">
        <v>81</v>
      </c>
      <c r="Z932" t="s">
        <v>924</v>
      </c>
      <c r="AA932" t="s">
        <v>39</v>
      </c>
      <c r="AC932" t="s">
        <v>1057</v>
      </c>
    </row>
    <row r="933" spans="1:29" hidden="1" x14ac:dyDescent="0.25">
      <c r="A933">
        <v>422</v>
      </c>
      <c r="B933" t="s">
        <v>596</v>
      </c>
      <c r="C933" t="s">
        <v>77</v>
      </c>
      <c r="D933" t="s">
        <v>578</v>
      </c>
      <c r="E933">
        <v>20</v>
      </c>
      <c r="F933">
        <v>175</v>
      </c>
      <c r="G933">
        <v>180</v>
      </c>
      <c r="H933">
        <v>8</v>
      </c>
      <c r="I933">
        <v>4.58</v>
      </c>
      <c r="J933">
        <v>36.6</v>
      </c>
      <c r="K933" t="s">
        <v>568</v>
      </c>
      <c r="L933" t="s">
        <v>1056</v>
      </c>
      <c r="N933" t="s">
        <v>228</v>
      </c>
      <c r="Q933">
        <v>2</v>
      </c>
      <c r="R933" s="24">
        <v>46032</v>
      </c>
      <c r="T933" t="s">
        <v>38</v>
      </c>
      <c r="V933" t="s">
        <v>921</v>
      </c>
      <c r="X933" t="s">
        <v>81</v>
      </c>
      <c r="Z933" t="s">
        <v>924</v>
      </c>
      <c r="AA933" t="s">
        <v>39</v>
      </c>
      <c r="AC933" t="s">
        <v>1057</v>
      </c>
    </row>
    <row r="934" spans="1:29" hidden="1" x14ac:dyDescent="0.25">
      <c r="A934">
        <v>423</v>
      </c>
      <c r="B934" t="s">
        <v>597</v>
      </c>
      <c r="C934" t="s">
        <v>77</v>
      </c>
      <c r="D934" t="s">
        <v>580</v>
      </c>
      <c r="E934">
        <v>20</v>
      </c>
      <c r="F934">
        <v>180</v>
      </c>
      <c r="G934">
        <v>300</v>
      </c>
      <c r="H934">
        <v>1</v>
      </c>
      <c r="I934">
        <v>8.48</v>
      </c>
      <c r="J934">
        <v>8.48</v>
      </c>
      <c r="K934" t="s">
        <v>568</v>
      </c>
      <c r="L934" t="s">
        <v>1056</v>
      </c>
      <c r="Q934">
        <v>2</v>
      </c>
      <c r="R934" s="24">
        <v>46032</v>
      </c>
      <c r="T934" t="s">
        <v>38</v>
      </c>
      <c r="V934" t="s">
        <v>921</v>
      </c>
      <c r="W934" t="s">
        <v>81</v>
      </c>
      <c r="Z934" t="s">
        <v>924</v>
      </c>
      <c r="AA934" t="s">
        <v>39</v>
      </c>
      <c r="AC934" t="s">
        <v>1057</v>
      </c>
    </row>
    <row r="935" spans="1:29" hidden="1" x14ac:dyDescent="0.25">
      <c r="A935">
        <v>424</v>
      </c>
      <c r="B935" t="s">
        <v>598</v>
      </c>
      <c r="C935" t="s">
        <v>77</v>
      </c>
      <c r="D935" t="s">
        <v>576</v>
      </c>
      <c r="E935">
        <v>20</v>
      </c>
      <c r="F935">
        <v>326</v>
      </c>
      <c r="G935">
        <v>525</v>
      </c>
      <c r="H935">
        <v>4</v>
      </c>
      <c r="I935">
        <v>26.87</v>
      </c>
      <c r="J935">
        <v>107.48</v>
      </c>
      <c r="K935" t="s">
        <v>568</v>
      </c>
      <c r="L935" t="s">
        <v>1056</v>
      </c>
      <c r="Q935">
        <v>2</v>
      </c>
      <c r="R935" s="24">
        <v>46032</v>
      </c>
      <c r="T935" t="s">
        <v>38</v>
      </c>
      <c r="V935" t="s">
        <v>921</v>
      </c>
      <c r="W935" t="s">
        <v>81</v>
      </c>
      <c r="Z935" t="s">
        <v>924</v>
      </c>
      <c r="AA935" t="s">
        <v>39</v>
      </c>
      <c r="AC935" t="s">
        <v>1057</v>
      </c>
    </row>
    <row r="936" spans="1:29" hidden="1" x14ac:dyDescent="0.25">
      <c r="A936">
        <v>425</v>
      </c>
      <c r="B936" t="s">
        <v>599</v>
      </c>
      <c r="C936" t="s">
        <v>77</v>
      </c>
      <c r="D936" t="s">
        <v>583</v>
      </c>
      <c r="E936">
        <v>20</v>
      </c>
      <c r="F936">
        <v>200</v>
      </c>
      <c r="G936">
        <v>200</v>
      </c>
      <c r="H936">
        <v>2</v>
      </c>
      <c r="I936">
        <v>6.28</v>
      </c>
      <c r="J936">
        <v>12.56</v>
      </c>
      <c r="K936" t="s">
        <v>568</v>
      </c>
      <c r="L936" t="s">
        <v>1056</v>
      </c>
      <c r="Q936">
        <v>2</v>
      </c>
      <c r="R936" s="24">
        <v>46032</v>
      </c>
      <c r="T936" t="s">
        <v>38</v>
      </c>
      <c r="V936" t="s">
        <v>921</v>
      </c>
      <c r="W936" t="s">
        <v>81</v>
      </c>
      <c r="Z936" t="s">
        <v>924</v>
      </c>
      <c r="AA936" t="s">
        <v>39</v>
      </c>
      <c r="AC936" t="s">
        <v>1057</v>
      </c>
    </row>
    <row r="937" spans="1:29" hidden="1" x14ac:dyDescent="0.25">
      <c r="A937">
        <v>426</v>
      </c>
      <c r="B937" t="s">
        <v>600</v>
      </c>
      <c r="C937" t="s">
        <v>77</v>
      </c>
      <c r="D937" t="s">
        <v>572</v>
      </c>
      <c r="E937">
        <v>20</v>
      </c>
      <c r="F937">
        <v>400</v>
      </c>
      <c r="G937">
        <v>780</v>
      </c>
      <c r="H937">
        <v>2</v>
      </c>
      <c r="I937">
        <v>48.6</v>
      </c>
      <c r="J937">
        <v>97.21</v>
      </c>
      <c r="K937" t="s">
        <v>568</v>
      </c>
      <c r="L937" t="s">
        <v>1056</v>
      </c>
      <c r="N937" t="s">
        <v>228</v>
      </c>
      <c r="Q937">
        <v>2</v>
      </c>
      <c r="R937" s="24">
        <v>46032</v>
      </c>
      <c r="T937" t="s">
        <v>38</v>
      </c>
      <c r="V937" t="s">
        <v>921</v>
      </c>
      <c r="X937" t="s">
        <v>81</v>
      </c>
      <c r="Z937" t="s">
        <v>924</v>
      </c>
      <c r="AA937" t="s">
        <v>39</v>
      </c>
      <c r="AC937" t="s">
        <v>1057</v>
      </c>
    </row>
    <row r="938" spans="1:29" hidden="1" x14ac:dyDescent="0.25">
      <c r="A938">
        <v>427</v>
      </c>
      <c r="B938" t="s">
        <v>601</v>
      </c>
      <c r="C938" t="s">
        <v>77</v>
      </c>
      <c r="D938" t="s">
        <v>578</v>
      </c>
      <c r="E938">
        <v>20</v>
      </c>
      <c r="F938">
        <v>175</v>
      </c>
      <c r="G938">
        <v>180</v>
      </c>
      <c r="H938">
        <v>4</v>
      </c>
      <c r="I938">
        <v>4.58</v>
      </c>
      <c r="J938">
        <v>18.3</v>
      </c>
      <c r="K938" t="s">
        <v>568</v>
      </c>
      <c r="L938" t="s">
        <v>1056</v>
      </c>
      <c r="N938" t="s">
        <v>228</v>
      </c>
      <c r="Q938">
        <v>2</v>
      </c>
      <c r="R938" s="24">
        <v>46032</v>
      </c>
      <c r="T938" t="s">
        <v>38</v>
      </c>
      <c r="V938" t="s">
        <v>921</v>
      </c>
      <c r="X938" t="s">
        <v>81</v>
      </c>
      <c r="Z938" t="s">
        <v>924</v>
      </c>
      <c r="AA938" t="s">
        <v>39</v>
      </c>
      <c r="AC938" t="s">
        <v>1057</v>
      </c>
    </row>
    <row r="939" spans="1:29" hidden="1" x14ac:dyDescent="0.25">
      <c r="A939">
        <v>428</v>
      </c>
      <c r="B939" t="s">
        <v>1059</v>
      </c>
      <c r="C939" t="s">
        <v>77</v>
      </c>
      <c r="D939" t="s">
        <v>588</v>
      </c>
      <c r="E939">
        <v>20</v>
      </c>
      <c r="F939">
        <v>326</v>
      </c>
      <c r="G939">
        <v>500</v>
      </c>
      <c r="H939">
        <v>2</v>
      </c>
      <c r="I939">
        <v>21.2</v>
      </c>
      <c r="J939">
        <v>42.39</v>
      </c>
      <c r="K939" t="s">
        <v>568</v>
      </c>
      <c r="L939" t="s">
        <v>1056</v>
      </c>
      <c r="N939" t="s">
        <v>228</v>
      </c>
      <c r="Q939">
        <v>2</v>
      </c>
      <c r="R939" s="24">
        <v>46032</v>
      </c>
      <c r="T939" t="s">
        <v>38</v>
      </c>
      <c r="V939" t="s">
        <v>921</v>
      </c>
      <c r="W939" t="s">
        <v>81</v>
      </c>
      <c r="Z939" t="s">
        <v>924</v>
      </c>
      <c r="AA939" t="s">
        <v>39</v>
      </c>
      <c r="AC939" t="s">
        <v>1057</v>
      </c>
    </row>
    <row r="940" spans="1:29" hidden="1" x14ac:dyDescent="0.25">
      <c r="A940">
        <v>429</v>
      </c>
      <c r="B940" t="s">
        <v>604</v>
      </c>
      <c r="C940" t="s">
        <v>77</v>
      </c>
      <c r="D940" t="s">
        <v>588</v>
      </c>
      <c r="E940">
        <v>20</v>
      </c>
      <c r="F940">
        <v>326</v>
      </c>
      <c r="G940">
        <v>500</v>
      </c>
      <c r="H940">
        <v>2</v>
      </c>
      <c r="I940">
        <v>25.59</v>
      </c>
      <c r="J940">
        <v>51.18</v>
      </c>
      <c r="K940" t="s">
        <v>568</v>
      </c>
      <c r="L940" t="s">
        <v>1056</v>
      </c>
      <c r="Q940">
        <v>2</v>
      </c>
      <c r="R940" s="24">
        <v>46032</v>
      </c>
      <c r="T940" t="s">
        <v>38</v>
      </c>
      <c r="V940" t="s">
        <v>921</v>
      </c>
      <c r="W940" t="s">
        <v>81</v>
      </c>
      <c r="Z940" t="s">
        <v>924</v>
      </c>
      <c r="AA940" t="s">
        <v>39</v>
      </c>
      <c r="AC940" t="s">
        <v>1057</v>
      </c>
    </row>
    <row r="941" spans="1:29" hidden="1" x14ac:dyDescent="0.25">
      <c r="A941">
        <v>430</v>
      </c>
      <c r="B941" t="s">
        <v>605</v>
      </c>
      <c r="C941" t="s">
        <v>77</v>
      </c>
      <c r="D941" t="s">
        <v>583</v>
      </c>
      <c r="E941">
        <v>20</v>
      </c>
      <c r="F941">
        <v>200</v>
      </c>
      <c r="G941">
        <v>200</v>
      </c>
      <c r="H941">
        <v>2</v>
      </c>
      <c r="I941">
        <v>6.28</v>
      </c>
      <c r="J941">
        <v>12.56</v>
      </c>
      <c r="K941" t="s">
        <v>568</v>
      </c>
      <c r="L941" t="s">
        <v>1056</v>
      </c>
      <c r="Q941">
        <v>2</v>
      </c>
      <c r="R941" s="24">
        <v>46032</v>
      </c>
      <c r="T941" t="s">
        <v>38</v>
      </c>
      <c r="V941" t="s">
        <v>921</v>
      </c>
      <c r="W941" t="s">
        <v>81</v>
      </c>
      <c r="Z941" t="s">
        <v>924</v>
      </c>
      <c r="AA941" t="s">
        <v>39</v>
      </c>
      <c r="AC941" t="s">
        <v>1057</v>
      </c>
    </row>
    <row r="942" spans="1:29" hidden="1" x14ac:dyDescent="0.25">
      <c r="A942">
        <v>431</v>
      </c>
      <c r="B942" t="s">
        <v>606</v>
      </c>
      <c r="C942" t="s">
        <v>77</v>
      </c>
      <c r="D942" t="s">
        <v>592</v>
      </c>
      <c r="E942">
        <v>20</v>
      </c>
      <c r="F942">
        <v>326</v>
      </c>
      <c r="G942">
        <v>550</v>
      </c>
      <c r="H942">
        <v>4</v>
      </c>
      <c r="I942">
        <v>24.94</v>
      </c>
      <c r="J942">
        <v>99.78</v>
      </c>
      <c r="K942" t="s">
        <v>568</v>
      </c>
      <c r="L942" t="s">
        <v>1056</v>
      </c>
      <c r="N942" t="s">
        <v>228</v>
      </c>
      <c r="Q942">
        <v>2</v>
      </c>
      <c r="R942" s="24">
        <v>46032</v>
      </c>
      <c r="T942" t="s">
        <v>38</v>
      </c>
      <c r="V942" t="s">
        <v>921</v>
      </c>
      <c r="X942" t="s">
        <v>81</v>
      </c>
      <c r="Z942" t="s">
        <v>924</v>
      </c>
      <c r="AA942" t="s">
        <v>39</v>
      </c>
      <c r="AC942" t="s">
        <v>1057</v>
      </c>
    </row>
    <row r="943" spans="1:29" hidden="1" x14ac:dyDescent="0.25">
      <c r="A943">
        <v>432</v>
      </c>
      <c r="B943" t="s">
        <v>607</v>
      </c>
      <c r="C943" t="s">
        <v>77</v>
      </c>
      <c r="D943" t="s">
        <v>592</v>
      </c>
      <c r="E943">
        <v>20</v>
      </c>
      <c r="F943">
        <v>326</v>
      </c>
      <c r="G943">
        <v>550</v>
      </c>
      <c r="H943">
        <v>4</v>
      </c>
      <c r="I943">
        <v>28.15</v>
      </c>
      <c r="J943">
        <v>112.6</v>
      </c>
      <c r="K943" t="s">
        <v>568</v>
      </c>
      <c r="L943" t="s">
        <v>1056</v>
      </c>
      <c r="Q943">
        <v>2</v>
      </c>
      <c r="R943" s="24">
        <v>46032</v>
      </c>
      <c r="T943" t="s">
        <v>38</v>
      </c>
      <c r="V943" t="s">
        <v>921</v>
      </c>
      <c r="W943" t="s">
        <v>81</v>
      </c>
      <c r="Z943" t="s">
        <v>924</v>
      </c>
      <c r="AA943" t="s">
        <v>39</v>
      </c>
      <c r="AC943" t="s">
        <v>1057</v>
      </c>
    </row>
    <row r="944" spans="1:29" hidden="1" x14ac:dyDescent="0.25">
      <c r="A944">
        <v>433</v>
      </c>
      <c r="B944" t="s">
        <v>608</v>
      </c>
      <c r="C944" t="s">
        <v>77</v>
      </c>
      <c r="D944" t="s">
        <v>609</v>
      </c>
      <c r="E944">
        <v>20</v>
      </c>
      <c r="F944">
        <v>348</v>
      </c>
      <c r="G944">
        <v>350</v>
      </c>
      <c r="H944">
        <v>2</v>
      </c>
      <c r="I944">
        <v>14.42</v>
      </c>
      <c r="J944">
        <v>28.83</v>
      </c>
      <c r="K944" t="s">
        <v>568</v>
      </c>
      <c r="L944" t="s">
        <v>1056</v>
      </c>
      <c r="N944" t="s">
        <v>228</v>
      </c>
      <c r="Q944">
        <v>2</v>
      </c>
      <c r="R944" s="24">
        <v>46032</v>
      </c>
      <c r="T944" t="s">
        <v>38</v>
      </c>
      <c r="V944" t="s">
        <v>921</v>
      </c>
      <c r="X944" t="s">
        <v>81</v>
      </c>
      <c r="Z944" t="s">
        <v>924</v>
      </c>
      <c r="AA944" t="s">
        <v>39</v>
      </c>
      <c r="AC944" t="s">
        <v>1057</v>
      </c>
    </row>
    <row r="945" spans="1:29" hidden="1" x14ac:dyDescent="0.25">
      <c r="A945">
        <v>434</v>
      </c>
      <c r="B945" t="s">
        <v>610</v>
      </c>
      <c r="C945" t="s">
        <v>77</v>
      </c>
      <c r="D945" t="s">
        <v>567</v>
      </c>
      <c r="E945">
        <v>20</v>
      </c>
      <c r="F945">
        <v>240</v>
      </c>
      <c r="G945">
        <v>250</v>
      </c>
      <c r="H945">
        <v>12</v>
      </c>
      <c r="I945">
        <v>6.68</v>
      </c>
      <c r="J945">
        <v>80.11</v>
      </c>
      <c r="K945" t="s">
        <v>568</v>
      </c>
      <c r="L945" t="s">
        <v>1056</v>
      </c>
      <c r="N945" t="s">
        <v>228</v>
      </c>
      <c r="Q945">
        <v>2</v>
      </c>
      <c r="R945" s="24">
        <v>46032</v>
      </c>
      <c r="T945" t="s">
        <v>38</v>
      </c>
      <c r="V945" t="s">
        <v>921</v>
      </c>
      <c r="X945" t="s">
        <v>81</v>
      </c>
      <c r="Z945" t="s">
        <v>924</v>
      </c>
      <c r="AA945" t="s">
        <v>39</v>
      </c>
      <c r="AC945" t="s">
        <v>1057</v>
      </c>
    </row>
    <row r="946" spans="1:29" hidden="1" x14ac:dyDescent="0.25">
      <c r="A946">
        <v>435</v>
      </c>
      <c r="B946" t="s">
        <v>611</v>
      </c>
      <c r="C946" t="s">
        <v>77</v>
      </c>
      <c r="D946" t="s">
        <v>609</v>
      </c>
      <c r="E946">
        <v>20</v>
      </c>
      <c r="F946">
        <v>348</v>
      </c>
      <c r="G946">
        <v>350</v>
      </c>
      <c r="H946">
        <v>4</v>
      </c>
      <c r="I946">
        <v>14.41</v>
      </c>
      <c r="J946">
        <v>57.65</v>
      </c>
      <c r="K946" t="s">
        <v>568</v>
      </c>
      <c r="L946" t="s">
        <v>1056</v>
      </c>
      <c r="N946" t="s">
        <v>228</v>
      </c>
      <c r="Q946">
        <v>2</v>
      </c>
      <c r="R946" s="24">
        <v>46032</v>
      </c>
      <c r="T946" t="s">
        <v>38</v>
      </c>
      <c r="V946" t="s">
        <v>921</v>
      </c>
      <c r="X946" t="s">
        <v>81</v>
      </c>
      <c r="Z946" t="s">
        <v>924</v>
      </c>
      <c r="AA946" t="s">
        <v>39</v>
      </c>
      <c r="AC946" t="s">
        <v>1057</v>
      </c>
    </row>
    <row r="947" spans="1:29" hidden="1" x14ac:dyDescent="0.25">
      <c r="A947">
        <v>436</v>
      </c>
      <c r="B947" t="s">
        <v>612</v>
      </c>
      <c r="C947" t="s">
        <v>77</v>
      </c>
      <c r="D947" t="s">
        <v>567</v>
      </c>
      <c r="E947">
        <v>20</v>
      </c>
      <c r="F947">
        <v>240</v>
      </c>
      <c r="G947">
        <v>250</v>
      </c>
      <c r="H947">
        <v>16</v>
      </c>
      <c r="I947">
        <v>6.68</v>
      </c>
      <c r="J947">
        <v>106.81</v>
      </c>
      <c r="K947" t="s">
        <v>568</v>
      </c>
      <c r="L947" t="s">
        <v>1056</v>
      </c>
      <c r="N947" t="s">
        <v>228</v>
      </c>
      <c r="Q947">
        <v>2</v>
      </c>
      <c r="R947" s="24">
        <v>46032</v>
      </c>
      <c r="T947" t="s">
        <v>38</v>
      </c>
      <c r="V947" t="s">
        <v>921</v>
      </c>
      <c r="X947" t="s">
        <v>81</v>
      </c>
      <c r="Z947" t="s">
        <v>924</v>
      </c>
      <c r="AA947" t="s">
        <v>39</v>
      </c>
      <c r="AC947" t="s">
        <v>1057</v>
      </c>
    </row>
    <row r="948" spans="1:29" hidden="1" x14ac:dyDescent="0.25">
      <c r="A948">
        <v>437</v>
      </c>
      <c r="B948" t="s">
        <v>613</v>
      </c>
      <c r="C948" t="s">
        <v>77</v>
      </c>
      <c r="D948" t="s">
        <v>609</v>
      </c>
      <c r="E948">
        <v>20</v>
      </c>
      <c r="F948">
        <v>348</v>
      </c>
      <c r="G948">
        <v>350</v>
      </c>
      <c r="H948">
        <v>2</v>
      </c>
      <c r="I948">
        <v>14.42</v>
      </c>
      <c r="J948">
        <v>28.83</v>
      </c>
      <c r="K948" t="s">
        <v>568</v>
      </c>
      <c r="L948" t="s">
        <v>1056</v>
      </c>
      <c r="N948" t="s">
        <v>228</v>
      </c>
      <c r="Q948">
        <v>2</v>
      </c>
      <c r="R948" s="24">
        <v>46032</v>
      </c>
      <c r="T948" t="s">
        <v>38</v>
      </c>
      <c r="V948" t="s">
        <v>921</v>
      </c>
      <c r="X948" t="s">
        <v>81</v>
      </c>
      <c r="Z948" t="s">
        <v>924</v>
      </c>
      <c r="AA948" t="s">
        <v>39</v>
      </c>
      <c r="AC948" t="s">
        <v>1057</v>
      </c>
    </row>
    <row r="949" spans="1:29" hidden="1" x14ac:dyDescent="0.25">
      <c r="A949">
        <v>438</v>
      </c>
      <c r="B949" t="s">
        <v>614</v>
      </c>
      <c r="C949" t="s">
        <v>77</v>
      </c>
      <c r="D949" t="s">
        <v>567</v>
      </c>
      <c r="E949">
        <v>20</v>
      </c>
      <c r="F949">
        <v>240</v>
      </c>
      <c r="G949">
        <v>250</v>
      </c>
      <c r="H949">
        <v>12</v>
      </c>
      <c r="I949">
        <v>6.68</v>
      </c>
      <c r="J949">
        <v>80.11</v>
      </c>
      <c r="K949" t="s">
        <v>568</v>
      </c>
      <c r="L949" t="s">
        <v>1056</v>
      </c>
      <c r="N949" t="s">
        <v>228</v>
      </c>
      <c r="Q949">
        <v>2</v>
      </c>
      <c r="R949" s="24">
        <v>46032</v>
      </c>
      <c r="T949" t="s">
        <v>38</v>
      </c>
      <c r="V949" t="s">
        <v>921</v>
      </c>
      <c r="X949" t="s">
        <v>81</v>
      </c>
      <c r="Z949" t="s">
        <v>924</v>
      </c>
      <c r="AA949" t="s">
        <v>39</v>
      </c>
      <c r="AC949" t="s">
        <v>1057</v>
      </c>
    </row>
    <row r="950" spans="1:29" hidden="1" x14ac:dyDescent="0.25">
      <c r="A950">
        <v>439</v>
      </c>
      <c r="B950" t="s">
        <v>615</v>
      </c>
      <c r="C950" t="s">
        <v>77</v>
      </c>
      <c r="D950" t="s">
        <v>567</v>
      </c>
      <c r="E950">
        <v>20</v>
      </c>
      <c r="F950">
        <v>240</v>
      </c>
      <c r="G950">
        <v>250</v>
      </c>
      <c r="H950">
        <v>8</v>
      </c>
      <c r="I950">
        <v>6.68</v>
      </c>
      <c r="J950">
        <v>53.41</v>
      </c>
      <c r="K950" t="s">
        <v>568</v>
      </c>
      <c r="L950" t="s">
        <v>1056</v>
      </c>
      <c r="N950" t="s">
        <v>228</v>
      </c>
      <c r="Q950">
        <v>2</v>
      </c>
      <c r="R950" s="24">
        <v>46032</v>
      </c>
      <c r="T950" t="s">
        <v>38</v>
      </c>
      <c r="V950" t="s">
        <v>921</v>
      </c>
      <c r="X950" t="s">
        <v>81</v>
      </c>
      <c r="Z950" t="s">
        <v>924</v>
      </c>
      <c r="AA950" t="s">
        <v>39</v>
      </c>
      <c r="AC950" t="s">
        <v>1057</v>
      </c>
    </row>
    <row r="951" spans="1:29" hidden="1" x14ac:dyDescent="0.25">
      <c r="A951">
        <v>440</v>
      </c>
      <c r="B951" t="s">
        <v>616</v>
      </c>
      <c r="C951" t="s">
        <v>77</v>
      </c>
      <c r="D951" t="s">
        <v>617</v>
      </c>
      <c r="E951">
        <v>20</v>
      </c>
      <c r="F951">
        <v>140</v>
      </c>
      <c r="G951">
        <v>200</v>
      </c>
      <c r="H951">
        <v>12</v>
      </c>
      <c r="I951">
        <v>3.95</v>
      </c>
      <c r="J951">
        <v>47.36</v>
      </c>
      <c r="K951" t="s">
        <v>568</v>
      </c>
      <c r="L951" t="s">
        <v>1056</v>
      </c>
      <c r="N951" t="s">
        <v>228</v>
      </c>
      <c r="Q951">
        <v>2</v>
      </c>
      <c r="R951" s="24">
        <v>46032</v>
      </c>
      <c r="T951" t="s">
        <v>38</v>
      </c>
      <c r="V951" t="s">
        <v>921</v>
      </c>
      <c r="X951" t="s">
        <v>81</v>
      </c>
      <c r="Z951" t="s">
        <v>924</v>
      </c>
      <c r="AA951" t="s">
        <v>39</v>
      </c>
      <c r="AC951" t="s">
        <v>1057</v>
      </c>
    </row>
    <row r="952" spans="1:29" hidden="1" x14ac:dyDescent="0.25">
      <c r="A952">
        <v>441</v>
      </c>
      <c r="B952" t="s">
        <v>618</v>
      </c>
      <c r="C952" t="s">
        <v>77</v>
      </c>
      <c r="D952" t="s">
        <v>617</v>
      </c>
      <c r="E952">
        <v>20</v>
      </c>
      <c r="F952">
        <v>140</v>
      </c>
      <c r="G952">
        <v>200</v>
      </c>
      <c r="H952">
        <v>8</v>
      </c>
      <c r="I952">
        <v>3.95</v>
      </c>
      <c r="J952">
        <v>31.57</v>
      </c>
      <c r="K952" t="s">
        <v>568</v>
      </c>
      <c r="L952" t="s">
        <v>1056</v>
      </c>
      <c r="N952" t="s">
        <v>228</v>
      </c>
      <c r="Q952">
        <v>2</v>
      </c>
      <c r="R952" s="24">
        <v>46032</v>
      </c>
      <c r="T952" t="s">
        <v>38</v>
      </c>
      <c r="V952" t="s">
        <v>921</v>
      </c>
      <c r="X952" t="s">
        <v>81</v>
      </c>
      <c r="Z952" t="s">
        <v>924</v>
      </c>
      <c r="AA952" t="s">
        <v>39</v>
      </c>
      <c r="AC952" t="s">
        <v>1057</v>
      </c>
    </row>
    <row r="953" spans="1:29" hidden="1" x14ac:dyDescent="0.25">
      <c r="A953">
        <v>442</v>
      </c>
      <c r="B953" t="s">
        <v>619</v>
      </c>
      <c r="C953" t="s">
        <v>77</v>
      </c>
      <c r="D953" t="s">
        <v>617</v>
      </c>
      <c r="E953">
        <v>20</v>
      </c>
      <c r="F953">
        <v>140</v>
      </c>
      <c r="G953">
        <v>200</v>
      </c>
      <c r="H953">
        <v>8</v>
      </c>
      <c r="I953">
        <v>3.95</v>
      </c>
      <c r="J953">
        <v>31.57</v>
      </c>
      <c r="K953" t="s">
        <v>568</v>
      </c>
      <c r="L953" t="s">
        <v>1056</v>
      </c>
      <c r="N953" t="s">
        <v>228</v>
      </c>
      <c r="Q953">
        <v>2</v>
      </c>
      <c r="R953" s="24">
        <v>46032</v>
      </c>
      <c r="T953" t="s">
        <v>38</v>
      </c>
      <c r="V953" t="s">
        <v>921</v>
      </c>
      <c r="X953" t="s">
        <v>81</v>
      </c>
      <c r="Z953" t="s">
        <v>924</v>
      </c>
      <c r="AA953" t="s">
        <v>39</v>
      </c>
      <c r="AC953" t="s">
        <v>1057</v>
      </c>
    </row>
    <row r="954" spans="1:29" hidden="1" x14ac:dyDescent="0.25">
      <c r="A954">
        <v>443</v>
      </c>
      <c r="B954" t="s">
        <v>620</v>
      </c>
      <c r="C954" t="s">
        <v>77</v>
      </c>
      <c r="D954" t="s">
        <v>617</v>
      </c>
      <c r="E954">
        <v>20</v>
      </c>
      <c r="F954">
        <v>140</v>
      </c>
      <c r="G954">
        <v>200</v>
      </c>
      <c r="H954">
        <v>8</v>
      </c>
      <c r="I954">
        <v>3.95</v>
      </c>
      <c r="J954">
        <v>31.57</v>
      </c>
      <c r="K954" t="s">
        <v>568</v>
      </c>
      <c r="L954" t="s">
        <v>1056</v>
      </c>
      <c r="N954" t="s">
        <v>228</v>
      </c>
      <c r="Q954">
        <v>2</v>
      </c>
      <c r="R954" s="24">
        <v>46032</v>
      </c>
      <c r="T954" t="s">
        <v>38</v>
      </c>
      <c r="V954" t="s">
        <v>921</v>
      </c>
      <c r="X954" t="s">
        <v>81</v>
      </c>
      <c r="Z954" t="s">
        <v>924</v>
      </c>
      <c r="AA954" t="s">
        <v>39</v>
      </c>
      <c r="AC954" t="s">
        <v>1057</v>
      </c>
    </row>
    <row r="955" spans="1:29" hidden="1" x14ac:dyDescent="0.25">
      <c r="A955">
        <v>444</v>
      </c>
      <c r="B955" t="s">
        <v>621</v>
      </c>
      <c r="C955" t="s">
        <v>77</v>
      </c>
      <c r="D955" t="s">
        <v>617</v>
      </c>
      <c r="E955">
        <v>20</v>
      </c>
      <c r="F955">
        <v>140</v>
      </c>
      <c r="G955">
        <v>200</v>
      </c>
      <c r="H955">
        <v>8</v>
      </c>
      <c r="I955">
        <v>3.95</v>
      </c>
      <c r="J955">
        <v>31.57</v>
      </c>
      <c r="K955" t="s">
        <v>568</v>
      </c>
      <c r="L955" t="s">
        <v>1056</v>
      </c>
      <c r="N955" t="s">
        <v>228</v>
      </c>
      <c r="Q955">
        <v>2</v>
      </c>
      <c r="R955" s="24">
        <v>46032</v>
      </c>
      <c r="T955" t="s">
        <v>38</v>
      </c>
      <c r="V955" t="s">
        <v>921</v>
      </c>
      <c r="X955" t="s">
        <v>81</v>
      </c>
      <c r="Z955" t="s">
        <v>924</v>
      </c>
      <c r="AA955" t="s">
        <v>39</v>
      </c>
      <c r="AC955" t="s">
        <v>1057</v>
      </c>
    </row>
    <row r="956" spans="1:29" hidden="1" x14ac:dyDescent="0.25">
      <c r="A956">
        <v>445</v>
      </c>
      <c r="B956" t="s">
        <v>622</v>
      </c>
      <c r="C956" t="s">
        <v>77</v>
      </c>
      <c r="D956" t="s">
        <v>617</v>
      </c>
      <c r="E956">
        <v>20</v>
      </c>
      <c r="F956">
        <v>140</v>
      </c>
      <c r="G956">
        <v>200</v>
      </c>
      <c r="H956">
        <v>8</v>
      </c>
      <c r="I956">
        <v>3.95</v>
      </c>
      <c r="J956">
        <v>31.57</v>
      </c>
      <c r="K956" t="s">
        <v>568</v>
      </c>
      <c r="L956" t="s">
        <v>1056</v>
      </c>
      <c r="N956" t="s">
        <v>228</v>
      </c>
      <c r="Q956">
        <v>2</v>
      </c>
      <c r="R956" s="24">
        <v>46032</v>
      </c>
      <c r="T956" t="s">
        <v>38</v>
      </c>
      <c r="V956" t="s">
        <v>921</v>
      </c>
      <c r="X956" t="s">
        <v>81</v>
      </c>
      <c r="Z956" t="s">
        <v>924</v>
      </c>
      <c r="AA956" t="s">
        <v>39</v>
      </c>
      <c r="AC956" t="s">
        <v>1057</v>
      </c>
    </row>
    <row r="957" spans="1:29" hidden="1" x14ac:dyDescent="0.25">
      <c r="A957">
        <v>446</v>
      </c>
      <c r="B957" t="s">
        <v>623</v>
      </c>
      <c r="C957" t="s">
        <v>77</v>
      </c>
      <c r="D957" t="s">
        <v>617</v>
      </c>
      <c r="E957">
        <v>20</v>
      </c>
      <c r="F957">
        <v>140</v>
      </c>
      <c r="G957">
        <v>200</v>
      </c>
      <c r="H957">
        <v>8</v>
      </c>
      <c r="I957">
        <v>3.95</v>
      </c>
      <c r="J957">
        <v>31.57</v>
      </c>
      <c r="K957" t="s">
        <v>568</v>
      </c>
      <c r="L957" t="s">
        <v>1056</v>
      </c>
      <c r="N957" t="s">
        <v>228</v>
      </c>
      <c r="Q957">
        <v>2</v>
      </c>
      <c r="R957" s="24">
        <v>46032</v>
      </c>
      <c r="T957" t="s">
        <v>38</v>
      </c>
      <c r="V957" t="s">
        <v>921</v>
      </c>
      <c r="X957" t="s">
        <v>81</v>
      </c>
      <c r="Z957" t="s">
        <v>924</v>
      </c>
      <c r="AA957" t="s">
        <v>39</v>
      </c>
      <c r="AC957" t="s">
        <v>1057</v>
      </c>
    </row>
    <row r="958" spans="1:29" hidden="1" x14ac:dyDescent="0.25">
      <c r="A958">
        <v>447</v>
      </c>
      <c r="B958" t="s">
        <v>624</v>
      </c>
      <c r="C958" t="s">
        <v>77</v>
      </c>
      <c r="D958" t="s">
        <v>617</v>
      </c>
      <c r="E958">
        <v>20</v>
      </c>
      <c r="F958">
        <v>140</v>
      </c>
      <c r="G958">
        <v>200</v>
      </c>
      <c r="H958">
        <v>8</v>
      </c>
      <c r="I958">
        <v>3.95</v>
      </c>
      <c r="J958">
        <v>31.57</v>
      </c>
      <c r="K958" t="s">
        <v>568</v>
      </c>
      <c r="L958" t="s">
        <v>1056</v>
      </c>
      <c r="N958" t="s">
        <v>228</v>
      </c>
      <c r="Q958">
        <v>2</v>
      </c>
      <c r="R958" s="24">
        <v>46032</v>
      </c>
      <c r="T958" t="s">
        <v>38</v>
      </c>
      <c r="V958" t="s">
        <v>921</v>
      </c>
      <c r="X958" t="s">
        <v>81</v>
      </c>
      <c r="Z958" t="s">
        <v>924</v>
      </c>
      <c r="AA958" t="s">
        <v>39</v>
      </c>
      <c r="AC958" t="s">
        <v>1057</v>
      </c>
    </row>
    <row r="959" spans="1:29" hidden="1" x14ac:dyDescent="0.25">
      <c r="A959">
        <v>448</v>
      </c>
      <c r="B959" t="s">
        <v>625</v>
      </c>
      <c r="C959" t="s">
        <v>77</v>
      </c>
      <c r="D959" t="s">
        <v>617</v>
      </c>
      <c r="E959">
        <v>20</v>
      </c>
      <c r="F959">
        <v>140</v>
      </c>
      <c r="G959">
        <v>200</v>
      </c>
      <c r="H959">
        <v>8</v>
      </c>
      <c r="I959">
        <v>3.95</v>
      </c>
      <c r="J959">
        <v>31.57</v>
      </c>
      <c r="K959" t="s">
        <v>568</v>
      </c>
      <c r="L959" t="s">
        <v>1056</v>
      </c>
      <c r="N959" t="s">
        <v>228</v>
      </c>
      <c r="Q959">
        <v>2</v>
      </c>
      <c r="R959" s="24">
        <v>46032</v>
      </c>
      <c r="T959" t="s">
        <v>38</v>
      </c>
      <c r="V959" t="s">
        <v>921</v>
      </c>
      <c r="X959" t="s">
        <v>81</v>
      </c>
      <c r="Z959" t="s">
        <v>924</v>
      </c>
      <c r="AA959" t="s">
        <v>39</v>
      </c>
      <c r="AC959" t="s">
        <v>1057</v>
      </c>
    </row>
    <row r="960" spans="1:29" hidden="1" x14ac:dyDescent="0.25">
      <c r="A960">
        <v>449</v>
      </c>
      <c r="B960" t="s">
        <v>626</v>
      </c>
      <c r="C960" t="s">
        <v>77</v>
      </c>
      <c r="D960" t="s">
        <v>617</v>
      </c>
      <c r="E960">
        <v>20</v>
      </c>
      <c r="F960">
        <v>140</v>
      </c>
      <c r="G960">
        <v>200</v>
      </c>
      <c r="H960">
        <v>6</v>
      </c>
      <c r="I960">
        <v>3.95</v>
      </c>
      <c r="J960">
        <v>23.68</v>
      </c>
      <c r="K960" t="s">
        <v>568</v>
      </c>
      <c r="L960" t="s">
        <v>1056</v>
      </c>
      <c r="N960" t="s">
        <v>228</v>
      </c>
      <c r="Q960">
        <v>2</v>
      </c>
      <c r="R960" s="24">
        <v>46032</v>
      </c>
      <c r="T960" t="s">
        <v>38</v>
      </c>
      <c r="V960" t="s">
        <v>921</v>
      </c>
      <c r="X960" t="s">
        <v>81</v>
      </c>
      <c r="Z960" t="s">
        <v>924</v>
      </c>
      <c r="AA960" t="s">
        <v>39</v>
      </c>
      <c r="AC960" t="s">
        <v>1057</v>
      </c>
    </row>
    <row r="961" spans="1:29" hidden="1" x14ac:dyDescent="0.25">
      <c r="A961">
        <v>450</v>
      </c>
      <c r="B961" t="s">
        <v>571</v>
      </c>
      <c r="C961" t="s">
        <v>77</v>
      </c>
      <c r="D961" t="s">
        <v>572</v>
      </c>
      <c r="E961">
        <v>20</v>
      </c>
      <c r="F961">
        <v>400</v>
      </c>
      <c r="G961">
        <v>780</v>
      </c>
      <c r="H961">
        <v>1</v>
      </c>
      <c r="I961">
        <v>48.61</v>
      </c>
      <c r="J961">
        <v>48.61</v>
      </c>
      <c r="K961" t="s">
        <v>1060</v>
      </c>
      <c r="L961" t="s">
        <v>1061</v>
      </c>
      <c r="N961" t="s">
        <v>228</v>
      </c>
      <c r="Q961">
        <v>2</v>
      </c>
      <c r="R961" s="24">
        <v>46032</v>
      </c>
      <c r="T961" t="s">
        <v>38</v>
      </c>
      <c r="V961" t="s">
        <v>921</v>
      </c>
      <c r="X961" t="s">
        <v>81</v>
      </c>
      <c r="Z961" t="s">
        <v>924</v>
      </c>
      <c r="AA961" t="s">
        <v>1062</v>
      </c>
      <c r="AC961" t="s">
        <v>1063</v>
      </c>
    </row>
    <row r="962" spans="1:29" hidden="1" x14ac:dyDescent="0.25">
      <c r="A962">
        <v>451</v>
      </c>
      <c r="B962" t="s">
        <v>577</v>
      </c>
      <c r="C962" t="s">
        <v>77</v>
      </c>
      <c r="D962" t="s">
        <v>578</v>
      </c>
      <c r="E962">
        <v>20</v>
      </c>
      <c r="F962">
        <v>175</v>
      </c>
      <c r="G962">
        <v>180</v>
      </c>
      <c r="H962">
        <v>2</v>
      </c>
      <c r="I962">
        <v>4.58</v>
      </c>
      <c r="J962">
        <v>9.15</v>
      </c>
      <c r="K962" t="s">
        <v>1060</v>
      </c>
      <c r="L962" t="s">
        <v>1061</v>
      </c>
      <c r="N962" t="s">
        <v>228</v>
      </c>
      <c r="Q962">
        <v>2</v>
      </c>
      <c r="R962" s="24">
        <v>46032</v>
      </c>
      <c r="T962" t="s">
        <v>38</v>
      </c>
      <c r="V962" t="s">
        <v>921</v>
      </c>
      <c r="X962" t="s">
        <v>81</v>
      </c>
      <c r="Z962" t="s">
        <v>924</v>
      </c>
      <c r="AA962" t="s">
        <v>1062</v>
      </c>
      <c r="AC962" t="s">
        <v>1063</v>
      </c>
    </row>
    <row r="963" spans="1:29" hidden="1" x14ac:dyDescent="0.25">
      <c r="A963">
        <v>452</v>
      </c>
      <c r="B963" t="s">
        <v>602</v>
      </c>
      <c r="C963" t="s">
        <v>77</v>
      </c>
      <c r="D963" t="s">
        <v>580</v>
      </c>
      <c r="E963">
        <v>20</v>
      </c>
      <c r="F963">
        <v>180</v>
      </c>
      <c r="G963">
        <v>300</v>
      </c>
      <c r="H963">
        <v>1</v>
      </c>
      <c r="I963">
        <v>8.48</v>
      </c>
      <c r="J963">
        <v>8.48</v>
      </c>
      <c r="K963" t="s">
        <v>1060</v>
      </c>
      <c r="L963" t="s">
        <v>1061</v>
      </c>
      <c r="Q963">
        <v>2</v>
      </c>
      <c r="R963" s="24">
        <v>46032</v>
      </c>
      <c r="T963" t="s">
        <v>38</v>
      </c>
      <c r="V963" t="s">
        <v>921</v>
      </c>
      <c r="W963" t="s">
        <v>81</v>
      </c>
      <c r="Z963" t="s">
        <v>924</v>
      </c>
      <c r="AA963" t="s">
        <v>1062</v>
      </c>
      <c r="AC963" t="s">
        <v>1063</v>
      </c>
    </row>
    <row r="964" spans="1:29" hidden="1" x14ac:dyDescent="0.25">
      <c r="A964">
        <v>453</v>
      </c>
      <c r="B964" t="s">
        <v>626</v>
      </c>
      <c r="C964" t="s">
        <v>77</v>
      </c>
      <c r="D964" t="s">
        <v>617</v>
      </c>
      <c r="E964">
        <v>20</v>
      </c>
      <c r="F964">
        <v>140</v>
      </c>
      <c r="G964">
        <v>200</v>
      </c>
      <c r="H964">
        <v>6</v>
      </c>
      <c r="I964">
        <v>3.95</v>
      </c>
      <c r="J964">
        <v>23.68</v>
      </c>
      <c r="K964" t="s">
        <v>1060</v>
      </c>
      <c r="L964" t="s">
        <v>1061</v>
      </c>
      <c r="N964" t="s">
        <v>228</v>
      </c>
      <c r="Q964">
        <v>2</v>
      </c>
      <c r="R964" s="24">
        <v>46032</v>
      </c>
      <c r="T964" t="s">
        <v>38</v>
      </c>
      <c r="V964" t="s">
        <v>921</v>
      </c>
      <c r="X964" t="s">
        <v>81</v>
      </c>
      <c r="Z964" t="s">
        <v>924</v>
      </c>
      <c r="AA964" t="s">
        <v>1062</v>
      </c>
      <c r="AC964" t="s">
        <v>1063</v>
      </c>
    </row>
    <row r="965" spans="1:29" hidden="1" x14ac:dyDescent="0.25">
      <c r="A965">
        <v>454</v>
      </c>
      <c r="B965" t="s">
        <v>663</v>
      </c>
      <c r="C965" t="s">
        <v>77</v>
      </c>
      <c r="D965" t="s">
        <v>664</v>
      </c>
      <c r="E965">
        <v>25</v>
      </c>
      <c r="F965">
        <v>250</v>
      </c>
      <c r="G965">
        <v>300</v>
      </c>
      <c r="H965">
        <v>4</v>
      </c>
      <c r="I965">
        <v>13.65</v>
      </c>
      <c r="J965">
        <v>54.6</v>
      </c>
      <c r="K965" t="s">
        <v>1064</v>
      </c>
      <c r="L965" t="s">
        <v>1065</v>
      </c>
      <c r="N965" t="s">
        <v>228</v>
      </c>
      <c r="Q965">
        <v>2</v>
      </c>
      <c r="R965" s="24">
        <v>46032</v>
      </c>
      <c r="T965" t="s">
        <v>38</v>
      </c>
      <c r="V965" t="s">
        <v>921</v>
      </c>
      <c r="X965" t="s">
        <v>81</v>
      </c>
      <c r="Z965" t="s">
        <v>924</v>
      </c>
      <c r="AA965" t="s">
        <v>1066</v>
      </c>
      <c r="AC965" t="s">
        <v>1067</v>
      </c>
    </row>
    <row r="966" spans="1:29" hidden="1" x14ac:dyDescent="0.25">
      <c r="A966">
        <v>455</v>
      </c>
      <c r="B966" t="s">
        <v>667</v>
      </c>
      <c r="C966" t="s">
        <v>77</v>
      </c>
      <c r="D966" t="s">
        <v>668</v>
      </c>
      <c r="E966">
        <v>25</v>
      </c>
      <c r="F966">
        <v>240</v>
      </c>
      <c r="G966">
        <v>300</v>
      </c>
      <c r="H966">
        <v>3</v>
      </c>
      <c r="I966">
        <v>12.88</v>
      </c>
      <c r="J966">
        <v>38.64</v>
      </c>
      <c r="K966" t="s">
        <v>1064</v>
      </c>
      <c r="L966" t="s">
        <v>1065</v>
      </c>
      <c r="N966" t="s">
        <v>228</v>
      </c>
      <c r="Q966">
        <v>2</v>
      </c>
      <c r="R966" s="24">
        <v>46032</v>
      </c>
      <c r="T966" t="s">
        <v>38</v>
      </c>
      <c r="V966" t="s">
        <v>921</v>
      </c>
      <c r="X966" t="s">
        <v>81</v>
      </c>
      <c r="Z966" t="s">
        <v>924</v>
      </c>
      <c r="AA966" t="s">
        <v>1066</v>
      </c>
      <c r="AC966" t="s">
        <v>1067</v>
      </c>
    </row>
    <row r="967" spans="1:29" hidden="1" x14ac:dyDescent="0.25">
      <c r="A967">
        <v>456</v>
      </c>
      <c r="B967" t="s">
        <v>1068</v>
      </c>
      <c r="C967" t="s">
        <v>77</v>
      </c>
      <c r="D967" t="s">
        <v>635</v>
      </c>
      <c r="E967">
        <v>25</v>
      </c>
      <c r="F967">
        <v>120</v>
      </c>
      <c r="G967">
        <v>240</v>
      </c>
      <c r="H967">
        <v>6</v>
      </c>
      <c r="I967">
        <v>5.27</v>
      </c>
      <c r="J967">
        <v>31.6</v>
      </c>
      <c r="K967" t="s">
        <v>1064</v>
      </c>
      <c r="L967" t="s">
        <v>1065</v>
      </c>
      <c r="N967" t="s">
        <v>228</v>
      </c>
      <c r="Q967">
        <v>2</v>
      </c>
      <c r="R967" s="24">
        <v>46032</v>
      </c>
      <c r="T967" t="s">
        <v>38</v>
      </c>
      <c r="V967" t="s">
        <v>921</v>
      </c>
      <c r="X967" t="s">
        <v>81</v>
      </c>
      <c r="Z967" t="s">
        <v>924</v>
      </c>
      <c r="AA967" t="s">
        <v>1066</v>
      </c>
      <c r="AC967" t="s">
        <v>1067</v>
      </c>
    </row>
    <row r="968" spans="1:29" hidden="1" x14ac:dyDescent="0.25">
      <c r="A968">
        <v>457</v>
      </c>
      <c r="B968" t="s">
        <v>652</v>
      </c>
      <c r="C968" t="s">
        <v>77</v>
      </c>
      <c r="D968" t="s">
        <v>640</v>
      </c>
      <c r="E968">
        <v>25</v>
      </c>
      <c r="F968">
        <v>443</v>
      </c>
      <c r="G968">
        <v>525</v>
      </c>
      <c r="H968">
        <v>2</v>
      </c>
      <c r="I968">
        <v>41.64</v>
      </c>
      <c r="J968">
        <v>83.27</v>
      </c>
      <c r="K968" t="s">
        <v>1064</v>
      </c>
      <c r="L968" t="s">
        <v>1065</v>
      </c>
      <c r="N968" t="s">
        <v>228</v>
      </c>
      <c r="Q968">
        <v>2</v>
      </c>
      <c r="R968" s="24">
        <v>46032</v>
      </c>
      <c r="T968" t="s">
        <v>38</v>
      </c>
      <c r="V968" t="s">
        <v>921</v>
      </c>
      <c r="X968" t="s">
        <v>81</v>
      </c>
      <c r="Z968" t="s">
        <v>924</v>
      </c>
      <c r="AA968" t="s">
        <v>1066</v>
      </c>
      <c r="AC968" t="s">
        <v>1067</v>
      </c>
    </row>
    <row r="969" spans="1:29" hidden="1" x14ac:dyDescent="0.25">
      <c r="A969">
        <v>458</v>
      </c>
      <c r="B969" t="s">
        <v>647</v>
      </c>
      <c r="C969" t="s">
        <v>77</v>
      </c>
      <c r="D969" t="s">
        <v>640</v>
      </c>
      <c r="E969">
        <v>25</v>
      </c>
      <c r="F969">
        <v>443</v>
      </c>
      <c r="G969">
        <v>525</v>
      </c>
      <c r="H969">
        <v>2</v>
      </c>
      <c r="I969">
        <v>45.64</v>
      </c>
      <c r="J969">
        <v>91.29</v>
      </c>
      <c r="K969" t="s">
        <v>1064</v>
      </c>
      <c r="L969" t="s">
        <v>1065</v>
      </c>
      <c r="Q969">
        <v>2</v>
      </c>
      <c r="R969" s="24">
        <v>46032</v>
      </c>
      <c r="T969" t="s">
        <v>38</v>
      </c>
      <c r="V969" t="s">
        <v>921</v>
      </c>
      <c r="W969" t="s">
        <v>81</v>
      </c>
      <c r="Z969" t="s">
        <v>924</v>
      </c>
      <c r="AA969" t="s">
        <v>1066</v>
      </c>
      <c r="AC969" t="s">
        <v>1067</v>
      </c>
    </row>
    <row r="970" spans="1:29" hidden="1" x14ac:dyDescent="0.25">
      <c r="A970">
        <v>459</v>
      </c>
      <c r="B970" t="s">
        <v>650</v>
      </c>
      <c r="C970" t="s">
        <v>77</v>
      </c>
      <c r="D970" t="s">
        <v>651</v>
      </c>
      <c r="E970">
        <v>25</v>
      </c>
      <c r="F970">
        <v>200</v>
      </c>
      <c r="G970">
        <v>200</v>
      </c>
      <c r="H970">
        <v>2</v>
      </c>
      <c r="I970">
        <v>7.85</v>
      </c>
      <c r="J970">
        <v>15.7</v>
      </c>
      <c r="K970" t="s">
        <v>1064</v>
      </c>
      <c r="L970" t="s">
        <v>1065</v>
      </c>
      <c r="Q970">
        <v>2</v>
      </c>
      <c r="R970" s="24">
        <v>46032</v>
      </c>
      <c r="T970" t="s">
        <v>38</v>
      </c>
      <c r="V970" t="s">
        <v>921</v>
      </c>
      <c r="W970" t="s">
        <v>81</v>
      </c>
      <c r="Z970" t="s">
        <v>924</v>
      </c>
      <c r="AA970" t="s">
        <v>1066</v>
      </c>
      <c r="AC970" t="s">
        <v>1067</v>
      </c>
    </row>
    <row r="971" spans="1:29" hidden="1" x14ac:dyDescent="0.25">
      <c r="A971">
        <v>460</v>
      </c>
      <c r="B971" t="s">
        <v>649</v>
      </c>
      <c r="C971" t="s">
        <v>77</v>
      </c>
      <c r="D971" t="s">
        <v>643</v>
      </c>
      <c r="E971">
        <v>25</v>
      </c>
      <c r="F971">
        <v>443</v>
      </c>
      <c r="G971">
        <v>550</v>
      </c>
      <c r="H971">
        <v>2</v>
      </c>
      <c r="I971">
        <v>43.81</v>
      </c>
      <c r="J971">
        <v>87.62</v>
      </c>
      <c r="K971" t="s">
        <v>1064</v>
      </c>
      <c r="L971" t="s">
        <v>1065</v>
      </c>
      <c r="N971" t="s">
        <v>228</v>
      </c>
      <c r="Q971">
        <v>2</v>
      </c>
      <c r="R971" s="24">
        <v>46032</v>
      </c>
      <c r="T971" t="s">
        <v>38</v>
      </c>
      <c r="V971" t="s">
        <v>921</v>
      </c>
      <c r="X971" t="s">
        <v>81</v>
      </c>
      <c r="Z971" t="s">
        <v>924</v>
      </c>
      <c r="AA971" t="s">
        <v>1066</v>
      </c>
      <c r="AC971" t="s">
        <v>1067</v>
      </c>
    </row>
    <row r="972" spans="1:29" hidden="1" x14ac:dyDescent="0.25">
      <c r="A972">
        <v>461</v>
      </c>
      <c r="B972" t="s">
        <v>642</v>
      </c>
      <c r="C972" t="s">
        <v>77</v>
      </c>
      <c r="D972" t="s">
        <v>643</v>
      </c>
      <c r="E972">
        <v>25</v>
      </c>
      <c r="F972">
        <v>443</v>
      </c>
      <c r="G972">
        <v>550</v>
      </c>
      <c r="H972">
        <v>2</v>
      </c>
      <c r="I972">
        <v>47.82</v>
      </c>
      <c r="J972">
        <v>95.63</v>
      </c>
      <c r="K972" t="s">
        <v>1064</v>
      </c>
      <c r="L972" t="s">
        <v>1065</v>
      </c>
      <c r="Q972">
        <v>2</v>
      </c>
      <c r="R972" s="24">
        <v>46032</v>
      </c>
      <c r="T972" t="s">
        <v>38</v>
      </c>
      <c r="V972" t="s">
        <v>921</v>
      </c>
      <c r="W972" t="s">
        <v>81</v>
      </c>
      <c r="Z972" t="s">
        <v>924</v>
      </c>
      <c r="AA972" t="s">
        <v>1066</v>
      </c>
      <c r="AC972" t="s">
        <v>1067</v>
      </c>
    </row>
    <row r="973" spans="1:29" hidden="1" x14ac:dyDescent="0.25">
      <c r="A973">
        <v>462</v>
      </c>
      <c r="B973" t="s">
        <v>653</v>
      </c>
      <c r="C973" t="s">
        <v>77</v>
      </c>
      <c r="D973" t="s">
        <v>640</v>
      </c>
      <c r="E973">
        <v>25</v>
      </c>
      <c r="F973">
        <v>443</v>
      </c>
      <c r="G973">
        <v>525</v>
      </c>
      <c r="H973">
        <v>2</v>
      </c>
      <c r="I973">
        <v>41.64</v>
      </c>
      <c r="J973">
        <v>83.27</v>
      </c>
      <c r="K973" t="s">
        <v>1064</v>
      </c>
      <c r="L973" t="s">
        <v>1065</v>
      </c>
      <c r="N973" t="s">
        <v>228</v>
      </c>
      <c r="Q973">
        <v>2</v>
      </c>
      <c r="R973" s="24">
        <v>46032</v>
      </c>
      <c r="T973" t="s">
        <v>38</v>
      </c>
      <c r="V973" t="s">
        <v>921</v>
      </c>
      <c r="X973" t="s">
        <v>81</v>
      </c>
      <c r="Z973" t="s">
        <v>924</v>
      </c>
      <c r="AA973" t="s">
        <v>1066</v>
      </c>
      <c r="AC973" t="s">
        <v>1067</v>
      </c>
    </row>
    <row r="974" spans="1:29" hidden="1" x14ac:dyDescent="0.25">
      <c r="A974">
        <v>463</v>
      </c>
      <c r="B974" t="s">
        <v>639</v>
      </c>
      <c r="C974" t="s">
        <v>77</v>
      </c>
      <c r="D974" t="s">
        <v>640</v>
      </c>
      <c r="E974">
        <v>25</v>
      </c>
      <c r="F974">
        <v>443</v>
      </c>
      <c r="G974">
        <v>525</v>
      </c>
      <c r="H974">
        <v>2</v>
      </c>
      <c r="I974">
        <v>45.64</v>
      </c>
      <c r="J974">
        <v>91.29</v>
      </c>
      <c r="K974" t="s">
        <v>1064</v>
      </c>
      <c r="L974" t="s">
        <v>1065</v>
      </c>
      <c r="Q974">
        <v>2</v>
      </c>
      <c r="R974" s="24">
        <v>46032</v>
      </c>
      <c r="T974" t="s">
        <v>38</v>
      </c>
      <c r="V974" t="s">
        <v>921</v>
      </c>
      <c r="W974" t="s">
        <v>81</v>
      </c>
      <c r="Z974" t="s">
        <v>924</v>
      </c>
      <c r="AA974" t="s">
        <v>1066</v>
      </c>
      <c r="AC974" t="s">
        <v>1067</v>
      </c>
    </row>
    <row r="975" spans="1:29" hidden="1" x14ac:dyDescent="0.25">
      <c r="A975">
        <v>464</v>
      </c>
      <c r="B975" t="s">
        <v>644</v>
      </c>
      <c r="C975" t="s">
        <v>77</v>
      </c>
      <c r="D975" t="s">
        <v>643</v>
      </c>
      <c r="E975">
        <v>25</v>
      </c>
      <c r="F975">
        <v>443</v>
      </c>
      <c r="G975">
        <v>550</v>
      </c>
      <c r="H975">
        <v>2</v>
      </c>
      <c r="I975">
        <v>43.81</v>
      </c>
      <c r="J975">
        <v>87.62</v>
      </c>
      <c r="K975" t="s">
        <v>1064</v>
      </c>
      <c r="L975" t="s">
        <v>1065</v>
      </c>
      <c r="N975" t="s">
        <v>228</v>
      </c>
      <c r="Q975">
        <v>2</v>
      </c>
      <c r="R975" s="24">
        <v>46032</v>
      </c>
      <c r="T975" t="s">
        <v>38</v>
      </c>
      <c r="V975" t="s">
        <v>921</v>
      </c>
      <c r="X975" t="s">
        <v>81</v>
      </c>
      <c r="Z975" t="s">
        <v>924</v>
      </c>
      <c r="AA975" t="s">
        <v>1066</v>
      </c>
      <c r="AC975" t="s">
        <v>1067</v>
      </c>
    </row>
    <row r="976" spans="1:29" hidden="1" x14ac:dyDescent="0.25">
      <c r="A976">
        <v>465</v>
      </c>
      <c r="B976" t="s">
        <v>645</v>
      </c>
      <c r="C976" t="s">
        <v>77</v>
      </c>
      <c r="D976" t="s">
        <v>643</v>
      </c>
      <c r="E976">
        <v>25</v>
      </c>
      <c r="F976">
        <v>443</v>
      </c>
      <c r="G976">
        <v>550</v>
      </c>
      <c r="H976">
        <v>2</v>
      </c>
      <c r="I976">
        <v>47.82</v>
      </c>
      <c r="J976">
        <v>95.63</v>
      </c>
      <c r="K976" t="s">
        <v>1064</v>
      </c>
      <c r="L976" t="s">
        <v>1065</v>
      </c>
      <c r="Q976">
        <v>2</v>
      </c>
      <c r="R976" s="24">
        <v>46032</v>
      </c>
      <c r="T976" t="s">
        <v>38</v>
      </c>
      <c r="V976" t="s">
        <v>921</v>
      </c>
      <c r="W976" t="s">
        <v>81</v>
      </c>
      <c r="Z976" t="s">
        <v>924</v>
      </c>
      <c r="AA976" t="s">
        <v>1066</v>
      </c>
      <c r="AC976" t="s">
        <v>1067</v>
      </c>
    </row>
    <row r="977" spans="1:29" hidden="1" x14ac:dyDescent="0.25">
      <c r="A977">
        <v>466</v>
      </c>
      <c r="B977" t="s">
        <v>646</v>
      </c>
      <c r="C977" t="s">
        <v>77</v>
      </c>
      <c r="D977" t="s">
        <v>1069</v>
      </c>
      <c r="E977">
        <v>25</v>
      </c>
      <c r="F977">
        <v>501</v>
      </c>
      <c r="G977">
        <v>744</v>
      </c>
      <c r="H977">
        <v>2</v>
      </c>
      <c r="I977">
        <v>45.45</v>
      </c>
      <c r="J977">
        <v>90.9</v>
      </c>
      <c r="K977" t="s">
        <v>1064</v>
      </c>
      <c r="L977" t="s">
        <v>1065</v>
      </c>
      <c r="N977" t="s">
        <v>228</v>
      </c>
      <c r="Q977">
        <v>2</v>
      </c>
      <c r="R977" s="24">
        <v>46032</v>
      </c>
      <c r="T977" t="s">
        <v>38</v>
      </c>
      <c r="V977" t="s">
        <v>921</v>
      </c>
      <c r="X977" t="s">
        <v>81</v>
      </c>
      <c r="Z977" t="s">
        <v>924</v>
      </c>
      <c r="AA977" t="s">
        <v>1066</v>
      </c>
      <c r="AC977" t="s">
        <v>1067</v>
      </c>
    </row>
    <row r="978" spans="1:29" hidden="1" x14ac:dyDescent="0.25">
      <c r="A978">
        <v>467</v>
      </c>
      <c r="B978" t="s">
        <v>648</v>
      </c>
      <c r="C978" t="s">
        <v>77</v>
      </c>
      <c r="D978" t="s">
        <v>633</v>
      </c>
      <c r="E978">
        <v>25</v>
      </c>
      <c r="F978">
        <v>500</v>
      </c>
      <c r="G978">
        <v>550</v>
      </c>
      <c r="H978">
        <v>1</v>
      </c>
      <c r="I978">
        <v>52.99</v>
      </c>
      <c r="J978">
        <v>52.99</v>
      </c>
      <c r="K978" t="s">
        <v>1064</v>
      </c>
      <c r="L978" t="s">
        <v>1065</v>
      </c>
      <c r="Q978">
        <v>2</v>
      </c>
      <c r="R978" s="24">
        <v>46032</v>
      </c>
      <c r="T978" t="s">
        <v>38</v>
      </c>
      <c r="V978" t="s">
        <v>921</v>
      </c>
      <c r="W978" t="s">
        <v>81</v>
      </c>
      <c r="Z978" t="s">
        <v>924</v>
      </c>
      <c r="AA978" t="s">
        <v>1066</v>
      </c>
      <c r="AC978" t="s">
        <v>1067</v>
      </c>
    </row>
    <row r="979" spans="1:29" hidden="1" x14ac:dyDescent="0.25">
      <c r="A979">
        <v>468</v>
      </c>
      <c r="B979" t="s">
        <v>638</v>
      </c>
      <c r="C979" t="s">
        <v>77</v>
      </c>
      <c r="D979" t="s">
        <v>1069</v>
      </c>
      <c r="E979">
        <v>25</v>
      </c>
      <c r="F979">
        <v>501</v>
      </c>
      <c r="G979">
        <v>744</v>
      </c>
      <c r="H979">
        <v>4</v>
      </c>
      <c r="I979">
        <v>45.45</v>
      </c>
      <c r="J979">
        <v>181.8</v>
      </c>
      <c r="K979" t="s">
        <v>1064</v>
      </c>
      <c r="L979" t="s">
        <v>1065</v>
      </c>
      <c r="N979" t="s">
        <v>228</v>
      </c>
      <c r="Q979">
        <v>2</v>
      </c>
      <c r="R979" s="24">
        <v>46032</v>
      </c>
      <c r="T979" t="s">
        <v>38</v>
      </c>
      <c r="V979" t="s">
        <v>921</v>
      </c>
      <c r="X979" t="s">
        <v>81</v>
      </c>
      <c r="Z979" t="s">
        <v>924</v>
      </c>
      <c r="AA979" t="s">
        <v>1066</v>
      </c>
      <c r="AC979" t="s">
        <v>1067</v>
      </c>
    </row>
    <row r="980" spans="1:29" hidden="1" x14ac:dyDescent="0.25">
      <c r="A980">
        <v>469</v>
      </c>
      <c r="B980" t="s">
        <v>636</v>
      </c>
      <c r="C980" t="s">
        <v>77</v>
      </c>
      <c r="D980" t="s">
        <v>633</v>
      </c>
      <c r="E980">
        <v>25</v>
      </c>
      <c r="F980">
        <v>500</v>
      </c>
      <c r="G980">
        <v>550</v>
      </c>
      <c r="H980">
        <v>2</v>
      </c>
      <c r="I980">
        <v>52.99</v>
      </c>
      <c r="J980">
        <v>105.98</v>
      </c>
      <c r="K980" t="s">
        <v>1064</v>
      </c>
      <c r="L980" t="s">
        <v>1065</v>
      </c>
      <c r="Q980">
        <v>2</v>
      </c>
      <c r="R980" s="24">
        <v>46032</v>
      </c>
      <c r="T980" t="s">
        <v>38</v>
      </c>
      <c r="V980" t="s">
        <v>921</v>
      </c>
      <c r="W980" t="s">
        <v>81</v>
      </c>
      <c r="Z980" t="s">
        <v>924</v>
      </c>
      <c r="AA980" t="s">
        <v>1066</v>
      </c>
      <c r="AC980" t="s">
        <v>1067</v>
      </c>
    </row>
    <row r="981" spans="1:29" hidden="1" x14ac:dyDescent="0.25">
      <c r="A981">
        <v>470</v>
      </c>
      <c r="B981" t="s">
        <v>641</v>
      </c>
      <c r="C981" t="s">
        <v>77</v>
      </c>
      <c r="D981" t="s">
        <v>1069</v>
      </c>
      <c r="E981">
        <v>25</v>
      </c>
      <c r="F981">
        <v>501</v>
      </c>
      <c r="G981">
        <v>744</v>
      </c>
      <c r="H981">
        <v>2</v>
      </c>
      <c r="I981">
        <v>45.45</v>
      </c>
      <c r="J981">
        <v>90.9</v>
      </c>
      <c r="K981" t="s">
        <v>1064</v>
      </c>
      <c r="L981" t="s">
        <v>1065</v>
      </c>
      <c r="N981" t="s">
        <v>228</v>
      </c>
      <c r="Q981">
        <v>2</v>
      </c>
      <c r="R981" s="24">
        <v>46032</v>
      </c>
      <c r="T981" t="s">
        <v>38</v>
      </c>
      <c r="V981" t="s">
        <v>921</v>
      </c>
      <c r="X981" t="s">
        <v>81</v>
      </c>
      <c r="Z981" t="s">
        <v>924</v>
      </c>
      <c r="AA981" t="s">
        <v>1066</v>
      </c>
      <c r="AC981" t="s">
        <v>1067</v>
      </c>
    </row>
    <row r="982" spans="1:29" hidden="1" x14ac:dyDescent="0.25">
      <c r="A982">
        <v>471</v>
      </c>
      <c r="B982" t="s">
        <v>632</v>
      </c>
      <c r="C982" t="s">
        <v>77</v>
      </c>
      <c r="D982" t="s">
        <v>633</v>
      </c>
      <c r="E982">
        <v>25</v>
      </c>
      <c r="F982">
        <v>500</v>
      </c>
      <c r="G982">
        <v>550</v>
      </c>
      <c r="H982">
        <v>1</v>
      </c>
      <c r="I982">
        <v>52.99</v>
      </c>
      <c r="J982">
        <v>52.99</v>
      </c>
      <c r="K982" t="s">
        <v>1064</v>
      </c>
      <c r="L982" t="s">
        <v>1065</v>
      </c>
      <c r="Q982">
        <v>2</v>
      </c>
      <c r="R982" s="24">
        <v>46032</v>
      </c>
      <c r="T982" t="s">
        <v>38</v>
      </c>
      <c r="V982" t="s">
        <v>921</v>
      </c>
      <c r="W982" t="s">
        <v>81</v>
      </c>
      <c r="Z982" t="s">
        <v>924</v>
      </c>
      <c r="AA982" t="s">
        <v>1066</v>
      </c>
      <c r="AC982" t="s">
        <v>1067</v>
      </c>
    </row>
    <row r="983" spans="1:29" hidden="1" x14ac:dyDescent="0.25">
      <c r="A983">
        <v>472</v>
      </c>
      <c r="B983" t="s">
        <v>627</v>
      </c>
      <c r="C983" t="s">
        <v>77</v>
      </c>
      <c r="D983" t="s">
        <v>1069</v>
      </c>
      <c r="E983">
        <v>25</v>
      </c>
      <c r="F983">
        <v>501</v>
      </c>
      <c r="G983">
        <v>744</v>
      </c>
      <c r="H983">
        <v>4</v>
      </c>
      <c r="I983">
        <v>45.45</v>
      </c>
      <c r="J983">
        <v>181.8</v>
      </c>
      <c r="K983" t="s">
        <v>1064</v>
      </c>
      <c r="L983" t="s">
        <v>1065</v>
      </c>
      <c r="N983" t="s">
        <v>228</v>
      </c>
      <c r="Q983">
        <v>2</v>
      </c>
      <c r="R983" s="24">
        <v>46032</v>
      </c>
      <c r="T983" t="s">
        <v>38</v>
      </c>
      <c r="V983" t="s">
        <v>921</v>
      </c>
      <c r="X983" t="s">
        <v>81</v>
      </c>
      <c r="Z983" t="s">
        <v>924</v>
      </c>
      <c r="AA983" t="s">
        <v>1066</v>
      </c>
      <c r="AC983" t="s">
        <v>1067</v>
      </c>
    </row>
    <row r="984" spans="1:29" hidden="1" x14ac:dyDescent="0.25">
      <c r="A984">
        <v>473</v>
      </c>
      <c r="B984" t="s">
        <v>663</v>
      </c>
      <c r="C984" t="s">
        <v>77</v>
      </c>
      <c r="D984" t="s">
        <v>664</v>
      </c>
      <c r="E984">
        <v>25</v>
      </c>
      <c r="F984">
        <v>250</v>
      </c>
      <c r="G984">
        <v>300</v>
      </c>
      <c r="H984">
        <v>4</v>
      </c>
      <c r="I984">
        <v>13.65</v>
      </c>
      <c r="J984">
        <v>54.6</v>
      </c>
      <c r="K984" t="s">
        <v>629</v>
      </c>
      <c r="L984" t="s">
        <v>1070</v>
      </c>
      <c r="N984" t="s">
        <v>228</v>
      </c>
      <c r="Q984">
        <v>2</v>
      </c>
      <c r="R984" s="24">
        <v>46032</v>
      </c>
      <c r="T984" t="s">
        <v>38</v>
      </c>
      <c r="V984" t="s">
        <v>921</v>
      </c>
      <c r="X984" t="s">
        <v>81</v>
      </c>
      <c r="Z984" t="s">
        <v>924</v>
      </c>
      <c r="AA984" t="s">
        <v>39</v>
      </c>
      <c r="AC984" t="s">
        <v>1071</v>
      </c>
    </row>
    <row r="985" spans="1:29" hidden="1" x14ac:dyDescent="0.25">
      <c r="A985">
        <v>474</v>
      </c>
      <c r="B985" t="s">
        <v>669</v>
      </c>
      <c r="C985" t="s">
        <v>77</v>
      </c>
      <c r="D985" t="s">
        <v>668</v>
      </c>
      <c r="E985">
        <v>25</v>
      </c>
      <c r="F985">
        <v>240</v>
      </c>
      <c r="G985">
        <v>300</v>
      </c>
      <c r="H985">
        <v>8</v>
      </c>
      <c r="I985">
        <v>13.74</v>
      </c>
      <c r="J985">
        <v>109.96</v>
      </c>
      <c r="K985" t="s">
        <v>629</v>
      </c>
      <c r="L985" t="s">
        <v>1070</v>
      </c>
      <c r="N985" t="s">
        <v>228</v>
      </c>
      <c r="Q985">
        <v>2</v>
      </c>
      <c r="R985" s="24">
        <v>46032</v>
      </c>
      <c r="T985" t="s">
        <v>38</v>
      </c>
      <c r="V985" t="s">
        <v>921</v>
      </c>
      <c r="X985" t="s">
        <v>81</v>
      </c>
      <c r="Z985" t="s">
        <v>924</v>
      </c>
      <c r="AA985" t="s">
        <v>39</v>
      </c>
      <c r="AC985" t="s">
        <v>1071</v>
      </c>
    </row>
    <row r="986" spans="1:29" hidden="1" x14ac:dyDescent="0.25">
      <c r="A986">
        <v>475</v>
      </c>
      <c r="B986" t="s">
        <v>667</v>
      </c>
      <c r="C986" t="s">
        <v>77</v>
      </c>
      <c r="D986" t="s">
        <v>668</v>
      </c>
      <c r="E986">
        <v>25</v>
      </c>
      <c r="F986">
        <v>240</v>
      </c>
      <c r="G986">
        <v>300</v>
      </c>
      <c r="H986">
        <v>5</v>
      </c>
      <c r="I986">
        <v>12.88</v>
      </c>
      <c r="J986">
        <v>64.41</v>
      </c>
      <c r="K986" t="s">
        <v>629</v>
      </c>
      <c r="L986" t="s">
        <v>1070</v>
      </c>
      <c r="N986" t="s">
        <v>228</v>
      </c>
      <c r="Q986">
        <v>2</v>
      </c>
      <c r="R986" s="24">
        <v>46032</v>
      </c>
      <c r="T986" t="s">
        <v>38</v>
      </c>
      <c r="V986" t="s">
        <v>921</v>
      </c>
      <c r="X986" t="s">
        <v>81</v>
      </c>
      <c r="Z986" t="s">
        <v>924</v>
      </c>
      <c r="AA986" t="s">
        <v>39</v>
      </c>
      <c r="AC986" t="s">
        <v>1071</v>
      </c>
    </row>
    <row r="987" spans="1:29" hidden="1" x14ac:dyDescent="0.25">
      <c r="A987">
        <v>476</v>
      </c>
      <c r="B987" t="s">
        <v>1068</v>
      </c>
      <c r="C987" t="s">
        <v>77</v>
      </c>
      <c r="D987" t="s">
        <v>635</v>
      </c>
      <c r="E987">
        <v>25</v>
      </c>
      <c r="F987">
        <v>120</v>
      </c>
      <c r="G987">
        <v>240</v>
      </c>
      <c r="H987">
        <v>2</v>
      </c>
      <c r="I987">
        <v>5.26</v>
      </c>
      <c r="J987">
        <v>10.53</v>
      </c>
      <c r="K987" t="s">
        <v>629</v>
      </c>
      <c r="L987" t="s">
        <v>1070</v>
      </c>
      <c r="N987" t="s">
        <v>228</v>
      </c>
      <c r="Q987">
        <v>2</v>
      </c>
      <c r="R987" s="24">
        <v>46032</v>
      </c>
      <c r="T987" t="s">
        <v>38</v>
      </c>
      <c r="V987" t="s">
        <v>921</v>
      </c>
      <c r="X987" t="s">
        <v>81</v>
      </c>
      <c r="Z987" t="s">
        <v>924</v>
      </c>
      <c r="AA987" t="s">
        <v>39</v>
      </c>
      <c r="AC987" t="s">
        <v>1071</v>
      </c>
    </row>
    <row r="988" spans="1:29" hidden="1" x14ac:dyDescent="0.25">
      <c r="A988">
        <v>477</v>
      </c>
      <c r="B988" t="s">
        <v>672</v>
      </c>
      <c r="C988" t="s">
        <v>77</v>
      </c>
      <c r="D988" t="s">
        <v>668</v>
      </c>
      <c r="E988">
        <v>25</v>
      </c>
      <c r="F988">
        <v>240</v>
      </c>
      <c r="G988">
        <v>300</v>
      </c>
      <c r="H988">
        <v>4</v>
      </c>
      <c r="I988">
        <v>13.74</v>
      </c>
      <c r="J988">
        <v>54.98</v>
      </c>
      <c r="K988" t="s">
        <v>629</v>
      </c>
      <c r="L988" t="s">
        <v>1070</v>
      </c>
      <c r="N988" t="s">
        <v>228</v>
      </c>
      <c r="Q988">
        <v>2</v>
      </c>
      <c r="R988" s="24">
        <v>46032</v>
      </c>
      <c r="T988" t="s">
        <v>38</v>
      </c>
      <c r="V988" t="s">
        <v>921</v>
      </c>
      <c r="X988" t="s">
        <v>81</v>
      </c>
      <c r="Z988" t="s">
        <v>924</v>
      </c>
      <c r="AA988" t="s">
        <v>39</v>
      </c>
      <c r="AC988" t="s">
        <v>1071</v>
      </c>
    </row>
    <row r="989" spans="1:29" hidden="1" x14ac:dyDescent="0.25">
      <c r="A989">
        <v>478</v>
      </c>
      <c r="B989" t="s">
        <v>670</v>
      </c>
      <c r="C989" t="s">
        <v>77</v>
      </c>
      <c r="D989" t="s">
        <v>668</v>
      </c>
      <c r="E989">
        <v>25</v>
      </c>
      <c r="F989">
        <v>240</v>
      </c>
      <c r="G989">
        <v>300</v>
      </c>
      <c r="H989">
        <v>4</v>
      </c>
      <c r="I989">
        <v>12.88</v>
      </c>
      <c r="J989">
        <v>51.53</v>
      </c>
      <c r="K989" t="s">
        <v>629</v>
      </c>
      <c r="L989" t="s">
        <v>1070</v>
      </c>
      <c r="N989" t="s">
        <v>228</v>
      </c>
      <c r="Q989">
        <v>2</v>
      </c>
      <c r="R989" s="24">
        <v>46032</v>
      </c>
      <c r="T989" t="s">
        <v>38</v>
      </c>
      <c r="V989" t="s">
        <v>921</v>
      </c>
      <c r="X989" t="s">
        <v>81</v>
      </c>
      <c r="Z989" t="s">
        <v>924</v>
      </c>
      <c r="AA989" t="s">
        <v>39</v>
      </c>
      <c r="AC989" t="s">
        <v>1071</v>
      </c>
    </row>
    <row r="990" spans="1:29" hidden="1" x14ac:dyDescent="0.25">
      <c r="A990">
        <v>479</v>
      </c>
      <c r="B990" t="s">
        <v>1072</v>
      </c>
      <c r="C990" t="s">
        <v>77</v>
      </c>
      <c r="D990" t="s">
        <v>635</v>
      </c>
      <c r="E990">
        <v>25</v>
      </c>
      <c r="F990">
        <v>120</v>
      </c>
      <c r="G990">
        <v>240</v>
      </c>
      <c r="H990">
        <v>4</v>
      </c>
      <c r="I990">
        <v>5.27</v>
      </c>
      <c r="J990">
        <v>21.07</v>
      </c>
      <c r="K990" t="s">
        <v>629</v>
      </c>
      <c r="L990" t="s">
        <v>1070</v>
      </c>
      <c r="N990" t="s">
        <v>228</v>
      </c>
      <c r="Q990">
        <v>2</v>
      </c>
      <c r="R990" s="24">
        <v>46032</v>
      </c>
      <c r="T990" t="s">
        <v>38</v>
      </c>
      <c r="V990" t="s">
        <v>921</v>
      </c>
      <c r="X990" t="s">
        <v>81</v>
      </c>
      <c r="Z990" t="s">
        <v>924</v>
      </c>
      <c r="AA990" t="s">
        <v>39</v>
      </c>
      <c r="AC990" t="s">
        <v>1071</v>
      </c>
    </row>
    <row r="991" spans="1:29" hidden="1" x14ac:dyDescent="0.25">
      <c r="A991">
        <v>480</v>
      </c>
      <c r="B991" t="s">
        <v>654</v>
      </c>
      <c r="C991" t="s">
        <v>77</v>
      </c>
      <c r="D991" t="s">
        <v>651</v>
      </c>
      <c r="E991">
        <v>25</v>
      </c>
      <c r="F991">
        <v>200</v>
      </c>
      <c r="G991">
        <v>200</v>
      </c>
      <c r="H991">
        <v>2</v>
      </c>
      <c r="I991">
        <v>7.85</v>
      </c>
      <c r="J991">
        <v>15.7</v>
      </c>
      <c r="K991" t="s">
        <v>629</v>
      </c>
      <c r="L991" t="s">
        <v>1070</v>
      </c>
      <c r="Q991">
        <v>2</v>
      </c>
      <c r="R991" s="24">
        <v>46032</v>
      </c>
      <c r="T991" t="s">
        <v>38</v>
      </c>
      <c r="V991" t="s">
        <v>921</v>
      </c>
      <c r="W991" t="s">
        <v>81</v>
      </c>
      <c r="Z991" t="s">
        <v>924</v>
      </c>
      <c r="AA991" t="s">
        <v>39</v>
      </c>
      <c r="AC991" t="s">
        <v>1071</v>
      </c>
    </row>
    <row r="992" spans="1:29" hidden="1" x14ac:dyDescent="0.25">
      <c r="A992">
        <v>481</v>
      </c>
      <c r="B992" t="s">
        <v>656</v>
      </c>
      <c r="C992" t="s">
        <v>77</v>
      </c>
      <c r="D992" t="s">
        <v>657</v>
      </c>
      <c r="E992">
        <v>25</v>
      </c>
      <c r="F992">
        <v>443</v>
      </c>
      <c r="G992">
        <v>500</v>
      </c>
      <c r="H992">
        <v>2</v>
      </c>
      <c r="I992">
        <v>43.47</v>
      </c>
      <c r="J992">
        <v>86.94</v>
      </c>
      <c r="K992" t="s">
        <v>629</v>
      </c>
      <c r="L992" t="s">
        <v>1070</v>
      </c>
      <c r="Q992">
        <v>2</v>
      </c>
      <c r="R992" s="24">
        <v>46032</v>
      </c>
      <c r="T992" t="s">
        <v>38</v>
      </c>
      <c r="V992" t="s">
        <v>921</v>
      </c>
      <c r="W992" t="s">
        <v>81</v>
      </c>
      <c r="Z992" t="s">
        <v>924</v>
      </c>
      <c r="AA992" t="s">
        <v>39</v>
      </c>
      <c r="AC992" t="s">
        <v>1071</v>
      </c>
    </row>
    <row r="993" spans="1:29" hidden="1" x14ac:dyDescent="0.25">
      <c r="A993">
        <v>482</v>
      </c>
      <c r="B993" t="s">
        <v>655</v>
      </c>
      <c r="C993" t="s">
        <v>77</v>
      </c>
      <c r="D993" t="s">
        <v>651</v>
      </c>
      <c r="E993">
        <v>25</v>
      </c>
      <c r="F993">
        <v>200</v>
      </c>
      <c r="G993">
        <v>200</v>
      </c>
      <c r="H993">
        <v>2</v>
      </c>
      <c r="I993">
        <v>7.85</v>
      </c>
      <c r="J993">
        <v>15.7</v>
      </c>
      <c r="K993" t="s">
        <v>629</v>
      </c>
      <c r="L993" t="s">
        <v>1070</v>
      </c>
      <c r="Q993">
        <v>2</v>
      </c>
      <c r="R993" s="24">
        <v>46032</v>
      </c>
      <c r="T993" t="s">
        <v>38</v>
      </c>
      <c r="V993" t="s">
        <v>921</v>
      </c>
      <c r="W993" t="s">
        <v>81</v>
      </c>
      <c r="Z993" t="s">
        <v>924</v>
      </c>
      <c r="AA993" t="s">
        <v>39</v>
      </c>
      <c r="AC993" t="s">
        <v>1071</v>
      </c>
    </row>
    <row r="994" spans="1:29" hidden="1" x14ac:dyDescent="0.25">
      <c r="A994">
        <v>483</v>
      </c>
      <c r="B994" t="s">
        <v>671</v>
      </c>
      <c r="C994" t="s">
        <v>77</v>
      </c>
      <c r="D994" t="s">
        <v>651</v>
      </c>
      <c r="E994">
        <v>25</v>
      </c>
      <c r="F994">
        <v>200</v>
      </c>
      <c r="G994">
        <v>200</v>
      </c>
      <c r="H994">
        <v>2</v>
      </c>
      <c r="I994">
        <v>7.85</v>
      </c>
      <c r="J994">
        <v>15.7</v>
      </c>
      <c r="K994" t="s">
        <v>629</v>
      </c>
      <c r="L994" t="s">
        <v>1070</v>
      </c>
      <c r="Q994">
        <v>2</v>
      </c>
      <c r="R994" s="24">
        <v>46032</v>
      </c>
      <c r="T994" t="s">
        <v>38</v>
      </c>
      <c r="V994" t="s">
        <v>921</v>
      </c>
      <c r="W994" t="s">
        <v>81</v>
      </c>
      <c r="Z994" t="s">
        <v>924</v>
      </c>
      <c r="AA994" t="s">
        <v>39</v>
      </c>
      <c r="AC994" t="s">
        <v>1071</v>
      </c>
    </row>
    <row r="995" spans="1:29" hidden="1" x14ac:dyDescent="0.25">
      <c r="A995">
        <v>484</v>
      </c>
      <c r="B995" t="s">
        <v>658</v>
      </c>
      <c r="C995" t="s">
        <v>77</v>
      </c>
      <c r="D995" t="s">
        <v>657</v>
      </c>
      <c r="E995">
        <v>25</v>
      </c>
      <c r="F995">
        <v>443</v>
      </c>
      <c r="G995">
        <v>500</v>
      </c>
      <c r="H995">
        <v>2</v>
      </c>
      <c r="I995">
        <v>43.47</v>
      </c>
      <c r="J995">
        <v>86.94</v>
      </c>
      <c r="K995" t="s">
        <v>629</v>
      </c>
      <c r="L995" t="s">
        <v>1070</v>
      </c>
      <c r="Q995">
        <v>2</v>
      </c>
      <c r="R995" s="24">
        <v>46032</v>
      </c>
      <c r="T995" t="s">
        <v>38</v>
      </c>
      <c r="V995" t="s">
        <v>921</v>
      </c>
      <c r="W995" t="s">
        <v>81</v>
      </c>
      <c r="Z995" t="s">
        <v>924</v>
      </c>
      <c r="AA995" t="s">
        <v>39</v>
      </c>
      <c r="AC995" t="s">
        <v>1071</v>
      </c>
    </row>
    <row r="996" spans="1:29" hidden="1" x14ac:dyDescent="0.25">
      <c r="A996">
        <v>485</v>
      </c>
      <c r="B996" t="s">
        <v>665</v>
      </c>
      <c r="C996" t="s">
        <v>77</v>
      </c>
      <c r="D996" t="s">
        <v>660</v>
      </c>
      <c r="E996">
        <v>25</v>
      </c>
      <c r="F996">
        <v>375</v>
      </c>
      <c r="G996">
        <v>500</v>
      </c>
      <c r="H996">
        <v>1</v>
      </c>
      <c r="I996">
        <v>35.82</v>
      </c>
      <c r="J996">
        <v>35.82</v>
      </c>
      <c r="K996" t="s">
        <v>629</v>
      </c>
      <c r="L996" t="s">
        <v>1070</v>
      </c>
      <c r="Q996">
        <v>2</v>
      </c>
      <c r="R996" s="24">
        <v>46032</v>
      </c>
      <c r="T996" t="s">
        <v>38</v>
      </c>
      <c r="V996" t="s">
        <v>921</v>
      </c>
      <c r="W996" t="s">
        <v>81</v>
      </c>
      <c r="Z996" t="s">
        <v>924</v>
      </c>
      <c r="AA996" t="s">
        <v>39</v>
      </c>
      <c r="AC996" t="s">
        <v>1071</v>
      </c>
    </row>
    <row r="997" spans="1:29" hidden="1" x14ac:dyDescent="0.25">
      <c r="A997">
        <v>486</v>
      </c>
      <c r="B997" t="s">
        <v>662</v>
      </c>
      <c r="C997" t="s">
        <v>77</v>
      </c>
      <c r="D997" t="s">
        <v>660</v>
      </c>
      <c r="E997">
        <v>25</v>
      </c>
      <c r="F997">
        <v>375</v>
      </c>
      <c r="G997">
        <v>500</v>
      </c>
      <c r="H997">
        <v>2</v>
      </c>
      <c r="I997">
        <v>35.82</v>
      </c>
      <c r="J997">
        <v>71.63</v>
      </c>
      <c r="K997" t="s">
        <v>629</v>
      </c>
      <c r="L997" t="s">
        <v>1070</v>
      </c>
      <c r="Q997">
        <v>2</v>
      </c>
      <c r="R997" s="24">
        <v>46032</v>
      </c>
      <c r="T997" t="s">
        <v>38</v>
      </c>
      <c r="V997" t="s">
        <v>921</v>
      </c>
      <c r="W997" t="s">
        <v>81</v>
      </c>
      <c r="Z997" t="s">
        <v>924</v>
      </c>
      <c r="AA997" t="s">
        <v>39</v>
      </c>
      <c r="AC997" t="s">
        <v>1071</v>
      </c>
    </row>
    <row r="998" spans="1:29" hidden="1" x14ac:dyDescent="0.25">
      <c r="A998">
        <v>487</v>
      </c>
      <c r="B998" t="s">
        <v>661</v>
      </c>
      <c r="C998" t="s">
        <v>77</v>
      </c>
      <c r="D998" t="s">
        <v>660</v>
      </c>
      <c r="E998">
        <v>25</v>
      </c>
      <c r="F998">
        <v>375</v>
      </c>
      <c r="G998">
        <v>500</v>
      </c>
      <c r="H998">
        <v>1</v>
      </c>
      <c r="I998">
        <v>35.82</v>
      </c>
      <c r="J998">
        <v>35.82</v>
      </c>
      <c r="K998" t="s">
        <v>629</v>
      </c>
      <c r="L998" t="s">
        <v>1070</v>
      </c>
      <c r="Q998">
        <v>2</v>
      </c>
      <c r="R998" s="24">
        <v>46032</v>
      </c>
      <c r="T998" t="s">
        <v>38</v>
      </c>
      <c r="V998" t="s">
        <v>921</v>
      </c>
      <c r="W998" t="s">
        <v>81</v>
      </c>
      <c r="Z998" t="s">
        <v>924</v>
      </c>
      <c r="AA998" t="s">
        <v>39</v>
      </c>
      <c r="AC998" t="s">
        <v>1071</v>
      </c>
    </row>
    <row r="999" spans="1:29" hidden="1" x14ac:dyDescent="0.25">
      <c r="A999">
        <v>488</v>
      </c>
      <c r="B999" t="s">
        <v>666</v>
      </c>
      <c r="C999" t="s">
        <v>77</v>
      </c>
      <c r="D999" t="s">
        <v>664</v>
      </c>
      <c r="E999">
        <v>25</v>
      </c>
      <c r="F999">
        <v>250</v>
      </c>
      <c r="G999">
        <v>300</v>
      </c>
      <c r="H999">
        <v>8</v>
      </c>
      <c r="I999">
        <v>13.16</v>
      </c>
      <c r="J999">
        <v>105.25</v>
      </c>
      <c r="K999" t="s">
        <v>629</v>
      </c>
      <c r="L999" t="s">
        <v>1070</v>
      </c>
      <c r="N999" t="s">
        <v>228</v>
      </c>
      <c r="Q999">
        <v>2</v>
      </c>
      <c r="R999" s="24">
        <v>46032</v>
      </c>
      <c r="T999" t="s">
        <v>38</v>
      </c>
      <c r="V999" t="s">
        <v>921</v>
      </c>
      <c r="X999" t="s">
        <v>81</v>
      </c>
      <c r="Z999" t="s">
        <v>924</v>
      </c>
      <c r="AA999" t="s">
        <v>39</v>
      </c>
      <c r="AC999" t="s">
        <v>1071</v>
      </c>
    </row>
    <row r="1000" spans="1:29" hidden="1" x14ac:dyDescent="0.25">
      <c r="A1000">
        <v>489</v>
      </c>
      <c r="B1000" t="s">
        <v>659</v>
      </c>
      <c r="C1000" t="s">
        <v>77</v>
      </c>
      <c r="D1000" t="s">
        <v>660</v>
      </c>
      <c r="E1000">
        <v>25</v>
      </c>
      <c r="F1000">
        <v>375</v>
      </c>
      <c r="G1000">
        <v>500</v>
      </c>
      <c r="H1000">
        <v>2</v>
      </c>
      <c r="I1000">
        <v>35.82</v>
      </c>
      <c r="J1000">
        <v>71.63</v>
      </c>
      <c r="K1000" t="s">
        <v>629</v>
      </c>
      <c r="L1000" t="s">
        <v>1070</v>
      </c>
      <c r="Q1000">
        <v>2</v>
      </c>
      <c r="R1000" s="24">
        <v>46032</v>
      </c>
      <c r="T1000" t="s">
        <v>38</v>
      </c>
      <c r="V1000" t="s">
        <v>921</v>
      </c>
      <c r="W1000" t="s">
        <v>81</v>
      </c>
      <c r="Z1000" t="s">
        <v>924</v>
      </c>
      <c r="AA1000" t="s">
        <v>39</v>
      </c>
      <c r="AC1000" t="s">
        <v>1071</v>
      </c>
    </row>
    <row r="1001" spans="1:29" hidden="1" x14ac:dyDescent="0.25">
      <c r="A1001">
        <v>490</v>
      </c>
      <c r="B1001" t="s">
        <v>673</v>
      </c>
      <c r="C1001" t="s">
        <v>77</v>
      </c>
      <c r="D1001" t="s">
        <v>674</v>
      </c>
      <c r="E1001">
        <v>30</v>
      </c>
      <c r="F1001">
        <v>390</v>
      </c>
      <c r="G1001">
        <v>670</v>
      </c>
      <c r="H1001">
        <v>2</v>
      </c>
      <c r="I1001">
        <v>55.65</v>
      </c>
      <c r="J1001">
        <v>111.3</v>
      </c>
      <c r="K1001" t="s">
        <v>1073</v>
      </c>
      <c r="L1001" t="s">
        <v>1074</v>
      </c>
      <c r="N1001" t="s">
        <v>228</v>
      </c>
      <c r="Q1001">
        <v>2</v>
      </c>
      <c r="R1001" s="24">
        <v>46032</v>
      </c>
      <c r="T1001" t="s">
        <v>38</v>
      </c>
      <c r="V1001" t="s">
        <v>921</v>
      </c>
      <c r="X1001" t="s">
        <v>81</v>
      </c>
      <c r="Z1001" t="s">
        <v>924</v>
      </c>
      <c r="AA1001" t="s">
        <v>1075</v>
      </c>
      <c r="AC1001" t="s">
        <v>1076</v>
      </c>
    </row>
    <row r="1002" spans="1:29" hidden="1" x14ac:dyDescent="0.25">
      <c r="A1002">
        <v>491</v>
      </c>
      <c r="B1002" t="s">
        <v>678</v>
      </c>
      <c r="C1002" t="s">
        <v>77</v>
      </c>
      <c r="D1002" t="s">
        <v>679</v>
      </c>
      <c r="E1002">
        <v>30</v>
      </c>
      <c r="F1002">
        <v>290</v>
      </c>
      <c r="G1002">
        <v>670</v>
      </c>
      <c r="H1002">
        <v>4</v>
      </c>
      <c r="I1002">
        <v>41.82</v>
      </c>
      <c r="J1002">
        <v>167.26</v>
      </c>
      <c r="K1002" t="s">
        <v>1073</v>
      </c>
      <c r="L1002" t="s">
        <v>1074</v>
      </c>
      <c r="N1002" t="s">
        <v>228</v>
      </c>
      <c r="Q1002">
        <v>2</v>
      </c>
      <c r="R1002" s="24">
        <v>46032</v>
      </c>
      <c r="T1002" t="s">
        <v>38</v>
      </c>
      <c r="V1002" t="s">
        <v>921</v>
      </c>
      <c r="X1002" t="s">
        <v>81</v>
      </c>
      <c r="Z1002" t="s">
        <v>924</v>
      </c>
      <c r="AA1002" t="s">
        <v>1075</v>
      </c>
      <c r="AC1002" t="s">
        <v>1076</v>
      </c>
    </row>
    <row r="1003" spans="1:29" hidden="1" x14ac:dyDescent="0.25">
      <c r="A1003">
        <v>492</v>
      </c>
      <c r="B1003" t="s">
        <v>680</v>
      </c>
      <c r="C1003" t="s">
        <v>77</v>
      </c>
      <c r="D1003" t="s">
        <v>674</v>
      </c>
      <c r="E1003">
        <v>30</v>
      </c>
      <c r="F1003">
        <v>390</v>
      </c>
      <c r="G1003">
        <v>670</v>
      </c>
      <c r="H1003">
        <v>2</v>
      </c>
      <c r="I1003">
        <v>55.65</v>
      </c>
      <c r="J1003">
        <v>111.3</v>
      </c>
      <c r="K1003" t="s">
        <v>1073</v>
      </c>
      <c r="L1003" t="s">
        <v>1074</v>
      </c>
      <c r="N1003" t="s">
        <v>228</v>
      </c>
      <c r="Q1003">
        <v>2</v>
      </c>
      <c r="R1003" s="24">
        <v>46032</v>
      </c>
      <c r="T1003" t="s">
        <v>38</v>
      </c>
      <c r="V1003" t="s">
        <v>921</v>
      </c>
      <c r="X1003" t="s">
        <v>81</v>
      </c>
      <c r="Z1003" t="s">
        <v>924</v>
      </c>
      <c r="AA1003" t="s">
        <v>1075</v>
      </c>
      <c r="AC1003" t="s">
        <v>1076</v>
      </c>
    </row>
    <row r="1004" spans="1:29" hidden="1" x14ac:dyDescent="0.25">
      <c r="A1004">
        <v>493</v>
      </c>
      <c r="B1004" t="s">
        <v>681</v>
      </c>
      <c r="C1004" t="s">
        <v>77</v>
      </c>
      <c r="D1004" t="s">
        <v>679</v>
      </c>
      <c r="E1004">
        <v>30</v>
      </c>
      <c r="F1004">
        <v>290</v>
      </c>
      <c r="G1004">
        <v>670</v>
      </c>
      <c r="H1004">
        <v>4</v>
      </c>
      <c r="I1004">
        <v>41.82</v>
      </c>
      <c r="J1004">
        <v>167.26</v>
      </c>
      <c r="K1004" t="s">
        <v>1073</v>
      </c>
      <c r="L1004" t="s">
        <v>1074</v>
      </c>
      <c r="N1004" t="s">
        <v>228</v>
      </c>
      <c r="Q1004">
        <v>2</v>
      </c>
      <c r="R1004" s="24">
        <v>46032</v>
      </c>
      <c r="T1004" t="s">
        <v>38</v>
      </c>
      <c r="V1004" t="s">
        <v>921</v>
      </c>
      <c r="X1004" t="s">
        <v>81</v>
      </c>
      <c r="Z1004" t="s">
        <v>924</v>
      </c>
      <c r="AA1004" t="s">
        <v>1075</v>
      </c>
      <c r="AC1004" t="s">
        <v>1076</v>
      </c>
    </row>
    <row r="1005" spans="1:29" hidden="1" x14ac:dyDescent="0.25">
      <c r="A1005">
        <v>494</v>
      </c>
      <c r="B1005" t="s">
        <v>682</v>
      </c>
      <c r="C1005" t="s">
        <v>77</v>
      </c>
      <c r="D1005" t="s">
        <v>674</v>
      </c>
      <c r="E1005">
        <v>30</v>
      </c>
      <c r="F1005">
        <v>390</v>
      </c>
      <c r="G1005">
        <v>670</v>
      </c>
      <c r="H1005">
        <v>2</v>
      </c>
      <c r="I1005">
        <v>55.65</v>
      </c>
      <c r="J1005">
        <v>111.3</v>
      </c>
      <c r="K1005" t="s">
        <v>1073</v>
      </c>
      <c r="L1005" t="s">
        <v>1074</v>
      </c>
      <c r="N1005" t="s">
        <v>228</v>
      </c>
      <c r="Q1005">
        <v>2</v>
      </c>
      <c r="R1005" s="24">
        <v>46032</v>
      </c>
      <c r="T1005" t="s">
        <v>38</v>
      </c>
      <c r="V1005" t="s">
        <v>921</v>
      </c>
      <c r="X1005" t="s">
        <v>81</v>
      </c>
      <c r="Z1005" t="s">
        <v>924</v>
      </c>
      <c r="AA1005" t="s">
        <v>1075</v>
      </c>
      <c r="AC1005" t="s">
        <v>1076</v>
      </c>
    </row>
    <row r="1006" spans="1:29" hidden="1" x14ac:dyDescent="0.25">
      <c r="A1006">
        <v>495</v>
      </c>
      <c r="B1006" t="s">
        <v>683</v>
      </c>
      <c r="C1006" t="s">
        <v>77</v>
      </c>
      <c r="D1006" t="s">
        <v>679</v>
      </c>
      <c r="E1006">
        <v>30</v>
      </c>
      <c r="F1006">
        <v>290</v>
      </c>
      <c r="G1006">
        <v>670</v>
      </c>
      <c r="H1006">
        <v>4</v>
      </c>
      <c r="I1006">
        <v>41.82</v>
      </c>
      <c r="J1006">
        <v>167.26</v>
      </c>
      <c r="K1006" t="s">
        <v>1073</v>
      </c>
      <c r="L1006" t="s">
        <v>1074</v>
      </c>
      <c r="N1006" t="s">
        <v>228</v>
      </c>
      <c r="Q1006">
        <v>2</v>
      </c>
      <c r="R1006" s="24">
        <v>46032</v>
      </c>
      <c r="T1006" t="s">
        <v>38</v>
      </c>
      <c r="V1006" t="s">
        <v>921</v>
      </c>
      <c r="X1006" t="s">
        <v>81</v>
      </c>
      <c r="Z1006" t="s">
        <v>924</v>
      </c>
      <c r="AA1006" t="s">
        <v>1075</v>
      </c>
      <c r="AC1006" t="s">
        <v>1076</v>
      </c>
    </row>
    <row r="1007" spans="1:29" hidden="1" x14ac:dyDescent="0.25">
      <c r="A1007">
        <v>496</v>
      </c>
      <c r="B1007" t="s">
        <v>684</v>
      </c>
      <c r="C1007" t="s">
        <v>77</v>
      </c>
      <c r="D1007" t="s">
        <v>674</v>
      </c>
      <c r="E1007">
        <v>30</v>
      </c>
      <c r="F1007">
        <v>390</v>
      </c>
      <c r="G1007">
        <v>670</v>
      </c>
      <c r="H1007">
        <v>2</v>
      </c>
      <c r="I1007">
        <v>55.65</v>
      </c>
      <c r="J1007">
        <v>111.3</v>
      </c>
      <c r="K1007" t="s">
        <v>1073</v>
      </c>
      <c r="L1007" t="s">
        <v>1074</v>
      </c>
      <c r="N1007" t="s">
        <v>228</v>
      </c>
      <c r="Q1007">
        <v>2</v>
      </c>
      <c r="R1007" s="24">
        <v>46032</v>
      </c>
      <c r="T1007" t="s">
        <v>38</v>
      </c>
      <c r="V1007" t="s">
        <v>921</v>
      </c>
      <c r="X1007" t="s">
        <v>81</v>
      </c>
      <c r="Z1007" t="s">
        <v>924</v>
      </c>
      <c r="AA1007" t="s">
        <v>1075</v>
      </c>
      <c r="AC1007" t="s">
        <v>1076</v>
      </c>
    </row>
    <row r="1008" spans="1:29" hidden="1" x14ac:dyDescent="0.25">
      <c r="A1008">
        <v>497</v>
      </c>
      <c r="B1008" t="s">
        <v>685</v>
      </c>
      <c r="C1008" t="s">
        <v>77</v>
      </c>
      <c r="D1008" t="s">
        <v>679</v>
      </c>
      <c r="E1008">
        <v>30</v>
      </c>
      <c r="F1008">
        <v>290</v>
      </c>
      <c r="G1008">
        <v>670</v>
      </c>
      <c r="H1008">
        <v>4</v>
      </c>
      <c r="I1008">
        <v>41.82</v>
      </c>
      <c r="J1008">
        <v>167.26</v>
      </c>
      <c r="K1008" t="s">
        <v>1073</v>
      </c>
      <c r="L1008" t="s">
        <v>1074</v>
      </c>
      <c r="N1008" t="s">
        <v>228</v>
      </c>
      <c r="Q1008">
        <v>2</v>
      </c>
      <c r="R1008" s="24">
        <v>46032</v>
      </c>
      <c r="T1008" t="s">
        <v>38</v>
      </c>
      <c r="V1008" t="s">
        <v>921</v>
      </c>
      <c r="X1008" t="s">
        <v>81</v>
      </c>
      <c r="Z1008" t="s">
        <v>924</v>
      </c>
      <c r="AA1008" t="s">
        <v>1075</v>
      </c>
      <c r="AC1008" t="s">
        <v>1076</v>
      </c>
    </row>
    <row r="1009" spans="1:29" hidden="1" x14ac:dyDescent="0.25">
      <c r="A1009">
        <v>498</v>
      </c>
      <c r="B1009" t="s">
        <v>688</v>
      </c>
      <c r="C1009" t="s">
        <v>77</v>
      </c>
      <c r="D1009" t="s">
        <v>689</v>
      </c>
      <c r="E1009">
        <v>30</v>
      </c>
      <c r="F1009">
        <v>260</v>
      </c>
      <c r="G1009">
        <v>400</v>
      </c>
      <c r="H1009">
        <v>2</v>
      </c>
      <c r="I1009">
        <v>16.329999999999998</v>
      </c>
      <c r="J1009">
        <v>32.659999999999997</v>
      </c>
      <c r="K1009" t="s">
        <v>1073</v>
      </c>
      <c r="L1009" t="s">
        <v>1074</v>
      </c>
      <c r="N1009" t="s">
        <v>228</v>
      </c>
      <c r="Q1009">
        <v>2</v>
      </c>
      <c r="R1009" s="24">
        <v>46032</v>
      </c>
      <c r="T1009" t="s">
        <v>38</v>
      </c>
      <c r="V1009" t="s">
        <v>921</v>
      </c>
      <c r="X1009" t="s">
        <v>81</v>
      </c>
      <c r="Z1009" t="s">
        <v>924</v>
      </c>
      <c r="AA1009" t="s">
        <v>1075</v>
      </c>
      <c r="AC1009" t="s">
        <v>1076</v>
      </c>
    </row>
    <row r="1010" spans="1:29" hidden="1" x14ac:dyDescent="0.25">
      <c r="A1010">
        <v>499</v>
      </c>
      <c r="B1010" t="s">
        <v>690</v>
      </c>
      <c r="C1010" t="s">
        <v>77</v>
      </c>
      <c r="D1010" t="s">
        <v>691</v>
      </c>
      <c r="E1010">
        <v>30</v>
      </c>
      <c r="F1010">
        <v>69</v>
      </c>
      <c r="G1010">
        <v>100</v>
      </c>
      <c r="H1010">
        <v>2</v>
      </c>
      <c r="I1010">
        <v>1.62</v>
      </c>
      <c r="J1010">
        <v>3.25</v>
      </c>
      <c r="K1010" t="s">
        <v>1073</v>
      </c>
      <c r="L1010" t="s">
        <v>1074</v>
      </c>
      <c r="Q1010">
        <v>2</v>
      </c>
      <c r="R1010" s="24">
        <v>46032</v>
      </c>
      <c r="T1010" t="s">
        <v>38</v>
      </c>
      <c r="V1010" t="s">
        <v>921</v>
      </c>
      <c r="W1010" t="s">
        <v>81</v>
      </c>
      <c r="Z1010" t="s">
        <v>924</v>
      </c>
      <c r="AA1010" t="s">
        <v>1075</v>
      </c>
      <c r="AC1010" t="s">
        <v>1076</v>
      </c>
    </row>
    <row r="1011" spans="1:29" hidden="1" x14ac:dyDescent="0.25">
      <c r="A1011">
        <v>500</v>
      </c>
      <c r="B1011" t="s">
        <v>693</v>
      </c>
      <c r="C1011" t="s">
        <v>77</v>
      </c>
      <c r="D1011" t="s">
        <v>691</v>
      </c>
      <c r="E1011">
        <v>30</v>
      </c>
      <c r="F1011">
        <v>69</v>
      </c>
      <c r="G1011">
        <v>100</v>
      </c>
      <c r="H1011">
        <v>4</v>
      </c>
      <c r="I1011">
        <v>1.62</v>
      </c>
      <c r="J1011">
        <v>6.5</v>
      </c>
      <c r="K1011" t="s">
        <v>1073</v>
      </c>
      <c r="L1011" t="s">
        <v>1074</v>
      </c>
      <c r="Q1011">
        <v>2</v>
      </c>
      <c r="R1011" s="24">
        <v>46032</v>
      </c>
      <c r="T1011" t="s">
        <v>38</v>
      </c>
      <c r="V1011" t="s">
        <v>921</v>
      </c>
      <c r="W1011" t="s">
        <v>81</v>
      </c>
      <c r="Z1011" t="s">
        <v>924</v>
      </c>
      <c r="AA1011" t="s">
        <v>1075</v>
      </c>
      <c r="AC1011" t="s">
        <v>1076</v>
      </c>
    </row>
    <row r="1012" spans="1:29" hidden="1" x14ac:dyDescent="0.25">
      <c r="A1012">
        <v>501</v>
      </c>
      <c r="B1012" t="s">
        <v>695</v>
      </c>
      <c r="C1012" t="s">
        <v>77</v>
      </c>
      <c r="D1012" t="s">
        <v>689</v>
      </c>
      <c r="E1012">
        <v>30</v>
      </c>
      <c r="F1012">
        <v>260</v>
      </c>
      <c r="G1012">
        <v>400</v>
      </c>
      <c r="H1012">
        <v>2</v>
      </c>
      <c r="I1012">
        <v>16.329999999999998</v>
      </c>
      <c r="J1012">
        <v>32.659999999999997</v>
      </c>
      <c r="K1012" t="s">
        <v>1073</v>
      </c>
      <c r="L1012" t="s">
        <v>1074</v>
      </c>
      <c r="N1012" t="s">
        <v>228</v>
      </c>
      <c r="Q1012">
        <v>2</v>
      </c>
      <c r="R1012" s="24">
        <v>46032</v>
      </c>
      <c r="T1012" t="s">
        <v>38</v>
      </c>
      <c r="V1012" t="s">
        <v>921</v>
      </c>
      <c r="X1012" t="s">
        <v>81</v>
      </c>
      <c r="Z1012" t="s">
        <v>924</v>
      </c>
      <c r="AA1012" t="s">
        <v>1075</v>
      </c>
      <c r="AC1012" t="s">
        <v>1076</v>
      </c>
    </row>
    <row r="1013" spans="1:29" hidden="1" x14ac:dyDescent="0.25">
      <c r="A1013">
        <v>502</v>
      </c>
      <c r="B1013" t="s">
        <v>696</v>
      </c>
      <c r="C1013" t="s">
        <v>77</v>
      </c>
      <c r="D1013" t="s">
        <v>691</v>
      </c>
      <c r="E1013">
        <v>30</v>
      </c>
      <c r="F1013">
        <v>69</v>
      </c>
      <c r="G1013">
        <v>100</v>
      </c>
      <c r="H1013">
        <v>2</v>
      </c>
      <c r="I1013">
        <v>1.62</v>
      </c>
      <c r="J1013">
        <v>3.25</v>
      </c>
      <c r="K1013" t="s">
        <v>1073</v>
      </c>
      <c r="L1013" t="s">
        <v>1074</v>
      </c>
      <c r="Q1013">
        <v>2</v>
      </c>
      <c r="R1013" s="24">
        <v>46032</v>
      </c>
      <c r="T1013" t="s">
        <v>38</v>
      </c>
      <c r="V1013" t="s">
        <v>921</v>
      </c>
      <c r="W1013" t="s">
        <v>81</v>
      </c>
      <c r="Z1013" t="s">
        <v>924</v>
      </c>
      <c r="AA1013" t="s">
        <v>1075</v>
      </c>
      <c r="AC1013" t="s">
        <v>1076</v>
      </c>
    </row>
    <row r="1014" spans="1:29" hidden="1" x14ac:dyDescent="0.25">
      <c r="A1014">
        <v>503</v>
      </c>
      <c r="B1014" t="s">
        <v>697</v>
      </c>
      <c r="C1014" t="s">
        <v>77</v>
      </c>
      <c r="D1014" t="s">
        <v>698</v>
      </c>
      <c r="E1014">
        <v>30</v>
      </c>
      <c r="F1014">
        <v>275</v>
      </c>
      <c r="G1014">
        <v>300</v>
      </c>
      <c r="H1014">
        <v>4</v>
      </c>
      <c r="I1014">
        <v>14.01</v>
      </c>
      <c r="J1014">
        <v>56.03</v>
      </c>
      <c r="K1014" t="s">
        <v>1073</v>
      </c>
      <c r="L1014" t="s">
        <v>1074</v>
      </c>
      <c r="N1014" t="s">
        <v>228</v>
      </c>
      <c r="Q1014">
        <v>2</v>
      </c>
      <c r="R1014" s="24">
        <v>46032</v>
      </c>
      <c r="T1014" t="s">
        <v>38</v>
      </c>
      <c r="V1014" t="s">
        <v>921</v>
      </c>
      <c r="X1014" t="s">
        <v>81</v>
      </c>
      <c r="Z1014" t="s">
        <v>924</v>
      </c>
      <c r="AA1014" t="s">
        <v>1075</v>
      </c>
      <c r="AC1014" t="s">
        <v>1076</v>
      </c>
    </row>
    <row r="1015" spans="1:29" hidden="1" x14ac:dyDescent="0.25">
      <c r="A1015">
        <v>504</v>
      </c>
      <c r="B1015" t="s">
        <v>686</v>
      </c>
      <c r="C1015" t="s">
        <v>77</v>
      </c>
      <c r="D1015" t="s">
        <v>687</v>
      </c>
      <c r="E1015">
        <v>30</v>
      </c>
      <c r="F1015">
        <v>315</v>
      </c>
      <c r="G1015">
        <v>460</v>
      </c>
      <c r="H1015">
        <v>2</v>
      </c>
      <c r="I1015">
        <v>22.86</v>
      </c>
      <c r="J1015">
        <v>45.73</v>
      </c>
      <c r="K1015" t="s">
        <v>1073</v>
      </c>
      <c r="L1015" t="s">
        <v>1074</v>
      </c>
      <c r="N1015" t="s">
        <v>228</v>
      </c>
      <c r="Q1015">
        <v>2</v>
      </c>
      <c r="R1015" s="24">
        <v>46032</v>
      </c>
      <c r="T1015" t="s">
        <v>38</v>
      </c>
      <c r="V1015" t="s">
        <v>921</v>
      </c>
      <c r="X1015" t="s">
        <v>81</v>
      </c>
      <c r="Z1015" t="s">
        <v>924</v>
      </c>
      <c r="AA1015" t="s">
        <v>1075</v>
      </c>
      <c r="AC1015" t="s">
        <v>1076</v>
      </c>
    </row>
    <row r="1016" spans="1:29" hidden="1" x14ac:dyDescent="0.25">
      <c r="A1016">
        <v>505</v>
      </c>
      <c r="B1016" t="s">
        <v>692</v>
      </c>
      <c r="C1016" t="s">
        <v>77</v>
      </c>
      <c r="D1016" t="s">
        <v>687</v>
      </c>
      <c r="E1016">
        <v>30</v>
      </c>
      <c r="F1016">
        <v>315</v>
      </c>
      <c r="G1016">
        <v>460</v>
      </c>
      <c r="H1016">
        <v>4</v>
      </c>
      <c r="I1016">
        <v>22.86</v>
      </c>
      <c r="J1016">
        <v>91.45</v>
      </c>
      <c r="K1016" t="s">
        <v>1073</v>
      </c>
      <c r="L1016" t="s">
        <v>1074</v>
      </c>
      <c r="N1016" t="s">
        <v>228</v>
      </c>
      <c r="Q1016">
        <v>2</v>
      </c>
      <c r="R1016" s="24">
        <v>46032</v>
      </c>
      <c r="T1016" t="s">
        <v>38</v>
      </c>
      <c r="V1016" t="s">
        <v>921</v>
      </c>
      <c r="X1016" t="s">
        <v>81</v>
      </c>
      <c r="Z1016" t="s">
        <v>924</v>
      </c>
      <c r="AA1016" t="s">
        <v>1075</v>
      </c>
      <c r="AC1016" t="s">
        <v>1076</v>
      </c>
    </row>
    <row r="1017" spans="1:29" hidden="1" x14ac:dyDescent="0.25">
      <c r="A1017">
        <v>506</v>
      </c>
      <c r="B1017" t="s">
        <v>694</v>
      </c>
      <c r="C1017" t="s">
        <v>77</v>
      </c>
      <c r="D1017" t="s">
        <v>687</v>
      </c>
      <c r="E1017">
        <v>30</v>
      </c>
      <c r="F1017">
        <v>315</v>
      </c>
      <c r="G1017">
        <v>460</v>
      </c>
      <c r="H1017">
        <v>2</v>
      </c>
      <c r="I1017">
        <v>22.86</v>
      </c>
      <c r="J1017">
        <v>45.73</v>
      </c>
      <c r="K1017" t="s">
        <v>1073</v>
      </c>
      <c r="L1017" t="s">
        <v>1074</v>
      </c>
      <c r="N1017" t="s">
        <v>228</v>
      </c>
      <c r="Q1017">
        <v>2</v>
      </c>
      <c r="R1017" s="24">
        <v>46032</v>
      </c>
      <c r="T1017" t="s">
        <v>38</v>
      </c>
      <c r="V1017" t="s">
        <v>921</v>
      </c>
      <c r="X1017" t="s">
        <v>81</v>
      </c>
      <c r="Z1017" t="s">
        <v>924</v>
      </c>
      <c r="AA1017" t="s">
        <v>1075</v>
      </c>
      <c r="AC1017" t="s">
        <v>1076</v>
      </c>
    </row>
    <row r="1018" spans="1:29" hidden="1" x14ac:dyDescent="0.25">
      <c r="A1018">
        <v>507</v>
      </c>
      <c r="B1018" t="s">
        <v>699</v>
      </c>
      <c r="C1018" t="s">
        <v>700</v>
      </c>
      <c r="D1018" t="s">
        <v>701</v>
      </c>
      <c r="E1018">
        <v>60</v>
      </c>
      <c r="F1018">
        <v>70</v>
      </c>
      <c r="G1018">
        <v>8980</v>
      </c>
      <c r="H1018">
        <v>1</v>
      </c>
      <c r="I1018">
        <v>296.07</v>
      </c>
      <c r="J1018">
        <v>296.07</v>
      </c>
      <c r="K1018" t="s">
        <v>1077</v>
      </c>
      <c r="L1018" t="s">
        <v>1078</v>
      </c>
      <c r="O1018" t="s">
        <v>81</v>
      </c>
      <c r="Q1018">
        <v>2</v>
      </c>
      <c r="R1018" s="24">
        <v>46032</v>
      </c>
      <c r="T1018" t="s">
        <v>38</v>
      </c>
      <c r="V1018" t="s">
        <v>921</v>
      </c>
      <c r="W1018" t="s">
        <v>81</v>
      </c>
      <c r="Z1018" t="s">
        <v>924</v>
      </c>
      <c r="AA1018" t="s">
        <v>1079</v>
      </c>
      <c r="AC1018" t="s">
        <v>1080</v>
      </c>
    </row>
    <row r="1019" spans="1:29" hidden="1" x14ac:dyDescent="0.25">
      <c r="A1019">
        <v>508</v>
      </c>
      <c r="B1019" t="s">
        <v>706</v>
      </c>
      <c r="C1019" t="s">
        <v>700</v>
      </c>
      <c r="D1019" t="s">
        <v>707</v>
      </c>
      <c r="E1019">
        <v>60</v>
      </c>
      <c r="F1019">
        <v>70</v>
      </c>
      <c r="G1019">
        <v>11303</v>
      </c>
      <c r="H1019">
        <v>1</v>
      </c>
      <c r="I1019">
        <v>372.66</v>
      </c>
      <c r="J1019">
        <v>372.66</v>
      </c>
      <c r="K1019" t="s">
        <v>1077</v>
      </c>
      <c r="L1019" t="s">
        <v>1078</v>
      </c>
      <c r="O1019" t="s">
        <v>81</v>
      </c>
      <c r="Q1019">
        <v>2</v>
      </c>
      <c r="R1019" s="24">
        <v>46032</v>
      </c>
      <c r="T1019" t="s">
        <v>38</v>
      </c>
      <c r="V1019" t="s">
        <v>921</v>
      </c>
      <c r="W1019" t="s">
        <v>81</v>
      </c>
      <c r="Z1019" t="s">
        <v>924</v>
      </c>
      <c r="AA1019" t="s">
        <v>1079</v>
      </c>
      <c r="AC1019" t="s">
        <v>1080</v>
      </c>
    </row>
    <row r="1020" spans="1:29" hidden="1" x14ac:dyDescent="0.25">
      <c r="A1020">
        <v>509</v>
      </c>
      <c r="B1020" t="s">
        <v>712</v>
      </c>
      <c r="C1020" t="s">
        <v>700</v>
      </c>
      <c r="D1020" t="s">
        <v>701</v>
      </c>
      <c r="E1020">
        <v>60</v>
      </c>
      <c r="F1020">
        <v>70</v>
      </c>
      <c r="G1020">
        <v>8980</v>
      </c>
      <c r="H1020">
        <v>1</v>
      </c>
      <c r="I1020">
        <v>296.07</v>
      </c>
      <c r="J1020">
        <v>296.07</v>
      </c>
      <c r="K1020" t="s">
        <v>1077</v>
      </c>
      <c r="L1020" t="s">
        <v>1078</v>
      </c>
      <c r="O1020" t="s">
        <v>81</v>
      </c>
      <c r="Q1020">
        <v>2</v>
      </c>
      <c r="R1020" s="24">
        <v>46032</v>
      </c>
      <c r="T1020" t="s">
        <v>38</v>
      </c>
      <c r="V1020" t="s">
        <v>921</v>
      </c>
      <c r="W1020" t="s">
        <v>81</v>
      </c>
      <c r="Z1020" t="s">
        <v>924</v>
      </c>
      <c r="AA1020" t="s">
        <v>1079</v>
      </c>
      <c r="AC1020" t="s">
        <v>1080</v>
      </c>
    </row>
    <row r="1021" spans="1:29" hidden="1" x14ac:dyDescent="0.25">
      <c r="A1021">
        <v>510</v>
      </c>
      <c r="B1021" t="s">
        <v>713</v>
      </c>
      <c r="C1021" t="s">
        <v>700</v>
      </c>
      <c r="D1021" t="s">
        <v>707</v>
      </c>
      <c r="E1021">
        <v>60</v>
      </c>
      <c r="F1021">
        <v>70</v>
      </c>
      <c r="G1021">
        <v>11303</v>
      </c>
      <c r="H1021">
        <v>1</v>
      </c>
      <c r="I1021">
        <v>372.66</v>
      </c>
      <c r="J1021">
        <v>372.66</v>
      </c>
      <c r="K1021" t="s">
        <v>1077</v>
      </c>
      <c r="L1021" t="s">
        <v>1078</v>
      </c>
      <c r="O1021" t="s">
        <v>81</v>
      </c>
      <c r="Q1021">
        <v>2</v>
      </c>
      <c r="R1021" s="24">
        <v>46032</v>
      </c>
      <c r="T1021" t="s">
        <v>38</v>
      </c>
      <c r="V1021" t="s">
        <v>921</v>
      </c>
      <c r="W1021" t="s">
        <v>81</v>
      </c>
      <c r="Z1021" t="s">
        <v>924</v>
      </c>
      <c r="AA1021" t="s">
        <v>1079</v>
      </c>
      <c r="AC1021" t="s">
        <v>1080</v>
      </c>
    </row>
    <row r="1022" spans="1:29" hidden="1" x14ac:dyDescent="0.25">
      <c r="A1022">
        <v>511</v>
      </c>
      <c r="B1022" t="s">
        <v>708</v>
      </c>
      <c r="C1022" t="s">
        <v>700</v>
      </c>
      <c r="D1022" t="s">
        <v>709</v>
      </c>
      <c r="E1022">
        <v>60</v>
      </c>
      <c r="F1022">
        <v>68</v>
      </c>
      <c r="G1022">
        <v>12000</v>
      </c>
      <c r="H1022">
        <v>1</v>
      </c>
      <c r="I1022">
        <v>339.12</v>
      </c>
      <c r="J1022">
        <v>339.12</v>
      </c>
      <c r="K1022" t="s">
        <v>1081</v>
      </c>
      <c r="L1022" t="s">
        <v>1082</v>
      </c>
      <c r="O1022" t="s">
        <v>81</v>
      </c>
      <c r="Q1022">
        <v>2</v>
      </c>
      <c r="R1022" s="24">
        <v>46032</v>
      </c>
      <c r="T1022" t="s">
        <v>38</v>
      </c>
      <c r="V1022" t="s">
        <v>921</v>
      </c>
      <c r="W1022" t="s">
        <v>81</v>
      </c>
      <c r="Z1022" t="s">
        <v>924</v>
      </c>
      <c r="AA1022" t="s">
        <v>1083</v>
      </c>
      <c r="AC1022" t="s">
        <v>1084</v>
      </c>
    </row>
    <row r="1023" spans="1:29" hidden="1" x14ac:dyDescent="0.25">
      <c r="A1023">
        <v>512</v>
      </c>
      <c r="B1023" t="s">
        <v>710</v>
      </c>
      <c r="C1023" t="s">
        <v>700</v>
      </c>
      <c r="D1023" t="s">
        <v>711</v>
      </c>
      <c r="E1023">
        <v>60</v>
      </c>
      <c r="F1023">
        <v>63</v>
      </c>
      <c r="G1023">
        <v>7588</v>
      </c>
      <c r="H1023">
        <v>1</v>
      </c>
      <c r="I1023">
        <v>214.44</v>
      </c>
      <c r="J1023">
        <v>214.44</v>
      </c>
      <c r="K1023" t="s">
        <v>1081</v>
      </c>
      <c r="L1023" t="s">
        <v>1082</v>
      </c>
      <c r="O1023" t="s">
        <v>81</v>
      </c>
      <c r="Q1023">
        <v>2</v>
      </c>
      <c r="R1023" s="24">
        <v>46032</v>
      </c>
      <c r="T1023" t="s">
        <v>38</v>
      </c>
      <c r="V1023" t="s">
        <v>921</v>
      </c>
      <c r="W1023" t="s">
        <v>81</v>
      </c>
      <c r="Z1023" t="s">
        <v>924</v>
      </c>
      <c r="AA1023" t="s">
        <v>1083</v>
      </c>
      <c r="AC1023" t="s">
        <v>1084</v>
      </c>
    </row>
    <row r="1024" spans="1:29" hidden="1" x14ac:dyDescent="0.25">
      <c r="A1024">
        <v>513</v>
      </c>
      <c r="B1024" t="s">
        <v>714</v>
      </c>
      <c r="C1024" t="s">
        <v>700</v>
      </c>
      <c r="D1024" t="s">
        <v>715</v>
      </c>
      <c r="E1024">
        <v>60</v>
      </c>
      <c r="F1024">
        <v>70</v>
      </c>
      <c r="G1024">
        <v>12000</v>
      </c>
      <c r="H1024">
        <v>1</v>
      </c>
      <c r="I1024">
        <v>395.64</v>
      </c>
      <c r="J1024">
        <v>395.64</v>
      </c>
      <c r="K1024" t="s">
        <v>1081</v>
      </c>
      <c r="L1024" t="s">
        <v>1082</v>
      </c>
      <c r="O1024" t="s">
        <v>81</v>
      </c>
      <c r="Q1024">
        <v>2</v>
      </c>
      <c r="R1024" s="24">
        <v>46032</v>
      </c>
      <c r="T1024" t="s">
        <v>38</v>
      </c>
      <c r="V1024" t="s">
        <v>921</v>
      </c>
      <c r="W1024" t="s">
        <v>81</v>
      </c>
      <c r="Z1024" t="s">
        <v>924</v>
      </c>
      <c r="AA1024" t="s">
        <v>1083</v>
      </c>
      <c r="AC1024" t="s">
        <v>1084</v>
      </c>
    </row>
    <row r="1025" spans="1:29" hidden="1" x14ac:dyDescent="0.25">
      <c r="A1025">
        <v>514</v>
      </c>
      <c r="B1025" t="s">
        <v>716</v>
      </c>
      <c r="C1025" t="s">
        <v>700</v>
      </c>
      <c r="D1025" t="s">
        <v>717</v>
      </c>
      <c r="E1025">
        <v>60</v>
      </c>
      <c r="F1025">
        <v>70</v>
      </c>
      <c r="G1025">
        <v>7587</v>
      </c>
      <c r="H1025">
        <v>1</v>
      </c>
      <c r="I1025">
        <v>250.16</v>
      </c>
      <c r="J1025">
        <v>250.16</v>
      </c>
      <c r="K1025" t="s">
        <v>1081</v>
      </c>
      <c r="L1025" t="s">
        <v>1082</v>
      </c>
      <c r="O1025" t="s">
        <v>81</v>
      </c>
      <c r="Q1025">
        <v>2</v>
      </c>
      <c r="R1025" s="24">
        <v>46032</v>
      </c>
      <c r="T1025" t="s">
        <v>38</v>
      </c>
      <c r="V1025" t="s">
        <v>921</v>
      </c>
      <c r="W1025" t="s">
        <v>81</v>
      </c>
      <c r="Z1025" t="s">
        <v>924</v>
      </c>
      <c r="AA1025" t="s">
        <v>1083</v>
      </c>
      <c r="AC1025" t="s">
        <v>1084</v>
      </c>
    </row>
    <row r="1026" spans="1:29" hidden="1" x14ac:dyDescent="0.25">
      <c r="A1026">
        <v>1</v>
      </c>
      <c r="B1026" t="s">
        <v>32</v>
      </c>
      <c r="C1026" t="s">
        <v>33</v>
      </c>
      <c r="D1026" t="s">
        <v>34</v>
      </c>
      <c r="E1026">
        <v>2</v>
      </c>
      <c r="F1026">
        <v>1200</v>
      </c>
      <c r="G1026">
        <v>1800</v>
      </c>
      <c r="H1026">
        <v>1</v>
      </c>
      <c r="I1026">
        <v>33.909999999999997</v>
      </c>
      <c r="J1026">
        <v>33.909999999999997</v>
      </c>
      <c r="K1026" t="s">
        <v>35</v>
      </c>
      <c r="L1026" t="s">
        <v>923</v>
      </c>
      <c r="Q1026">
        <v>2</v>
      </c>
      <c r="R1026" s="24">
        <v>46032</v>
      </c>
      <c r="T1026" t="s">
        <v>38</v>
      </c>
      <c r="V1026" t="s">
        <v>921</v>
      </c>
      <c r="Z1026" t="s">
        <v>924</v>
      </c>
      <c r="AA1026" t="s">
        <v>39</v>
      </c>
      <c r="AC1026" t="s">
        <v>925</v>
      </c>
    </row>
    <row r="1027" spans="1:29" hidden="1" x14ac:dyDescent="0.25">
      <c r="A1027">
        <v>2</v>
      </c>
      <c r="B1027" t="s">
        <v>41</v>
      </c>
      <c r="C1027" t="s">
        <v>33</v>
      </c>
      <c r="D1027" t="s">
        <v>34</v>
      </c>
      <c r="E1027">
        <v>2</v>
      </c>
      <c r="F1027">
        <v>1200</v>
      </c>
      <c r="G1027">
        <v>1800</v>
      </c>
      <c r="H1027">
        <v>1</v>
      </c>
      <c r="I1027">
        <v>33.909999999999997</v>
      </c>
      <c r="J1027">
        <v>33.909999999999997</v>
      </c>
      <c r="K1027" t="s">
        <v>35</v>
      </c>
      <c r="L1027" t="s">
        <v>923</v>
      </c>
      <c r="Q1027">
        <v>2</v>
      </c>
      <c r="R1027" s="24">
        <v>46032</v>
      </c>
      <c r="T1027" t="s">
        <v>38</v>
      </c>
      <c r="V1027" t="s">
        <v>921</v>
      </c>
      <c r="Z1027" t="s">
        <v>924</v>
      </c>
      <c r="AA1027" t="s">
        <v>39</v>
      </c>
      <c r="AC1027" t="s">
        <v>925</v>
      </c>
    </row>
    <row r="1028" spans="1:29" hidden="1" x14ac:dyDescent="0.25">
      <c r="A1028">
        <v>3</v>
      </c>
      <c r="B1028" t="s">
        <v>42</v>
      </c>
      <c r="C1028" t="s">
        <v>33</v>
      </c>
      <c r="D1028" t="s">
        <v>35</v>
      </c>
      <c r="E1028">
        <v>2</v>
      </c>
      <c r="F1028">
        <v>1300</v>
      </c>
      <c r="G1028">
        <v>4000</v>
      </c>
      <c r="H1028">
        <v>1</v>
      </c>
      <c r="I1028">
        <v>81.64</v>
      </c>
      <c r="J1028">
        <v>81.64</v>
      </c>
      <c r="K1028" t="s">
        <v>35</v>
      </c>
      <c r="L1028" t="s">
        <v>926</v>
      </c>
      <c r="Q1028">
        <v>2</v>
      </c>
      <c r="R1028" s="24">
        <v>46032</v>
      </c>
      <c r="T1028" t="s">
        <v>38</v>
      </c>
      <c r="V1028" t="s">
        <v>921</v>
      </c>
      <c r="Z1028" t="s">
        <v>924</v>
      </c>
      <c r="AA1028" t="s">
        <v>39</v>
      </c>
      <c r="AC1028" t="s">
        <v>927</v>
      </c>
    </row>
    <row r="1029" spans="1:29" hidden="1" x14ac:dyDescent="0.25">
      <c r="A1029">
        <v>4</v>
      </c>
      <c r="B1029" t="s">
        <v>45</v>
      </c>
      <c r="C1029" t="s">
        <v>33</v>
      </c>
      <c r="D1029" t="s">
        <v>35</v>
      </c>
      <c r="E1029">
        <v>2</v>
      </c>
      <c r="F1029">
        <v>1300</v>
      </c>
      <c r="G1029">
        <v>4000</v>
      </c>
      <c r="H1029">
        <v>1</v>
      </c>
      <c r="I1029">
        <v>81.64</v>
      </c>
      <c r="J1029">
        <v>81.64</v>
      </c>
      <c r="K1029" t="s">
        <v>35</v>
      </c>
      <c r="L1029" t="s">
        <v>928</v>
      </c>
      <c r="Q1029">
        <v>2</v>
      </c>
      <c r="R1029" s="24">
        <v>46032</v>
      </c>
      <c r="T1029" t="s">
        <v>38</v>
      </c>
      <c r="V1029" t="s">
        <v>921</v>
      </c>
      <c r="Z1029" t="s">
        <v>924</v>
      </c>
      <c r="AA1029" t="s">
        <v>39</v>
      </c>
      <c r="AC1029" t="s">
        <v>929</v>
      </c>
    </row>
    <row r="1030" spans="1:29" hidden="1" x14ac:dyDescent="0.25">
      <c r="A1030">
        <v>5</v>
      </c>
      <c r="B1030" t="s">
        <v>48</v>
      </c>
      <c r="C1030" t="s">
        <v>33</v>
      </c>
      <c r="D1030" t="s">
        <v>49</v>
      </c>
      <c r="E1030">
        <v>2</v>
      </c>
      <c r="F1030">
        <v>1060</v>
      </c>
      <c r="G1030">
        <v>4000</v>
      </c>
      <c r="H1030">
        <v>1</v>
      </c>
      <c r="I1030">
        <v>66.569999999999993</v>
      </c>
      <c r="J1030">
        <v>66.569999999999993</v>
      </c>
      <c r="K1030" t="s">
        <v>35</v>
      </c>
      <c r="L1030" t="s">
        <v>930</v>
      </c>
      <c r="Q1030">
        <v>2</v>
      </c>
      <c r="R1030" s="24">
        <v>46032</v>
      </c>
      <c r="T1030" t="s">
        <v>38</v>
      </c>
      <c r="V1030" t="s">
        <v>921</v>
      </c>
      <c r="Z1030" t="s">
        <v>924</v>
      </c>
      <c r="AA1030" t="s">
        <v>39</v>
      </c>
      <c r="AC1030" t="s">
        <v>931</v>
      </c>
    </row>
    <row r="1031" spans="1:29" hidden="1" x14ac:dyDescent="0.25">
      <c r="A1031">
        <v>6</v>
      </c>
      <c r="B1031" t="s">
        <v>52</v>
      </c>
      <c r="C1031" t="s">
        <v>33</v>
      </c>
      <c r="D1031" t="s">
        <v>49</v>
      </c>
      <c r="E1031">
        <v>2</v>
      </c>
      <c r="F1031">
        <v>1060</v>
      </c>
      <c r="G1031">
        <v>4000</v>
      </c>
      <c r="H1031">
        <v>1</v>
      </c>
      <c r="I1031">
        <v>66.569999999999993</v>
      </c>
      <c r="J1031">
        <v>66.569999999999993</v>
      </c>
      <c r="K1031" t="s">
        <v>35</v>
      </c>
      <c r="L1031" t="s">
        <v>932</v>
      </c>
      <c r="Q1031">
        <v>2</v>
      </c>
      <c r="R1031" s="24">
        <v>46032</v>
      </c>
      <c r="T1031" t="s">
        <v>38</v>
      </c>
      <c r="V1031" t="s">
        <v>921</v>
      </c>
      <c r="Z1031" t="s">
        <v>924</v>
      </c>
      <c r="AA1031" t="s">
        <v>39</v>
      </c>
      <c r="AC1031" t="s">
        <v>933</v>
      </c>
    </row>
    <row r="1032" spans="1:29" hidden="1" x14ac:dyDescent="0.25">
      <c r="A1032">
        <v>7</v>
      </c>
      <c r="B1032" t="s">
        <v>55</v>
      </c>
      <c r="C1032" t="s">
        <v>33</v>
      </c>
      <c r="D1032" t="s">
        <v>49</v>
      </c>
      <c r="E1032">
        <v>2</v>
      </c>
      <c r="F1032">
        <v>1060</v>
      </c>
      <c r="G1032">
        <v>4000</v>
      </c>
      <c r="H1032">
        <v>1</v>
      </c>
      <c r="I1032">
        <v>66.569999999999993</v>
      </c>
      <c r="J1032">
        <v>66.569999999999993</v>
      </c>
      <c r="K1032" t="s">
        <v>35</v>
      </c>
      <c r="L1032" t="s">
        <v>934</v>
      </c>
      <c r="Q1032">
        <v>2</v>
      </c>
      <c r="R1032" s="24">
        <v>46032</v>
      </c>
      <c r="T1032" t="s">
        <v>38</v>
      </c>
      <c r="V1032" t="s">
        <v>921</v>
      </c>
      <c r="Z1032" t="s">
        <v>924</v>
      </c>
      <c r="AA1032" t="s">
        <v>39</v>
      </c>
      <c r="AC1032" t="s">
        <v>935</v>
      </c>
    </row>
    <row r="1033" spans="1:29" hidden="1" x14ac:dyDescent="0.25">
      <c r="A1033">
        <v>8</v>
      </c>
      <c r="B1033" t="s">
        <v>58</v>
      </c>
      <c r="C1033" t="s">
        <v>33</v>
      </c>
      <c r="D1033" t="s">
        <v>49</v>
      </c>
      <c r="E1033">
        <v>2</v>
      </c>
      <c r="F1033">
        <v>1060</v>
      </c>
      <c r="G1033">
        <v>4000</v>
      </c>
      <c r="H1033">
        <v>1</v>
      </c>
      <c r="I1033">
        <v>66.569999999999993</v>
      </c>
      <c r="J1033">
        <v>66.569999999999993</v>
      </c>
      <c r="K1033" t="s">
        <v>35</v>
      </c>
      <c r="L1033" t="s">
        <v>936</v>
      </c>
      <c r="Q1033">
        <v>2</v>
      </c>
      <c r="R1033" s="24">
        <v>46032</v>
      </c>
      <c r="T1033" t="s">
        <v>38</v>
      </c>
      <c r="V1033" t="s">
        <v>921</v>
      </c>
      <c r="Z1033" t="s">
        <v>924</v>
      </c>
      <c r="AA1033" t="s">
        <v>39</v>
      </c>
      <c r="AC1033" t="s">
        <v>937</v>
      </c>
    </row>
    <row r="1034" spans="1:29" hidden="1" x14ac:dyDescent="0.25">
      <c r="A1034">
        <v>9</v>
      </c>
      <c r="B1034" t="s">
        <v>61</v>
      </c>
      <c r="C1034" t="s">
        <v>33</v>
      </c>
      <c r="D1034" t="s">
        <v>62</v>
      </c>
      <c r="E1034">
        <v>2</v>
      </c>
      <c r="F1034">
        <v>500</v>
      </c>
      <c r="G1034">
        <v>4000</v>
      </c>
      <c r="H1034">
        <v>1</v>
      </c>
      <c r="I1034">
        <v>31.4</v>
      </c>
      <c r="J1034">
        <v>31.4</v>
      </c>
      <c r="K1034" t="s">
        <v>35</v>
      </c>
      <c r="L1034" t="s">
        <v>938</v>
      </c>
      <c r="Q1034">
        <v>2</v>
      </c>
      <c r="R1034" s="24">
        <v>46032</v>
      </c>
      <c r="T1034" t="s">
        <v>38</v>
      </c>
      <c r="V1034" t="s">
        <v>921</v>
      </c>
      <c r="Z1034" t="s">
        <v>924</v>
      </c>
      <c r="AA1034" t="s">
        <v>39</v>
      </c>
      <c r="AC1034" t="s">
        <v>939</v>
      </c>
    </row>
    <row r="1035" spans="1:29" hidden="1" x14ac:dyDescent="0.25">
      <c r="A1035">
        <v>10</v>
      </c>
      <c r="B1035" t="s">
        <v>65</v>
      </c>
      <c r="C1035" t="s">
        <v>33</v>
      </c>
      <c r="D1035" t="s">
        <v>62</v>
      </c>
      <c r="E1035">
        <v>2</v>
      </c>
      <c r="F1035">
        <v>500</v>
      </c>
      <c r="G1035">
        <v>4000</v>
      </c>
      <c r="H1035">
        <v>1</v>
      </c>
      <c r="I1035">
        <v>31.4</v>
      </c>
      <c r="J1035">
        <v>31.4</v>
      </c>
      <c r="K1035" t="s">
        <v>35</v>
      </c>
      <c r="L1035" t="s">
        <v>938</v>
      </c>
      <c r="Q1035">
        <v>2</v>
      </c>
      <c r="R1035" s="24">
        <v>46032</v>
      </c>
      <c r="T1035" t="s">
        <v>38</v>
      </c>
      <c r="V1035" t="s">
        <v>921</v>
      </c>
      <c r="Z1035" t="s">
        <v>924</v>
      </c>
      <c r="AA1035" t="s">
        <v>39</v>
      </c>
      <c r="AC1035" t="s">
        <v>939</v>
      </c>
    </row>
    <row r="1036" spans="1:29" hidden="1" x14ac:dyDescent="0.25">
      <c r="A1036">
        <v>11</v>
      </c>
      <c r="B1036" t="s">
        <v>66</v>
      </c>
      <c r="C1036" t="s">
        <v>33</v>
      </c>
      <c r="D1036" t="s">
        <v>67</v>
      </c>
      <c r="E1036">
        <v>2</v>
      </c>
      <c r="F1036">
        <v>1060</v>
      </c>
      <c r="G1036">
        <v>1200</v>
      </c>
      <c r="H1036">
        <v>1</v>
      </c>
      <c r="I1036">
        <v>19.97</v>
      </c>
      <c r="J1036">
        <v>19.97</v>
      </c>
      <c r="K1036" t="s">
        <v>35</v>
      </c>
      <c r="L1036" t="s">
        <v>940</v>
      </c>
      <c r="Q1036">
        <v>2</v>
      </c>
      <c r="R1036" s="24">
        <v>46032</v>
      </c>
      <c r="T1036" t="s">
        <v>38</v>
      </c>
      <c r="V1036" t="s">
        <v>921</v>
      </c>
      <c r="Z1036" t="s">
        <v>924</v>
      </c>
      <c r="AA1036" t="s">
        <v>941</v>
      </c>
      <c r="AC1036" t="s">
        <v>942</v>
      </c>
    </row>
    <row r="1037" spans="1:29" hidden="1" x14ac:dyDescent="0.25">
      <c r="A1037">
        <v>12</v>
      </c>
      <c r="B1037" t="s">
        <v>70</v>
      </c>
      <c r="C1037" t="s">
        <v>33</v>
      </c>
      <c r="D1037" t="s">
        <v>71</v>
      </c>
      <c r="E1037">
        <v>2</v>
      </c>
      <c r="F1037">
        <v>500</v>
      </c>
      <c r="G1037">
        <v>1800</v>
      </c>
      <c r="H1037">
        <v>1</v>
      </c>
      <c r="I1037">
        <v>14.13</v>
      </c>
      <c r="J1037">
        <v>14.13</v>
      </c>
      <c r="K1037" t="s">
        <v>35</v>
      </c>
      <c r="L1037" t="s">
        <v>943</v>
      </c>
      <c r="Q1037">
        <v>2</v>
      </c>
      <c r="R1037" s="24">
        <v>46032</v>
      </c>
      <c r="T1037" t="s">
        <v>38</v>
      </c>
      <c r="V1037" t="s">
        <v>921</v>
      </c>
      <c r="Z1037" t="s">
        <v>924</v>
      </c>
      <c r="AA1037" t="s">
        <v>39</v>
      </c>
      <c r="AC1037" t="s">
        <v>944</v>
      </c>
    </row>
    <row r="1038" spans="1:29" hidden="1" x14ac:dyDescent="0.25">
      <c r="A1038">
        <v>13</v>
      </c>
      <c r="B1038" t="s">
        <v>74</v>
      </c>
      <c r="C1038" t="s">
        <v>33</v>
      </c>
      <c r="D1038" t="s">
        <v>67</v>
      </c>
      <c r="E1038">
        <v>2</v>
      </c>
      <c r="F1038">
        <v>1060</v>
      </c>
      <c r="G1038">
        <v>1200</v>
      </c>
      <c r="H1038">
        <v>1</v>
      </c>
      <c r="I1038">
        <v>19.97</v>
      </c>
      <c r="J1038">
        <v>19.97</v>
      </c>
      <c r="K1038" t="s">
        <v>35</v>
      </c>
      <c r="L1038" t="s">
        <v>943</v>
      </c>
      <c r="Q1038">
        <v>2</v>
      </c>
      <c r="R1038" s="24">
        <v>46032</v>
      </c>
      <c r="T1038" t="s">
        <v>38</v>
      </c>
      <c r="V1038" t="s">
        <v>921</v>
      </c>
      <c r="Z1038" t="s">
        <v>924</v>
      </c>
      <c r="AA1038" t="s">
        <v>39</v>
      </c>
      <c r="AC1038" t="s">
        <v>944</v>
      </c>
    </row>
    <row r="1039" spans="1:29" hidden="1" x14ac:dyDescent="0.25">
      <c r="A1039">
        <v>14</v>
      </c>
      <c r="B1039" t="s">
        <v>75</v>
      </c>
      <c r="C1039" t="s">
        <v>33</v>
      </c>
      <c r="D1039" t="s">
        <v>71</v>
      </c>
      <c r="E1039">
        <v>2</v>
      </c>
      <c r="F1039">
        <v>500</v>
      </c>
      <c r="G1039">
        <v>1800</v>
      </c>
      <c r="H1039">
        <v>1</v>
      </c>
      <c r="I1039">
        <v>14.13</v>
      </c>
      <c r="J1039">
        <v>14.13</v>
      </c>
      <c r="K1039" t="s">
        <v>35</v>
      </c>
      <c r="L1039" t="s">
        <v>943</v>
      </c>
      <c r="Q1039">
        <v>2</v>
      </c>
      <c r="R1039" s="24">
        <v>46032</v>
      </c>
      <c r="T1039" t="s">
        <v>38</v>
      </c>
      <c r="V1039" t="s">
        <v>921</v>
      </c>
      <c r="Z1039" t="s">
        <v>924</v>
      </c>
      <c r="AA1039" t="s">
        <v>39</v>
      </c>
      <c r="AC1039" t="s">
        <v>944</v>
      </c>
    </row>
    <row r="1040" spans="1:29" hidden="1" x14ac:dyDescent="0.25">
      <c r="A1040">
        <v>15</v>
      </c>
      <c r="B1040" t="s">
        <v>76</v>
      </c>
      <c r="C1040" t="s">
        <v>77</v>
      </c>
      <c r="D1040" t="s">
        <v>78</v>
      </c>
      <c r="E1040">
        <v>5</v>
      </c>
      <c r="F1040">
        <v>63</v>
      </c>
      <c r="G1040">
        <v>186</v>
      </c>
      <c r="H1040">
        <v>26</v>
      </c>
      <c r="I1040">
        <v>0.46</v>
      </c>
      <c r="J1040">
        <v>11.86</v>
      </c>
      <c r="K1040" t="s">
        <v>945</v>
      </c>
      <c r="L1040" t="s">
        <v>946</v>
      </c>
      <c r="Q1040">
        <v>2</v>
      </c>
      <c r="R1040" s="24">
        <v>46032</v>
      </c>
      <c r="T1040" t="s">
        <v>38</v>
      </c>
      <c r="V1040" t="s">
        <v>921</v>
      </c>
      <c r="W1040" t="s">
        <v>81</v>
      </c>
      <c r="Z1040" t="s">
        <v>924</v>
      </c>
      <c r="AA1040" t="s">
        <v>947</v>
      </c>
      <c r="AC1040" t="s">
        <v>948</v>
      </c>
    </row>
    <row r="1041" spans="1:29" hidden="1" x14ac:dyDescent="0.25">
      <c r="A1041">
        <v>16</v>
      </c>
      <c r="B1041" t="s">
        <v>83</v>
      </c>
      <c r="C1041" t="s">
        <v>77</v>
      </c>
      <c r="D1041" t="s">
        <v>84</v>
      </c>
      <c r="E1041">
        <v>5</v>
      </c>
      <c r="F1041">
        <v>43</v>
      </c>
      <c r="G1041">
        <v>86</v>
      </c>
      <c r="H1041">
        <v>112</v>
      </c>
      <c r="I1041">
        <v>0.14000000000000001</v>
      </c>
      <c r="J1041">
        <v>15.82</v>
      </c>
      <c r="K1041" t="s">
        <v>945</v>
      </c>
      <c r="L1041" t="s">
        <v>946</v>
      </c>
      <c r="Q1041">
        <v>2</v>
      </c>
      <c r="R1041" s="24">
        <v>46032</v>
      </c>
      <c r="T1041" t="s">
        <v>38</v>
      </c>
      <c r="V1041" t="s">
        <v>921</v>
      </c>
      <c r="W1041" t="s">
        <v>81</v>
      </c>
      <c r="Z1041" t="s">
        <v>924</v>
      </c>
      <c r="AA1041" t="s">
        <v>947</v>
      </c>
      <c r="AC1041" t="s">
        <v>948</v>
      </c>
    </row>
    <row r="1042" spans="1:29" hidden="1" x14ac:dyDescent="0.25">
      <c r="A1042">
        <v>17</v>
      </c>
      <c r="B1042" t="s">
        <v>85</v>
      </c>
      <c r="C1042" t="s">
        <v>77</v>
      </c>
      <c r="D1042" t="s">
        <v>78</v>
      </c>
      <c r="E1042">
        <v>5</v>
      </c>
      <c r="F1042">
        <v>63</v>
      </c>
      <c r="G1042">
        <v>186</v>
      </c>
      <c r="H1042">
        <v>28</v>
      </c>
      <c r="I1042">
        <v>0.46</v>
      </c>
      <c r="J1042">
        <v>12.77</v>
      </c>
      <c r="K1042" t="s">
        <v>945</v>
      </c>
      <c r="L1042" t="s">
        <v>946</v>
      </c>
      <c r="Q1042">
        <v>2</v>
      </c>
      <c r="R1042" s="24">
        <v>46032</v>
      </c>
      <c r="T1042" t="s">
        <v>38</v>
      </c>
      <c r="V1042" t="s">
        <v>921</v>
      </c>
      <c r="W1042" t="s">
        <v>81</v>
      </c>
      <c r="Z1042" t="s">
        <v>924</v>
      </c>
      <c r="AA1042" t="s">
        <v>947</v>
      </c>
      <c r="AC1042" t="s">
        <v>948</v>
      </c>
    </row>
    <row r="1043" spans="1:29" hidden="1" x14ac:dyDescent="0.25">
      <c r="A1043">
        <v>18</v>
      </c>
      <c r="B1043" t="s">
        <v>86</v>
      </c>
      <c r="C1043" t="s">
        <v>77</v>
      </c>
      <c r="D1043" t="s">
        <v>84</v>
      </c>
      <c r="E1043">
        <v>5</v>
      </c>
      <c r="F1043">
        <v>43</v>
      </c>
      <c r="G1043">
        <v>86</v>
      </c>
      <c r="H1043">
        <v>38</v>
      </c>
      <c r="I1043">
        <v>0.14000000000000001</v>
      </c>
      <c r="J1043">
        <v>5.37</v>
      </c>
      <c r="K1043" t="s">
        <v>945</v>
      </c>
      <c r="L1043" t="s">
        <v>946</v>
      </c>
      <c r="Q1043">
        <v>2</v>
      </c>
      <c r="R1043" s="24">
        <v>46032</v>
      </c>
      <c r="T1043" t="s">
        <v>38</v>
      </c>
      <c r="V1043" t="s">
        <v>921</v>
      </c>
      <c r="W1043" t="s">
        <v>81</v>
      </c>
      <c r="Z1043" t="s">
        <v>924</v>
      </c>
      <c r="AA1043" t="s">
        <v>947</v>
      </c>
      <c r="AC1043" t="s">
        <v>948</v>
      </c>
    </row>
    <row r="1044" spans="1:29" hidden="1" x14ac:dyDescent="0.25">
      <c r="A1044">
        <v>19</v>
      </c>
      <c r="B1044" t="s">
        <v>87</v>
      </c>
      <c r="C1044" t="s">
        <v>77</v>
      </c>
      <c r="D1044" t="s">
        <v>78</v>
      </c>
      <c r="E1044">
        <v>5</v>
      </c>
      <c r="F1044">
        <v>63</v>
      </c>
      <c r="G1044">
        <v>186</v>
      </c>
      <c r="H1044">
        <v>42</v>
      </c>
      <c r="I1044">
        <v>0.46</v>
      </c>
      <c r="J1044">
        <v>19.149999999999999</v>
      </c>
      <c r="K1044" t="s">
        <v>945</v>
      </c>
      <c r="L1044" t="s">
        <v>946</v>
      </c>
      <c r="Q1044">
        <v>2</v>
      </c>
      <c r="R1044" s="24">
        <v>46032</v>
      </c>
      <c r="T1044" t="s">
        <v>38</v>
      </c>
      <c r="V1044" t="s">
        <v>921</v>
      </c>
      <c r="W1044" t="s">
        <v>81</v>
      </c>
      <c r="Z1044" t="s">
        <v>924</v>
      </c>
      <c r="AA1044" t="s">
        <v>947</v>
      </c>
      <c r="AC1044" t="s">
        <v>948</v>
      </c>
    </row>
    <row r="1045" spans="1:29" hidden="1" x14ac:dyDescent="0.25">
      <c r="A1045">
        <v>20</v>
      </c>
      <c r="B1045" t="s">
        <v>89</v>
      </c>
      <c r="C1045" t="s">
        <v>77</v>
      </c>
      <c r="D1045" t="s">
        <v>78</v>
      </c>
      <c r="E1045">
        <v>5</v>
      </c>
      <c r="F1045">
        <v>63</v>
      </c>
      <c r="G1045">
        <v>186</v>
      </c>
      <c r="H1045">
        <v>26</v>
      </c>
      <c r="I1045">
        <v>0.46</v>
      </c>
      <c r="J1045">
        <v>11.86</v>
      </c>
      <c r="K1045" t="s">
        <v>945</v>
      </c>
      <c r="L1045" t="s">
        <v>946</v>
      </c>
      <c r="Q1045">
        <v>2</v>
      </c>
      <c r="R1045" s="24">
        <v>46032</v>
      </c>
      <c r="T1045" t="s">
        <v>38</v>
      </c>
      <c r="V1045" t="s">
        <v>921</v>
      </c>
      <c r="W1045" t="s">
        <v>81</v>
      </c>
      <c r="Z1045" t="s">
        <v>924</v>
      </c>
      <c r="AA1045" t="s">
        <v>947</v>
      </c>
      <c r="AC1045" t="s">
        <v>948</v>
      </c>
    </row>
    <row r="1046" spans="1:29" hidden="1" x14ac:dyDescent="0.25">
      <c r="A1046">
        <v>21</v>
      </c>
      <c r="B1046" t="s">
        <v>91</v>
      </c>
      <c r="C1046" t="s">
        <v>77</v>
      </c>
      <c r="D1046" t="s">
        <v>78</v>
      </c>
      <c r="E1046">
        <v>5</v>
      </c>
      <c r="F1046">
        <v>63</v>
      </c>
      <c r="G1046">
        <v>186</v>
      </c>
      <c r="H1046">
        <v>26</v>
      </c>
      <c r="I1046">
        <v>0.46</v>
      </c>
      <c r="J1046">
        <v>11.86</v>
      </c>
      <c r="K1046" t="s">
        <v>945</v>
      </c>
      <c r="L1046" t="s">
        <v>946</v>
      </c>
      <c r="Q1046">
        <v>2</v>
      </c>
      <c r="R1046" s="24">
        <v>46032</v>
      </c>
      <c r="T1046" t="s">
        <v>38</v>
      </c>
      <c r="V1046" t="s">
        <v>921</v>
      </c>
      <c r="W1046" t="s">
        <v>81</v>
      </c>
      <c r="Z1046" t="s">
        <v>924</v>
      </c>
      <c r="AA1046" t="s">
        <v>947</v>
      </c>
      <c r="AC1046" t="s">
        <v>948</v>
      </c>
    </row>
    <row r="1047" spans="1:29" hidden="1" x14ac:dyDescent="0.25">
      <c r="A1047">
        <v>22</v>
      </c>
      <c r="B1047" t="s">
        <v>86</v>
      </c>
      <c r="C1047" t="s">
        <v>77</v>
      </c>
      <c r="D1047" t="s">
        <v>84</v>
      </c>
      <c r="E1047">
        <v>5</v>
      </c>
      <c r="F1047">
        <v>43</v>
      </c>
      <c r="G1047">
        <v>86</v>
      </c>
      <c r="H1047">
        <v>82</v>
      </c>
      <c r="I1047">
        <v>0.14000000000000001</v>
      </c>
      <c r="J1047">
        <v>11.58</v>
      </c>
      <c r="K1047" t="s">
        <v>79</v>
      </c>
      <c r="L1047" t="s">
        <v>949</v>
      </c>
      <c r="Q1047">
        <v>2</v>
      </c>
      <c r="R1047" s="24">
        <v>46032</v>
      </c>
      <c r="T1047" t="s">
        <v>38</v>
      </c>
      <c r="V1047" t="s">
        <v>921</v>
      </c>
      <c r="W1047" t="s">
        <v>81</v>
      </c>
      <c r="Z1047" t="s">
        <v>924</v>
      </c>
      <c r="AA1047" t="s">
        <v>39</v>
      </c>
      <c r="AC1047" t="s">
        <v>950</v>
      </c>
    </row>
    <row r="1048" spans="1:29" hidden="1" x14ac:dyDescent="0.25">
      <c r="A1048">
        <v>23</v>
      </c>
      <c r="B1048" t="s">
        <v>88</v>
      </c>
      <c r="C1048" t="s">
        <v>77</v>
      </c>
      <c r="D1048" t="s">
        <v>84</v>
      </c>
      <c r="E1048">
        <v>5</v>
      </c>
      <c r="F1048">
        <v>43</v>
      </c>
      <c r="G1048">
        <v>86</v>
      </c>
      <c r="H1048">
        <v>176</v>
      </c>
      <c r="I1048">
        <v>0.14000000000000001</v>
      </c>
      <c r="J1048">
        <v>24.85</v>
      </c>
      <c r="K1048" t="s">
        <v>79</v>
      </c>
      <c r="L1048" t="s">
        <v>949</v>
      </c>
      <c r="Q1048">
        <v>2</v>
      </c>
      <c r="R1048" s="24">
        <v>46032</v>
      </c>
      <c r="T1048" t="s">
        <v>38</v>
      </c>
      <c r="V1048" t="s">
        <v>921</v>
      </c>
      <c r="W1048" t="s">
        <v>81</v>
      </c>
      <c r="Z1048" t="s">
        <v>924</v>
      </c>
      <c r="AA1048" t="s">
        <v>39</v>
      </c>
      <c r="AC1048" t="s">
        <v>950</v>
      </c>
    </row>
    <row r="1049" spans="1:29" hidden="1" x14ac:dyDescent="0.25">
      <c r="A1049">
        <v>24</v>
      </c>
      <c r="B1049" t="s">
        <v>90</v>
      </c>
      <c r="C1049" t="s">
        <v>77</v>
      </c>
      <c r="D1049" t="s">
        <v>84</v>
      </c>
      <c r="E1049">
        <v>5</v>
      </c>
      <c r="F1049">
        <v>43</v>
      </c>
      <c r="G1049">
        <v>86</v>
      </c>
      <c r="H1049">
        <v>112</v>
      </c>
      <c r="I1049">
        <v>0.14000000000000001</v>
      </c>
      <c r="J1049">
        <v>15.82</v>
      </c>
      <c r="K1049" t="s">
        <v>79</v>
      </c>
      <c r="L1049" t="s">
        <v>949</v>
      </c>
      <c r="Q1049">
        <v>2</v>
      </c>
      <c r="R1049" s="24">
        <v>46032</v>
      </c>
      <c r="T1049" t="s">
        <v>38</v>
      </c>
      <c r="V1049" t="s">
        <v>921</v>
      </c>
      <c r="W1049" t="s">
        <v>81</v>
      </c>
      <c r="Z1049" t="s">
        <v>924</v>
      </c>
      <c r="AA1049" t="s">
        <v>39</v>
      </c>
      <c r="AC1049" t="s">
        <v>950</v>
      </c>
    </row>
    <row r="1050" spans="1:29" hidden="1" x14ac:dyDescent="0.25">
      <c r="A1050">
        <v>25</v>
      </c>
      <c r="B1050" t="s">
        <v>91</v>
      </c>
      <c r="C1050" t="s">
        <v>77</v>
      </c>
      <c r="D1050" t="s">
        <v>78</v>
      </c>
      <c r="E1050">
        <v>5</v>
      </c>
      <c r="F1050">
        <v>63</v>
      </c>
      <c r="G1050">
        <v>186</v>
      </c>
      <c r="H1050">
        <v>2</v>
      </c>
      <c r="I1050">
        <v>0.46</v>
      </c>
      <c r="J1050">
        <v>0.91</v>
      </c>
      <c r="K1050" t="s">
        <v>79</v>
      </c>
      <c r="L1050" t="s">
        <v>949</v>
      </c>
      <c r="Q1050">
        <v>2</v>
      </c>
      <c r="R1050" s="24">
        <v>46032</v>
      </c>
      <c r="T1050" t="s">
        <v>38</v>
      </c>
      <c r="V1050" t="s">
        <v>921</v>
      </c>
      <c r="W1050" t="s">
        <v>81</v>
      </c>
      <c r="Z1050" t="s">
        <v>924</v>
      </c>
      <c r="AA1050" t="s">
        <v>39</v>
      </c>
      <c r="AC1050" t="s">
        <v>950</v>
      </c>
    </row>
    <row r="1051" spans="1:29" hidden="1" x14ac:dyDescent="0.25">
      <c r="A1051">
        <v>26</v>
      </c>
      <c r="B1051" t="s">
        <v>92</v>
      </c>
      <c r="C1051" t="s">
        <v>77</v>
      </c>
      <c r="D1051" t="s">
        <v>84</v>
      </c>
      <c r="E1051">
        <v>5</v>
      </c>
      <c r="F1051">
        <v>43</v>
      </c>
      <c r="G1051">
        <v>86</v>
      </c>
      <c r="H1051">
        <v>120</v>
      </c>
      <c r="I1051">
        <v>0.14000000000000001</v>
      </c>
      <c r="J1051">
        <v>16.95</v>
      </c>
      <c r="K1051" t="s">
        <v>79</v>
      </c>
      <c r="L1051" t="s">
        <v>949</v>
      </c>
      <c r="Q1051">
        <v>2</v>
      </c>
      <c r="R1051" s="24">
        <v>46032</v>
      </c>
      <c r="T1051" t="s">
        <v>38</v>
      </c>
      <c r="V1051" t="s">
        <v>921</v>
      </c>
      <c r="W1051" t="s">
        <v>81</v>
      </c>
      <c r="Z1051" t="s">
        <v>924</v>
      </c>
      <c r="AA1051" t="s">
        <v>39</v>
      </c>
      <c r="AC1051" t="s">
        <v>950</v>
      </c>
    </row>
    <row r="1052" spans="1:29" hidden="1" x14ac:dyDescent="0.25">
      <c r="A1052">
        <v>27</v>
      </c>
      <c r="B1052" t="s">
        <v>93</v>
      </c>
      <c r="C1052" t="s">
        <v>77</v>
      </c>
      <c r="D1052" t="s">
        <v>78</v>
      </c>
      <c r="E1052">
        <v>5</v>
      </c>
      <c r="F1052">
        <v>63</v>
      </c>
      <c r="G1052">
        <v>186</v>
      </c>
      <c r="H1052">
        <v>42</v>
      </c>
      <c r="I1052">
        <v>0.46</v>
      </c>
      <c r="J1052">
        <v>19.149999999999999</v>
      </c>
      <c r="K1052" t="s">
        <v>79</v>
      </c>
      <c r="L1052" t="s">
        <v>949</v>
      </c>
      <c r="Q1052">
        <v>2</v>
      </c>
      <c r="R1052" s="24">
        <v>46032</v>
      </c>
      <c r="T1052" t="s">
        <v>38</v>
      </c>
      <c r="V1052" t="s">
        <v>921</v>
      </c>
      <c r="W1052" t="s">
        <v>81</v>
      </c>
      <c r="Z1052" t="s">
        <v>924</v>
      </c>
      <c r="AA1052" t="s">
        <v>39</v>
      </c>
      <c r="AC1052" t="s">
        <v>950</v>
      </c>
    </row>
    <row r="1053" spans="1:29" hidden="1" x14ac:dyDescent="0.25">
      <c r="A1053">
        <v>28</v>
      </c>
      <c r="B1053" t="s">
        <v>94</v>
      </c>
      <c r="C1053" t="s">
        <v>77</v>
      </c>
      <c r="D1053" t="s">
        <v>84</v>
      </c>
      <c r="E1053">
        <v>5</v>
      </c>
      <c r="F1053">
        <v>43</v>
      </c>
      <c r="G1053">
        <v>86</v>
      </c>
      <c r="H1053">
        <v>176</v>
      </c>
      <c r="I1053">
        <v>0.14000000000000001</v>
      </c>
      <c r="J1053">
        <v>24.85</v>
      </c>
      <c r="K1053" t="s">
        <v>79</v>
      </c>
      <c r="L1053" t="s">
        <v>949</v>
      </c>
      <c r="Q1053">
        <v>2</v>
      </c>
      <c r="R1053" s="24">
        <v>46032</v>
      </c>
      <c r="T1053" t="s">
        <v>38</v>
      </c>
      <c r="V1053" t="s">
        <v>921</v>
      </c>
      <c r="W1053" t="s">
        <v>81</v>
      </c>
      <c r="Z1053" t="s">
        <v>924</v>
      </c>
      <c r="AA1053" t="s">
        <v>39</v>
      </c>
      <c r="AC1053" t="s">
        <v>950</v>
      </c>
    </row>
    <row r="1054" spans="1:29" hidden="1" x14ac:dyDescent="0.25">
      <c r="A1054">
        <v>29</v>
      </c>
      <c r="B1054" t="s">
        <v>95</v>
      </c>
      <c r="C1054" t="s">
        <v>77</v>
      </c>
      <c r="D1054" t="s">
        <v>96</v>
      </c>
      <c r="E1054">
        <v>6</v>
      </c>
      <c r="F1054">
        <v>328</v>
      </c>
      <c r="G1054">
        <v>1752</v>
      </c>
      <c r="H1054">
        <v>1</v>
      </c>
      <c r="I1054">
        <v>25.59</v>
      </c>
      <c r="J1054">
        <v>25.59</v>
      </c>
      <c r="K1054" t="s">
        <v>97</v>
      </c>
      <c r="L1054" t="s">
        <v>951</v>
      </c>
      <c r="O1054" t="s">
        <v>81</v>
      </c>
      <c r="P1054" t="s">
        <v>81</v>
      </c>
      <c r="Q1054">
        <v>2</v>
      </c>
      <c r="R1054" s="24">
        <v>46032</v>
      </c>
      <c r="T1054" t="s">
        <v>38</v>
      </c>
      <c r="V1054" t="s">
        <v>921</v>
      </c>
      <c r="Z1054" t="s">
        <v>924</v>
      </c>
      <c r="AA1054" t="s">
        <v>39</v>
      </c>
      <c r="AC1054" t="s">
        <v>952</v>
      </c>
    </row>
    <row r="1055" spans="1:29" hidden="1" x14ac:dyDescent="0.25">
      <c r="A1055">
        <v>30</v>
      </c>
      <c r="B1055" t="s">
        <v>100</v>
      </c>
      <c r="C1055" t="s">
        <v>77</v>
      </c>
      <c r="D1055" t="s">
        <v>96</v>
      </c>
      <c r="E1055">
        <v>6</v>
      </c>
      <c r="F1055">
        <v>328</v>
      </c>
      <c r="G1055">
        <v>1752</v>
      </c>
      <c r="H1055">
        <v>1</v>
      </c>
      <c r="I1055">
        <v>25.59</v>
      </c>
      <c r="J1055">
        <v>25.59</v>
      </c>
      <c r="K1055" t="s">
        <v>97</v>
      </c>
      <c r="L1055" t="s">
        <v>951</v>
      </c>
      <c r="O1055" t="s">
        <v>81</v>
      </c>
      <c r="P1055" t="s">
        <v>81</v>
      </c>
      <c r="Q1055">
        <v>2</v>
      </c>
      <c r="R1055" s="24">
        <v>46032</v>
      </c>
      <c r="T1055" t="s">
        <v>38</v>
      </c>
      <c r="V1055" t="s">
        <v>921</v>
      </c>
      <c r="Z1055" t="s">
        <v>924</v>
      </c>
      <c r="AA1055" t="s">
        <v>39</v>
      </c>
      <c r="AC1055" t="s">
        <v>952</v>
      </c>
    </row>
    <row r="1056" spans="1:29" hidden="1" x14ac:dyDescent="0.25">
      <c r="A1056">
        <v>31</v>
      </c>
      <c r="B1056" t="s">
        <v>101</v>
      </c>
      <c r="C1056" t="s">
        <v>77</v>
      </c>
      <c r="D1056" t="s">
        <v>96</v>
      </c>
      <c r="E1056">
        <v>6</v>
      </c>
      <c r="F1056">
        <v>328</v>
      </c>
      <c r="G1056">
        <v>1752</v>
      </c>
      <c r="H1056">
        <v>3</v>
      </c>
      <c r="I1056">
        <v>25.6</v>
      </c>
      <c r="J1056">
        <v>76.790000000000006</v>
      </c>
      <c r="K1056" t="s">
        <v>97</v>
      </c>
      <c r="L1056" t="s">
        <v>951</v>
      </c>
      <c r="O1056" t="s">
        <v>81</v>
      </c>
      <c r="P1056" t="s">
        <v>81</v>
      </c>
      <c r="Q1056">
        <v>2</v>
      </c>
      <c r="R1056" s="24">
        <v>46032</v>
      </c>
      <c r="T1056" t="s">
        <v>38</v>
      </c>
      <c r="V1056" t="s">
        <v>921</v>
      </c>
      <c r="Z1056" t="s">
        <v>924</v>
      </c>
      <c r="AA1056" t="s">
        <v>39</v>
      </c>
      <c r="AC1056" t="s">
        <v>952</v>
      </c>
    </row>
    <row r="1057" spans="1:29" hidden="1" x14ac:dyDescent="0.25">
      <c r="A1057">
        <v>32</v>
      </c>
      <c r="B1057" t="s">
        <v>102</v>
      </c>
      <c r="C1057" t="s">
        <v>77</v>
      </c>
      <c r="D1057" t="s">
        <v>103</v>
      </c>
      <c r="E1057">
        <v>6</v>
      </c>
      <c r="F1057">
        <v>328</v>
      </c>
      <c r="G1057">
        <v>1753</v>
      </c>
      <c r="H1057">
        <v>3</v>
      </c>
      <c r="I1057">
        <v>25.61</v>
      </c>
      <c r="J1057">
        <v>76.83</v>
      </c>
      <c r="K1057" t="s">
        <v>97</v>
      </c>
      <c r="L1057" t="s">
        <v>951</v>
      </c>
      <c r="O1057" t="s">
        <v>81</v>
      </c>
      <c r="P1057" t="s">
        <v>81</v>
      </c>
      <c r="Q1057">
        <v>2</v>
      </c>
      <c r="R1057" s="24">
        <v>46032</v>
      </c>
      <c r="T1057" t="s">
        <v>38</v>
      </c>
      <c r="V1057" t="s">
        <v>921</v>
      </c>
      <c r="Z1057" t="s">
        <v>924</v>
      </c>
      <c r="AA1057" t="s">
        <v>39</v>
      </c>
      <c r="AC1057" t="s">
        <v>952</v>
      </c>
    </row>
    <row r="1058" spans="1:29" hidden="1" x14ac:dyDescent="0.25">
      <c r="A1058">
        <v>33</v>
      </c>
      <c r="B1058" t="s">
        <v>104</v>
      </c>
      <c r="C1058" t="s">
        <v>77</v>
      </c>
      <c r="D1058" t="s">
        <v>96</v>
      </c>
      <c r="E1058">
        <v>6</v>
      </c>
      <c r="F1058">
        <v>328</v>
      </c>
      <c r="G1058">
        <v>1752</v>
      </c>
      <c r="H1058">
        <v>2</v>
      </c>
      <c r="I1058">
        <v>25.59</v>
      </c>
      <c r="J1058">
        <v>51.18</v>
      </c>
      <c r="K1058" t="s">
        <v>97</v>
      </c>
      <c r="L1058" t="s">
        <v>951</v>
      </c>
      <c r="O1058" t="s">
        <v>81</v>
      </c>
      <c r="P1058" t="s">
        <v>81</v>
      </c>
      <c r="Q1058">
        <v>2</v>
      </c>
      <c r="R1058" s="24">
        <v>46032</v>
      </c>
      <c r="T1058" t="s">
        <v>38</v>
      </c>
      <c r="V1058" t="s">
        <v>921</v>
      </c>
      <c r="Z1058" t="s">
        <v>924</v>
      </c>
      <c r="AA1058" t="s">
        <v>39</v>
      </c>
      <c r="AC1058" t="s">
        <v>952</v>
      </c>
    </row>
    <row r="1059" spans="1:29" hidden="1" x14ac:dyDescent="0.25">
      <c r="A1059">
        <v>34</v>
      </c>
      <c r="B1059" t="s">
        <v>105</v>
      </c>
      <c r="C1059" t="s">
        <v>77</v>
      </c>
      <c r="D1059" t="s">
        <v>96</v>
      </c>
      <c r="E1059">
        <v>6</v>
      </c>
      <c r="F1059">
        <v>328</v>
      </c>
      <c r="G1059">
        <v>1752</v>
      </c>
      <c r="H1059">
        <v>1</v>
      </c>
      <c r="I1059">
        <v>25.59</v>
      </c>
      <c r="J1059">
        <v>25.59</v>
      </c>
      <c r="K1059" t="s">
        <v>97</v>
      </c>
      <c r="L1059" t="s">
        <v>951</v>
      </c>
      <c r="O1059" t="s">
        <v>81</v>
      </c>
      <c r="P1059" t="s">
        <v>81</v>
      </c>
      <c r="Q1059">
        <v>2</v>
      </c>
      <c r="R1059" s="24">
        <v>46032</v>
      </c>
      <c r="T1059" t="s">
        <v>38</v>
      </c>
      <c r="V1059" t="s">
        <v>921</v>
      </c>
      <c r="Z1059" t="s">
        <v>924</v>
      </c>
      <c r="AA1059" t="s">
        <v>39</v>
      </c>
      <c r="AC1059" t="s">
        <v>952</v>
      </c>
    </row>
    <row r="1060" spans="1:29" hidden="1" x14ac:dyDescent="0.25">
      <c r="A1060">
        <v>35</v>
      </c>
      <c r="B1060" t="s">
        <v>106</v>
      </c>
      <c r="C1060" t="s">
        <v>77</v>
      </c>
      <c r="D1060" t="s">
        <v>96</v>
      </c>
      <c r="E1060">
        <v>6</v>
      </c>
      <c r="F1060">
        <v>328</v>
      </c>
      <c r="G1060">
        <v>1752</v>
      </c>
      <c r="H1060">
        <v>1</v>
      </c>
      <c r="I1060">
        <v>25.59</v>
      </c>
      <c r="J1060">
        <v>25.59</v>
      </c>
      <c r="K1060" t="s">
        <v>97</v>
      </c>
      <c r="L1060" t="s">
        <v>951</v>
      </c>
      <c r="O1060" t="s">
        <v>81</v>
      </c>
      <c r="P1060" t="s">
        <v>81</v>
      </c>
      <c r="Q1060">
        <v>2</v>
      </c>
      <c r="R1060" s="24">
        <v>46032</v>
      </c>
      <c r="T1060" t="s">
        <v>38</v>
      </c>
      <c r="V1060" t="s">
        <v>921</v>
      </c>
      <c r="Z1060" t="s">
        <v>924</v>
      </c>
      <c r="AA1060" t="s">
        <v>39</v>
      </c>
      <c r="AC1060" t="s">
        <v>952</v>
      </c>
    </row>
    <row r="1061" spans="1:29" hidden="1" x14ac:dyDescent="0.25">
      <c r="A1061">
        <v>36</v>
      </c>
      <c r="B1061" t="s">
        <v>107</v>
      </c>
      <c r="C1061" t="s">
        <v>77</v>
      </c>
      <c r="D1061" t="s">
        <v>96</v>
      </c>
      <c r="E1061">
        <v>6</v>
      </c>
      <c r="F1061">
        <v>328</v>
      </c>
      <c r="G1061">
        <v>1752</v>
      </c>
      <c r="H1061">
        <v>3</v>
      </c>
      <c r="I1061">
        <v>25.6</v>
      </c>
      <c r="J1061">
        <v>76.790000000000006</v>
      </c>
      <c r="K1061" t="s">
        <v>97</v>
      </c>
      <c r="L1061" t="s">
        <v>951</v>
      </c>
      <c r="O1061" t="s">
        <v>81</v>
      </c>
      <c r="P1061" t="s">
        <v>81</v>
      </c>
      <c r="Q1061">
        <v>2</v>
      </c>
      <c r="R1061" s="24">
        <v>46032</v>
      </c>
      <c r="T1061" t="s">
        <v>38</v>
      </c>
      <c r="V1061" t="s">
        <v>921</v>
      </c>
      <c r="Z1061" t="s">
        <v>924</v>
      </c>
      <c r="AA1061" t="s">
        <v>39</v>
      </c>
      <c r="AC1061" t="s">
        <v>952</v>
      </c>
    </row>
    <row r="1062" spans="1:29" hidden="1" x14ac:dyDescent="0.25">
      <c r="A1062">
        <v>37</v>
      </c>
      <c r="B1062" t="s">
        <v>108</v>
      </c>
      <c r="C1062" t="s">
        <v>77</v>
      </c>
      <c r="D1062" t="s">
        <v>103</v>
      </c>
      <c r="E1062">
        <v>6</v>
      </c>
      <c r="F1062">
        <v>328</v>
      </c>
      <c r="G1062">
        <v>1753</v>
      </c>
      <c r="H1062">
        <v>3</v>
      </c>
      <c r="I1062">
        <v>25.61</v>
      </c>
      <c r="J1062">
        <v>76.83</v>
      </c>
      <c r="K1062" t="s">
        <v>97</v>
      </c>
      <c r="L1062" t="s">
        <v>951</v>
      </c>
      <c r="O1062" t="s">
        <v>81</v>
      </c>
      <c r="P1062" t="s">
        <v>81</v>
      </c>
      <c r="Q1062">
        <v>2</v>
      </c>
      <c r="R1062" s="24">
        <v>46032</v>
      </c>
      <c r="T1062" t="s">
        <v>38</v>
      </c>
      <c r="V1062" t="s">
        <v>921</v>
      </c>
      <c r="Z1062" t="s">
        <v>924</v>
      </c>
      <c r="AA1062" t="s">
        <v>39</v>
      </c>
      <c r="AC1062" t="s">
        <v>952</v>
      </c>
    </row>
    <row r="1063" spans="1:29" hidden="1" x14ac:dyDescent="0.25">
      <c r="A1063">
        <v>38</v>
      </c>
      <c r="B1063" t="s">
        <v>109</v>
      </c>
      <c r="C1063" t="s">
        <v>77</v>
      </c>
      <c r="D1063" t="s">
        <v>96</v>
      </c>
      <c r="E1063">
        <v>6</v>
      </c>
      <c r="F1063">
        <v>328</v>
      </c>
      <c r="G1063">
        <v>1752</v>
      </c>
      <c r="H1063">
        <v>2</v>
      </c>
      <c r="I1063">
        <v>25.59</v>
      </c>
      <c r="J1063">
        <v>51.18</v>
      </c>
      <c r="K1063" t="s">
        <v>97</v>
      </c>
      <c r="L1063" t="s">
        <v>951</v>
      </c>
      <c r="O1063" t="s">
        <v>81</v>
      </c>
      <c r="P1063" t="s">
        <v>81</v>
      </c>
      <c r="Q1063">
        <v>2</v>
      </c>
      <c r="R1063" s="24">
        <v>46032</v>
      </c>
      <c r="T1063" t="s">
        <v>38</v>
      </c>
      <c r="V1063" t="s">
        <v>921</v>
      </c>
      <c r="Z1063" t="s">
        <v>924</v>
      </c>
      <c r="AA1063" t="s">
        <v>39</v>
      </c>
      <c r="AC1063" t="s">
        <v>952</v>
      </c>
    </row>
    <row r="1064" spans="1:29" hidden="1" x14ac:dyDescent="0.25">
      <c r="A1064">
        <v>39</v>
      </c>
      <c r="B1064" t="s">
        <v>110</v>
      </c>
      <c r="C1064" t="s">
        <v>77</v>
      </c>
      <c r="D1064" t="s">
        <v>111</v>
      </c>
      <c r="E1064">
        <v>6</v>
      </c>
      <c r="F1064">
        <v>328</v>
      </c>
      <c r="G1064">
        <v>1672</v>
      </c>
      <c r="H1064">
        <v>2</v>
      </c>
      <c r="I1064">
        <v>24.46</v>
      </c>
      <c r="J1064">
        <v>48.91</v>
      </c>
      <c r="K1064" t="s">
        <v>97</v>
      </c>
      <c r="L1064" t="s">
        <v>951</v>
      </c>
      <c r="O1064" t="s">
        <v>81</v>
      </c>
      <c r="P1064" t="s">
        <v>81</v>
      </c>
      <c r="Q1064">
        <v>2</v>
      </c>
      <c r="R1064" s="24">
        <v>46032</v>
      </c>
      <c r="T1064" t="s">
        <v>38</v>
      </c>
      <c r="V1064" t="s">
        <v>921</v>
      </c>
      <c r="Z1064" t="s">
        <v>924</v>
      </c>
      <c r="AA1064" t="s">
        <v>39</v>
      </c>
      <c r="AC1064" t="s">
        <v>952</v>
      </c>
    </row>
    <row r="1065" spans="1:29" hidden="1" x14ac:dyDescent="0.25">
      <c r="A1065">
        <v>40</v>
      </c>
      <c r="B1065" t="s">
        <v>112</v>
      </c>
      <c r="C1065" t="s">
        <v>77</v>
      </c>
      <c r="D1065" t="s">
        <v>113</v>
      </c>
      <c r="E1065">
        <v>6</v>
      </c>
      <c r="F1065">
        <v>328</v>
      </c>
      <c r="G1065">
        <v>1718</v>
      </c>
      <c r="H1065">
        <v>1</v>
      </c>
      <c r="I1065">
        <v>25.11</v>
      </c>
      <c r="J1065">
        <v>25.11</v>
      </c>
      <c r="K1065" t="s">
        <v>97</v>
      </c>
      <c r="L1065" t="s">
        <v>951</v>
      </c>
      <c r="O1065" t="s">
        <v>81</v>
      </c>
      <c r="P1065" t="s">
        <v>81</v>
      </c>
      <c r="Q1065">
        <v>2</v>
      </c>
      <c r="R1065" s="24">
        <v>46032</v>
      </c>
      <c r="T1065" t="s">
        <v>38</v>
      </c>
      <c r="V1065" t="s">
        <v>921</v>
      </c>
      <c r="Z1065" t="s">
        <v>924</v>
      </c>
      <c r="AA1065" t="s">
        <v>39</v>
      </c>
      <c r="AC1065" t="s">
        <v>952</v>
      </c>
    </row>
    <row r="1066" spans="1:29" hidden="1" x14ac:dyDescent="0.25">
      <c r="A1066">
        <v>41</v>
      </c>
      <c r="B1066" t="s">
        <v>114</v>
      </c>
      <c r="C1066" t="s">
        <v>77</v>
      </c>
      <c r="D1066" t="s">
        <v>115</v>
      </c>
      <c r="E1066">
        <v>6</v>
      </c>
      <c r="F1066">
        <v>328</v>
      </c>
      <c r="G1066">
        <v>1729</v>
      </c>
      <c r="H1066">
        <v>5</v>
      </c>
      <c r="I1066">
        <v>25.27</v>
      </c>
      <c r="J1066">
        <v>126.35</v>
      </c>
      <c r="K1066" t="s">
        <v>97</v>
      </c>
      <c r="L1066" t="s">
        <v>951</v>
      </c>
      <c r="O1066" t="s">
        <v>81</v>
      </c>
      <c r="P1066" t="s">
        <v>81</v>
      </c>
      <c r="Q1066">
        <v>2</v>
      </c>
      <c r="R1066" s="24">
        <v>46032</v>
      </c>
      <c r="T1066" t="s">
        <v>38</v>
      </c>
      <c r="V1066" t="s">
        <v>921</v>
      </c>
      <c r="Z1066" t="s">
        <v>924</v>
      </c>
      <c r="AA1066" t="s">
        <v>39</v>
      </c>
      <c r="AC1066" t="s">
        <v>952</v>
      </c>
    </row>
    <row r="1067" spans="1:29" hidden="1" x14ac:dyDescent="0.25">
      <c r="A1067">
        <v>42</v>
      </c>
      <c r="B1067" t="s">
        <v>116</v>
      </c>
      <c r="C1067" t="s">
        <v>77</v>
      </c>
      <c r="D1067" t="s">
        <v>117</v>
      </c>
      <c r="E1067">
        <v>6</v>
      </c>
      <c r="F1067">
        <v>298</v>
      </c>
      <c r="G1067">
        <v>378</v>
      </c>
      <c r="H1067">
        <v>1</v>
      </c>
      <c r="I1067">
        <v>5.27</v>
      </c>
      <c r="J1067">
        <v>5.27</v>
      </c>
      <c r="K1067" t="s">
        <v>97</v>
      </c>
      <c r="L1067" t="s">
        <v>951</v>
      </c>
      <c r="Q1067">
        <v>2</v>
      </c>
      <c r="R1067" s="24">
        <v>46032</v>
      </c>
      <c r="T1067" t="s">
        <v>38</v>
      </c>
      <c r="V1067" t="s">
        <v>921</v>
      </c>
      <c r="W1067" t="s">
        <v>81</v>
      </c>
      <c r="Z1067" t="s">
        <v>924</v>
      </c>
      <c r="AA1067" t="s">
        <v>39</v>
      </c>
      <c r="AC1067" t="s">
        <v>952</v>
      </c>
    </row>
    <row r="1068" spans="1:29" hidden="1" x14ac:dyDescent="0.25">
      <c r="A1068">
        <v>43</v>
      </c>
      <c r="B1068" t="s">
        <v>118</v>
      </c>
      <c r="C1068" t="s">
        <v>77</v>
      </c>
      <c r="D1068" t="s">
        <v>115</v>
      </c>
      <c r="E1068">
        <v>6</v>
      </c>
      <c r="F1068">
        <v>328</v>
      </c>
      <c r="G1068">
        <v>1729</v>
      </c>
      <c r="H1068">
        <v>13</v>
      </c>
      <c r="I1068">
        <v>25.27</v>
      </c>
      <c r="J1068">
        <v>328.51</v>
      </c>
      <c r="K1068" t="s">
        <v>97</v>
      </c>
      <c r="L1068" t="s">
        <v>953</v>
      </c>
      <c r="O1068" t="s">
        <v>81</v>
      </c>
      <c r="P1068" t="s">
        <v>81</v>
      </c>
      <c r="Q1068">
        <v>2</v>
      </c>
      <c r="R1068" s="24">
        <v>46032</v>
      </c>
      <c r="T1068" t="s">
        <v>38</v>
      </c>
      <c r="V1068" t="s">
        <v>921</v>
      </c>
      <c r="Z1068" t="s">
        <v>924</v>
      </c>
      <c r="AA1068" t="s">
        <v>39</v>
      </c>
      <c r="AC1068" t="s">
        <v>954</v>
      </c>
    </row>
    <row r="1069" spans="1:29" hidden="1" x14ac:dyDescent="0.25">
      <c r="A1069">
        <v>44</v>
      </c>
      <c r="B1069" t="s">
        <v>114</v>
      </c>
      <c r="C1069" t="s">
        <v>77</v>
      </c>
      <c r="D1069" t="s">
        <v>115</v>
      </c>
      <c r="E1069">
        <v>6</v>
      </c>
      <c r="F1069">
        <v>328</v>
      </c>
      <c r="G1069">
        <v>1729</v>
      </c>
      <c r="H1069">
        <v>15</v>
      </c>
      <c r="I1069">
        <v>25.27</v>
      </c>
      <c r="J1069">
        <v>379.05</v>
      </c>
      <c r="K1069" t="s">
        <v>97</v>
      </c>
      <c r="L1069" t="s">
        <v>953</v>
      </c>
      <c r="O1069" t="s">
        <v>81</v>
      </c>
      <c r="P1069" t="s">
        <v>81</v>
      </c>
      <c r="Q1069">
        <v>2</v>
      </c>
      <c r="R1069" s="24">
        <v>46032</v>
      </c>
      <c r="T1069" t="s">
        <v>38</v>
      </c>
      <c r="V1069" t="s">
        <v>921</v>
      </c>
      <c r="Z1069" t="s">
        <v>924</v>
      </c>
      <c r="AA1069" t="s">
        <v>39</v>
      </c>
      <c r="AC1069" t="s">
        <v>954</v>
      </c>
    </row>
    <row r="1070" spans="1:29" hidden="1" x14ac:dyDescent="0.25">
      <c r="A1070">
        <v>45</v>
      </c>
      <c r="B1070" t="s">
        <v>121</v>
      </c>
      <c r="C1070" t="s">
        <v>77</v>
      </c>
      <c r="D1070" t="s">
        <v>122</v>
      </c>
      <c r="E1070">
        <v>6</v>
      </c>
      <c r="F1070">
        <v>328</v>
      </c>
      <c r="G1070">
        <v>934</v>
      </c>
      <c r="H1070">
        <v>1</v>
      </c>
      <c r="I1070">
        <v>14.43</v>
      </c>
      <c r="J1070">
        <v>14.43</v>
      </c>
      <c r="K1070" t="s">
        <v>97</v>
      </c>
      <c r="L1070" t="s">
        <v>953</v>
      </c>
      <c r="O1070" t="s">
        <v>81</v>
      </c>
      <c r="Q1070">
        <v>2</v>
      </c>
      <c r="R1070" s="24">
        <v>46032</v>
      </c>
      <c r="T1070" t="s">
        <v>38</v>
      </c>
      <c r="V1070" t="s">
        <v>921</v>
      </c>
      <c r="Z1070" t="s">
        <v>924</v>
      </c>
      <c r="AA1070" t="s">
        <v>39</v>
      </c>
      <c r="AC1070" t="s">
        <v>954</v>
      </c>
    </row>
    <row r="1071" spans="1:29" hidden="1" x14ac:dyDescent="0.25">
      <c r="A1071">
        <v>46</v>
      </c>
      <c r="B1071" t="s">
        <v>123</v>
      </c>
      <c r="C1071" t="s">
        <v>77</v>
      </c>
      <c r="D1071" t="s">
        <v>117</v>
      </c>
      <c r="E1071">
        <v>6</v>
      </c>
      <c r="F1071">
        <v>298</v>
      </c>
      <c r="G1071">
        <v>378</v>
      </c>
      <c r="H1071">
        <v>1</v>
      </c>
      <c r="I1071">
        <v>5.27</v>
      </c>
      <c r="J1071">
        <v>5.27</v>
      </c>
      <c r="K1071" t="s">
        <v>97</v>
      </c>
      <c r="L1071" t="s">
        <v>953</v>
      </c>
      <c r="Q1071">
        <v>2</v>
      </c>
      <c r="R1071" s="24">
        <v>46032</v>
      </c>
      <c r="T1071" t="s">
        <v>38</v>
      </c>
      <c r="V1071" t="s">
        <v>921</v>
      </c>
      <c r="W1071" t="s">
        <v>81</v>
      </c>
      <c r="Z1071" t="s">
        <v>924</v>
      </c>
      <c r="AA1071" t="s">
        <v>39</v>
      </c>
      <c r="AC1071" t="s">
        <v>954</v>
      </c>
    </row>
    <row r="1072" spans="1:29" hidden="1" x14ac:dyDescent="0.25">
      <c r="A1072">
        <v>47</v>
      </c>
      <c r="B1072" t="s">
        <v>124</v>
      </c>
      <c r="C1072" t="s">
        <v>77</v>
      </c>
      <c r="D1072" t="s">
        <v>111</v>
      </c>
      <c r="E1072">
        <v>6</v>
      </c>
      <c r="F1072">
        <v>328</v>
      </c>
      <c r="G1072">
        <v>1672</v>
      </c>
      <c r="H1072">
        <v>2</v>
      </c>
      <c r="I1072">
        <v>24.46</v>
      </c>
      <c r="J1072">
        <v>48.91</v>
      </c>
      <c r="K1072" t="s">
        <v>97</v>
      </c>
      <c r="L1072" t="s">
        <v>955</v>
      </c>
      <c r="O1072" t="s">
        <v>81</v>
      </c>
      <c r="P1072" t="s">
        <v>81</v>
      </c>
      <c r="Q1072">
        <v>2</v>
      </c>
      <c r="R1072" s="24">
        <v>46032</v>
      </c>
      <c r="T1072" t="s">
        <v>38</v>
      </c>
      <c r="V1072" t="s">
        <v>921</v>
      </c>
      <c r="Z1072" t="s">
        <v>924</v>
      </c>
      <c r="AA1072" t="s">
        <v>39</v>
      </c>
      <c r="AC1072" t="s">
        <v>956</v>
      </c>
    </row>
    <row r="1073" spans="1:29" hidden="1" x14ac:dyDescent="0.25">
      <c r="A1073">
        <v>48</v>
      </c>
      <c r="B1073" t="s">
        <v>127</v>
      </c>
      <c r="C1073" t="s">
        <v>77</v>
      </c>
      <c r="D1073" t="s">
        <v>113</v>
      </c>
      <c r="E1073">
        <v>6</v>
      </c>
      <c r="F1073">
        <v>328</v>
      </c>
      <c r="G1073">
        <v>1718</v>
      </c>
      <c r="H1073">
        <v>8</v>
      </c>
      <c r="I1073">
        <v>25.11</v>
      </c>
      <c r="J1073">
        <v>200.91</v>
      </c>
      <c r="K1073" t="s">
        <v>97</v>
      </c>
      <c r="L1073" t="s">
        <v>955</v>
      </c>
      <c r="O1073" t="s">
        <v>81</v>
      </c>
      <c r="P1073" t="s">
        <v>81</v>
      </c>
      <c r="Q1073">
        <v>2</v>
      </c>
      <c r="R1073" s="24">
        <v>46032</v>
      </c>
      <c r="T1073" t="s">
        <v>38</v>
      </c>
      <c r="V1073" t="s">
        <v>921</v>
      </c>
      <c r="Z1073" t="s">
        <v>924</v>
      </c>
      <c r="AA1073" t="s">
        <v>39</v>
      </c>
      <c r="AC1073" t="s">
        <v>956</v>
      </c>
    </row>
    <row r="1074" spans="1:29" hidden="1" x14ac:dyDescent="0.25">
      <c r="A1074">
        <v>49</v>
      </c>
      <c r="B1074" t="s">
        <v>118</v>
      </c>
      <c r="C1074" t="s">
        <v>77</v>
      </c>
      <c r="D1074" t="s">
        <v>115</v>
      </c>
      <c r="E1074">
        <v>6</v>
      </c>
      <c r="F1074">
        <v>328</v>
      </c>
      <c r="G1074">
        <v>1729</v>
      </c>
      <c r="H1074">
        <v>7</v>
      </c>
      <c r="I1074">
        <v>25.27</v>
      </c>
      <c r="J1074">
        <v>176.89</v>
      </c>
      <c r="K1074" t="s">
        <v>97</v>
      </c>
      <c r="L1074" t="s">
        <v>955</v>
      </c>
      <c r="O1074" t="s">
        <v>81</v>
      </c>
      <c r="P1074" t="s">
        <v>81</v>
      </c>
      <c r="Q1074">
        <v>2</v>
      </c>
      <c r="R1074" s="24">
        <v>46032</v>
      </c>
      <c r="T1074" t="s">
        <v>38</v>
      </c>
      <c r="V1074" t="s">
        <v>921</v>
      </c>
      <c r="Z1074" t="s">
        <v>924</v>
      </c>
      <c r="AA1074" t="s">
        <v>39</v>
      </c>
      <c r="AC1074" t="s">
        <v>956</v>
      </c>
    </row>
    <row r="1075" spans="1:29" hidden="1" x14ac:dyDescent="0.25">
      <c r="A1075">
        <v>50</v>
      </c>
      <c r="B1075" t="s">
        <v>112</v>
      </c>
      <c r="C1075" t="s">
        <v>77</v>
      </c>
      <c r="D1075" t="s">
        <v>113</v>
      </c>
      <c r="E1075">
        <v>6</v>
      </c>
      <c r="F1075">
        <v>328</v>
      </c>
      <c r="G1075">
        <v>1718</v>
      </c>
      <c r="H1075">
        <v>7</v>
      </c>
      <c r="I1075">
        <v>25.11</v>
      </c>
      <c r="J1075">
        <v>175.79</v>
      </c>
      <c r="K1075" t="s">
        <v>97</v>
      </c>
      <c r="L1075" t="s">
        <v>955</v>
      </c>
      <c r="O1075" t="s">
        <v>81</v>
      </c>
      <c r="P1075" t="s">
        <v>81</v>
      </c>
      <c r="Q1075">
        <v>2</v>
      </c>
      <c r="R1075" s="24">
        <v>46032</v>
      </c>
      <c r="T1075" t="s">
        <v>38</v>
      </c>
      <c r="V1075" t="s">
        <v>921</v>
      </c>
      <c r="Z1075" t="s">
        <v>924</v>
      </c>
      <c r="AA1075" t="s">
        <v>39</v>
      </c>
      <c r="AC1075" t="s">
        <v>956</v>
      </c>
    </row>
    <row r="1076" spans="1:29" hidden="1" x14ac:dyDescent="0.25">
      <c r="A1076">
        <v>51</v>
      </c>
      <c r="B1076" t="s">
        <v>121</v>
      </c>
      <c r="C1076" t="s">
        <v>77</v>
      </c>
      <c r="D1076" t="s">
        <v>122</v>
      </c>
      <c r="E1076">
        <v>6</v>
      </c>
      <c r="F1076">
        <v>328</v>
      </c>
      <c r="G1076">
        <v>934</v>
      </c>
      <c r="H1076">
        <v>8</v>
      </c>
      <c r="I1076">
        <v>14.43</v>
      </c>
      <c r="J1076">
        <v>115.43</v>
      </c>
      <c r="K1076" t="s">
        <v>97</v>
      </c>
      <c r="L1076" t="s">
        <v>955</v>
      </c>
      <c r="O1076" t="s">
        <v>81</v>
      </c>
      <c r="Q1076">
        <v>2</v>
      </c>
      <c r="R1076" s="24">
        <v>46032</v>
      </c>
      <c r="T1076" t="s">
        <v>38</v>
      </c>
      <c r="V1076" t="s">
        <v>921</v>
      </c>
      <c r="Z1076" t="s">
        <v>924</v>
      </c>
      <c r="AA1076" t="s">
        <v>39</v>
      </c>
      <c r="AC1076" t="s">
        <v>956</v>
      </c>
    </row>
    <row r="1077" spans="1:29" hidden="1" x14ac:dyDescent="0.25">
      <c r="A1077">
        <v>52</v>
      </c>
      <c r="B1077" t="s">
        <v>116</v>
      </c>
      <c r="C1077" t="s">
        <v>77</v>
      </c>
      <c r="D1077" t="s">
        <v>117</v>
      </c>
      <c r="E1077">
        <v>6</v>
      </c>
      <c r="F1077">
        <v>298</v>
      </c>
      <c r="G1077">
        <v>378</v>
      </c>
      <c r="H1077">
        <v>1</v>
      </c>
      <c r="I1077">
        <v>5.27</v>
      </c>
      <c r="J1077">
        <v>5.27</v>
      </c>
      <c r="K1077" t="s">
        <v>97</v>
      </c>
      <c r="L1077" t="s">
        <v>955</v>
      </c>
      <c r="Q1077">
        <v>2</v>
      </c>
      <c r="R1077" s="24">
        <v>46032</v>
      </c>
      <c r="T1077" t="s">
        <v>38</v>
      </c>
      <c r="V1077" t="s">
        <v>921</v>
      </c>
      <c r="W1077" t="s">
        <v>81</v>
      </c>
      <c r="Z1077" t="s">
        <v>924</v>
      </c>
      <c r="AA1077" t="s">
        <v>39</v>
      </c>
      <c r="AC1077" t="s">
        <v>956</v>
      </c>
    </row>
    <row r="1078" spans="1:29" hidden="1" x14ac:dyDescent="0.25">
      <c r="A1078">
        <v>53</v>
      </c>
      <c r="B1078" t="s">
        <v>128</v>
      </c>
      <c r="C1078" t="s">
        <v>77</v>
      </c>
      <c r="D1078" t="s">
        <v>129</v>
      </c>
      <c r="E1078">
        <v>6</v>
      </c>
      <c r="F1078">
        <v>188</v>
      </c>
      <c r="G1078">
        <v>2493</v>
      </c>
      <c r="H1078">
        <v>4</v>
      </c>
      <c r="I1078">
        <v>21.71</v>
      </c>
      <c r="J1078">
        <v>86.83</v>
      </c>
      <c r="K1078" t="s">
        <v>97</v>
      </c>
      <c r="L1078" t="s">
        <v>957</v>
      </c>
      <c r="O1078" t="s">
        <v>81</v>
      </c>
      <c r="P1078" t="s">
        <v>81</v>
      </c>
      <c r="Q1078">
        <v>2</v>
      </c>
      <c r="R1078" s="24">
        <v>46032</v>
      </c>
      <c r="T1078" t="s">
        <v>38</v>
      </c>
      <c r="V1078" t="s">
        <v>921</v>
      </c>
      <c r="Z1078" t="s">
        <v>924</v>
      </c>
      <c r="AA1078" t="s">
        <v>39</v>
      </c>
      <c r="AC1078" t="s">
        <v>958</v>
      </c>
    </row>
    <row r="1079" spans="1:29" hidden="1" x14ac:dyDescent="0.25">
      <c r="A1079">
        <v>54</v>
      </c>
      <c r="B1079" t="s">
        <v>132</v>
      </c>
      <c r="C1079" t="s">
        <v>77</v>
      </c>
      <c r="D1079" t="s">
        <v>133</v>
      </c>
      <c r="E1079">
        <v>6</v>
      </c>
      <c r="F1079">
        <v>188</v>
      </c>
      <c r="G1079">
        <v>2494</v>
      </c>
      <c r="H1079">
        <v>4</v>
      </c>
      <c r="I1079">
        <v>21.71</v>
      </c>
      <c r="J1079">
        <v>86.84</v>
      </c>
      <c r="K1079" t="s">
        <v>97</v>
      </c>
      <c r="L1079" t="s">
        <v>957</v>
      </c>
      <c r="O1079" t="s">
        <v>81</v>
      </c>
      <c r="P1079" t="s">
        <v>81</v>
      </c>
      <c r="Q1079">
        <v>2</v>
      </c>
      <c r="R1079" s="24">
        <v>46032</v>
      </c>
      <c r="T1079" t="s">
        <v>38</v>
      </c>
      <c r="V1079" t="s">
        <v>921</v>
      </c>
      <c r="Z1079" t="s">
        <v>924</v>
      </c>
      <c r="AA1079" t="s">
        <v>39</v>
      </c>
      <c r="AC1079" t="s">
        <v>958</v>
      </c>
    </row>
    <row r="1080" spans="1:29" hidden="1" x14ac:dyDescent="0.25">
      <c r="A1080">
        <v>55</v>
      </c>
      <c r="B1080" t="s">
        <v>134</v>
      </c>
      <c r="C1080" t="s">
        <v>77</v>
      </c>
      <c r="D1080" t="s">
        <v>135</v>
      </c>
      <c r="E1080">
        <v>6</v>
      </c>
      <c r="F1080">
        <v>188</v>
      </c>
      <c r="G1080">
        <v>2491</v>
      </c>
      <c r="H1080">
        <v>12</v>
      </c>
      <c r="I1080">
        <v>21.69</v>
      </c>
      <c r="J1080">
        <v>260.32</v>
      </c>
      <c r="K1080" t="s">
        <v>97</v>
      </c>
      <c r="L1080" t="s">
        <v>957</v>
      </c>
      <c r="O1080" t="s">
        <v>81</v>
      </c>
      <c r="P1080" t="s">
        <v>81</v>
      </c>
      <c r="Q1080">
        <v>2</v>
      </c>
      <c r="R1080" s="24">
        <v>46032</v>
      </c>
      <c r="T1080" t="s">
        <v>38</v>
      </c>
      <c r="V1080" t="s">
        <v>921</v>
      </c>
      <c r="Z1080" t="s">
        <v>924</v>
      </c>
      <c r="AA1080" t="s">
        <v>39</v>
      </c>
      <c r="AC1080" t="s">
        <v>958</v>
      </c>
    </row>
    <row r="1081" spans="1:29" hidden="1" x14ac:dyDescent="0.25">
      <c r="A1081">
        <v>56</v>
      </c>
      <c r="B1081" t="s">
        <v>136</v>
      </c>
      <c r="C1081" t="s">
        <v>77</v>
      </c>
      <c r="D1081" t="s">
        <v>129</v>
      </c>
      <c r="E1081">
        <v>6</v>
      </c>
      <c r="F1081">
        <v>188</v>
      </c>
      <c r="G1081">
        <v>2493</v>
      </c>
      <c r="H1081">
        <v>4</v>
      </c>
      <c r="I1081">
        <v>21.71</v>
      </c>
      <c r="J1081">
        <v>86.83</v>
      </c>
      <c r="K1081" t="s">
        <v>97</v>
      </c>
      <c r="L1081" t="s">
        <v>957</v>
      </c>
      <c r="O1081" t="s">
        <v>81</v>
      </c>
      <c r="P1081" t="s">
        <v>81</v>
      </c>
      <c r="Q1081">
        <v>2</v>
      </c>
      <c r="R1081" s="24">
        <v>46032</v>
      </c>
      <c r="T1081" t="s">
        <v>38</v>
      </c>
      <c r="V1081" t="s">
        <v>921</v>
      </c>
      <c r="Z1081" t="s">
        <v>924</v>
      </c>
      <c r="AA1081" t="s">
        <v>39</v>
      </c>
      <c r="AC1081" t="s">
        <v>958</v>
      </c>
    </row>
    <row r="1082" spans="1:29" hidden="1" x14ac:dyDescent="0.25">
      <c r="A1082">
        <v>57</v>
      </c>
      <c r="B1082" t="s">
        <v>137</v>
      </c>
      <c r="C1082" t="s">
        <v>77</v>
      </c>
      <c r="D1082" t="s">
        <v>133</v>
      </c>
      <c r="E1082">
        <v>6</v>
      </c>
      <c r="F1082">
        <v>188</v>
      </c>
      <c r="G1082">
        <v>2494</v>
      </c>
      <c r="H1082">
        <v>4</v>
      </c>
      <c r="I1082">
        <v>21.71</v>
      </c>
      <c r="J1082">
        <v>86.84</v>
      </c>
      <c r="K1082" t="s">
        <v>97</v>
      </c>
      <c r="L1082" t="s">
        <v>957</v>
      </c>
      <c r="O1082" t="s">
        <v>81</v>
      </c>
      <c r="P1082" t="s">
        <v>81</v>
      </c>
      <c r="Q1082">
        <v>2</v>
      </c>
      <c r="R1082" s="24">
        <v>46032</v>
      </c>
      <c r="T1082" t="s">
        <v>38</v>
      </c>
      <c r="V1082" t="s">
        <v>921</v>
      </c>
      <c r="Z1082" t="s">
        <v>924</v>
      </c>
      <c r="AA1082" t="s">
        <v>39</v>
      </c>
      <c r="AC1082" t="s">
        <v>958</v>
      </c>
    </row>
    <row r="1083" spans="1:29" hidden="1" x14ac:dyDescent="0.25">
      <c r="A1083">
        <v>58</v>
      </c>
      <c r="B1083" t="s">
        <v>138</v>
      </c>
      <c r="C1083" t="s">
        <v>77</v>
      </c>
      <c r="D1083" t="s">
        <v>122</v>
      </c>
      <c r="E1083">
        <v>6</v>
      </c>
      <c r="F1083">
        <v>328</v>
      </c>
      <c r="G1083">
        <v>934</v>
      </c>
      <c r="H1083">
        <v>4</v>
      </c>
      <c r="I1083">
        <v>14.43</v>
      </c>
      <c r="J1083">
        <v>57.72</v>
      </c>
      <c r="K1083" t="s">
        <v>97</v>
      </c>
      <c r="L1083" t="s">
        <v>957</v>
      </c>
      <c r="O1083" t="s">
        <v>81</v>
      </c>
      <c r="Q1083">
        <v>2</v>
      </c>
      <c r="R1083" s="24">
        <v>46032</v>
      </c>
      <c r="T1083" t="s">
        <v>38</v>
      </c>
      <c r="V1083" t="s">
        <v>921</v>
      </c>
      <c r="Z1083" t="s">
        <v>924</v>
      </c>
      <c r="AA1083" t="s">
        <v>39</v>
      </c>
      <c r="AC1083" t="s">
        <v>958</v>
      </c>
    </row>
    <row r="1084" spans="1:29" hidden="1" x14ac:dyDescent="0.25">
      <c r="A1084">
        <v>59</v>
      </c>
      <c r="B1084" t="s">
        <v>139</v>
      </c>
      <c r="C1084" t="s">
        <v>77</v>
      </c>
      <c r="D1084" t="s">
        <v>122</v>
      </c>
      <c r="E1084">
        <v>6</v>
      </c>
      <c r="F1084">
        <v>328</v>
      </c>
      <c r="G1084">
        <v>934</v>
      </c>
      <c r="H1084">
        <v>4</v>
      </c>
      <c r="I1084">
        <v>14.43</v>
      </c>
      <c r="J1084">
        <v>57.72</v>
      </c>
      <c r="K1084" t="s">
        <v>97</v>
      </c>
      <c r="L1084" t="s">
        <v>957</v>
      </c>
      <c r="O1084" t="s">
        <v>81</v>
      </c>
      <c r="Q1084">
        <v>2</v>
      </c>
      <c r="R1084" s="24">
        <v>46032</v>
      </c>
      <c r="T1084" t="s">
        <v>38</v>
      </c>
      <c r="V1084" t="s">
        <v>921</v>
      </c>
      <c r="Z1084" t="s">
        <v>924</v>
      </c>
      <c r="AA1084" t="s">
        <v>39</v>
      </c>
      <c r="AC1084" t="s">
        <v>958</v>
      </c>
    </row>
    <row r="1085" spans="1:29" hidden="1" x14ac:dyDescent="0.25">
      <c r="A1085">
        <v>60</v>
      </c>
      <c r="B1085" t="s">
        <v>140</v>
      </c>
      <c r="C1085" t="s">
        <v>77</v>
      </c>
      <c r="D1085" t="s">
        <v>135</v>
      </c>
      <c r="E1085">
        <v>6</v>
      </c>
      <c r="F1085">
        <v>188</v>
      </c>
      <c r="G1085">
        <v>2491</v>
      </c>
      <c r="H1085">
        <v>18</v>
      </c>
      <c r="I1085">
        <v>21.69</v>
      </c>
      <c r="J1085">
        <v>390.49</v>
      </c>
      <c r="K1085" t="s">
        <v>97</v>
      </c>
      <c r="L1085" t="s">
        <v>959</v>
      </c>
      <c r="O1085" t="s">
        <v>81</v>
      </c>
      <c r="P1085" t="s">
        <v>81</v>
      </c>
      <c r="Q1085">
        <v>2</v>
      </c>
      <c r="R1085" s="24">
        <v>46032</v>
      </c>
      <c r="T1085" t="s">
        <v>38</v>
      </c>
      <c r="V1085" t="s">
        <v>921</v>
      </c>
      <c r="Z1085" t="s">
        <v>924</v>
      </c>
      <c r="AA1085" t="s">
        <v>39</v>
      </c>
      <c r="AC1085" t="s">
        <v>960</v>
      </c>
    </row>
    <row r="1086" spans="1:29" hidden="1" x14ac:dyDescent="0.25">
      <c r="A1086">
        <v>61</v>
      </c>
      <c r="B1086" t="s">
        <v>134</v>
      </c>
      <c r="C1086" t="s">
        <v>77</v>
      </c>
      <c r="D1086" t="s">
        <v>135</v>
      </c>
      <c r="E1086">
        <v>6</v>
      </c>
      <c r="F1086">
        <v>188</v>
      </c>
      <c r="G1086">
        <v>2491</v>
      </c>
      <c r="H1086">
        <v>6</v>
      </c>
      <c r="I1086">
        <v>21.69</v>
      </c>
      <c r="J1086">
        <v>130.16</v>
      </c>
      <c r="K1086" t="s">
        <v>97</v>
      </c>
      <c r="L1086" t="s">
        <v>959</v>
      </c>
      <c r="O1086" t="s">
        <v>81</v>
      </c>
      <c r="P1086" t="s">
        <v>81</v>
      </c>
      <c r="Q1086">
        <v>2</v>
      </c>
      <c r="R1086" s="24">
        <v>46032</v>
      </c>
      <c r="T1086" t="s">
        <v>38</v>
      </c>
      <c r="V1086" t="s">
        <v>921</v>
      </c>
      <c r="Z1086" t="s">
        <v>924</v>
      </c>
      <c r="AA1086" t="s">
        <v>39</v>
      </c>
      <c r="AC1086" t="s">
        <v>960</v>
      </c>
    </row>
    <row r="1087" spans="1:29" hidden="1" x14ac:dyDescent="0.25">
      <c r="A1087">
        <v>62</v>
      </c>
      <c r="B1087" t="s">
        <v>143</v>
      </c>
      <c r="C1087" t="s">
        <v>77</v>
      </c>
      <c r="D1087" t="s">
        <v>135</v>
      </c>
      <c r="E1087">
        <v>6</v>
      </c>
      <c r="F1087">
        <v>188</v>
      </c>
      <c r="G1087">
        <v>2491</v>
      </c>
      <c r="H1087">
        <v>4</v>
      </c>
      <c r="I1087">
        <v>21.69</v>
      </c>
      <c r="J1087">
        <v>86.77</v>
      </c>
      <c r="K1087" t="s">
        <v>97</v>
      </c>
      <c r="L1087" t="s">
        <v>959</v>
      </c>
      <c r="O1087" t="s">
        <v>81</v>
      </c>
      <c r="P1087" t="s">
        <v>81</v>
      </c>
      <c r="Q1087">
        <v>2</v>
      </c>
      <c r="R1087" s="24">
        <v>46032</v>
      </c>
      <c r="T1087" t="s">
        <v>38</v>
      </c>
      <c r="V1087" t="s">
        <v>921</v>
      </c>
      <c r="Z1087" t="s">
        <v>924</v>
      </c>
      <c r="AA1087" t="s">
        <v>39</v>
      </c>
      <c r="AC1087" t="s">
        <v>960</v>
      </c>
    </row>
    <row r="1088" spans="1:29" hidden="1" x14ac:dyDescent="0.25">
      <c r="A1088">
        <v>63</v>
      </c>
      <c r="B1088" t="s">
        <v>144</v>
      </c>
      <c r="C1088" t="s">
        <v>77</v>
      </c>
      <c r="D1088" t="s">
        <v>122</v>
      </c>
      <c r="E1088">
        <v>6</v>
      </c>
      <c r="F1088">
        <v>328</v>
      </c>
      <c r="G1088">
        <v>934</v>
      </c>
      <c r="H1088">
        <v>5</v>
      </c>
      <c r="I1088">
        <v>14.43</v>
      </c>
      <c r="J1088">
        <v>72.150000000000006</v>
      </c>
      <c r="K1088" t="s">
        <v>97</v>
      </c>
      <c r="L1088" t="s">
        <v>959</v>
      </c>
      <c r="O1088" t="s">
        <v>81</v>
      </c>
      <c r="Q1088">
        <v>2</v>
      </c>
      <c r="R1088" s="24">
        <v>46032</v>
      </c>
      <c r="T1088" t="s">
        <v>38</v>
      </c>
      <c r="V1088" t="s">
        <v>921</v>
      </c>
      <c r="Z1088" t="s">
        <v>924</v>
      </c>
      <c r="AA1088" t="s">
        <v>39</v>
      </c>
      <c r="AC1088" t="s">
        <v>960</v>
      </c>
    </row>
    <row r="1089" spans="1:29" hidden="1" x14ac:dyDescent="0.25">
      <c r="A1089">
        <v>64</v>
      </c>
      <c r="B1089" t="s">
        <v>138</v>
      </c>
      <c r="C1089" t="s">
        <v>77</v>
      </c>
      <c r="D1089" t="s">
        <v>122</v>
      </c>
      <c r="E1089">
        <v>6</v>
      </c>
      <c r="F1089">
        <v>328</v>
      </c>
      <c r="G1089">
        <v>934</v>
      </c>
      <c r="H1089">
        <v>3</v>
      </c>
      <c r="I1089">
        <v>14.43</v>
      </c>
      <c r="J1089">
        <v>43.29</v>
      </c>
      <c r="K1089" t="s">
        <v>97</v>
      </c>
      <c r="L1089" t="s">
        <v>959</v>
      </c>
      <c r="O1089" t="s">
        <v>81</v>
      </c>
      <c r="Q1089">
        <v>2</v>
      </c>
      <c r="R1089" s="24">
        <v>46032</v>
      </c>
      <c r="T1089" t="s">
        <v>38</v>
      </c>
      <c r="V1089" t="s">
        <v>921</v>
      </c>
      <c r="Z1089" t="s">
        <v>924</v>
      </c>
      <c r="AA1089" t="s">
        <v>39</v>
      </c>
      <c r="AC1089" t="s">
        <v>960</v>
      </c>
    </row>
    <row r="1090" spans="1:29" hidden="1" x14ac:dyDescent="0.25">
      <c r="A1090">
        <v>65</v>
      </c>
      <c r="B1090" t="s">
        <v>145</v>
      </c>
      <c r="C1090" t="s">
        <v>77</v>
      </c>
      <c r="D1090" t="s">
        <v>135</v>
      </c>
      <c r="E1090">
        <v>6</v>
      </c>
      <c r="F1090">
        <v>188</v>
      </c>
      <c r="G1090">
        <v>2491</v>
      </c>
      <c r="H1090">
        <v>14</v>
      </c>
      <c r="I1090">
        <v>21.69</v>
      </c>
      <c r="J1090">
        <v>303.7</v>
      </c>
      <c r="K1090" t="s">
        <v>97</v>
      </c>
      <c r="L1090" t="s">
        <v>961</v>
      </c>
      <c r="O1090" t="s">
        <v>81</v>
      </c>
      <c r="P1090" t="s">
        <v>81</v>
      </c>
      <c r="Q1090">
        <v>2</v>
      </c>
      <c r="R1090" s="24">
        <v>46032</v>
      </c>
      <c r="T1090" t="s">
        <v>38</v>
      </c>
      <c r="V1090" t="s">
        <v>921</v>
      </c>
      <c r="Z1090" t="s">
        <v>924</v>
      </c>
      <c r="AA1090" t="s">
        <v>39</v>
      </c>
      <c r="AC1090" t="s">
        <v>962</v>
      </c>
    </row>
    <row r="1091" spans="1:29" hidden="1" x14ac:dyDescent="0.25">
      <c r="A1091">
        <v>66</v>
      </c>
      <c r="B1091" t="s">
        <v>148</v>
      </c>
      <c r="C1091" t="s">
        <v>77</v>
      </c>
      <c r="D1091" t="s">
        <v>122</v>
      </c>
      <c r="E1091">
        <v>6</v>
      </c>
      <c r="F1091">
        <v>328</v>
      </c>
      <c r="G1091">
        <v>934</v>
      </c>
      <c r="H1091">
        <v>4</v>
      </c>
      <c r="I1091">
        <v>14.43</v>
      </c>
      <c r="J1091">
        <v>57.72</v>
      </c>
      <c r="K1091" t="s">
        <v>97</v>
      </c>
      <c r="L1091" t="s">
        <v>961</v>
      </c>
      <c r="O1091" t="s">
        <v>81</v>
      </c>
      <c r="Q1091">
        <v>2</v>
      </c>
      <c r="R1091" s="24">
        <v>46032</v>
      </c>
      <c r="T1091" t="s">
        <v>38</v>
      </c>
      <c r="V1091" t="s">
        <v>921</v>
      </c>
      <c r="Z1091" t="s">
        <v>924</v>
      </c>
      <c r="AA1091" t="s">
        <v>39</v>
      </c>
      <c r="AC1091" t="s">
        <v>962</v>
      </c>
    </row>
    <row r="1092" spans="1:29" hidden="1" x14ac:dyDescent="0.25">
      <c r="A1092">
        <v>67</v>
      </c>
      <c r="B1092" t="s">
        <v>143</v>
      </c>
      <c r="C1092" t="s">
        <v>77</v>
      </c>
      <c r="D1092" t="s">
        <v>135</v>
      </c>
      <c r="E1092">
        <v>6</v>
      </c>
      <c r="F1092">
        <v>188</v>
      </c>
      <c r="G1092">
        <v>2491</v>
      </c>
      <c r="H1092">
        <v>14</v>
      </c>
      <c r="I1092">
        <v>21.69</v>
      </c>
      <c r="J1092">
        <v>303.7</v>
      </c>
      <c r="K1092" t="s">
        <v>97</v>
      </c>
      <c r="L1092" t="s">
        <v>961</v>
      </c>
      <c r="O1092" t="s">
        <v>81</v>
      </c>
      <c r="P1092" t="s">
        <v>81</v>
      </c>
      <c r="Q1092">
        <v>2</v>
      </c>
      <c r="R1092" s="24">
        <v>46032</v>
      </c>
      <c r="T1092" t="s">
        <v>38</v>
      </c>
      <c r="V1092" t="s">
        <v>921</v>
      </c>
      <c r="Z1092" t="s">
        <v>924</v>
      </c>
      <c r="AA1092" t="s">
        <v>39</v>
      </c>
      <c r="AC1092" t="s">
        <v>962</v>
      </c>
    </row>
    <row r="1093" spans="1:29" hidden="1" x14ac:dyDescent="0.25">
      <c r="A1093">
        <v>68</v>
      </c>
      <c r="B1093" t="s">
        <v>149</v>
      </c>
      <c r="C1093" t="s">
        <v>77</v>
      </c>
      <c r="D1093" t="s">
        <v>122</v>
      </c>
      <c r="E1093">
        <v>6</v>
      </c>
      <c r="F1093">
        <v>328</v>
      </c>
      <c r="G1093">
        <v>934</v>
      </c>
      <c r="H1093">
        <v>3</v>
      </c>
      <c r="I1093">
        <v>14.43</v>
      </c>
      <c r="J1093">
        <v>43.29</v>
      </c>
      <c r="K1093" t="s">
        <v>97</v>
      </c>
      <c r="L1093" t="s">
        <v>961</v>
      </c>
      <c r="O1093" t="s">
        <v>81</v>
      </c>
      <c r="Q1093">
        <v>2</v>
      </c>
      <c r="R1093" s="24">
        <v>46032</v>
      </c>
      <c r="T1093" t="s">
        <v>38</v>
      </c>
      <c r="V1093" t="s">
        <v>921</v>
      </c>
      <c r="Z1093" t="s">
        <v>924</v>
      </c>
      <c r="AA1093" t="s">
        <v>39</v>
      </c>
      <c r="AC1093" t="s">
        <v>962</v>
      </c>
    </row>
    <row r="1094" spans="1:29" hidden="1" x14ac:dyDescent="0.25">
      <c r="A1094">
        <v>69</v>
      </c>
      <c r="B1094" t="s">
        <v>144</v>
      </c>
      <c r="C1094" t="s">
        <v>77</v>
      </c>
      <c r="D1094" t="s">
        <v>122</v>
      </c>
      <c r="E1094">
        <v>6</v>
      </c>
      <c r="F1094">
        <v>328</v>
      </c>
      <c r="G1094">
        <v>934</v>
      </c>
      <c r="H1094">
        <v>1</v>
      </c>
      <c r="I1094">
        <v>14.43</v>
      </c>
      <c r="J1094">
        <v>14.43</v>
      </c>
      <c r="K1094" t="s">
        <v>97</v>
      </c>
      <c r="L1094" t="s">
        <v>961</v>
      </c>
      <c r="O1094" t="s">
        <v>81</v>
      </c>
      <c r="Q1094">
        <v>2</v>
      </c>
      <c r="R1094" s="24">
        <v>46032</v>
      </c>
      <c r="T1094" t="s">
        <v>38</v>
      </c>
      <c r="V1094" t="s">
        <v>921</v>
      </c>
      <c r="Z1094" t="s">
        <v>924</v>
      </c>
      <c r="AA1094" t="s">
        <v>39</v>
      </c>
      <c r="AC1094" t="s">
        <v>962</v>
      </c>
    </row>
    <row r="1095" spans="1:29" hidden="1" x14ac:dyDescent="0.25">
      <c r="A1095">
        <v>70</v>
      </c>
      <c r="B1095" t="s">
        <v>145</v>
      </c>
      <c r="C1095" t="s">
        <v>77</v>
      </c>
      <c r="D1095" t="s">
        <v>135</v>
      </c>
      <c r="E1095">
        <v>6</v>
      </c>
      <c r="F1095">
        <v>188</v>
      </c>
      <c r="G1095">
        <v>2491</v>
      </c>
      <c r="H1095">
        <v>4</v>
      </c>
      <c r="I1095">
        <v>21.69</v>
      </c>
      <c r="J1095">
        <v>86.77</v>
      </c>
      <c r="K1095" t="s">
        <v>97</v>
      </c>
      <c r="L1095" t="s">
        <v>963</v>
      </c>
      <c r="O1095" t="s">
        <v>81</v>
      </c>
      <c r="P1095" t="s">
        <v>81</v>
      </c>
      <c r="Q1095">
        <v>2</v>
      </c>
      <c r="R1095" s="24">
        <v>46032</v>
      </c>
      <c r="T1095" t="s">
        <v>38</v>
      </c>
      <c r="V1095" t="s">
        <v>921</v>
      </c>
      <c r="Z1095" t="s">
        <v>924</v>
      </c>
      <c r="AA1095" t="s">
        <v>39</v>
      </c>
      <c r="AC1095" t="s">
        <v>964</v>
      </c>
    </row>
    <row r="1096" spans="1:29" hidden="1" x14ac:dyDescent="0.25">
      <c r="A1096">
        <v>71</v>
      </c>
      <c r="B1096" t="s">
        <v>152</v>
      </c>
      <c r="C1096" t="s">
        <v>77</v>
      </c>
      <c r="D1096" t="s">
        <v>135</v>
      </c>
      <c r="E1096">
        <v>6</v>
      </c>
      <c r="F1096">
        <v>188</v>
      </c>
      <c r="G1096">
        <v>2491</v>
      </c>
      <c r="H1096">
        <v>6</v>
      </c>
      <c r="I1096">
        <v>21.69</v>
      </c>
      <c r="J1096">
        <v>130.12</v>
      </c>
      <c r="K1096" t="s">
        <v>97</v>
      </c>
      <c r="L1096" t="s">
        <v>963</v>
      </c>
      <c r="O1096" t="s">
        <v>81</v>
      </c>
      <c r="P1096" t="s">
        <v>81</v>
      </c>
      <c r="Q1096">
        <v>2</v>
      </c>
      <c r="R1096" s="24">
        <v>46032</v>
      </c>
      <c r="T1096" t="s">
        <v>38</v>
      </c>
      <c r="V1096" t="s">
        <v>921</v>
      </c>
      <c r="Z1096" t="s">
        <v>924</v>
      </c>
      <c r="AA1096" t="s">
        <v>39</v>
      </c>
      <c r="AC1096" t="s">
        <v>964</v>
      </c>
    </row>
    <row r="1097" spans="1:29" hidden="1" x14ac:dyDescent="0.25">
      <c r="A1097">
        <v>72</v>
      </c>
      <c r="B1097" t="s">
        <v>153</v>
      </c>
      <c r="C1097" t="s">
        <v>77</v>
      </c>
      <c r="D1097" t="s">
        <v>135</v>
      </c>
      <c r="E1097">
        <v>6</v>
      </c>
      <c r="F1097">
        <v>188</v>
      </c>
      <c r="G1097">
        <v>2491</v>
      </c>
      <c r="H1097">
        <v>18</v>
      </c>
      <c r="I1097">
        <v>21.69</v>
      </c>
      <c r="J1097">
        <v>390.36</v>
      </c>
      <c r="K1097" t="s">
        <v>97</v>
      </c>
      <c r="L1097" t="s">
        <v>963</v>
      </c>
      <c r="O1097" t="s">
        <v>81</v>
      </c>
      <c r="P1097" t="s">
        <v>81</v>
      </c>
      <c r="Q1097">
        <v>2</v>
      </c>
      <c r="R1097" s="24">
        <v>46032</v>
      </c>
      <c r="T1097" t="s">
        <v>38</v>
      </c>
      <c r="V1097" t="s">
        <v>921</v>
      </c>
      <c r="Z1097" t="s">
        <v>924</v>
      </c>
      <c r="AA1097" t="s">
        <v>39</v>
      </c>
      <c r="AC1097" t="s">
        <v>964</v>
      </c>
    </row>
    <row r="1098" spans="1:29" hidden="1" x14ac:dyDescent="0.25">
      <c r="A1098">
        <v>73</v>
      </c>
      <c r="B1098" t="s">
        <v>154</v>
      </c>
      <c r="C1098" t="s">
        <v>77</v>
      </c>
      <c r="D1098" t="s">
        <v>122</v>
      </c>
      <c r="E1098">
        <v>6</v>
      </c>
      <c r="F1098">
        <v>328</v>
      </c>
      <c r="G1098">
        <v>934</v>
      </c>
      <c r="H1098">
        <v>3</v>
      </c>
      <c r="I1098">
        <v>14.43</v>
      </c>
      <c r="J1098">
        <v>43.29</v>
      </c>
      <c r="K1098" t="s">
        <v>97</v>
      </c>
      <c r="L1098" t="s">
        <v>963</v>
      </c>
      <c r="O1098" t="s">
        <v>81</v>
      </c>
      <c r="Q1098">
        <v>2</v>
      </c>
      <c r="R1098" s="24">
        <v>46032</v>
      </c>
      <c r="T1098" t="s">
        <v>38</v>
      </c>
      <c r="V1098" t="s">
        <v>921</v>
      </c>
      <c r="Z1098" t="s">
        <v>924</v>
      </c>
      <c r="AA1098" t="s">
        <v>39</v>
      </c>
      <c r="AC1098" t="s">
        <v>964</v>
      </c>
    </row>
    <row r="1099" spans="1:29" hidden="1" x14ac:dyDescent="0.25">
      <c r="A1099">
        <v>74</v>
      </c>
      <c r="B1099" t="s">
        <v>139</v>
      </c>
      <c r="C1099" t="s">
        <v>77</v>
      </c>
      <c r="D1099" t="s">
        <v>122</v>
      </c>
      <c r="E1099">
        <v>6</v>
      </c>
      <c r="F1099">
        <v>328</v>
      </c>
      <c r="G1099">
        <v>934</v>
      </c>
      <c r="H1099">
        <v>5</v>
      </c>
      <c r="I1099">
        <v>14.43</v>
      </c>
      <c r="J1099">
        <v>72.150000000000006</v>
      </c>
      <c r="K1099" t="s">
        <v>97</v>
      </c>
      <c r="L1099" t="s">
        <v>963</v>
      </c>
      <c r="O1099" t="s">
        <v>81</v>
      </c>
      <c r="Q1099">
        <v>2</v>
      </c>
      <c r="R1099" s="24">
        <v>46032</v>
      </c>
      <c r="T1099" t="s">
        <v>38</v>
      </c>
      <c r="V1099" t="s">
        <v>921</v>
      </c>
      <c r="Z1099" t="s">
        <v>924</v>
      </c>
      <c r="AA1099" t="s">
        <v>39</v>
      </c>
      <c r="AC1099" t="s">
        <v>964</v>
      </c>
    </row>
    <row r="1100" spans="1:29" hidden="1" x14ac:dyDescent="0.25">
      <c r="A1100">
        <v>75</v>
      </c>
      <c r="B1100" t="s">
        <v>152</v>
      </c>
      <c r="C1100" t="s">
        <v>77</v>
      </c>
      <c r="D1100" t="s">
        <v>135</v>
      </c>
      <c r="E1100">
        <v>6</v>
      </c>
      <c r="F1100">
        <v>188</v>
      </c>
      <c r="G1100">
        <v>2491</v>
      </c>
      <c r="H1100">
        <v>12</v>
      </c>
      <c r="I1100">
        <v>21.69</v>
      </c>
      <c r="J1100">
        <v>260.24</v>
      </c>
      <c r="K1100" t="s">
        <v>97</v>
      </c>
      <c r="L1100" t="s">
        <v>965</v>
      </c>
      <c r="O1100" t="s">
        <v>81</v>
      </c>
      <c r="P1100" t="s">
        <v>81</v>
      </c>
      <c r="Q1100">
        <v>2</v>
      </c>
      <c r="R1100" s="24">
        <v>46032</v>
      </c>
      <c r="T1100" t="s">
        <v>38</v>
      </c>
      <c r="V1100" t="s">
        <v>921</v>
      </c>
      <c r="Z1100" t="s">
        <v>924</v>
      </c>
      <c r="AA1100" t="s">
        <v>39</v>
      </c>
      <c r="AC1100" t="s">
        <v>966</v>
      </c>
    </row>
    <row r="1101" spans="1:29" hidden="1" x14ac:dyDescent="0.25">
      <c r="A1101">
        <v>76</v>
      </c>
      <c r="B1101" t="s">
        <v>148</v>
      </c>
      <c r="C1101" t="s">
        <v>77</v>
      </c>
      <c r="D1101" t="s">
        <v>122</v>
      </c>
      <c r="E1101">
        <v>6</v>
      </c>
      <c r="F1101">
        <v>328</v>
      </c>
      <c r="G1101">
        <v>934</v>
      </c>
      <c r="H1101">
        <v>1</v>
      </c>
      <c r="I1101">
        <v>14.43</v>
      </c>
      <c r="J1101">
        <v>14.43</v>
      </c>
      <c r="K1101" t="s">
        <v>97</v>
      </c>
      <c r="L1101" t="s">
        <v>965</v>
      </c>
      <c r="O1101" t="s">
        <v>81</v>
      </c>
      <c r="Q1101">
        <v>2</v>
      </c>
      <c r="R1101" s="24">
        <v>46032</v>
      </c>
      <c r="T1101" t="s">
        <v>38</v>
      </c>
      <c r="V1101" t="s">
        <v>921</v>
      </c>
      <c r="Z1101" t="s">
        <v>924</v>
      </c>
      <c r="AA1101" t="s">
        <v>39</v>
      </c>
      <c r="AC1101" t="s">
        <v>966</v>
      </c>
    </row>
    <row r="1102" spans="1:29" hidden="1" x14ac:dyDescent="0.25">
      <c r="A1102">
        <v>77</v>
      </c>
      <c r="B1102" t="s">
        <v>149</v>
      </c>
      <c r="C1102" t="s">
        <v>77</v>
      </c>
      <c r="D1102" t="s">
        <v>122</v>
      </c>
      <c r="E1102">
        <v>6</v>
      </c>
      <c r="F1102">
        <v>328</v>
      </c>
      <c r="G1102">
        <v>934</v>
      </c>
      <c r="H1102">
        <v>3</v>
      </c>
      <c r="I1102">
        <v>14.43</v>
      </c>
      <c r="J1102">
        <v>43.29</v>
      </c>
      <c r="K1102" t="s">
        <v>97</v>
      </c>
      <c r="L1102" t="s">
        <v>965</v>
      </c>
      <c r="O1102" t="s">
        <v>81</v>
      </c>
      <c r="Q1102">
        <v>2</v>
      </c>
      <c r="R1102" s="24">
        <v>46032</v>
      </c>
      <c r="T1102" t="s">
        <v>38</v>
      </c>
      <c r="V1102" t="s">
        <v>921</v>
      </c>
      <c r="Z1102" t="s">
        <v>924</v>
      </c>
      <c r="AA1102" t="s">
        <v>39</v>
      </c>
      <c r="AC1102" t="s">
        <v>966</v>
      </c>
    </row>
    <row r="1103" spans="1:29" hidden="1" x14ac:dyDescent="0.25">
      <c r="A1103">
        <v>78</v>
      </c>
      <c r="B1103" t="s">
        <v>157</v>
      </c>
      <c r="C1103" t="s">
        <v>77</v>
      </c>
      <c r="D1103" t="s">
        <v>135</v>
      </c>
      <c r="E1103">
        <v>6</v>
      </c>
      <c r="F1103">
        <v>188</v>
      </c>
      <c r="G1103">
        <v>2491</v>
      </c>
      <c r="H1103">
        <v>16</v>
      </c>
      <c r="I1103">
        <v>21.69</v>
      </c>
      <c r="J1103">
        <v>346.99</v>
      </c>
      <c r="K1103" t="s">
        <v>97</v>
      </c>
      <c r="L1103" t="s">
        <v>965</v>
      </c>
      <c r="O1103" t="s">
        <v>81</v>
      </c>
      <c r="P1103" t="s">
        <v>81</v>
      </c>
      <c r="Q1103">
        <v>2</v>
      </c>
      <c r="R1103" s="24">
        <v>46032</v>
      </c>
      <c r="T1103" t="s">
        <v>38</v>
      </c>
      <c r="V1103" t="s">
        <v>921</v>
      </c>
      <c r="Z1103" t="s">
        <v>924</v>
      </c>
      <c r="AA1103" t="s">
        <v>39</v>
      </c>
      <c r="AC1103" t="s">
        <v>966</v>
      </c>
    </row>
    <row r="1104" spans="1:29" hidden="1" x14ac:dyDescent="0.25">
      <c r="A1104">
        <v>79</v>
      </c>
      <c r="B1104" t="s">
        <v>154</v>
      </c>
      <c r="C1104" t="s">
        <v>77</v>
      </c>
      <c r="D1104" t="s">
        <v>122</v>
      </c>
      <c r="E1104">
        <v>6</v>
      </c>
      <c r="F1104">
        <v>328</v>
      </c>
      <c r="G1104">
        <v>934</v>
      </c>
      <c r="H1104">
        <v>4</v>
      </c>
      <c r="I1104">
        <v>14.43</v>
      </c>
      <c r="J1104">
        <v>57.72</v>
      </c>
      <c r="K1104" t="s">
        <v>97</v>
      </c>
      <c r="L1104" t="s">
        <v>965</v>
      </c>
      <c r="O1104" t="s">
        <v>81</v>
      </c>
      <c r="Q1104">
        <v>2</v>
      </c>
      <c r="R1104" s="24">
        <v>46032</v>
      </c>
      <c r="T1104" t="s">
        <v>38</v>
      </c>
      <c r="V1104" t="s">
        <v>921</v>
      </c>
      <c r="Z1104" t="s">
        <v>924</v>
      </c>
      <c r="AA1104" t="s">
        <v>39</v>
      </c>
      <c r="AC1104" t="s">
        <v>966</v>
      </c>
    </row>
    <row r="1105" spans="1:29" hidden="1" x14ac:dyDescent="0.25">
      <c r="A1105">
        <v>80</v>
      </c>
      <c r="B1105" t="s">
        <v>158</v>
      </c>
      <c r="C1105" t="s">
        <v>77</v>
      </c>
      <c r="D1105" t="s">
        <v>159</v>
      </c>
      <c r="E1105">
        <v>6</v>
      </c>
      <c r="F1105">
        <v>328</v>
      </c>
      <c r="G1105">
        <v>894</v>
      </c>
      <c r="H1105">
        <v>2</v>
      </c>
      <c r="I1105">
        <v>13.81</v>
      </c>
      <c r="J1105">
        <v>27.62</v>
      </c>
      <c r="K1105" t="s">
        <v>97</v>
      </c>
      <c r="L1105" t="s">
        <v>967</v>
      </c>
      <c r="O1105" t="s">
        <v>81</v>
      </c>
      <c r="Q1105">
        <v>2</v>
      </c>
      <c r="R1105" s="24">
        <v>46032</v>
      </c>
      <c r="T1105" t="s">
        <v>38</v>
      </c>
      <c r="V1105" t="s">
        <v>921</v>
      </c>
      <c r="Z1105" t="s">
        <v>924</v>
      </c>
      <c r="AA1105" t="s">
        <v>39</v>
      </c>
      <c r="AC1105" t="s">
        <v>968</v>
      </c>
    </row>
    <row r="1106" spans="1:29" hidden="1" x14ac:dyDescent="0.25">
      <c r="A1106">
        <v>81</v>
      </c>
      <c r="B1106" t="s">
        <v>162</v>
      </c>
      <c r="C1106" t="s">
        <v>77</v>
      </c>
      <c r="D1106" t="s">
        <v>135</v>
      </c>
      <c r="E1106">
        <v>6</v>
      </c>
      <c r="F1106">
        <v>188</v>
      </c>
      <c r="G1106">
        <v>2491</v>
      </c>
      <c r="H1106">
        <v>18</v>
      </c>
      <c r="I1106">
        <v>21.69</v>
      </c>
      <c r="J1106">
        <v>390.36</v>
      </c>
      <c r="K1106" t="s">
        <v>97</v>
      </c>
      <c r="L1106" t="s">
        <v>967</v>
      </c>
      <c r="O1106" t="s">
        <v>81</v>
      </c>
      <c r="P1106" t="s">
        <v>81</v>
      </c>
      <c r="Q1106">
        <v>2</v>
      </c>
      <c r="R1106" s="24">
        <v>46032</v>
      </c>
      <c r="T1106" t="s">
        <v>38</v>
      </c>
      <c r="V1106" t="s">
        <v>921</v>
      </c>
      <c r="Z1106" t="s">
        <v>924</v>
      </c>
      <c r="AA1106" t="s">
        <v>39</v>
      </c>
      <c r="AC1106" t="s">
        <v>968</v>
      </c>
    </row>
    <row r="1107" spans="1:29" hidden="1" x14ac:dyDescent="0.25">
      <c r="A1107">
        <v>82</v>
      </c>
      <c r="B1107" t="s">
        <v>163</v>
      </c>
      <c r="C1107" t="s">
        <v>77</v>
      </c>
      <c r="D1107" t="s">
        <v>159</v>
      </c>
      <c r="E1107">
        <v>6</v>
      </c>
      <c r="F1107">
        <v>328</v>
      </c>
      <c r="G1107">
        <v>894</v>
      </c>
      <c r="H1107">
        <v>2</v>
      </c>
      <c r="I1107">
        <v>13.81</v>
      </c>
      <c r="J1107">
        <v>27.62</v>
      </c>
      <c r="K1107" t="s">
        <v>97</v>
      </c>
      <c r="L1107" t="s">
        <v>967</v>
      </c>
      <c r="O1107" t="s">
        <v>81</v>
      </c>
      <c r="Q1107">
        <v>2</v>
      </c>
      <c r="R1107" s="24">
        <v>46032</v>
      </c>
      <c r="T1107" t="s">
        <v>38</v>
      </c>
      <c r="V1107" t="s">
        <v>921</v>
      </c>
      <c r="Z1107" t="s">
        <v>924</v>
      </c>
      <c r="AA1107" t="s">
        <v>39</v>
      </c>
      <c r="AC1107" t="s">
        <v>968</v>
      </c>
    </row>
    <row r="1108" spans="1:29" hidden="1" x14ac:dyDescent="0.25">
      <c r="A1108">
        <v>83</v>
      </c>
      <c r="B1108" t="s">
        <v>164</v>
      </c>
      <c r="C1108" t="s">
        <v>77</v>
      </c>
      <c r="D1108" t="s">
        <v>159</v>
      </c>
      <c r="E1108">
        <v>6</v>
      </c>
      <c r="F1108">
        <v>328</v>
      </c>
      <c r="G1108">
        <v>894</v>
      </c>
      <c r="H1108">
        <v>1</v>
      </c>
      <c r="I1108">
        <v>13.81</v>
      </c>
      <c r="J1108">
        <v>13.81</v>
      </c>
      <c r="K1108" t="s">
        <v>97</v>
      </c>
      <c r="L1108" t="s">
        <v>967</v>
      </c>
      <c r="O1108" t="s">
        <v>81</v>
      </c>
      <c r="Q1108">
        <v>2</v>
      </c>
      <c r="R1108" s="24">
        <v>46032</v>
      </c>
      <c r="T1108" t="s">
        <v>38</v>
      </c>
      <c r="V1108" t="s">
        <v>921</v>
      </c>
      <c r="Z1108" t="s">
        <v>924</v>
      </c>
      <c r="AA1108" t="s">
        <v>39</v>
      </c>
      <c r="AC1108" t="s">
        <v>968</v>
      </c>
    </row>
    <row r="1109" spans="1:29" hidden="1" x14ac:dyDescent="0.25">
      <c r="A1109">
        <v>84</v>
      </c>
      <c r="B1109" t="s">
        <v>165</v>
      </c>
      <c r="C1109" t="s">
        <v>77</v>
      </c>
      <c r="D1109" t="s">
        <v>159</v>
      </c>
      <c r="E1109">
        <v>6</v>
      </c>
      <c r="F1109">
        <v>328</v>
      </c>
      <c r="G1109">
        <v>894</v>
      </c>
      <c r="H1109">
        <v>2</v>
      </c>
      <c r="I1109">
        <v>13.81</v>
      </c>
      <c r="J1109">
        <v>27.62</v>
      </c>
      <c r="K1109" t="s">
        <v>97</v>
      </c>
      <c r="L1109" t="s">
        <v>967</v>
      </c>
      <c r="O1109" t="s">
        <v>81</v>
      </c>
      <c r="Q1109">
        <v>2</v>
      </c>
      <c r="R1109" s="24">
        <v>46032</v>
      </c>
      <c r="T1109" t="s">
        <v>38</v>
      </c>
      <c r="V1109" t="s">
        <v>921</v>
      </c>
      <c r="Z1109" t="s">
        <v>924</v>
      </c>
      <c r="AA1109" t="s">
        <v>39</v>
      </c>
      <c r="AC1109" t="s">
        <v>968</v>
      </c>
    </row>
    <row r="1110" spans="1:29" hidden="1" x14ac:dyDescent="0.25">
      <c r="A1110">
        <v>85</v>
      </c>
      <c r="B1110" t="s">
        <v>157</v>
      </c>
      <c r="C1110" t="s">
        <v>77</v>
      </c>
      <c r="D1110" t="s">
        <v>135</v>
      </c>
      <c r="E1110">
        <v>6</v>
      </c>
      <c r="F1110">
        <v>188</v>
      </c>
      <c r="G1110">
        <v>2491</v>
      </c>
      <c r="H1110">
        <v>2</v>
      </c>
      <c r="I1110">
        <v>21.68</v>
      </c>
      <c r="J1110">
        <v>43.37</v>
      </c>
      <c r="K1110" t="s">
        <v>97</v>
      </c>
      <c r="L1110" t="s">
        <v>967</v>
      </c>
      <c r="O1110" t="s">
        <v>81</v>
      </c>
      <c r="P1110" t="s">
        <v>81</v>
      </c>
      <c r="Q1110">
        <v>2</v>
      </c>
      <c r="R1110" s="24">
        <v>46032</v>
      </c>
      <c r="T1110" t="s">
        <v>38</v>
      </c>
      <c r="V1110" t="s">
        <v>921</v>
      </c>
      <c r="Z1110" t="s">
        <v>924</v>
      </c>
      <c r="AA1110" t="s">
        <v>39</v>
      </c>
      <c r="AC1110" t="s">
        <v>968</v>
      </c>
    </row>
    <row r="1111" spans="1:29" hidden="1" x14ac:dyDescent="0.25">
      <c r="A1111">
        <v>86</v>
      </c>
      <c r="B1111" t="s">
        <v>166</v>
      </c>
      <c r="C1111" t="s">
        <v>77</v>
      </c>
      <c r="D1111" t="s">
        <v>167</v>
      </c>
      <c r="E1111">
        <v>6</v>
      </c>
      <c r="F1111">
        <v>188</v>
      </c>
      <c r="G1111">
        <v>2483</v>
      </c>
      <c r="H1111">
        <v>8</v>
      </c>
      <c r="I1111">
        <v>21.62</v>
      </c>
      <c r="J1111">
        <v>172.99</v>
      </c>
      <c r="K1111" t="s">
        <v>97</v>
      </c>
      <c r="L1111" t="s">
        <v>967</v>
      </c>
      <c r="O1111" t="s">
        <v>81</v>
      </c>
      <c r="P1111" t="s">
        <v>81</v>
      </c>
      <c r="Q1111">
        <v>2</v>
      </c>
      <c r="R1111" s="24">
        <v>46032</v>
      </c>
      <c r="T1111" t="s">
        <v>38</v>
      </c>
      <c r="V1111" t="s">
        <v>921</v>
      </c>
      <c r="Z1111" t="s">
        <v>924</v>
      </c>
      <c r="AA1111" t="s">
        <v>39</v>
      </c>
      <c r="AC1111" t="s">
        <v>968</v>
      </c>
    </row>
    <row r="1112" spans="1:29" hidden="1" x14ac:dyDescent="0.25">
      <c r="A1112">
        <v>87</v>
      </c>
      <c r="B1112" t="s">
        <v>168</v>
      </c>
      <c r="C1112" t="s">
        <v>77</v>
      </c>
      <c r="D1112" t="s">
        <v>159</v>
      </c>
      <c r="E1112">
        <v>6</v>
      </c>
      <c r="F1112">
        <v>328</v>
      </c>
      <c r="G1112">
        <v>894</v>
      </c>
      <c r="H1112">
        <v>2</v>
      </c>
      <c r="I1112">
        <v>13.81</v>
      </c>
      <c r="J1112">
        <v>27.62</v>
      </c>
      <c r="K1112" t="s">
        <v>97</v>
      </c>
      <c r="L1112" t="s">
        <v>967</v>
      </c>
      <c r="O1112" t="s">
        <v>81</v>
      </c>
      <c r="Q1112">
        <v>2</v>
      </c>
      <c r="R1112" s="24">
        <v>46032</v>
      </c>
      <c r="T1112" t="s">
        <v>38</v>
      </c>
      <c r="V1112" t="s">
        <v>921</v>
      </c>
      <c r="Z1112" t="s">
        <v>924</v>
      </c>
      <c r="AA1112" t="s">
        <v>39</v>
      </c>
      <c r="AC1112" t="s">
        <v>968</v>
      </c>
    </row>
    <row r="1113" spans="1:29" hidden="1" x14ac:dyDescent="0.25">
      <c r="A1113">
        <v>88</v>
      </c>
      <c r="B1113" t="s">
        <v>116</v>
      </c>
      <c r="C1113" t="s">
        <v>77</v>
      </c>
      <c r="D1113" t="s">
        <v>117</v>
      </c>
      <c r="E1113">
        <v>6</v>
      </c>
      <c r="F1113">
        <v>298</v>
      </c>
      <c r="G1113">
        <v>378</v>
      </c>
      <c r="H1113">
        <v>1</v>
      </c>
      <c r="I1113">
        <v>5.27</v>
      </c>
      <c r="J1113">
        <v>5.27</v>
      </c>
      <c r="K1113" t="s">
        <v>97</v>
      </c>
      <c r="L1113" t="s">
        <v>967</v>
      </c>
      <c r="Q1113">
        <v>2</v>
      </c>
      <c r="R1113" s="24">
        <v>46032</v>
      </c>
      <c r="T1113" t="s">
        <v>38</v>
      </c>
      <c r="V1113" t="s">
        <v>921</v>
      </c>
      <c r="W1113" t="s">
        <v>81</v>
      </c>
      <c r="Z1113" t="s">
        <v>924</v>
      </c>
      <c r="AA1113" t="s">
        <v>39</v>
      </c>
      <c r="AC1113" t="s">
        <v>968</v>
      </c>
    </row>
    <row r="1114" spans="1:29" hidden="1" x14ac:dyDescent="0.25">
      <c r="A1114">
        <v>89</v>
      </c>
      <c r="B1114" t="s">
        <v>166</v>
      </c>
      <c r="C1114" t="s">
        <v>77</v>
      </c>
      <c r="D1114" t="s">
        <v>167</v>
      </c>
      <c r="E1114">
        <v>6</v>
      </c>
      <c r="F1114">
        <v>188</v>
      </c>
      <c r="G1114">
        <v>2483</v>
      </c>
      <c r="H1114">
        <v>28</v>
      </c>
      <c r="I1114">
        <v>21.62</v>
      </c>
      <c r="J1114">
        <v>605.47</v>
      </c>
      <c r="K1114" t="s">
        <v>97</v>
      </c>
      <c r="L1114" t="s">
        <v>969</v>
      </c>
      <c r="O1114" t="s">
        <v>81</v>
      </c>
      <c r="P1114" t="s">
        <v>81</v>
      </c>
      <c r="Q1114">
        <v>2</v>
      </c>
      <c r="R1114" s="24">
        <v>46032</v>
      </c>
      <c r="T1114" t="s">
        <v>38</v>
      </c>
      <c r="V1114" t="s">
        <v>921</v>
      </c>
      <c r="Z1114" t="s">
        <v>924</v>
      </c>
      <c r="AA1114" t="s">
        <v>39</v>
      </c>
      <c r="AC1114" t="s">
        <v>970</v>
      </c>
    </row>
    <row r="1115" spans="1:29" hidden="1" x14ac:dyDescent="0.25">
      <c r="A1115">
        <v>90</v>
      </c>
      <c r="B1115" t="s">
        <v>116</v>
      </c>
      <c r="C1115" t="s">
        <v>77</v>
      </c>
      <c r="D1115" t="s">
        <v>117</v>
      </c>
      <c r="E1115">
        <v>6</v>
      </c>
      <c r="F1115">
        <v>298</v>
      </c>
      <c r="G1115">
        <v>378</v>
      </c>
      <c r="H1115">
        <v>5</v>
      </c>
      <c r="I1115">
        <v>5.27</v>
      </c>
      <c r="J1115">
        <v>26.34</v>
      </c>
      <c r="K1115" t="s">
        <v>97</v>
      </c>
      <c r="L1115" t="s">
        <v>969</v>
      </c>
      <c r="Q1115">
        <v>2</v>
      </c>
      <c r="R1115" s="24">
        <v>46032</v>
      </c>
      <c r="T1115" t="s">
        <v>38</v>
      </c>
      <c r="V1115" t="s">
        <v>921</v>
      </c>
      <c r="W1115" t="s">
        <v>81</v>
      </c>
      <c r="Z1115" t="s">
        <v>924</v>
      </c>
      <c r="AA1115" t="s">
        <v>39</v>
      </c>
      <c r="AC1115" t="s">
        <v>970</v>
      </c>
    </row>
    <row r="1116" spans="1:29" hidden="1" x14ac:dyDescent="0.25">
      <c r="A1116">
        <v>91</v>
      </c>
      <c r="B1116" t="s">
        <v>123</v>
      </c>
      <c r="C1116" t="s">
        <v>77</v>
      </c>
      <c r="D1116" t="s">
        <v>117</v>
      </c>
      <c r="E1116">
        <v>6</v>
      </c>
      <c r="F1116">
        <v>298</v>
      </c>
      <c r="G1116">
        <v>378</v>
      </c>
      <c r="H1116">
        <v>7</v>
      </c>
      <c r="I1116">
        <v>5.27</v>
      </c>
      <c r="J1116">
        <v>36.869999999999997</v>
      </c>
      <c r="K1116" t="s">
        <v>97</v>
      </c>
      <c r="L1116" t="s">
        <v>969</v>
      </c>
      <c r="Q1116">
        <v>2</v>
      </c>
      <c r="R1116" s="24">
        <v>46032</v>
      </c>
      <c r="T1116" t="s">
        <v>38</v>
      </c>
      <c r="V1116" t="s">
        <v>921</v>
      </c>
      <c r="W1116" t="s">
        <v>81</v>
      </c>
      <c r="Z1116" t="s">
        <v>924</v>
      </c>
      <c r="AA1116" t="s">
        <v>39</v>
      </c>
      <c r="AC1116" t="s">
        <v>970</v>
      </c>
    </row>
    <row r="1117" spans="1:29" hidden="1" x14ac:dyDescent="0.25">
      <c r="A1117">
        <v>92</v>
      </c>
      <c r="B1117" t="s">
        <v>171</v>
      </c>
      <c r="C1117" t="s">
        <v>77</v>
      </c>
      <c r="D1117" t="s">
        <v>117</v>
      </c>
      <c r="E1117">
        <v>6</v>
      </c>
      <c r="F1117">
        <v>298</v>
      </c>
      <c r="G1117">
        <v>378</v>
      </c>
      <c r="H1117">
        <v>14</v>
      </c>
      <c r="I1117">
        <v>5.27</v>
      </c>
      <c r="J1117">
        <v>73.75</v>
      </c>
      <c r="K1117" t="s">
        <v>97</v>
      </c>
      <c r="L1117" t="s">
        <v>969</v>
      </c>
      <c r="Q1117">
        <v>2</v>
      </c>
      <c r="R1117" s="24">
        <v>46032</v>
      </c>
      <c r="T1117" t="s">
        <v>38</v>
      </c>
      <c r="V1117" t="s">
        <v>921</v>
      </c>
      <c r="W1117" t="s">
        <v>81</v>
      </c>
      <c r="Z1117" t="s">
        <v>924</v>
      </c>
      <c r="AA1117" t="s">
        <v>39</v>
      </c>
      <c r="AC1117" t="s">
        <v>970</v>
      </c>
    </row>
    <row r="1118" spans="1:29" hidden="1" x14ac:dyDescent="0.25">
      <c r="A1118">
        <v>93</v>
      </c>
      <c r="B1118" t="s">
        <v>172</v>
      </c>
      <c r="C1118" t="s">
        <v>77</v>
      </c>
      <c r="D1118" t="s">
        <v>167</v>
      </c>
      <c r="E1118">
        <v>6</v>
      </c>
      <c r="F1118">
        <v>188</v>
      </c>
      <c r="G1118">
        <v>2483</v>
      </c>
      <c r="H1118">
        <v>24</v>
      </c>
      <c r="I1118">
        <v>21.62</v>
      </c>
      <c r="J1118">
        <v>518.97</v>
      </c>
      <c r="K1118" t="s">
        <v>97</v>
      </c>
      <c r="L1118" t="s">
        <v>971</v>
      </c>
      <c r="O1118" t="s">
        <v>81</v>
      </c>
      <c r="P1118" t="s">
        <v>81</v>
      </c>
      <c r="Q1118">
        <v>2</v>
      </c>
      <c r="R1118" s="24">
        <v>46032</v>
      </c>
      <c r="T1118" t="s">
        <v>38</v>
      </c>
      <c r="V1118" t="s">
        <v>921</v>
      </c>
      <c r="Z1118" t="s">
        <v>924</v>
      </c>
      <c r="AA1118" t="s">
        <v>39</v>
      </c>
      <c r="AC1118" t="s">
        <v>972</v>
      </c>
    </row>
    <row r="1119" spans="1:29" hidden="1" x14ac:dyDescent="0.25">
      <c r="A1119">
        <v>94</v>
      </c>
      <c r="B1119" t="s">
        <v>166</v>
      </c>
      <c r="C1119" t="s">
        <v>77</v>
      </c>
      <c r="D1119" t="s">
        <v>167</v>
      </c>
      <c r="E1119">
        <v>6</v>
      </c>
      <c r="F1119">
        <v>188</v>
      </c>
      <c r="G1119">
        <v>2483</v>
      </c>
      <c r="H1119">
        <v>4</v>
      </c>
      <c r="I1119">
        <v>21.62</v>
      </c>
      <c r="J1119">
        <v>86.5</v>
      </c>
      <c r="K1119" t="s">
        <v>97</v>
      </c>
      <c r="L1119" t="s">
        <v>971</v>
      </c>
      <c r="O1119" t="s">
        <v>81</v>
      </c>
      <c r="P1119" t="s">
        <v>81</v>
      </c>
      <c r="Q1119">
        <v>2</v>
      </c>
      <c r="R1119" s="24">
        <v>46032</v>
      </c>
      <c r="T1119" t="s">
        <v>38</v>
      </c>
      <c r="V1119" t="s">
        <v>921</v>
      </c>
      <c r="Z1119" t="s">
        <v>924</v>
      </c>
      <c r="AA1119" t="s">
        <v>39</v>
      </c>
      <c r="AC1119" t="s">
        <v>972</v>
      </c>
    </row>
    <row r="1120" spans="1:29" hidden="1" x14ac:dyDescent="0.25">
      <c r="A1120">
        <v>95</v>
      </c>
      <c r="B1120" t="s">
        <v>116</v>
      </c>
      <c r="C1120" t="s">
        <v>77</v>
      </c>
      <c r="D1120" t="s">
        <v>117</v>
      </c>
      <c r="E1120">
        <v>6</v>
      </c>
      <c r="F1120">
        <v>298</v>
      </c>
      <c r="G1120">
        <v>378</v>
      </c>
      <c r="H1120">
        <v>6</v>
      </c>
      <c r="I1120">
        <v>5.27</v>
      </c>
      <c r="J1120">
        <v>31.61</v>
      </c>
      <c r="K1120" t="s">
        <v>97</v>
      </c>
      <c r="L1120" t="s">
        <v>971</v>
      </c>
      <c r="Q1120">
        <v>2</v>
      </c>
      <c r="R1120" s="24">
        <v>46032</v>
      </c>
      <c r="T1120" t="s">
        <v>38</v>
      </c>
      <c r="V1120" t="s">
        <v>921</v>
      </c>
      <c r="W1120" t="s">
        <v>81</v>
      </c>
      <c r="Z1120" t="s">
        <v>924</v>
      </c>
      <c r="AA1120" t="s">
        <v>39</v>
      </c>
      <c r="AC1120" t="s">
        <v>972</v>
      </c>
    </row>
    <row r="1121" spans="1:29" hidden="1" x14ac:dyDescent="0.25">
      <c r="A1121">
        <v>96</v>
      </c>
      <c r="B1121" t="s">
        <v>123</v>
      </c>
      <c r="C1121" t="s">
        <v>77</v>
      </c>
      <c r="D1121" t="s">
        <v>117</v>
      </c>
      <c r="E1121">
        <v>6</v>
      </c>
      <c r="F1121">
        <v>298</v>
      </c>
      <c r="G1121">
        <v>378</v>
      </c>
      <c r="H1121">
        <v>20</v>
      </c>
      <c r="I1121">
        <v>5.27</v>
      </c>
      <c r="J1121">
        <v>105.36</v>
      </c>
      <c r="K1121" t="s">
        <v>97</v>
      </c>
      <c r="L1121" t="s">
        <v>971</v>
      </c>
      <c r="Q1121">
        <v>2</v>
      </c>
      <c r="R1121" s="24">
        <v>46032</v>
      </c>
      <c r="T1121" t="s">
        <v>38</v>
      </c>
      <c r="V1121" t="s">
        <v>921</v>
      </c>
      <c r="W1121" t="s">
        <v>81</v>
      </c>
      <c r="Z1121" t="s">
        <v>924</v>
      </c>
      <c r="AA1121" t="s">
        <v>39</v>
      </c>
      <c r="AC1121" t="s">
        <v>972</v>
      </c>
    </row>
    <row r="1122" spans="1:29" hidden="1" x14ac:dyDescent="0.25">
      <c r="A1122">
        <v>97</v>
      </c>
      <c r="B1122" t="s">
        <v>175</v>
      </c>
      <c r="C1122" t="s">
        <v>77</v>
      </c>
      <c r="D1122" t="s">
        <v>122</v>
      </c>
      <c r="E1122">
        <v>6</v>
      </c>
      <c r="F1122">
        <v>328</v>
      </c>
      <c r="G1122">
        <v>934</v>
      </c>
      <c r="H1122">
        <v>2</v>
      </c>
      <c r="I1122">
        <v>14.43</v>
      </c>
      <c r="J1122">
        <v>28.86</v>
      </c>
      <c r="K1122" t="s">
        <v>97</v>
      </c>
      <c r="L1122" t="s">
        <v>973</v>
      </c>
      <c r="O1122" t="s">
        <v>81</v>
      </c>
      <c r="Q1122">
        <v>2</v>
      </c>
      <c r="R1122" s="24">
        <v>46032</v>
      </c>
      <c r="T1122" t="s">
        <v>38</v>
      </c>
      <c r="V1122" t="s">
        <v>921</v>
      </c>
      <c r="Z1122" t="s">
        <v>924</v>
      </c>
      <c r="AA1122" t="s">
        <v>39</v>
      </c>
      <c r="AC1122" t="s">
        <v>974</v>
      </c>
    </row>
    <row r="1123" spans="1:29" hidden="1" x14ac:dyDescent="0.25">
      <c r="A1123">
        <v>98</v>
      </c>
      <c r="B1123" t="s">
        <v>178</v>
      </c>
      <c r="C1123" t="s">
        <v>77</v>
      </c>
      <c r="D1123" t="s">
        <v>122</v>
      </c>
      <c r="E1123">
        <v>6</v>
      </c>
      <c r="F1123">
        <v>328</v>
      </c>
      <c r="G1123">
        <v>934</v>
      </c>
      <c r="H1123">
        <v>4</v>
      </c>
      <c r="I1123">
        <v>14.43</v>
      </c>
      <c r="J1123">
        <v>57.72</v>
      </c>
      <c r="K1123" t="s">
        <v>97</v>
      </c>
      <c r="L1123" t="s">
        <v>973</v>
      </c>
      <c r="O1123" t="s">
        <v>81</v>
      </c>
      <c r="Q1123">
        <v>2</v>
      </c>
      <c r="R1123" s="24">
        <v>46032</v>
      </c>
      <c r="T1123" t="s">
        <v>38</v>
      </c>
      <c r="V1123" t="s">
        <v>921</v>
      </c>
      <c r="Z1123" t="s">
        <v>924</v>
      </c>
      <c r="AA1123" t="s">
        <v>39</v>
      </c>
      <c r="AC1123" t="s">
        <v>974</v>
      </c>
    </row>
    <row r="1124" spans="1:29" hidden="1" x14ac:dyDescent="0.25">
      <c r="A1124">
        <v>99</v>
      </c>
      <c r="B1124" t="s">
        <v>179</v>
      </c>
      <c r="C1124" t="s">
        <v>77</v>
      </c>
      <c r="D1124" t="s">
        <v>122</v>
      </c>
      <c r="E1124">
        <v>6</v>
      </c>
      <c r="F1124">
        <v>328</v>
      </c>
      <c r="G1124">
        <v>934</v>
      </c>
      <c r="H1124">
        <v>2</v>
      </c>
      <c r="I1124">
        <v>14.43</v>
      </c>
      <c r="J1124">
        <v>28.86</v>
      </c>
      <c r="K1124" t="s">
        <v>97</v>
      </c>
      <c r="L1124" t="s">
        <v>973</v>
      </c>
      <c r="O1124" t="s">
        <v>81</v>
      </c>
      <c r="Q1124">
        <v>2</v>
      </c>
      <c r="R1124" s="24">
        <v>46032</v>
      </c>
      <c r="T1124" t="s">
        <v>38</v>
      </c>
      <c r="V1124" t="s">
        <v>921</v>
      </c>
      <c r="Z1124" t="s">
        <v>924</v>
      </c>
      <c r="AA1124" t="s">
        <v>39</v>
      </c>
      <c r="AC1124" t="s">
        <v>974</v>
      </c>
    </row>
    <row r="1125" spans="1:29" hidden="1" x14ac:dyDescent="0.25">
      <c r="A1125">
        <v>100</v>
      </c>
      <c r="B1125" t="s">
        <v>172</v>
      </c>
      <c r="C1125" t="s">
        <v>77</v>
      </c>
      <c r="D1125" t="s">
        <v>167</v>
      </c>
      <c r="E1125">
        <v>6</v>
      </c>
      <c r="F1125">
        <v>188</v>
      </c>
      <c r="G1125">
        <v>2483</v>
      </c>
      <c r="H1125">
        <v>16</v>
      </c>
      <c r="I1125">
        <v>21.62</v>
      </c>
      <c r="J1125">
        <v>345.98</v>
      </c>
      <c r="K1125" t="s">
        <v>97</v>
      </c>
      <c r="L1125" t="s">
        <v>973</v>
      </c>
      <c r="O1125" t="s">
        <v>81</v>
      </c>
      <c r="P1125" t="s">
        <v>81</v>
      </c>
      <c r="Q1125">
        <v>2</v>
      </c>
      <c r="R1125" s="24">
        <v>46032</v>
      </c>
      <c r="T1125" t="s">
        <v>38</v>
      </c>
      <c r="V1125" t="s">
        <v>921</v>
      </c>
      <c r="Z1125" t="s">
        <v>924</v>
      </c>
      <c r="AA1125" t="s">
        <v>39</v>
      </c>
      <c r="AC1125" t="s">
        <v>974</v>
      </c>
    </row>
    <row r="1126" spans="1:29" hidden="1" x14ac:dyDescent="0.25">
      <c r="A1126">
        <v>101</v>
      </c>
      <c r="B1126" t="s">
        <v>180</v>
      </c>
      <c r="C1126" t="s">
        <v>77</v>
      </c>
      <c r="D1126" t="s">
        <v>167</v>
      </c>
      <c r="E1126">
        <v>6</v>
      </c>
      <c r="F1126">
        <v>188</v>
      </c>
      <c r="G1126">
        <v>2483</v>
      </c>
      <c r="H1126">
        <v>12</v>
      </c>
      <c r="I1126">
        <v>21.62</v>
      </c>
      <c r="J1126">
        <v>259.49</v>
      </c>
      <c r="K1126" t="s">
        <v>97</v>
      </c>
      <c r="L1126" t="s">
        <v>973</v>
      </c>
      <c r="O1126" t="s">
        <v>81</v>
      </c>
      <c r="P1126" t="s">
        <v>81</v>
      </c>
      <c r="Q1126">
        <v>2</v>
      </c>
      <c r="R1126" s="24">
        <v>46032</v>
      </c>
      <c r="T1126" t="s">
        <v>38</v>
      </c>
      <c r="V1126" t="s">
        <v>921</v>
      </c>
      <c r="Z1126" t="s">
        <v>924</v>
      </c>
      <c r="AA1126" t="s">
        <v>39</v>
      </c>
      <c r="AC1126" t="s">
        <v>974</v>
      </c>
    </row>
    <row r="1127" spans="1:29" hidden="1" x14ac:dyDescent="0.25">
      <c r="A1127">
        <v>102</v>
      </c>
      <c r="B1127" t="s">
        <v>175</v>
      </c>
      <c r="C1127" t="s">
        <v>77</v>
      </c>
      <c r="D1127" t="s">
        <v>122</v>
      </c>
      <c r="E1127">
        <v>6</v>
      </c>
      <c r="F1127">
        <v>328</v>
      </c>
      <c r="G1127">
        <v>934</v>
      </c>
      <c r="H1127">
        <v>2</v>
      </c>
      <c r="I1127">
        <v>14.43</v>
      </c>
      <c r="J1127">
        <v>28.86</v>
      </c>
      <c r="K1127" t="s">
        <v>97</v>
      </c>
      <c r="L1127" t="s">
        <v>975</v>
      </c>
      <c r="O1127" t="s">
        <v>81</v>
      </c>
      <c r="Q1127">
        <v>2</v>
      </c>
      <c r="R1127" s="24">
        <v>46032</v>
      </c>
      <c r="T1127" t="s">
        <v>38</v>
      </c>
      <c r="V1127" t="s">
        <v>921</v>
      </c>
      <c r="Z1127" t="s">
        <v>924</v>
      </c>
      <c r="AA1127" t="s">
        <v>39</v>
      </c>
      <c r="AC1127" t="s">
        <v>976</v>
      </c>
    </row>
    <row r="1128" spans="1:29" hidden="1" x14ac:dyDescent="0.25">
      <c r="A1128">
        <v>103</v>
      </c>
      <c r="B1128" t="s">
        <v>178</v>
      </c>
      <c r="C1128" t="s">
        <v>77</v>
      </c>
      <c r="D1128" t="s">
        <v>122</v>
      </c>
      <c r="E1128">
        <v>6</v>
      </c>
      <c r="F1128">
        <v>328</v>
      </c>
      <c r="G1128">
        <v>934</v>
      </c>
      <c r="H1128">
        <v>1</v>
      </c>
      <c r="I1128">
        <v>14.43</v>
      </c>
      <c r="J1128">
        <v>14.43</v>
      </c>
      <c r="K1128" t="s">
        <v>97</v>
      </c>
      <c r="L1128" t="s">
        <v>975</v>
      </c>
      <c r="O1128" t="s">
        <v>81</v>
      </c>
      <c r="Q1128">
        <v>2</v>
      </c>
      <c r="R1128" s="24">
        <v>46032</v>
      </c>
      <c r="T1128" t="s">
        <v>38</v>
      </c>
      <c r="V1128" t="s">
        <v>921</v>
      </c>
      <c r="Z1128" t="s">
        <v>924</v>
      </c>
      <c r="AA1128" t="s">
        <v>39</v>
      </c>
      <c r="AC1128" t="s">
        <v>976</v>
      </c>
    </row>
    <row r="1129" spans="1:29" hidden="1" x14ac:dyDescent="0.25">
      <c r="A1129">
        <v>104</v>
      </c>
      <c r="B1129" t="s">
        <v>179</v>
      </c>
      <c r="C1129" t="s">
        <v>77</v>
      </c>
      <c r="D1129" t="s">
        <v>122</v>
      </c>
      <c r="E1129">
        <v>6</v>
      </c>
      <c r="F1129">
        <v>328</v>
      </c>
      <c r="G1129">
        <v>934</v>
      </c>
      <c r="H1129">
        <v>5</v>
      </c>
      <c r="I1129">
        <v>14.43</v>
      </c>
      <c r="J1129">
        <v>72.150000000000006</v>
      </c>
      <c r="K1129" t="s">
        <v>97</v>
      </c>
      <c r="L1129" t="s">
        <v>975</v>
      </c>
      <c r="O1129" t="s">
        <v>81</v>
      </c>
      <c r="Q1129">
        <v>2</v>
      </c>
      <c r="R1129" s="24">
        <v>46032</v>
      </c>
      <c r="T1129" t="s">
        <v>38</v>
      </c>
      <c r="V1129" t="s">
        <v>921</v>
      </c>
      <c r="Z1129" t="s">
        <v>924</v>
      </c>
      <c r="AA1129" t="s">
        <v>39</v>
      </c>
      <c r="AC1129" t="s">
        <v>976</v>
      </c>
    </row>
    <row r="1130" spans="1:29" hidden="1" x14ac:dyDescent="0.25">
      <c r="A1130">
        <v>105</v>
      </c>
      <c r="B1130" t="s">
        <v>180</v>
      </c>
      <c r="C1130" t="s">
        <v>77</v>
      </c>
      <c r="D1130" t="s">
        <v>167</v>
      </c>
      <c r="E1130">
        <v>6</v>
      </c>
      <c r="F1130">
        <v>188</v>
      </c>
      <c r="G1130">
        <v>2483</v>
      </c>
      <c r="H1130">
        <v>28</v>
      </c>
      <c r="I1130">
        <v>21.62</v>
      </c>
      <c r="J1130">
        <v>605.47</v>
      </c>
      <c r="K1130" t="s">
        <v>97</v>
      </c>
      <c r="L1130" t="s">
        <v>975</v>
      </c>
      <c r="O1130" t="s">
        <v>81</v>
      </c>
      <c r="P1130" t="s">
        <v>81</v>
      </c>
      <c r="Q1130">
        <v>2</v>
      </c>
      <c r="R1130" s="24">
        <v>46032</v>
      </c>
      <c r="T1130" t="s">
        <v>38</v>
      </c>
      <c r="V1130" t="s">
        <v>921</v>
      </c>
      <c r="Z1130" t="s">
        <v>924</v>
      </c>
      <c r="AA1130" t="s">
        <v>39</v>
      </c>
      <c r="AC1130" t="s">
        <v>976</v>
      </c>
    </row>
    <row r="1131" spans="1:29" hidden="1" x14ac:dyDescent="0.25">
      <c r="A1131">
        <v>106</v>
      </c>
      <c r="B1131" t="s">
        <v>175</v>
      </c>
      <c r="C1131" t="s">
        <v>77</v>
      </c>
      <c r="D1131" t="s">
        <v>122</v>
      </c>
      <c r="E1131">
        <v>6</v>
      </c>
      <c r="F1131">
        <v>328</v>
      </c>
      <c r="G1131">
        <v>934</v>
      </c>
      <c r="H1131">
        <v>2</v>
      </c>
      <c r="I1131">
        <v>14.43</v>
      </c>
      <c r="J1131">
        <v>28.86</v>
      </c>
      <c r="K1131" t="s">
        <v>97</v>
      </c>
      <c r="L1131" t="s">
        <v>977</v>
      </c>
      <c r="O1131" t="s">
        <v>81</v>
      </c>
      <c r="Q1131">
        <v>2</v>
      </c>
      <c r="R1131" s="24">
        <v>46032</v>
      </c>
      <c r="T1131" t="s">
        <v>38</v>
      </c>
      <c r="V1131" t="s">
        <v>921</v>
      </c>
      <c r="Z1131" t="s">
        <v>924</v>
      </c>
      <c r="AA1131" t="s">
        <v>39</v>
      </c>
      <c r="AC1131" t="s">
        <v>978</v>
      </c>
    </row>
    <row r="1132" spans="1:29" hidden="1" x14ac:dyDescent="0.25">
      <c r="A1132">
        <v>107</v>
      </c>
      <c r="B1132" t="s">
        <v>178</v>
      </c>
      <c r="C1132" t="s">
        <v>77</v>
      </c>
      <c r="D1132" t="s">
        <v>122</v>
      </c>
      <c r="E1132">
        <v>6</v>
      </c>
      <c r="F1132">
        <v>328</v>
      </c>
      <c r="G1132">
        <v>934</v>
      </c>
      <c r="H1132">
        <v>1</v>
      </c>
      <c r="I1132">
        <v>14.43</v>
      </c>
      <c r="J1132">
        <v>14.43</v>
      </c>
      <c r="K1132" t="s">
        <v>97</v>
      </c>
      <c r="L1132" t="s">
        <v>977</v>
      </c>
      <c r="O1132" t="s">
        <v>81</v>
      </c>
      <c r="Q1132">
        <v>2</v>
      </c>
      <c r="R1132" s="24">
        <v>46032</v>
      </c>
      <c r="T1132" t="s">
        <v>38</v>
      </c>
      <c r="V1132" t="s">
        <v>921</v>
      </c>
      <c r="Z1132" t="s">
        <v>924</v>
      </c>
      <c r="AA1132" t="s">
        <v>39</v>
      </c>
      <c r="AC1132" t="s">
        <v>978</v>
      </c>
    </row>
    <row r="1133" spans="1:29" hidden="1" x14ac:dyDescent="0.25">
      <c r="A1133">
        <v>108</v>
      </c>
      <c r="B1133" t="s">
        <v>179</v>
      </c>
      <c r="C1133" t="s">
        <v>77</v>
      </c>
      <c r="D1133" t="s">
        <v>122</v>
      </c>
      <c r="E1133">
        <v>6</v>
      </c>
      <c r="F1133">
        <v>328</v>
      </c>
      <c r="G1133">
        <v>934</v>
      </c>
      <c r="H1133">
        <v>1</v>
      </c>
      <c r="I1133">
        <v>14.43</v>
      </c>
      <c r="J1133">
        <v>14.43</v>
      </c>
      <c r="K1133" t="s">
        <v>97</v>
      </c>
      <c r="L1133" t="s">
        <v>977</v>
      </c>
      <c r="O1133" t="s">
        <v>81</v>
      </c>
      <c r="Q1133">
        <v>2</v>
      </c>
      <c r="R1133" s="24">
        <v>46032</v>
      </c>
      <c r="T1133" t="s">
        <v>38</v>
      </c>
      <c r="V1133" t="s">
        <v>921</v>
      </c>
      <c r="Z1133" t="s">
        <v>924</v>
      </c>
      <c r="AA1133" t="s">
        <v>39</v>
      </c>
      <c r="AC1133" t="s">
        <v>978</v>
      </c>
    </row>
    <row r="1134" spans="1:29" hidden="1" x14ac:dyDescent="0.25">
      <c r="A1134">
        <v>109</v>
      </c>
      <c r="B1134" t="s">
        <v>185</v>
      </c>
      <c r="C1134" t="s">
        <v>77</v>
      </c>
      <c r="D1134" t="s">
        <v>167</v>
      </c>
      <c r="E1134">
        <v>6</v>
      </c>
      <c r="F1134">
        <v>188</v>
      </c>
      <c r="G1134">
        <v>2483</v>
      </c>
      <c r="H1134">
        <v>28</v>
      </c>
      <c r="I1134">
        <v>21.62</v>
      </c>
      <c r="J1134">
        <v>605.47</v>
      </c>
      <c r="K1134" t="s">
        <v>97</v>
      </c>
      <c r="L1134" t="s">
        <v>977</v>
      </c>
      <c r="O1134" t="s">
        <v>81</v>
      </c>
      <c r="P1134" t="s">
        <v>81</v>
      </c>
      <c r="Q1134">
        <v>2</v>
      </c>
      <c r="R1134" s="24">
        <v>46032</v>
      </c>
      <c r="T1134" t="s">
        <v>38</v>
      </c>
      <c r="V1134" t="s">
        <v>921</v>
      </c>
      <c r="Z1134" t="s">
        <v>924</v>
      </c>
      <c r="AA1134" t="s">
        <v>39</v>
      </c>
      <c r="AC1134" t="s">
        <v>978</v>
      </c>
    </row>
    <row r="1135" spans="1:29" hidden="1" x14ac:dyDescent="0.25">
      <c r="A1135">
        <v>110</v>
      </c>
      <c r="B1135" t="s">
        <v>138</v>
      </c>
      <c r="C1135" t="s">
        <v>77</v>
      </c>
      <c r="D1135" t="s">
        <v>122</v>
      </c>
      <c r="E1135">
        <v>6</v>
      </c>
      <c r="F1135">
        <v>328</v>
      </c>
      <c r="G1135">
        <v>934</v>
      </c>
      <c r="H1135">
        <v>2</v>
      </c>
      <c r="I1135">
        <v>14.43</v>
      </c>
      <c r="J1135">
        <v>28.86</v>
      </c>
      <c r="K1135" t="s">
        <v>97</v>
      </c>
      <c r="L1135" t="s">
        <v>977</v>
      </c>
      <c r="O1135" t="s">
        <v>81</v>
      </c>
      <c r="Q1135">
        <v>2</v>
      </c>
      <c r="R1135" s="24">
        <v>46032</v>
      </c>
      <c r="T1135" t="s">
        <v>38</v>
      </c>
      <c r="V1135" t="s">
        <v>921</v>
      </c>
      <c r="Z1135" t="s">
        <v>924</v>
      </c>
      <c r="AA1135" t="s">
        <v>39</v>
      </c>
      <c r="AC1135" t="s">
        <v>978</v>
      </c>
    </row>
    <row r="1136" spans="1:29" hidden="1" x14ac:dyDescent="0.25">
      <c r="A1136">
        <v>111</v>
      </c>
      <c r="B1136" t="s">
        <v>154</v>
      </c>
      <c r="C1136" t="s">
        <v>77</v>
      </c>
      <c r="D1136" t="s">
        <v>122</v>
      </c>
      <c r="E1136">
        <v>6</v>
      </c>
      <c r="F1136">
        <v>328</v>
      </c>
      <c r="G1136">
        <v>934</v>
      </c>
      <c r="H1136">
        <v>2</v>
      </c>
      <c r="I1136">
        <v>14.43</v>
      </c>
      <c r="J1136">
        <v>28.86</v>
      </c>
      <c r="K1136" t="s">
        <v>97</v>
      </c>
      <c r="L1136" t="s">
        <v>977</v>
      </c>
      <c r="O1136" t="s">
        <v>81</v>
      </c>
      <c r="Q1136">
        <v>2</v>
      </c>
      <c r="R1136" s="24">
        <v>46032</v>
      </c>
      <c r="T1136" t="s">
        <v>38</v>
      </c>
      <c r="V1136" t="s">
        <v>921</v>
      </c>
      <c r="Z1136" t="s">
        <v>924</v>
      </c>
      <c r="AA1136" t="s">
        <v>39</v>
      </c>
      <c r="AC1136" t="s">
        <v>978</v>
      </c>
    </row>
    <row r="1137" spans="1:29" hidden="1" x14ac:dyDescent="0.25">
      <c r="A1137">
        <v>112</v>
      </c>
      <c r="B1137" t="s">
        <v>186</v>
      </c>
      <c r="C1137" t="s">
        <v>77</v>
      </c>
      <c r="D1137" t="s">
        <v>159</v>
      </c>
      <c r="E1137">
        <v>6</v>
      </c>
      <c r="F1137">
        <v>328</v>
      </c>
      <c r="G1137">
        <v>894</v>
      </c>
      <c r="H1137">
        <v>2</v>
      </c>
      <c r="I1137">
        <v>13.81</v>
      </c>
      <c r="J1137">
        <v>27.62</v>
      </c>
      <c r="K1137" t="s">
        <v>97</v>
      </c>
      <c r="L1137" t="s">
        <v>979</v>
      </c>
      <c r="O1137" t="s">
        <v>81</v>
      </c>
      <c r="Q1137">
        <v>2</v>
      </c>
      <c r="R1137" s="24">
        <v>46032</v>
      </c>
      <c r="T1137" t="s">
        <v>38</v>
      </c>
      <c r="V1137" t="s">
        <v>921</v>
      </c>
      <c r="Z1137" t="s">
        <v>924</v>
      </c>
      <c r="AA1137" t="s">
        <v>39</v>
      </c>
      <c r="AC1137" t="s">
        <v>980</v>
      </c>
    </row>
    <row r="1138" spans="1:29" hidden="1" x14ac:dyDescent="0.25">
      <c r="A1138">
        <v>113</v>
      </c>
      <c r="B1138" t="s">
        <v>189</v>
      </c>
      <c r="C1138" t="s">
        <v>77</v>
      </c>
      <c r="D1138" t="s">
        <v>190</v>
      </c>
      <c r="E1138">
        <v>6</v>
      </c>
      <c r="F1138">
        <v>188</v>
      </c>
      <c r="G1138">
        <v>2481</v>
      </c>
      <c r="H1138">
        <v>2</v>
      </c>
      <c r="I1138">
        <v>21.61</v>
      </c>
      <c r="J1138">
        <v>43.22</v>
      </c>
      <c r="K1138" t="s">
        <v>97</v>
      </c>
      <c r="L1138" t="s">
        <v>979</v>
      </c>
      <c r="O1138" t="s">
        <v>81</v>
      </c>
      <c r="P1138" t="s">
        <v>81</v>
      </c>
      <c r="Q1138">
        <v>2</v>
      </c>
      <c r="R1138" s="24">
        <v>46032</v>
      </c>
      <c r="T1138" t="s">
        <v>38</v>
      </c>
      <c r="V1138" t="s">
        <v>921</v>
      </c>
      <c r="Z1138" t="s">
        <v>924</v>
      </c>
      <c r="AA1138" t="s">
        <v>39</v>
      </c>
      <c r="AC1138" t="s">
        <v>980</v>
      </c>
    </row>
    <row r="1139" spans="1:29" hidden="1" x14ac:dyDescent="0.25">
      <c r="A1139">
        <v>114</v>
      </c>
      <c r="B1139" t="s">
        <v>191</v>
      </c>
      <c r="C1139" t="s">
        <v>77</v>
      </c>
      <c r="D1139" t="s">
        <v>190</v>
      </c>
      <c r="E1139">
        <v>6</v>
      </c>
      <c r="F1139">
        <v>188</v>
      </c>
      <c r="G1139">
        <v>2481</v>
      </c>
      <c r="H1139">
        <v>2</v>
      </c>
      <c r="I1139">
        <v>21.61</v>
      </c>
      <c r="J1139">
        <v>43.22</v>
      </c>
      <c r="K1139" t="s">
        <v>97</v>
      </c>
      <c r="L1139" t="s">
        <v>979</v>
      </c>
      <c r="O1139" t="s">
        <v>81</v>
      </c>
      <c r="P1139" t="s">
        <v>81</v>
      </c>
      <c r="Q1139">
        <v>2</v>
      </c>
      <c r="R1139" s="24">
        <v>46032</v>
      </c>
      <c r="T1139" t="s">
        <v>38</v>
      </c>
      <c r="V1139" t="s">
        <v>921</v>
      </c>
      <c r="Z1139" t="s">
        <v>924</v>
      </c>
      <c r="AA1139" t="s">
        <v>39</v>
      </c>
      <c r="AC1139" t="s">
        <v>980</v>
      </c>
    </row>
    <row r="1140" spans="1:29" hidden="1" x14ac:dyDescent="0.25">
      <c r="A1140">
        <v>115</v>
      </c>
      <c r="B1140" t="s">
        <v>192</v>
      </c>
      <c r="C1140" t="s">
        <v>77</v>
      </c>
      <c r="D1140" t="s">
        <v>193</v>
      </c>
      <c r="E1140">
        <v>6</v>
      </c>
      <c r="F1140">
        <v>188</v>
      </c>
      <c r="G1140">
        <v>2480</v>
      </c>
      <c r="H1140">
        <v>2</v>
      </c>
      <c r="I1140">
        <v>21.6</v>
      </c>
      <c r="J1140">
        <v>43.2</v>
      </c>
      <c r="K1140" t="s">
        <v>97</v>
      </c>
      <c r="L1140" t="s">
        <v>979</v>
      </c>
      <c r="O1140" t="s">
        <v>81</v>
      </c>
      <c r="P1140" t="s">
        <v>81</v>
      </c>
      <c r="Q1140">
        <v>2</v>
      </c>
      <c r="R1140" s="24">
        <v>46032</v>
      </c>
      <c r="T1140" t="s">
        <v>38</v>
      </c>
      <c r="V1140" t="s">
        <v>921</v>
      </c>
      <c r="Z1140" t="s">
        <v>924</v>
      </c>
      <c r="AA1140" t="s">
        <v>39</v>
      </c>
      <c r="AC1140" t="s">
        <v>980</v>
      </c>
    </row>
    <row r="1141" spans="1:29" hidden="1" x14ac:dyDescent="0.25">
      <c r="A1141">
        <v>116</v>
      </c>
      <c r="B1141" t="s">
        <v>194</v>
      </c>
      <c r="C1141" t="s">
        <v>77</v>
      </c>
      <c r="D1141" t="s">
        <v>193</v>
      </c>
      <c r="E1141">
        <v>6</v>
      </c>
      <c r="F1141">
        <v>188</v>
      </c>
      <c r="G1141">
        <v>2480</v>
      </c>
      <c r="H1141">
        <v>2</v>
      </c>
      <c r="I1141">
        <v>21.6</v>
      </c>
      <c r="J1141">
        <v>43.21</v>
      </c>
      <c r="K1141" t="s">
        <v>97</v>
      </c>
      <c r="L1141" t="s">
        <v>979</v>
      </c>
      <c r="O1141" t="s">
        <v>81</v>
      </c>
      <c r="P1141" t="s">
        <v>81</v>
      </c>
      <c r="Q1141">
        <v>2</v>
      </c>
      <c r="R1141" s="24">
        <v>46032</v>
      </c>
      <c r="T1141" t="s">
        <v>38</v>
      </c>
      <c r="V1141" t="s">
        <v>921</v>
      </c>
      <c r="Z1141" t="s">
        <v>924</v>
      </c>
      <c r="AA1141" t="s">
        <v>39</v>
      </c>
      <c r="AC1141" t="s">
        <v>980</v>
      </c>
    </row>
    <row r="1142" spans="1:29" hidden="1" x14ac:dyDescent="0.25">
      <c r="A1142">
        <v>117</v>
      </c>
      <c r="B1142" t="s">
        <v>195</v>
      </c>
      <c r="C1142" t="s">
        <v>77</v>
      </c>
      <c r="D1142" t="s">
        <v>122</v>
      </c>
      <c r="E1142">
        <v>6</v>
      </c>
      <c r="F1142">
        <v>328</v>
      </c>
      <c r="G1142">
        <v>934</v>
      </c>
      <c r="H1142">
        <v>2</v>
      </c>
      <c r="I1142">
        <v>14.43</v>
      </c>
      <c r="J1142">
        <v>28.86</v>
      </c>
      <c r="K1142" t="s">
        <v>97</v>
      </c>
      <c r="L1142" t="s">
        <v>979</v>
      </c>
      <c r="O1142" t="s">
        <v>81</v>
      </c>
      <c r="Q1142">
        <v>2</v>
      </c>
      <c r="R1142" s="24">
        <v>46032</v>
      </c>
      <c r="T1142" t="s">
        <v>38</v>
      </c>
      <c r="V1142" t="s">
        <v>921</v>
      </c>
      <c r="Z1142" t="s">
        <v>924</v>
      </c>
      <c r="AA1142" t="s">
        <v>39</v>
      </c>
      <c r="AC1142" t="s">
        <v>980</v>
      </c>
    </row>
    <row r="1143" spans="1:29" hidden="1" x14ac:dyDescent="0.25">
      <c r="A1143">
        <v>118</v>
      </c>
      <c r="B1143" t="s">
        <v>185</v>
      </c>
      <c r="C1143" t="s">
        <v>77</v>
      </c>
      <c r="D1143" t="s">
        <v>167</v>
      </c>
      <c r="E1143">
        <v>6</v>
      </c>
      <c r="F1143">
        <v>188</v>
      </c>
      <c r="G1143">
        <v>2483</v>
      </c>
      <c r="H1143">
        <v>12</v>
      </c>
      <c r="I1143">
        <v>21.62</v>
      </c>
      <c r="J1143">
        <v>259.49</v>
      </c>
      <c r="K1143" t="s">
        <v>97</v>
      </c>
      <c r="L1143" t="s">
        <v>979</v>
      </c>
      <c r="O1143" t="s">
        <v>81</v>
      </c>
      <c r="P1143" t="s">
        <v>81</v>
      </c>
      <c r="Q1143">
        <v>2</v>
      </c>
      <c r="R1143" s="24">
        <v>46032</v>
      </c>
      <c r="T1143" t="s">
        <v>38</v>
      </c>
      <c r="V1143" t="s">
        <v>921</v>
      </c>
      <c r="Z1143" t="s">
        <v>924</v>
      </c>
      <c r="AA1143" t="s">
        <v>39</v>
      </c>
      <c r="AC1143" t="s">
        <v>980</v>
      </c>
    </row>
    <row r="1144" spans="1:29" hidden="1" x14ac:dyDescent="0.25">
      <c r="A1144">
        <v>119</v>
      </c>
      <c r="B1144" t="s">
        <v>164</v>
      </c>
      <c r="C1144" t="s">
        <v>77</v>
      </c>
      <c r="D1144" t="s">
        <v>159</v>
      </c>
      <c r="E1144">
        <v>6</v>
      </c>
      <c r="F1144">
        <v>328</v>
      </c>
      <c r="G1144">
        <v>894</v>
      </c>
      <c r="H1144">
        <v>1</v>
      </c>
      <c r="I1144">
        <v>13.81</v>
      </c>
      <c r="J1144">
        <v>13.81</v>
      </c>
      <c r="K1144" t="s">
        <v>97</v>
      </c>
      <c r="L1144" t="s">
        <v>979</v>
      </c>
      <c r="O1144" t="s">
        <v>81</v>
      </c>
      <c r="Q1144">
        <v>2</v>
      </c>
      <c r="R1144" s="24">
        <v>46032</v>
      </c>
      <c r="T1144" t="s">
        <v>38</v>
      </c>
      <c r="V1144" t="s">
        <v>921</v>
      </c>
      <c r="Z1144" t="s">
        <v>924</v>
      </c>
      <c r="AA1144" t="s">
        <v>39</v>
      </c>
      <c r="AC1144" t="s">
        <v>980</v>
      </c>
    </row>
    <row r="1145" spans="1:29" hidden="1" x14ac:dyDescent="0.25">
      <c r="A1145">
        <v>120</v>
      </c>
      <c r="B1145" t="s">
        <v>196</v>
      </c>
      <c r="C1145" t="s">
        <v>77</v>
      </c>
      <c r="D1145" t="s">
        <v>159</v>
      </c>
      <c r="E1145">
        <v>6</v>
      </c>
      <c r="F1145">
        <v>328</v>
      </c>
      <c r="G1145">
        <v>894</v>
      </c>
      <c r="H1145">
        <v>1</v>
      </c>
      <c r="I1145">
        <v>13.81</v>
      </c>
      <c r="J1145">
        <v>13.81</v>
      </c>
      <c r="K1145" t="s">
        <v>97</v>
      </c>
      <c r="L1145" t="s">
        <v>979</v>
      </c>
      <c r="O1145" t="s">
        <v>81</v>
      </c>
      <c r="Q1145">
        <v>2</v>
      </c>
      <c r="R1145" s="24">
        <v>46032</v>
      </c>
      <c r="T1145" t="s">
        <v>38</v>
      </c>
      <c r="V1145" t="s">
        <v>921</v>
      </c>
      <c r="Z1145" t="s">
        <v>924</v>
      </c>
      <c r="AA1145" t="s">
        <v>39</v>
      </c>
      <c r="AC1145" t="s">
        <v>980</v>
      </c>
    </row>
    <row r="1146" spans="1:29" hidden="1" x14ac:dyDescent="0.25">
      <c r="A1146">
        <v>121</v>
      </c>
      <c r="B1146" t="s">
        <v>197</v>
      </c>
      <c r="C1146" t="s">
        <v>77</v>
      </c>
      <c r="D1146" t="s">
        <v>190</v>
      </c>
      <c r="E1146">
        <v>6</v>
      </c>
      <c r="F1146">
        <v>188</v>
      </c>
      <c r="G1146">
        <v>2481</v>
      </c>
      <c r="H1146">
        <v>2</v>
      </c>
      <c r="I1146">
        <v>21.61</v>
      </c>
      <c r="J1146">
        <v>43.22</v>
      </c>
      <c r="K1146" t="s">
        <v>97</v>
      </c>
      <c r="L1146" t="s">
        <v>979</v>
      </c>
      <c r="O1146" t="s">
        <v>81</v>
      </c>
      <c r="P1146" t="s">
        <v>81</v>
      </c>
      <c r="Q1146">
        <v>2</v>
      </c>
      <c r="R1146" s="24">
        <v>46032</v>
      </c>
      <c r="T1146" t="s">
        <v>38</v>
      </c>
      <c r="V1146" t="s">
        <v>921</v>
      </c>
      <c r="Z1146" t="s">
        <v>924</v>
      </c>
      <c r="AA1146" t="s">
        <v>39</v>
      </c>
      <c r="AC1146" t="s">
        <v>980</v>
      </c>
    </row>
    <row r="1147" spans="1:29" hidden="1" x14ac:dyDescent="0.25">
      <c r="A1147">
        <v>122</v>
      </c>
      <c r="B1147" t="s">
        <v>198</v>
      </c>
      <c r="C1147" t="s">
        <v>77</v>
      </c>
      <c r="D1147" t="s">
        <v>190</v>
      </c>
      <c r="E1147">
        <v>6</v>
      </c>
      <c r="F1147">
        <v>188</v>
      </c>
      <c r="G1147">
        <v>2481</v>
      </c>
      <c r="H1147">
        <v>2</v>
      </c>
      <c r="I1147">
        <v>21.61</v>
      </c>
      <c r="J1147">
        <v>43.22</v>
      </c>
      <c r="K1147" t="s">
        <v>97</v>
      </c>
      <c r="L1147" t="s">
        <v>979</v>
      </c>
      <c r="O1147" t="s">
        <v>81</v>
      </c>
      <c r="P1147" t="s">
        <v>81</v>
      </c>
      <c r="Q1147">
        <v>2</v>
      </c>
      <c r="R1147" s="24">
        <v>46032</v>
      </c>
      <c r="T1147" t="s">
        <v>38</v>
      </c>
      <c r="V1147" t="s">
        <v>921</v>
      </c>
      <c r="Z1147" t="s">
        <v>924</v>
      </c>
      <c r="AA1147" t="s">
        <v>39</v>
      </c>
      <c r="AC1147" t="s">
        <v>980</v>
      </c>
    </row>
    <row r="1148" spans="1:29" hidden="1" x14ac:dyDescent="0.25">
      <c r="A1148">
        <v>123</v>
      </c>
      <c r="B1148" t="s">
        <v>199</v>
      </c>
      <c r="C1148" t="s">
        <v>77</v>
      </c>
      <c r="D1148" t="s">
        <v>193</v>
      </c>
      <c r="E1148">
        <v>6</v>
      </c>
      <c r="F1148">
        <v>188</v>
      </c>
      <c r="G1148">
        <v>2480</v>
      </c>
      <c r="H1148">
        <v>2</v>
      </c>
      <c r="I1148">
        <v>21.6</v>
      </c>
      <c r="J1148">
        <v>43.2</v>
      </c>
      <c r="K1148" t="s">
        <v>97</v>
      </c>
      <c r="L1148" t="s">
        <v>979</v>
      </c>
      <c r="O1148" t="s">
        <v>81</v>
      </c>
      <c r="P1148" t="s">
        <v>81</v>
      </c>
      <c r="Q1148">
        <v>2</v>
      </c>
      <c r="R1148" s="24">
        <v>46032</v>
      </c>
      <c r="T1148" t="s">
        <v>38</v>
      </c>
      <c r="V1148" t="s">
        <v>921</v>
      </c>
      <c r="Z1148" t="s">
        <v>924</v>
      </c>
      <c r="AA1148" t="s">
        <v>39</v>
      </c>
      <c r="AC1148" t="s">
        <v>980</v>
      </c>
    </row>
    <row r="1149" spans="1:29" hidden="1" x14ac:dyDescent="0.25">
      <c r="A1149">
        <v>124</v>
      </c>
      <c r="B1149" t="s">
        <v>200</v>
      </c>
      <c r="C1149" t="s">
        <v>77</v>
      </c>
      <c r="D1149" t="s">
        <v>193</v>
      </c>
      <c r="E1149">
        <v>6</v>
      </c>
      <c r="F1149">
        <v>188</v>
      </c>
      <c r="G1149">
        <v>2480</v>
      </c>
      <c r="H1149">
        <v>2</v>
      </c>
      <c r="I1149">
        <v>21.6</v>
      </c>
      <c r="J1149">
        <v>43.21</v>
      </c>
      <c r="K1149" t="s">
        <v>97</v>
      </c>
      <c r="L1149" t="s">
        <v>979</v>
      </c>
      <c r="O1149" t="s">
        <v>81</v>
      </c>
      <c r="P1149" t="s">
        <v>81</v>
      </c>
      <c r="Q1149">
        <v>2</v>
      </c>
      <c r="R1149" s="24">
        <v>46032</v>
      </c>
      <c r="T1149" t="s">
        <v>38</v>
      </c>
      <c r="V1149" t="s">
        <v>921</v>
      </c>
      <c r="Z1149" t="s">
        <v>924</v>
      </c>
      <c r="AA1149" t="s">
        <v>39</v>
      </c>
      <c r="AC1149" t="s">
        <v>980</v>
      </c>
    </row>
    <row r="1150" spans="1:29" hidden="1" x14ac:dyDescent="0.25">
      <c r="A1150">
        <v>125</v>
      </c>
      <c r="B1150" t="s">
        <v>201</v>
      </c>
      <c r="C1150" t="s">
        <v>77</v>
      </c>
      <c r="D1150" t="s">
        <v>159</v>
      </c>
      <c r="E1150">
        <v>6</v>
      </c>
      <c r="F1150">
        <v>328</v>
      </c>
      <c r="G1150">
        <v>894</v>
      </c>
      <c r="H1150">
        <v>2</v>
      </c>
      <c r="I1150">
        <v>13.81</v>
      </c>
      <c r="J1150">
        <v>27.62</v>
      </c>
      <c r="K1150" t="s">
        <v>97</v>
      </c>
      <c r="L1150" t="s">
        <v>979</v>
      </c>
      <c r="O1150" t="s">
        <v>81</v>
      </c>
      <c r="Q1150">
        <v>2</v>
      </c>
      <c r="R1150" s="24">
        <v>46032</v>
      </c>
      <c r="T1150" t="s">
        <v>38</v>
      </c>
      <c r="V1150" t="s">
        <v>921</v>
      </c>
      <c r="Z1150" t="s">
        <v>924</v>
      </c>
      <c r="AA1150" t="s">
        <v>39</v>
      </c>
      <c r="AC1150" t="s">
        <v>980</v>
      </c>
    </row>
    <row r="1151" spans="1:29" hidden="1" x14ac:dyDescent="0.25">
      <c r="A1151">
        <v>126</v>
      </c>
      <c r="B1151" t="s">
        <v>116</v>
      </c>
      <c r="C1151" t="s">
        <v>77</v>
      </c>
      <c r="D1151" t="s">
        <v>117</v>
      </c>
      <c r="E1151">
        <v>6</v>
      </c>
      <c r="F1151">
        <v>298</v>
      </c>
      <c r="G1151">
        <v>378</v>
      </c>
      <c r="H1151">
        <v>2</v>
      </c>
      <c r="I1151">
        <v>5.27</v>
      </c>
      <c r="J1151">
        <v>10.54</v>
      </c>
      <c r="K1151" t="s">
        <v>97</v>
      </c>
      <c r="L1151" t="s">
        <v>979</v>
      </c>
      <c r="Q1151">
        <v>2</v>
      </c>
      <c r="R1151" s="24">
        <v>46032</v>
      </c>
      <c r="T1151" t="s">
        <v>38</v>
      </c>
      <c r="V1151" t="s">
        <v>921</v>
      </c>
      <c r="W1151" t="s">
        <v>81</v>
      </c>
      <c r="Z1151" t="s">
        <v>924</v>
      </c>
      <c r="AA1151" t="s">
        <v>39</v>
      </c>
      <c r="AC1151" t="s">
        <v>980</v>
      </c>
    </row>
    <row r="1152" spans="1:29" hidden="1" x14ac:dyDescent="0.25">
      <c r="A1152">
        <v>127</v>
      </c>
      <c r="B1152" t="s">
        <v>202</v>
      </c>
      <c r="C1152" t="s">
        <v>77</v>
      </c>
      <c r="D1152" t="s">
        <v>203</v>
      </c>
      <c r="E1152">
        <v>6</v>
      </c>
      <c r="F1152">
        <v>188</v>
      </c>
      <c r="G1152">
        <v>2348</v>
      </c>
      <c r="H1152">
        <v>8</v>
      </c>
      <c r="I1152">
        <v>20.61</v>
      </c>
      <c r="J1152">
        <v>164.9</v>
      </c>
      <c r="K1152" t="s">
        <v>97</v>
      </c>
      <c r="L1152" t="s">
        <v>981</v>
      </c>
      <c r="O1152" t="s">
        <v>81</v>
      </c>
      <c r="P1152" t="s">
        <v>81</v>
      </c>
      <c r="Q1152">
        <v>2</v>
      </c>
      <c r="R1152" s="24">
        <v>46032</v>
      </c>
      <c r="T1152" t="s">
        <v>38</v>
      </c>
      <c r="V1152" t="s">
        <v>921</v>
      </c>
      <c r="Z1152" t="s">
        <v>924</v>
      </c>
      <c r="AA1152" t="s">
        <v>39</v>
      </c>
      <c r="AC1152" t="s">
        <v>982</v>
      </c>
    </row>
    <row r="1153" spans="1:29" hidden="1" x14ac:dyDescent="0.25">
      <c r="A1153">
        <v>128</v>
      </c>
      <c r="B1153" t="s">
        <v>206</v>
      </c>
      <c r="C1153" t="s">
        <v>77</v>
      </c>
      <c r="D1153" t="s">
        <v>203</v>
      </c>
      <c r="E1153">
        <v>6</v>
      </c>
      <c r="F1153">
        <v>188</v>
      </c>
      <c r="G1153">
        <v>2348</v>
      </c>
      <c r="H1153">
        <v>2</v>
      </c>
      <c r="I1153">
        <v>20.62</v>
      </c>
      <c r="J1153">
        <v>41.23</v>
      </c>
      <c r="K1153" t="s">
        <v>97</v>
      </c>
      <c r="L1153" t="s">
        <v>981</v>
      </c>
      <c r="O1153" t="s">
        <v>81</v>
      </c>
      <c r="P1153" t="s">
        <v>81</v>
      </c>
      <c r="Q1153">
        <v>2</v>
      </c>
      <c r="R1153" s="24">
        <v>46032</v>
      </c>
      <c r="T1153" t="s">
        <v>38</v>
      </c>
      <c r="V1153" t="s">
        <v>921</v>
      </c>
      <c r="Z1153" t="s">
        <v>924</v>
      </c>
      <c r="AA1153" t="s">
        <v>39</v>
      </c>
      <c r="AC1153" t="s">
        <v>982</v>
      </c>
    </row>
    <row r="1154" spans="1:29" hidden="1" x14ac:dyDescent="0.25">
      <c r="A1154">
        <v>129</v>
      </c>
      <c r="B1154" t="s">
        <v>207</v>
      </c>
      <c r="C1154" t="s">
        <v>77</v>
      </c>
      <c r="D1154" t="s">
        <v>203</v>
      </c>
      <c r="E1154">
        <v>6</v>
      </c>
      <c r="F1154">
        <v>188</v>
      </c>
      <c r="G1154">
        <v>2348</v>
      </c>
      <c r="H1154">
        <v>1</v>
      </c>
      <c r="I1154">
        <v>20.61</v>
      </c>
      <c r="J1154">
        <v>20.61</v>
      </c>
      <c r="K1154" t="s">
        <v>97</v>
      </c>
      <c r="L1154" t="s">
        <v>981</v>
      </c>
      <c r="O1154" t="s">
        <v>81</v>
      </c>
      <c r="P1154" t="s">
        <v>81</v>
      </c>
      <c r="Q1154">
        <v>2</v>
      </c>
      <c r="R1154" s="24">
        <v>46032</v>
      </c>
      <c r="T1154" t="s">
        <v>38</v>
      </c>
      <c r="V1154" t="s">
        <v>921</v>
      </c>
      <c r="Z1154" t="s">
        <v>924</v>
      </c>
      <c r="AA1154" t="s">
        <v>39</v>
      </c>
      <c r="AC1154" t="s">
        <v>982</v>
      </c>
    </row>
    <row r="1155" spans="1:29" hidden="1" x14ac:dyDescent="0.25">
      <c r="A1155">
        <v>130</v>
      </c>
      <c r="B1155" t="s">
        <v>208</v>
      </c>
      <c r="C1155" t="s">
        <v>77</v>
      </c>
      <c r="D1155" t="s">
        <v>203</v>
      </c>
      <c r="E1155">
        <v>6</v>
      </c>
      <c r="F1155">
        <v>188</v>
      </c>
      <c r="G1155">
        <v>2348</v>
      </c>
      <c r="H1155">
        <v>6</v>
      </c>
      <c r="I1155">
        <v>20.61</v>
      </c>
      <c r="J1155">
        <v>123.67</v>
      </c>
      <c r="K1155" t="s">
        <v>97</v>
      </c>
      <c r="L1155" t="s">
        <v>981</v>
      </c>
      <c r="O1155" t="s">
        <v>81</v>
      </c>
      <c r="P1155" t="s">
        <v>81</v>
      </c>
      <c r="Q1155">
        <v>2</v>
      </c>
      <c r="R1155" s="24">
        <v>46032</v>
      </c>
      <c r="T1155" t="s">
        <v>38</v>
      </c>
      <c r="V1155" t="s">
        <v>921</v>
      </c>
      <c r="Z1155" t="s">
        <v>924</v>
      </c>
      <c r="AA1155" t="s">
        <v>39</v>
      </c>
      <c r="AC1155" t="s">
        <v>982</v>
      </c>
    </row>
    <row r="1156" spans="1:29" hidden="1" x14ac:dyDescent="0.25">
      <c r="A1156">
        <v>131</v>
      </c>
      <c r="B1156" t="s">
        <v>209</v>
      </c>
      <c r="C1156" t="s">
        <v>77</v>
      </c>
      <c r="D1156" t="s">
        <v>203</v>
      </c>
      <c r="E1156">
        <v>6</v>
      </c>
      <c r="F1156">
        <v>188</v>
      </c>
      <c r="G1156">
        <v>2348</v>
      </c>
      <c r="H1156">
        <v>6</v>
      </c>
      <c r="I1156">
        <v>20.61</v>
      </c>
      <c r="J1156">
        <v>123.67</v>
      </c>
      <c r="K1156" t="s">
        <v>97</v>
      </c>
      <c r="L1156" t="s">
        <v>981</v>
      </c>
      <c r="O1156" t="s">
        <v>81</v>
      </c>
      <c r="P1156" t="s">
        <v>81</v>
      </c>
      <c r="Q1156">
        <v>2</v>
      </c>
      <c r="R1156" s="24">
        <v>46032</v>
      </c>
      <c r="T1156" t="s">
        <v>38</v>
      </c>
      <c r="V1156" t="s">
        <v>921</v>
      </c>
      <c r="Z1156" t="s">
        <v>924</v>
      </c>
      <c r="AA1156" t="s">
        <v>39</v>
      </c>
      <c r="AC1156" t="s">
        <v>982</v>
      </c>
    </row>
    <row r="1157" spans="1:29" hidden="1" x14ac:dyDescent="0.25">
      <c r="A1157">
        <v>132</v>
      </c>
      <c r="B1157" t="s">
        <v>210</v>
      </c>
      <c r="C1157" t="s">
        <v>77</v>
      </c>
      <c r="D1157" t="s">
        <v>203</v>
      </c>
      <c r="E1157">
        <v>6</v>
      </c>
      <c r="F1157">
        <v>188</v>
      </c>
      <c r="G1157">
        <v>2348</v>
      </c>
      <c r="H1157">
        <v>8</v>
      </c>
      <c r="I1157">
        <v>20.61</v>
      </c>
      <c r="J1157">
        <v>164.9</v>
      </c>
      <c r="K1157" t="s">
        <v>97</v>
      </c>
      <c r="L1157" t="s">
        <v>981</v>
      </c>
      <c r="O1157" t="s">
        <v>81</v>
      </c>
      <c r="P1157" t="s">
        <v>81</v>
      </c>
      <c r="Q1157">
        <v>2</v>
      </c>
      <c r="R1157" s="24">
        <v>46032</v>
      </c>
      <c r="T1157" t="s">
        <v>38</v>
      </c>
      <c r="V1157" t="s">
        <v>921</v>
      </c>
      <c r="Z1157" t="s">
        <v>924</v>
      </c>
      <c r="AA1157" t="s">
        <v>39</v>
      </c>
      <c r="AC1157" t="s">
        <v>982</v>
      </c>
    </row>
    <row r="1158" spans="1:29" hidden="1" x14ac:dyDescent="0.25">
      <c r="A1158">
        <v>133</v>
      </c>
      <c r="B1158" t="s">
        <v>211</v>
      </c>
      <c r="C1158" t="s">
        <v>77</v>
      </c>
      <c r="D1158" t="s">
        <v>203</v>
      </c>
      <c r="E1158">
        <v>6</v>
      </c>
      <c r="F1158">
        <v>188</v>
      </c>
      <c r="G1158">
        <v>2348</v>
      </c>
      <c r="H1158">
        <v>4</v>
      </c>
      <c r="I1158">
        <v>20.61</v>
      </c>
      <c r="J1158">
        <v>82.45</v>
      </c>
      <c r="K1158" t="s">
        <v>97</v>
      </c>
      <c r="L1158" t="s">
        <v>981</v>
      </c>
      <c r="O1158" t="s">
        <v>81</v>
      </c>
      <c r="P1158" t="s">
        <v>81</v>
      </c>
      <c r="Q1158">
        <v>2</v>
      </c>
      <c r="R1158" s="24">
        <v>46032</v>
      </c>
      <c r="T1158" t="s">
        <v>38</v>
      </c>
      <c r="V1158" t="s">
        <v>921</v>
      </c>
      <c r="Z1158" t="s">
        <v>924</v>
      </c>
      <c r="AA1158" t="s">
        <v>39</v>
      </c>
      <c r="AC1158" t="s">
        <v>982</v>
      </c>
    </row>
    <row r="1159" spans="1:29" hidden="1" x14ac:dyDescent="0.25">
      <c r="A1159">
        <v>134</v>
      </c>
      <c r="B1159" t="s">
        <v>123</v>
      </c>
      <c r="C1159" t="s">
        <v>77</v>
      </c>
      <c r="D1159" t="s">
        <v>117</v>
      </c>
      <c r="E1159">
        <v>6</v>
      </c>
      <c r="F1159">
        <v>298</v>
      </c>
      <c r="G1159">
        <v>378</v>
      </c>
      <c r="H1159">
        <v>2</v>
      </c>
      <c r="I1159">
        <v>5.27</v>
      </c>
      <c r="J1159">
        <v>10.54</v>
      </c>
      <c r="K1159" t="s">
        <v>97</v>
      </c>
      <c r="L1159" t="s">
        <v>981</v>
      </c>
      <c r="Q1159">
        <v>2</v>
      </c>
      <c r="R1159" s="24">
        <v>46032</v>
      </c>
      <c r="T1159" t="s">
        <v>38</v>
      </c>
      <c r="V1159" t="s">
        <v>921</v>
      </c>
      <c r="W1159" t="s">
        <v>81</v>
      </c>
      <c r="Z1159" t="s">
        <v>924</v>
      </c>
      <c r="AA1159" t="s">
        <v>39</v>
      </c>
      <c r="AC1159" t="s">
        <v>982</v>
      </c>
    </row>
    <row r="1160" spans="1:29" hidden="1" x14ac:dyDescent="0.25">
      <c r="A1160">
        <v>135</v>
      </c>
      <c r="B1160" t="s">
        <v>171</v>
      </c>
      <c r="C1160" t="s">
        <v>77</v>
      </c>
      <c r="D1160" t="s">
        <v>117</v>
      </c>
      <c r="E1160">
        <v>6</v>
      </c>
      <c r="F1160">
        <v>298</v>
      </c>
      <c r="G1160">
        <v>378</v>
      </c>
      <c r="H1160">
        <v>1</v>
      </c>
      <c r="I1160">
        <v>5.27</v>
      </c>
      <c r="J1160">
        <v>5.27</v>
      </c>
      <c r="K1160" t="s">
        <v>97</v>
      </c>
      <c r="L1160" t="s">
        <v>981</v>
      </c>
      <c r="Q1160">
        <v>2</v>
      </c>
      <c r="R1160" s="24">
        <v>46032</v>
      </c>
      <c r="T1160" t="s">
        <v>38</v>
      </c>
      <c r="V1160" t="s">
        <v>921</v>
      </c>
      <c r="W1160" t="s">
        <v>81</v>
      </c>
      <c r="Z1160" t="s">
        <v>924</v>
      </c>
      <c r="AA1160" t="s">
        <v>39</v>
      </c>
      <c r="AC1160" t="s">
        <v>982</v>
      </c>
    </row>
    <row r="1161" spans="1:29" hidden="1" x14ac:dyDescent="0.25">
      <c r="A1161">
        <v>136</v>
      </c>
      <c r="B1161" t="s">
        <v>212</v>
      </c>
      <c r="C1161" t="s">
        <v>77</v>
      </c>
      <c r="D1161" t="s">
        <v>203</v>
      </c>
      <c r="E1161">
        <v>6</v>
      </c>
      <c r="F1161">
        <v>188</v>
      </c>
      <c r="G1161">
        <v>2348</v>
      </c>
      <c r="H1161">
        <v>6</v>
      </c>
      <c r="I1161">
        <v>20.61</v>
      </c>
      <c r="J1161">
        <v>123.67</v>
      </c>
      <c r="K1161" t="s">
        <v>97</v>
      </c>
      <c r="L1161" t="s">
        <v>983</v>
      </c>
      <c r="O1161" t="s">
        <v>81</v>
      </c>
      <c r="P1161" t="s">
        <v>81</v>
      </c>
      <c r="Q1161">
        <v>2</v>
      </c>
      <c r="R1161" s="24">
        <v>46032</v>
      </c>
      <c r="T1161" t="s">
        <v>38</v>
      </c>
      <c r="V1161" t="s">
        <v>921</v>
      </c>
      <c r="Z1161" t="s">
        <v>924</v>
      </c>
      <c r="AA1161" t="s">
        <v>39</v>
      </c>
      <c r="AC1161" t="s">
        <v>984</v>
      </c>
    </row>
    <row r="1162" spans="1:29" hidden="1" x14ac:dyDescent="0.25">
      <c r="A1162">
        <v>137</v>
      </c>
      <c r="B1162" t="s">
        <v>215</v>
      </c>
      <c r="C1162" t="s">
        <v>77</v>
      </c>
      <c r="D1162" t="s">
        <v>203</v>
      </c>
      <c r="E1162">
        <v>6</v>
      </c>
      <c r="F1162">
        <v>188</v>
      </c>
      <c r="G1162">
        <v>2348</v>
      </c>
      <c r="H1162">
        <v>6</v>
      </c>
      <c r="I1162">
        <v>20.61</v>
      </c>
      <c r="J1162">
        <v>123.67</v>
      </c>
      <c r="K1162" t="s">
        <v>97</v>
      </c>
      <c r="L1162" t="s">
        <v>983</v>
      </c>
      <c r="O1162" t="s">
        <v>81</v>
      </c>
      <c r="P1162" t="s">
        <v>81</v>
      </c>
      <c r="Q1162">
        <v>2</v>
      </c>
      <c r="R1162" s="24">
        <v>46032</v>
      </c>
      <c r="T1162" t="s">
        <v>38</v>
      </c>
      <c r="V1162" t="s">
        <v>921</v>
      </c>
      <c r="Z1162" t="s">
        <v>924</v>
      </c>
      <c r="AA1162" t="s">
        <v>39</v>
      </c>
      <c r="AC1162" t="s">
        <v>984</v>
      </c>
    </row>
    <row r="1163" spans="1:29" hidden="1" x14ac:dyDescent="0.25">
      <c r="A1163">
        <v>138</v>
      </c>
      <c r="B1163" t="s">
        <v>216</v>
      </c>
      <c r="C1163" t="s">
        <v>77</v>
      </c>
      <c r="D1163" t="s">
        <v>203</v>
      </c>
      <c r="E1163">
        <v>6</v>
      </c>
      <c r="F1163">
        <v>188</v>
      </c>
      <c r="G1163">
        <v>2348</v>
      </c>
      <c r="H1163">
        <v>8</v>
      </c>
      <c r="I1163">
        <v>20.61</v>
      </c>
      <c r="J1163">
        <v>164.9</v>
      </c>
      <c r="K1163" t="s">
        <v>97</v>
      </c>
      <c r="L1163" t="s">
        <v>983</v>
      </c>
      <c r="O1163" t="s">
        <v>81</v>
      </c>
      <c r="P1163" t="s">
        <v>81</v>
      </c>
      <c r="Q1163">
        <v>2</v>
      </c>
      <c r="R1163" s="24">
        <v>46032</v>
      </c>
      <c r="T1163" t="s">
        <v>38</v>
      </c>
      <c r="V1163" t="s">
        <v>921</v>
      </c>
      <c r="Z1163" t="s">
        <v>924</v>
      </c>
      <c r="AA1163" t="s">
        <v>39</v>
      </c>
      <c r="AC1163" t="s">
        <v>984</v>
      </c>
    </row>
    <row r="1164" spans="1:29" hidden="1" x14ac:dyDescent="0.25">
      <c r="A1164">
        <v>139</v>
      </c>
      <c r="B1164" t="s">
        <v>195</v>
      </c>
      <c r="C1164" t="s">
        <v>77</v>
      </c>
      <c r="D1164" t="s">
        <v>122</v>
      </c>
      <c r="E1164">
        <v>6</v>
      </c>
      <c r="F1164">
        <v>328</v>
      </c>
      <c r="G1164">
        <v>934</v>
      </c>
      <c r="H1164">
        <v>7</v>
      </c>
      <c r="I1164">
        <v>14.43</v>
      </c>
      <c r="J1164">
        <v>101</v>
      </c>
      <c r="K1164" t="s">
        <v>97</v>
      </c>
      <c r="L1164" t="s">
        <v>983</v>
      </c>
      <c r="O1164" t="s">
        <v>81</v>
      </c>
      <c r="Q1164">
        <v>2</v>
      </c>
      <c r="R1164" s="24">
        <v>46032</v>
      </c>
      <c r="T1164" t="s">
        <v>38</v>
      </c>
      <c r="V1164" t="s">
        <v>921</v>
      </c>
      <c r="Z1164" t="s">
        <v>924</v>
      </c>
      <c r="AA1164" t="s">
        <v>39</v>
      </c>
      <c r="AC1164" t="s">
        <v>984</v>
      </c>
    </row>
    <row r="1165" spans="1:29" hidden="1" x14ac:dyDescent="0.25">
      <c r="A1165">
        <v>140</v>
      </c>
      <c r="B1165" t="s">
        <v>207</v>
      </c>
      <c r="C1165" t="s">
        <v>77</v>
      </c>
      <c r="D1165" t="s">
        <v>203</v>
      </c>
      <c r="E1165">
        <v>6</v>
      </c>
      <c r="F1165">
        <v>188</v>
      </c>
      <c r="G1165">
        <v>2348</v>
      </c>
      <c r="H1165">
        <v>3</v>
      </c>
      <c r="I1165">
        <v>20.61</v>
      </c>
      <c r="J1165">
        <v>61.84</v>
      </c>
      <c r="K1165" t="s">
        <v>97</v>
      </c>
      <c r="L1165" t="s">
        <v>983</v>
      </c>
      <c r="O1165" t="s">
        <v>81</v>
      </c>
      <c r="P1165" t="s">
        <v>81</v>
      </c>
      <c r="Q1165">
        <v>2</v>
      </c>
      <c r="R1165" s="24">
        <v>46032</v>
      </c>
      <c r="T1165" t="s">
        <v>38</v>
      </c>
      <c r="V1165" t="s">
        <v>921</v>
      </c>
      <c r="Z1165" t="s">
        <v>924</v>
      </c>
      <c r="AA1165" t="s">
        <v>39</v>
      </c>
      <c r="AC1165" t="s">
        <v>984</v>
      </c>
    </row>
    <row r="1166" spans="1:29" hidden="1" x14ac:dyDescent="0.25">
      <c r="A1166">
        <v>141</v>
      </c>
      <c r="B1166" t="s">
        <v>217</v>
      </c>
      <c r="C1166" t="s">
        <v>77</v>
      </c>
      <c r="D1166" t="s">
        <v>122</v>
      </c>
      <c r="E1166">
        <v>6</v>
      </c>
      <c r="F1166">
        <v>328</v>
      </c>
      <c r="G1166">
        <v>934</v>
      </c>
      <c r="H1166">
        <v>9</v>
      </c>
      <c r="I1166">
        <v>14.43</v>
      </c>
      <c r="J1166">
        <v>129.86000000000001</v>
      </c>
      <c r="K1166" t="s">
        <v>97</v>
      </c>
      <c r="L1166" t="s">
        <v>983</v>
      </c>
      <c r="O1166" t="s">
        <v>81</v>
      </c>
      <c r="Q1166">
        <v>2</v>
      </c>
      <c r="R1166" s="24">
        <v>46032</v>
      </c>
      <c r="T1166" t="s">
        <v>38</v>
      </c>
      <c r="V1166" t="s">
        <v>921</v>
      </c>
      <c r="Z1166" t="s">
        <v>924</v>
      </c>
      <c r="AA1166" t="s">
        <v>39</v>
      </c>
      <c r="AC1166" t="s">
        <v>984</v>
      </c>
    </row>
    <row r="1167" spans="1:29" hidden="1" x14ac:dyDescent="0.25">
      <c r="A1167">
        <v>142</v>
      </c>
      <c r="B1167" t="s">
        <v>148</v>
      </c>
      <c r="C1167" t="s">
        <v>77</v>
      </c>
      <c r="D1167" t="s">
        <v>122</v>
      </c>
      <c r="E1167">
        <v>6</v>
      </c>
      <c r="F1167">
        <v>328</v>
      </c>
      <c r="G1167">
        <v>934</v>
      </c>
      <c r="H1167">
        <v>4</v>
      </c>
      <c r="I1167">
        <v>14.43</v>
      </c>
      <c r="J1167">
        <v>57.72</v>
      </c>
      <c r="K1167" t="s">
        <v>97</v>
      </c>
      <c r="L1167" t="s">
        <v>983</v>
      </c>
      <c r="O1167" t="s">
        <v>81</v>
      </c>
      <c r="Q1167">
        <v>2</v>
      </c>
      <c r="R1167" s="24">
        <v>46032</v>
      </c>
      <c r="T1167" t="s">
        <v>38</v>
      </c>
      <c r="V1167" t="s">
        <v>921</v>
      </c>
      <c r="Z1167" t="s">
        <v>924</v>
      </c>
      <c r="AA1167" t="s">
        <v>39</v>
      </c>
      <c r="AC1167" t="s">
        <v>984</v>
      </c>
    </row>
    <row r="1168" spans="1:29" hidden="1" x14ac:dyDescent="0.25">
      <c r="A1168">
        <v>143</v>
      </c>
      <c r="B1168" t="s">
        <v>123</v>
      </c>
      <c r="C1168" t="s">
        <v>77</v>
      </c>
      <c r="D1168" t="s">
        <v>117</v>
      </c>
      <c r="E1168">
        <v>6</v>
      </c>
      <c r="F1168">
        <v>298</v>
      </c>
      <c r="G1168">
        <v>378</v>
      </c>
      <c r="H1168">
        <v>2</v>
      </c>
      <c r="I1168">
        <v>5.27</v>
      </c>
      <c r="J1168">
        <v>10.54</v>
      </c>
      <c r="K1168" t="s">
        <v>97</v>
      </c>
      <c r="L1168" t="s">
        <v>983</v>
      </c>
      <c r="Q1168">
        <v>2</v>
      </c>
      <c r="R1168" s="24">
        <v>46032</v>
      </c>
      <c r="T1168" t="s">
        <v>38</v>
      </c>
      <c r="V1168" t="s">
        <v>921</v>
      </c>
      <c r="W1168" t="s">
        <v>81</v>
      </c>
      <c r="Z1168" t="s">
        <v>924</v>
      </c>
      <c r="AA1168" t="s">
        <v>39</v>
      </c>
      <c r="AC1168" t="s">
        <v>984</v>
      </c>
    </row>
    <row r="1169" spans="1:29" hidden="1" x14ac:dyDescent="0.25">
      <c r="A1169">
        <v>144</v>
      </c>
      <c r="B1169" t="s">
        <v>179</v>
      </c>
      <c r="C1169" t="s">
        <v>77</v>
      </c>
      <c r="D1169" t="s">
        <v>122</v>
      </c>
      <c r="E1169">
        <v>6</v>
      </c>
      <c r="F1169">
        <v>328</v>
      </c>
      <c r="G1169">
        <v>934</v>
      </c>
      <c r="H1169">
        <v>1</v>
      </c>
      <c r="I1169">
        <v>14.43</v>
      </c>
      <c r="J1169">
        <v>14.43</v>
      </c>
      <c r="K1169" t="s">
        <v>985</v>
      </c>
      <c r="L1169" t="s">
        <v>986</v>
      </c>
      <c r="O1169" t="s">
        <v>81</v>
      </c>
      <c r="Q1169">
        <v>2</v>
      </c>
      <c r="R1169" s="24">
        <v>46032</v>
      </c>
      <c r="T1169" t="s">
        <v>38</v>
      </c>
      <c r="V1169" t="s">
        <v>921</v>
      </c>
      <c r="Z1169" t="s">
        <v>924</v>
      </c>
      <c r="AA1169" t="s">
        <v>987</v>
      </c>
      <c r="AC1169" t="s">
        <v>988</v>
      </c>
    </row>
    <row r="1170" spans="1:29" hidden="1" x14ac:dyDescent="0.25">
      <c r="A1170">
        <v>145</v>
      </c>
      <c r="B1170" t="s">
        <v>206</v>
      </c>
      <c r="C1170" t="s">
        <v>77</v>
      </c>
      <c r="D1170" t="s">
        <v>203</v>
      </c>
      <c r="E1170">
        <v>6</v>
      </c>
      <c r="F1170">
        <v>188</v>
      </c>
      <c r="G1170">
        <v>2348</v>
      </c>
      <c r="H1170">
        <v>2</v>
      </c>
      <c r="I1170">
        <v>20.62</v>
      </c>
      <c r="J1170">
        <v>41.23</v>
      </c>
      <c r="K1170" t="s">
        <v>985</v>
      </c>
      <c r="L1170" t="s">
        <v>986</v>
      </c>
      <c r="O1170" t="s">
        <v>81</v>
      </c>
      <c r="P1170" t="s">
        <v>81</v>
      </c>
      <c r="Q1170">
        <v>2</v>
      </c>
      <c r="R1170" s="24">
        <v>46032</v>
      </c>
      <c r="T1170" t="s">
        <v>38</v>
      </c>
      <c r="V1170" t="s">
        <v>921</v>
      </c>
      <c r="Z1170" t="s">
        <v>924</v>
      </c>
      <c r="AA1170" t="s">
        <v>987</v>
      </c>
      <c r="AC1170" t="s">
        <v>988</v>
      </c>
    </row>
    <row r="1171" spans="1:29" hidden="1" x14ac:dyDescent="0.25">
      <c r="A1171">
        <v>146</v>
      </c>
      <c r="B1171" t="s">
        <v>196</v>
      </c>
      <c r="C1171" t="s">
        <v>77</v>
      </c>
      <c r="D1171" t="s">
        <v>159</v>
      </c>
      <c r="E1171">
        <v>6</v>
      </c>
      <c r="F1171">
        <v>328</v>
      </c>
      <c r="G1171">
        <v>894</v>
      </c>
      <c r="H1171">
        <v>1</v>
      </c>
      <c r="I1171">
        <v>13.81</v>
      </c>
      <c r="J1171">
        <v>13.81</v>
      </c>
      <c r="K1171" t="s">
        <v>985</v>
      </c>
      <c r="L1171" t="s">
        <v>986</v>
      </c>
      <c r="O1171" t="s">
        <v>81</v>
      </c>
      <c r="Q1171">
        <v>2</v>
      </c>
      <c r="R1171" s="24">
        <v>46032</v>
      </c>
      <c r="T1171" t="s">
        <v>38</v>
      </c>
      <c r="V1171" t="s">
        <v>921</v>
      </c>
      <c r="Z1171" t="s">
        <v>924</v>
      </c>
      <c r="AA1171" t="s">
        <v>987</v>
      </c>
      <c r="AC1171" t="s">
        <v>988</v>
      </c>
    </row>
    <row r="1172" spans="1:29" hidden="1" x14ac:dyDescent="0.25">
      <c r="A1172">
        <v>147</v>
      </c>
      <c r="B1172" t="s">
        <v>220</v>
      </c>
      <c r="C1172" t="s">
        <v>77</v>
      </c>
      <c r="D1172" t="s">
        <v>203</v>
      </c>
      <c r="E1172">
        <v>6</v>
      </c>
      <c r="F1172">
        <v>188</v>
      </c>
      <c r="G1172">
        <v>2348</v>
      </c>
      <c r="H1172">
        <v>12</v>
      </c>
      <c r="I1172">
        <v>20.61</v>
      </c>
      <c r="J1172">
        <v>247.35</v>
      </c>
      <c r="K1172" t="s">
        <v>985</v>
      </c>
      <c r="L1172" t="s">
        <v>986</v>
      </c>
      <c r="O1172" t="s">
        <v>81</v>
      </c>
      <c r="P1172" t="s">
        <v>81</v>
      </c>
      <c r="Q1172">
        <v>2</v>
      </c>
      <c r="R1172" s="24">
        <v>46032</v>
      </c>
      <c r="T1172" t="s">
        <v>38</v>
      </c>
      <c r="V1172" t="s">
        <v>921</v>
      </c>
      <c r="Z1172" t="s">
        <v>924</v>
      </c>
      <c r="AA1172" t="s">
        <v>987</v>
      </c>
      <c r="AC1172" t="s">
        <v>988</v>
      </c>
    </row>
    <row r="1173" spans="1:29" hidden="1" x14ac:dyDescent="0.25">
      <c r="A1173">
        <v>148</v>
      </c>
      <c r="B1173" t="s">
        <v>116</v>
      </c>
      <c r="C1173" t="s">
        <v>77</v>
      </c>
      <c r="D1173" t="s">
        <v>117</v>
      </c>
      <c r="E1173">
        <v>6</v>
      </c>
      <c r="F1173">
        <v>298</v>
      </c>
      <c r="G1173">
        <v>378</v>
      </c>
      <c r="H1173">
        <v>1</v>
      </c>
      <c r="I1173">
        <v>5.27</v>
      </c>
      <c r="J1173">
        <v>5.27</v>
      </c>
      <c r="K1173" t="s">
        <v>985</v>
      </c>
      <c r="L1173" t="s">
        <v>986</v>
      </c>
      <c r="Q1173">
        <v>2</v>
      </c>
      <c r="R1173" s="24">
        <v>46032</v>
      </c>
      <c r="T1173" t="s">
        <v>38</v>
      </c>
      <c r="V1173" t="s">
        <v>921</v>
      </c>
      <c r="W1173" t="s">
        <v>81</v>
      </c>
      <c r="Z1173" t="s">
        <v>924</v>
      </c>
      <c r="AA1173" t="s">
        <v>987</v>
      </c>
      <c r="AC1173" t="s">
        <v>988</v>
      </c>
    </row>
    <row r="1174" spans="1:29" hidden="1" x14ac:dyDescent="0.25">
      <c r="A1174">
        <v>149</v>
      </c>
      <c r="B1174" t="s">
        <v>123</v>
      </c>
      <c r="C1174" t="s">
        <v>77</v>
      </c>
      <c r="D1174" t="s">
        <v>117</v>
      </c>
      <c r="E1174">
        <v>6</v>
      </c>
      <c r="F1174">
        <v>298</v>
      </c>
      <c r="G1174">
        <v>378</v>
      </c>
      <c r="H1174">
        <v>2</v>
      </c>
      <c r="I1174">
        <v>5.27</v>
      </c>
      <c r="J1174">
        <v>10.54</v>
      </c>
      <c r="K1174" t="s">
        <v>985</v>
      </c>
      <c r="L1174" t="s">
        <v>986</v>
      </c>
      <c r="Q1174">
        <v>2</v>
      </c>
      <c r="R1174" s="24">
        <v>46032</v>
      </c>
      <c r="T1174" t="s">
        <v>38</v>
      </c>
      <c r="V1174" t="s">
        <v>921</v>
      </c>
      <c r="W1174" t="s">
        <v>81</v>
      </c>
      <c r="Z1174" t="s">
        <v>924</v>
      </c>
      <c r="AA1174" t="s">
        <v>987</v>
      </c>
      <c r="AC1174" t="s">
        <v>988</v>
      </c>
    </row>
    <row r="1175" spans="1:29" hidden="1" x14ac:dyDescent="0.25">
      <c r="A1175">
        <v>150</v>
      </c>
      <c r="B1175" t="s">
        <v>171</v>
      </c>
      <c r="C1175" t="s">
        <v>77</v>
      </c>
      <c r="D1175" t="s">
        <v>117</v>
      </c>
      <c r="E1175">
        <v>6</v>
      </c>
      <c r="F1175">
        <v>298</v>
      </c>
      <c r="G1175">
        <v>378</v>
      </c>
      <c r="H1175">
        <v>2</v>
      </c>
      <c r="I1175">
        <v>5.27</v>
      </c>
      <c r="J1175">
        <v>10.54</v>
      </c>
      <c r="K1175" t="s">
        <v>985</v>
      </c>
      <c r="L1175" t="s">
        <v>986</v>
      </c>
      <c r="Q1175">
        <v>2</v>
      </c>
      <c r="R1175" s="24">
        <v>46032</v>
      </c>
      <c r="T1175" t="s">
        <v>38</v>
      </c>
      <c r="V1175" t="s">
        <v>921</v>
      </c>
      <c r="W1175" t="s">
        <v>81</v>
      </c>
      <c r="Z1175" t="s">
        <v>924</v>
      </c>
      <c r="AA1175" t="s">
        <v>987</v>
      </c>
      <c r="AC1175" t="s">
        <v>988</v>
      </c>
    </row>
    <row r="1176" spans="1:29" hidden="1" x14ac:dyDescent="0.25">
      <c r="A1176">
        <v>151</v>
      </c>
      <c r="B1176" t="s">
        <v>221</v>
      </c>
      <c r="C1176" t="s">
        <v>77</v>
      </c>
      <c r="D1176" t="s">
        <v>222</v>
      </c>
      <c r="E1176">
        <v>8</v>
      </c>
      <c r="F1176">
        <v>334</v>
      </c>
      <c r="G1176">
        <v>11992</v>
      </c>
      <c r="H1176">
        <v>4</v>
      </c>
      <c r="I1176">
        <v>245.5</v>
      </c>
      <c r="J1176">
        <v>981.99</v>
      </c>
      <c r="K1176" t="s">
        <v>223</v>
      </c>
      <c r="L1176" t="s">
        <v>989</v>
      </c>
      <c r="Q1176">
        <v>2</v>
      </c>
      <c r="R1176" s="24">
        <v>46032</v>
      </c>
      <c r="T1176" t="s">
        <v>38</v>
      </c>
      <c r="V1176" t="s">
        <v>921</v>
      </c>
      <c r="Y1176" t="s">
        <v>81</v>
      </c>
      <c r="Z1176" t="s">
        <v>924</v>
      </c>
      <c r="AA1176" t="s">
        <v>39</v>
      </c>
      <c r="AC1176" t="s">
        <v>990</v>
      </c>
    </row>
    <row r="1177" spans="1:29" hidden="1" x14ac:dyDescent="0.25">
      <c r="A1177">
        <v>152</v>
      </c>
      <c r="B1177" t="s">
        <v>226</v>
      </c>
      <c r="C1177" t="s">
        <v>77</v>
      </c>
      <c r="D1177" t="s">
        <v>227</v>
      </c>
      <c r="E1177">
        <v>8</v>
      </c>
      <c r="F1177">
        <v>334</v>
      </c>
      <c r="G1177">
        <v>11998</v>
      </c>
      <c r="H1177">
        <v>1</v>
      </c>
      <c r="I1177">
        <v>244.33</v>
      </c>
      <c r="J1177">
        <v>244.33</v>
      </c>
      <c r="K1177" t="s">
        <v>223</v>
      </c>
      <c r="L1177" t="s">
        <v>989</v>
      </c>
      <c r="N1177" t="s">
        <v>228</v>
      </c>
      <c r="Q1177">
        <v>2</v>
      </c>
      <c r="R1177" s="24">
        <v>46032</v>
      </c>
      <c r="T1177" t="s">
        <v>38</v>
      </c>
      <c r="V1177" t="s">
        <v>921</v>
      </c>
      <c r="Y1177" t="s">
        <v>81</v>
      </c>
      <c r="Z1177" t="s">
        <v>924</v>
      </c>
      <c r="AA1177" t="s">
        <v>39</v>
      </c>
      <c r="AC1177" t="s">
        <v>990</v>
      </c>
    </row>
    <row r="1178" spans="1:29" hidden="1" x14ac:dyDescent="0.25">
      <c r="A1178">
        <v>153</v>
      </c>
      <c r="B1178" t="s">
        <v>229</v>
      </c>
      <c r="C1178" t="s">
        <v>77</v>
      </c>
      <c r="D1178" t="s">
        <v>230</v>
      </c>
      <c r="E1178">
        <v>8</v>
      </c>
      <c r="F1178">
        <v>90</v>
      </c>
      <c r="G1178">
        <v>150</v>
      </c>
      <c r="H1178">
        <v>1</v>
      </c>
      <c r="I1178">
        <v>0.62</v>
      </c>
      <c r="J1178">
        <v>0.62</v>
      </c>
      <c r="K1178" t="s">
        <v>223</v>
      </c>
      <c r="L1178" t="s">
        <v>989</v>
      </c>
      <c r="Q1178">
        <v>2</v>
      </c>
      <c r="R1178" s="24">
        <v>46032</v>
      </c>
      <c r="T1178" t="s">
        <v>38</v>
      </c>
      <c r="V1178" t="s">
        <v>921</v>
      </c>
      <c r="W1178" t="s">
        <v>81</v>
      </c>
      <c r="Z1178" t="s">
        <v>924</v>
      </c>
      <c r="AA1178" t="s">
        <v>39</v>
      </c>
      <c r="AC1178" t="s">
        <v>990</v>
      </c>
    </row>
    <row r="1179" spans="1:29" hidden="1" x14ac:dyDescent="0.25">
      <c r="A1179">
        <v>154</v>
      </c>
      <c r="B1179" t="s">
        <v>231</v>
      </c>
      <c r="C1179" t="s">
        <v>77</v>
      </c>
      <c r="D1179" t="s">
        <v>232</v>
      </c>
      <c r="E1179">
        <v>8</v>
      </c>
      <c r="F1179">
        <v>150</v>
      </c>
      <c r="G1179">
        <v>4252</v>
      </c>
      <c r="H1179">
        <v>2</v>
      </c>
      <c r="I1179">
        <v>40.06</v>
      </c>
      <c r="J1179">
        <v>80.11</v>
      </c>
      <c r="K1179" t="s">
        <v>223</v>
      </c>
      <c r="L1179" t="s">
        <v>989</v>
      </c>
      <c r="Q1179">
        <v>2</v>
      </c>
      <c r="R1179" s="24">
        <v>46032</v>
      </c>
      <c r="T1179" t="s">
        <v>38</v>
      </c>
      <c r="V1179" t="s">
        <v>921</v>
      </c>
      <c r="Y1179" t="s">
        <v>81</v>
      </c>
      <c r="Z1179" t="s">
        <v>924</v>
      </c>
      <c r="AA1179" t="s">
        <v>39</v>
      </c>
      <c r="AC1179" t="s">
        <v>990</v>
      </c>
    </row>
    <row r="1180" spans="1:29" hidden="1" x14ac:dyDescent="0.25">
      <c r="A1180">
        <v>155</v>
      </c>
      <c r="B1180" t="s">
        <v>233</v>
      </c>
      <c r="C1180" t="s">
        <v>77</v>
      </c>
      <c r="D1180" t="s">
        <v>234</v>
      </c>
      <c r="E1180">
        <v>8</v>
      </c>
      <c r="F1180">
        <v>150</v>
      </c>
      <c r="G1180">
        <v>6824</v>
      </c>
      <c r="H1180">
        <v>2</v>
      </c>
      <c r="I1180">
        <v>64.28</v>
      </c>
      <c r="J1180">
        <v>128.56</v>
      </c>
      <c r="K1180" t="s">
        <v>223</v>
      </c>
      <c r="L1180" t="s">
        <v>989</v>
      </c>
      <c r="Q1180">
        <v>2</v>
      </c>
      <c r="R1180" s="24">
        <v>46032</v>
      </c>
      <c r="T1180" t="s">
        <v>38</v>
      </c>
      <c r="V1180" t="s">
        <v>921</v>
      </c>
      <c r="Y1180" t="s">
        <v>81</v>
      </c>
      <c r="Z1180" t="s">
        <v>924</v>
      </c>
      <c r="AA1180" t="s">
        <v>39</v>
      </c>
      <c r="AC1180" t="s">
        <v>990</v>
      </c>
    </row>
    <row r="1181" spans="1:29" hidden="1" x14ac:dyDescent="0.25">
      <c r="A1181">
        <v>156</v>
      </c>
      <c r="B1181" t="s">
        <v>235</v>
      </c>
      <c r="C1181" t="s">
        <v>77</v>
      </c>
      <c r="D1181" t="s">
        <v>236</v>
      </c>
      <c r="E1181">
        <v>8</v>
      </c>
      <c r="F1181">
        <v>150</v>
      </c>
      <c r="G1181">
        <v>792</v>
      </c>
      <c r="H1181">
        <v>2</v>
      </c>
      <c r="I1181">
        <v>7.46</v>
      </c>
      <c r="J1181">
        <v>14.92</v>
      </c>
      <c r="K1181" t="s">
        <v>223</v>
      </c>
      <c r="L1181" t="s">
        <v>989</v>
      </c>
      <c r="Q1181">
        <v>2</v>
      </c>
      <c r="R1181" s="24">
        <v>46032</v>
      </c>
      <c r="T1181" t="s">
        <v>38</v>
      </c>
      <c r="V1181" t="s">
        <v>921</v>
      </c>
      <c r="Y1181" t="s">
        <v>81</v>
      </c>
      <c r="Z1181" t="s">
        <v>924</v>
      </c>
      <c r="AA1181" t="s">
        <v>39</v>
      </c>
      <c r="AC1181" t="s">
        <v>990</v>
      </c>
    </row>
    <row r="1182" spans="1:29" hidden="1" x14ac:dyDescent="0.25">
      <c r="A1182">
        <v>157</v>
      </c>
      <c r="B1182" t="s">
        <v>237</v>
      </c>
      <c r="C1182" t="s">
        <v>77</v>
      </c>
      <c r="D1182" t="s">
        <v>238</v>
      </c>
      <c r="E1182">
        <v>8</v>
      </c>
      <c r="F1182">
        <v>148</v>
      </c>
      <c r="G1182">
        <v>441</v>
      </c>
      <c r="H1182">
        <v>1</v>
      </c>
      <c r="I1182">
        <v>4.0999999999999996</v>
      </c>
      <c r="J1182">
        <v>4.0999999999999996</v>
      </c>
      <c r="K1182" t="s">
        <v>223</v>
      </c>
      <c r="L1182" t="s">
        <v>991</v>
      </c>
      <c r="Q1182">
        <v>2</v>
      </c>
      <c r="R1182" s="24">
        <v>46032</v>
      </c>
      <c r="T1182" t="s">
        <v>38</v>
      </c>
      <c r="V1182" t="s">
        <v>921</v>
      </c>
      <c r="W1182" t="s">
        <v>81</v>
      </c>
      <c r="Z1182" t="s">
        <v>924</v>
      </c>
      <c r="AA1182" t="s">
        <v>39</v>
      </c>
      <c r="AC1182" t="s">
        <v>992</v>
      </c>
    </row>
    <row r="1183" spans="1:29" hidden="1" x14ac:dyDescent="0.25">
      <c r="A1183">
        <v>158</v>
      </c>
      <c r="B1183" t="s">
        <v>241</v>
      </c>
      <c r="C1183" t="s">
        <v>77</v>
      </c>
      <c r="D1183" t="s">
        <v>242</v>
      </c>
      <c r="E1183">
        <v>8</v>
      </c>
      <c r="F1183">
        <v>156</v>
      </c>
      <c r="G1183">
        <v>465</v>
      </c>
      <c r="H1183">
        <v>1</v>
      </c>
      <c r="I1183">
        <v>4.55</v>
      </c>
      <c r="J1183">
        <v>4.55</v>
      </c>
      <c r="K1183" t="s">
        <v>223</v>
      </c>
      <c r="L1183" t="s">
        <v>991</v>
      </c>
      <c r="Q1183">
        <v>2</v>
      </c>
      <c r="R1183" s="24">
        <v>46032</v>
      </c>
      <c r="T1183" t="s">
        <v>38</v>
      </c>
      <c r="V1183" t="s">
        <v>921</v>
      </c>
      <c r="W1183" t="s">
        <v>81</v>
      </c>
      <c r="Z1183" t="s">
        <v>924</v>
      </c>
      <c r="AA1183" t="s">
        <v>39</v>
      </c>
      <c r="AC1183" t="s">
        <v>992</v>
      </c>
    </row>
    <row r="1184" spans="1:29" hidden="1" x14ac:dyDescent="0.25">
      <c r="A1184">
        <v>159</v>
      </c>
      <c r="B1184" t="s">
        <v>243</v>
      </c>
      <c r="C1184" t="s">
        <v>77</v>
      </c>
      <c r="D1184" t="s">
        <v>244</v>
      </c>
      <c r="E1184">
        <v>8</v>
      </c>
      <c r="F1184">
        <v>464</v>
      </c>
      <c r="G1184">
        <v>12000</v>
      </c>
      <c r="H1184">
        <v>1</v>
      </c>
      <c r="I1184">
        <v>332.54</v>
      </c>
      <c r="J1184">
        <v>332.54</v>
      </c>
      <c r="K1184" t="s">
        <v>223</v>
      </c>
      <c r="L1184" t="s">
        <v>991</v>
      </c>
      <c r="N1184" t="s">
        <v>228</v>
      </c>
      <c r="Q1184">
        <v>2</v>
      </c>
      <c r="R1184" s="24">
        <v>46032</v>
      </c>
      <c r="T1184" t="s">
        <v>38</v>
      </c>
      <c r="V1184" t="s">
        <v>921</v>
      </c>
      <c r="Y1184" t="s">
        <v>81</v>
      </c>
      <c r="Z1184" t="s">
        <v>924</v>
      </c>
      <c r="AA1184" t="s">
        <v>39</v>
      </c>
      <c r="AC1184" t="s">
        <v>992</v>
      </c>
    </row>
    <row r="1185" spans="1:29" hidden="1" x14ac:dyDescent="0.25">
      <c r="A1185">
        <v>160</v>
      </c>
      <c r="B1185" t="s">
        <v>245</v>
      </c>
      <c r="C1185" t="s">
        <v>77</v>
      </c>
      <c r="D1185" t="s">
        <v>246</v>
      </c>
      <c r="E1185">
        <v>8</v>
      </c>
      <c r="F1185">
        <v>342</v>
      </c>
      <c r="G1185">
        <v>11990</v>
      </c>
      <c r="H1185">
        <v>1</v>
      </c>
      <c r="I1185">
        <v>244.16</v>
      </c>
      <c r="J1185">
        <v>244.16</v>
      </c>
      <c r="K1185" t="s">
        <v>223</v>
      </c>
      <c r="L1185" t="s">
        <v>991</v>
      </c>
      <c r="N1185" t="s">
        <v>228</v>
      </c>
      <c r="Q1185">
        <v>2</v>
      </c>
      <c r="R1185" s="24">
        <v>46032</v>
      </c>
      <c r="T1185" t="s">
        <v>38</v>
      </c>
      <c r="V1185" t="s">
        <v>921</v>
      </c>
      <c r="Y1185" t="s">
        <v>81</v>
      </c>
      <c r="Z1185" t="s">
        <v>924</v>
      </c>
      <c r="AA1185" t="s">
        <v>39</v>
      </c>
      <c r="AC1185" t="s">
        <v>992</v>
      </c>
    </row>
    <row r="1186" spans="1:29" hidden="1" x14ac:dyDescent="0.25">
      <c r="A1186">
        <v>161</v>
      </c>
      <c r="B1186" t="s">
        <v>226</v>
      </c>
      <c r="C1186" t="s">
        <v>77</v>
      </c>
      <c r="D1186" t="s">
        <v>227</v>
      </c>
      <c r="E1186">
        <v>8</v>
      </c>
      <c r="F1186">
        <v>334</v>
      </c>
      <c r="G1186">
        <v>11998</v>
      </c>
      <c r="H1186">
        <v>3</v>
      </c>
      <c r="I1186">
        <v>244.33</v>
      </c>
      <c r="J1186">
        <v>732.99</v>
      </c>
      <c r="K1186" t="s">
        <v>223</v>
      </c>
      <c r="L1186" t="s">
        <v>991</v>
      </c>
      <c r="N1186" t="s">
        <v>228</v>
      </c>
      <c r="Q1186">
        <v>2</v>
      </c>
      <c r="R1186" s="24">
        <v>46032</v>
      </c>
      <c r="T1186" t="s">
        <v>38</v>
      </c>
      <c r="V1186" t="s">
        <v>921</v>
      </c>
      <c r="Y1186" t="s">
        <v>81</v>
      </c>
      <c r="Z1186" t="s">
        <v>924</v>
      </c>
      <c r="AA1186" t="s">
        <v>39</v>
      </c>
      <c r="AC1186" t="s">
        <v>992</v>
      </c>
    </row>
    <row r="1187" spans="1:29" hidden="1" x14ac:dyDescent="0.25">
      <c r="A1187">
        <v>162</v>
      </c>
      <c r="B1187" t="s">
        <v>231</v>
      </c>
      <c r="C1187" t="s">
        <v>77</v>
      </c>
      <c r="D1187" t="s">
        <v>232</v>
      </c>
      <c r="E1187">
        <v>8</v>
      </c>
      <c r="F1187">
        <v>150</v>
      </c>
      <c r="G1187">
        <v>4252</v>
      </c>
      <c r="H1187">
        <v>1</v>
      </c>
      <c r="I1187">
        <v>40.049999999999997</v>
      </c>
      <c r="J1187">
        <v>40.049999999999997</v>
      </c>
      <c r="K1187" t="s">
        <v>223</v>
      </c>
      <c r="L1187" t="s">
        <v>991</v>
      </c>
      <c r="Q1187">
        <v>2</v>
      </c>
      <c r="R1187" s="24">
        <v>46032</v>
      </c>
      <c r="T1187" t="s">
        <v>38</v>
      </c>
      <c r="V1187" t="s">
        <v>921</v>
      </c>
      <c r="Y1187" t="s">
        <v>81</v>
      </c>
      <c r="Z1187" t="s">
        <v>924</v>
      </c>
      <c r="AA1187" t="s">
        <v>39</v>
      </c>
      <c r="AC1187" t="s">
        <v>992</v>
      </c>
    </row>
    <row r="1188" spans="1:29" hidden="1" x14ac:dyDescent="0.25">
      <c r="A1188">
        <v>163</v>
      </c>
      <c r="B1188" t="s">
        <v>233</v>
      </c>
      <c r="C1188" t="s">
        <v>77</v>
      </c>
      <c r="D1188" t="s">
        <v>234</v>
      </c>
      <c r="E1188">
        <v>8</v>
      </c>
      <c r="F1188">
        <v>150</v>
      </c>
      <c r="G1188">
        <v>6824</v>
      </c>
      <c r="H1188">
        <v>1</v>
      </c>
      <c r="I1188">
        <v>64.28</v>
      </c>
      <c r="J1188">
        <v>64.28</v>
      </c>
      <c r="K1188" t="s">
        <v>223</v>
      </c>
      <c r="L1188" t="s">
        <v>991</v>
      </c>
      <c r="Q1188">
        <v>2</v>
      </c>
      <c r="R1188" s="24">
        <v>46032</v>
      </c>
      <c r="T1188" t="s">
        <v>38</v>
      </c>
      <c r="V1188" t="s">
        <v>921</v>
      </c>
      <c r="Y1188" t="s">
        <v>81</v>
      </c>
      <c r="Z1188" t="s">
        <v>924</v>
      </c>
      <c r="AA1188" t="s">
        <v>39</v>
      </c>
      <c r="AC1188" t="s">
        <v>992</v>
      </c>
    </row>
    <row r="1189" spans="1:29" hidden="1" x14ac:dyDescent="0.25">
      <c r="A1189">
        <v>164</v>
      </c>
      <c r="B1189" t="s">
        <v>243</v>
      </c>
      <c r="C1189" t="s">
        <v>77</v>
      </c>
      <c r="D1189" t="s">
        <v>244</v>
      </c>
      <c r="E1189">
        <v>8</v>
      </c>
      <c r="F1189">
        <v>464</v>
      </c>
      <c r="G1189">
        <v>12000</v>
      </c>
      <c r="H1189">
        <v>1</v>
      </c>
      <c r="I1189">
        <v>332.54</v>
      </c>
      <c r="J1189">
        <v>332.54</v>
      </c>
      <c r="K1189" t="s">
        <v>223</v>
      </c>
      <c r="L1189" t="s">
        <v>993</v>
      </c>
      <c r="N1189" t="s">
        <v>228</v>
      </c>
      <c r="Q1189">
        <v>2</v>
      </c>
      <c r="R1189" s="24">
        <v>46032</v>
      </c>
      <c r="T1189" t="s">
        <v>38</v>
      </c>
      <c r="V1189" t="s">
        <v>921</v>
      </c>
      <c r="Y1189" t="s">
        <v>81</v>
      </c>
      <c r="Z1189" t="s">
        <v>924</v>
      </c>
      <c r="AA1189" t="s">
        <v>39</v>
      </c>
      <c r="AC1189" t="s">
        <v>994</v>
      </c>
    </row>
    <row r="1190" spans="1:29" hidden="1" x14ac:dyDescent="0.25">
      <c r="A1190">
        <v>165</v>
      </c>
      <c r="B1190" t="s">
        <v>249</v>
      </c>
      <c r="C1190" t="s">
        <v>77</v>
      </c>
      <c r="D1190" t="s">
        <v>250</v>
      </c>
      <c r="E1190">
        <v>8</v>
      </c>
      <c r="F1190">
        <v>347</v>
      </c>
      <c r="G1190">
        <v>12000</v>
      </c>
      <c r="H1190">
        <v>4</v>
      </c>
      <c r="I1190">
        <v>244.38</v>
      </c>
      <c r="J1190">
        <v>977.5</v>
      </c>
      <c r="K1190" t="s">
        <v>223</v>
      </c>
      <c r="L1190" t="s">
        <v>993</v>
      </c>
      <c r="N1190" t="s">
        <v>228</v>
      </c>
      <c r="Q1190">
        <v>2</v>
      </c>
      <c r="R1190" s="24">
        <v>46032</v>
      </c>
      <c r="T1190" t="s">
        <v>38</v>
      </c>
      <c r="V1190" t="s">
        <v>921</v>
      </c>
      <c r="Y1190" t="s">
        <v>81</v>
      </c>
      <c r="Z1190" t="s">
        <v>924</v>
      </c>
      <c r="AA1190" t="s">
        <v>39</v>
      </c>
      <c r="AC1190" t="s">
        <v>994</v>
      </c>
    </row>
    <row r="1191" spans="1:29" hidden="1" x14ac:dyDescent="0.25">
      <c r="A1191">
        <v>166</v>
      </c>
      <c r="B1191" t="s">
        <v>229</v>
      </c>
      <c r="C1191" t="s">
        <v>77</v>
      </c>
      <c r="D1191" t="s">
        <v>230</v>
      </c>
      <c r="E1191">
        <v>8</v>
      </c>
      <c r="F1191">
        <v>90</v>
      </c>
      <c r="G1191">
        <v>150</v>
      </c>
      <c r="H1191">
        <v>1</v>
      </c>
      <c r="I1191">
        <v>0.62</v>
      </c>
      <c r="J1191">
        <v>0.62</v>
      </c>
      <c r="K1191" t="s">
        <v>223</v>
      </c>
      <c r="L1191" t="s">
        <v>993</v>
      </c>
      <c r="Q1191">
        <v>2</v>
      </c>
      <c r="R1191" s="24">
        <v>46032</v>
      </c>
      <c r="T1191" t="s">
        <v>38</v>
      </c>
      <c r="V1191" t="s">
        <v>921</v>
      </c>
      <c r="W1191" t="s">
        <v>81</v>
      </c>
      <c r="Z1191" t="s">
        <v>924</v>
      </c>
      <c r="AA1191" t="s">
        <v>39</v>
      </c>
      <c r="AC1191" t="s">
        <v>994</v>
      </c>
    </row>
    <row r="1192" spans="1:29" hidden="1" x14ac:dyDescent="0.25">
      <c r="A1192">
        <v>167</v>
      </c>
      <c r="B1192" t="s">
        <v>231</v>
      </c>
      <c r="C1192" t="s">
        <v>77</v>
      </c>
      <c r="D1192" t="s">
        <v>232</v>
      </c>
      <c r="E1192">
        <v>8</v>
      </c>
      <c r="F1192">
        <v>150</v>
      </c>
      <c r="G1192">
        <v>4252</v>
      </c>
      <c r="H1192">
        <v>1</v>
      </c>
      <c r="I1192">
        <v>40.049999999999997</v>
      </c>
      <c r="J1192">
        <v>40.049999999999997</v>
      </c>
      <c r="K1192" t="s">
        <v>223</v>
      </c>
      <c r="L1192" t="s">
        <v>993</v>
      </c>
      <c r="Q1192">
        <v>2</v>
      </c>
      <c r="R1192" s="24">
        <v>46032</v>
      </c>
      <c r="T1192" t="s">
        <v>38</v>
      </c>
      <c r="V1192" t="s">
        <v>921</v>
      </c>
      <c r="Y1192" t="s">
        <v>81</v>
      </c>
      <c r="Z1192" t="s">
        <v>924</v>
      </c>
      <c r="AA1192" t="s">
        <v>39</v>
      </c>
      <c r="AC1192" t="s">
        <v>994</v>
      </c>
    </row>
    <row r="1193" spans="1:29" hidden="1" x14ac:dyDescent="0.25">
      <c r="A1193">
        <v>168</v>
      </c>
      <c r="B1193" t="s">
        <v>233</v>
      </c>
      <c r="C1193" t="s">
        <v>77</v>
      </c>
      <c r="D1193" t="s">
        <v>234</v>
      </c>
      <c r="E1193">
        <v>8</v>
      </c>
      <c r="F1193">
        <v>150</v>
      </c>
      <c r="G1193">
        <v>6824</v>
      </c>
      <c r="H1193">
        <v>1</v>
      </c>
      <c r="I1193">
        <v>64.28</v>
      </c>
      <c r="J1193">
        <v>64.28</v>
      </c>
      <c r="K1193" t="s">
        <v>223</v>
      </c>
      <c r="L1193" t="s">
        <v>993</v>
      </c>
      <c r="Q1193">
        <v>2</v>
      </c>
      <c r="R1193" s="24">
        <v>46032</v>
      </c>
      <c r="T1193" t="s">
        <v>38</v>
      </c>
      <c r="V1193" t="s">
        <v>921</v>
      </c>
      <c r="Y1193" t="s">
        <v>81</v>
      </c>
      <c r="Z1193" t="s">
        <v>924</v>
      </c>
      <c r="AA1193" t="s">
        <v>39</v>
      </c>
      <c r="AC1193" t="s">
        <v>994</v>
      </c>
    </row>
    <row r="1194" spans="1:29" hidden="1" x14ac:dyDescent="0.25">
      <c r="A1194">
        <v>169</v>
      </c>
      <c r="B1194" t="s">
        <v>235</v>
      </c>
      <c r="C1194" t="s">
        <v>77</v>
      </c>
      <c r="D1194" t="s">
        <v>236</v>
      </c>
      <c r="E1194">
        <v>8</v>
      </c>
      <c r="F1194">
        <v>150</v>
      </c>
      <c r="G1194">
        <v>792</v>
      </c>
      <c r="H1194">
        <v>1</v>
      </c>
      <c r="I1194">
        <v>7.46</v>
      </c>
      <c r="J1194">
        <v>7.46</v>
      </c>
      <c r="K1194" t="s">
        <v>223</v>
      </c>
      <c r="L1194" t="s">
        <v>993</v>
      </c>
      <c r="Q1194">
        <v>2</v>
      </c>
      <c r="R1194" s="24">
        <v>46032</v>
      </c>
      <c r="T1194" t="s">
        <v>38</v>
      </c>
      <c r="V1194" t="s">
        <v>921</v>
      </c>
      <c r="Y1194" t="s">
        <v>81</v>
      </c>
      <c r="Z1194" t="s">
        <v>924</v>
      </c>
      <c r="AA1194" t="s">
        <v>39</v>
      </c>
      <c r="AC1194" t="s">
        <v>994</v>
      </c>
    </row>
    <row r="1195" spans="1:29" hidden="1" x14ac:dyDescent="0.25">
      <c r="A1195">
        <v>170</v>
      </c>
      <c r="B1195" t="s">
        <v>251</v>
      </c>
      <c r="C1195" t="s">
        <v>77</v>
      </c>
      <c r="D1195" t="s">
        <v>252</v>
      </c>
      <c r="E1195">
        <v>8</v>
      </c>
      <c r="F1195">
        <v>459</v>
      </c>
      <c r="G1195">
        <v>11977</v>
      </c>
      <c r="H1195">
        <v>1</v>
      </c>
      <c r="I1195">
        <v>331.9</v>
      </c>
      <c r="J1195">
        <v>331.9</v>
      </c>
      <c r="K1195" t="s">
        <v>223</v>
      </c>
      <c r="L1195" t="s">
        <v>995</v>
      </c>
      <c r="N1195" t="s">
        <v>228</v>
      </c>
      <c r="Q1195">
        <v>2</v>
      </c>
      <c r="R1195" s="24">
        <v>46032</v>
      </c>
      <c r="T1195" t="s">
        <v>38</v>
      </c>
      <c r="V1195" t="s">
        <v>921</v>
      </c>
      <c r="Y1195" t="s">
        <v>81</v>
      </c>
      <c r="Z1195" t="s">
        <v>924</v>
      </c>
      <c r="AA1195" t="s">
        <v>39</v>
      </c>
      <c r="AC1195" t="s">
        <v>996</v>
      </c>
    </row>
    <row r="1196" spans="1:29" hidden="1" x14ac:dyDescent="0.25">
      <c r="A1196">
        <v>171</v>
      </c>
      <c r="B1196" t="s">
        <v>255</v>
      </c>
      <c r="C1196" t="s">
        <v>77</v>
      </c>
      <c r="D1196" t="s">
        <v>246</v>
      </c>
      <c r="E1196">
        <v>8</v>
      </c>
      <c r="F1196">
        <v>342</v>
      </c>
      <c r="G1196">
        <v>11990</v>
      </c>
      <c r="H1196">
        <v>3</v>
      </c>
      <c r="I1196">
        <v>244.16</v>
      </c>
      <c r="J1196">
        <v>732.47</v>
      </c>
      <c r="K1196" t="s">
        <v>223</v>
      </c>
      <c r="L1196" t="s">
        <v>995</v>
      </c>
      <c r="N1196" t="s">
        <v>228</v>
      </c>
      <c r="Q1196">
        <v>2</v>
      </c>
      <c r="R1196" s="24">
        <v>46032</v>
      </c>
      <c r="T1196" t="s">
        <v>38</v>
      </c>
      <c r="V1196" t="s">
        <v>921</v>
      </c>
      <c r="Y1196" t="s">
        <v>81</v>
      </c>
      <c r="Z1196" t="s">
        <v>924</v>
      </c>
      <c r="AA1196" t="s">
        <v>39</v>
      </c>
      <c r="AC1196" t="s">
        <v>996</v>
      </c>
    </row>
    <row r="1197" spans="1:29" hidden="1" x14ac:dyDescent="0.25">
      <c r="A1197">
        <v>172</v>
      </c>
      <c r="B1197" t="s">
        <v>256</v>
      </c>
      <c r="C1197" t="s">
        <v>77</v>
      </c>
      <c r="D1197" t="s">
        <v>257</v>
      </c>
      <c r="E1197">
        <v>8</v>
      </c>
      <c r="F1197">
        <v>458</v>
      </c>
      <c r="G1197">
        <v>11977</v>
      </c>
      <c r="H1197">
        <v>1</v>
      </c>
      <c r="I1197">
        <v>331.9</v>
      </c>
      <c r="J1197">
        <v>331.9</v>
      </c>
      <c r="K1197" t="s">
        <v>223</v>
      </c>
      <c r="L1197" t="s">
        <v>995</v>
      </c>
      <c r="N1197" t="s">
        <v>228</v>
      </c>
      <c r="Q1197">
        <v>2</v>
      </c>
      <c r="R1197" s="24">
        <v>46032</v>
      </c>
      <c r="T1197" t="s">
        <v>38</v>
      </c>
      <c r="V1197" t="s">
        <v>921</v>
      </c>
      <c r="Y1197" t="s">
        <v>81</v>
      </c>
      <c r="Z1197" t="s">
        <v>924</v>
      </c>
      <c r="AA1197" t="s">
        <v>39</v>
      </c>
      <c r="AC1197" t="s">
        <v>996</v>
      </c>
    </row>
    <row r="1198" spans="1:29" hidden="1" x14ac:dyDescent="0.25">
      <c r="A1198">
        <v>173</v>
      </c>
      <c r="B1198" t="s">
        <v>255</v>
      </c>
      <c r="C1198" t="s">
        <v>77</v>
      </c>
      <c r="D1198" t="s">
        <v>246</v>
      </c>
      <c r="E1198">
        <v>8</v>
      </c>
      <c r="F1198">
        <v>342</v>
      </c>
      <c r="G1198">
        <v>11990</v>
      </c>
      <c r="H1198">
        <v>1</v>
      </c>
      <c r="I1198">
        <v>244.16</v>
      </c>
      <c r="J1198">
        <v>244.16</v>
      </c>
      <c r="K1198" t="s">
        <v>223</v>
      </c>
      <c r="L1198" t="s">
        <v>997</v>
      </c>
      <c r="N1198" t="s">
        <v>228</v>
      </c>
      <c r="Q1198">
        <v>2</v>
      </c>
      <c r="R1198" s="24">
        <v>46032</v>
      </c>
      <c r="T1198" t="s">
        <v>38</v>
      </c>
      <c r="V1198" t="s">
        <v>921</v>
      </c>
      <c r="Y1198" t="s">
        <v>81</v>
      </c>
      <c r="Z1198" t="s">
        <v>924</v>
      </c>
      <c r="AA1198" t="s">
        <v>39</v>
      </c>
      <c r="AC1198" t="s">
        <v>998</v>
      </c>
    </row>
    <row r="1199" spans="1:29" hidden="1" x14ac:dyDescent="0.25">
      <c r="A1199">
        <v>174</v>
      </c>
      <c r="B1199" t="s">
        <v>245</v>
      </c>
      <c r="C1199" t="s">
        <v>77</v>
      </c>
      <c r="D1199" t="s">
        <v>246</v>
      </c>
      <c r="E1199">
        <v>8</v>
      </c>
      <c r="F1199">
        <v>342</v>
      </c>
      <c r="G1199">
        <v>11990</v>
      </c>
      <c r="H1199">
        <v>2</v>
      </c>
      <c r="I1199">
        <v>244.16</v>
      </c>
      <c r="J1199">
        <v>488.31</v>
      </c>
      <c r="K1199" t="s">
        <v>223</v>
      </c>
      <c r="L1199" t="s">
        <v>997</v>
      </c>
      <c r="N1199" t="s">
        <v>228</v>
      </c>
      <c r="Q1199">
        <v>2</v>
      </c>
      <c r="R1199" s="24">
        <v>46032</v>
      </c>
      <c r="T1199" t="s">
        <v>38</v>
      </c>
      <c r="V1199" t="s">
        <v>921</v>
      </c>
      <c r="Y1199" t="s">
        <v>81</v>
      </c>
      <c r="Z1199" t="s">
        <v>924</v>
      </c>
      <c r="AA1199" t="s">
        <v>39</v>
      </c>
      <c r="AC1199" t="s">
        <v>998</v>
      </c>
    </row>
    <row r="1200" spans="1:29" hidden="1" x14ac:dyDescent="0.25">
      <c r="A1200">
        <v>175</v>
      </c>
      <c r="B1200" t="s">
        <v>260</v>
      </c>
      <c r="C1200" t="s">
        <v>77</v>
      </c>
      <c r="D1200" t="s">
        <v>261</v>
      </c>
      <c r="E1200">
        <v>8</v>
      </c>
      <c r="F1200">
        <v>451</v>
      </c>
      <c r="G1200">
        <v>12000</v>
      </c>
      <c r="H1200">
        <v>2</v>
      </c>
      <c r="I1200">
        <v>332.59</v>
      </c>
      <c r="J1200">
        <v>665.18</v>
      </c>
      <c r="K1200" t="s">
        <v>223</v>
      </c>
      <c r="L1200" t="s">
        <v>997</v>
      </c>
      <c r="N1200" t="s">
        <v>228</v>
      </c>
      <c r="Q1200">
        <v>2</v>
      </c>
      <c r="R1200" s="24">
        <v>46032</v>
      </c>
      <c r="T1200" t="s">
        <v>38</v>
      </c>
      <c r="V1200" t="s">
        <v>921</v>
      </c>
      <c r="Y1200" t="s">
        <v>81</v>
      </c>
      <c r="Z1200" t="s">
        <v>924</v>
      </c>
      <c r="AA1200" t="s">
        <v>39</v>
      </c>
      <c r="AC1200" t="s">
        <v>998</v>
      </c>
    </row>
    <row r="1201" spans="1:29" hidden="1" x14ac:dyDescent="0.25">
      <c r="A1201">
        <v>176</v>
      </c>
      <c r="B1201" t="s">
        <v>262</v>
      </c>
      <c r="C1201" t="s">
        <v>77</v>
      </c>
      <c r="D1201" t="s">
        <v>222</v>
      </c>
      <c r="E1201">
        <v>8</v>
      </c>
      <c r="F1201">
        <v>334</v>
      </c>
      <c r="G1201">
        <v>11992</v>
      </c>
      <c r="H1201">
        <v>4</v>
      </c>
      <c r="I1201">
        <v>245.5</v>
      </c>
      <c r="J1201">
        <v>981.99</v>
      </c>
      <c r="K1201" t="s">
        <v>223</v>
      </c>
      <c r="L1201" t="s">
        <v>999</v>
      </c>
      <c r="Q1201">
        <v>2</v>
      </c>
      <c r="R1201" s="24">
        <v>46032</v>
      </c>
      <c r="T1201" t="s">
        <v>38</v>
      </c>
      <c r="V1201" t="s">
        <v>921</v>
      </c>
      <c r="Y1201" t="s">
        <v>81</v>
      </c>
      <c r="Z1201" t="s">
        <v>924</v>
      </c>
      <c r="AA1201" t="s">
        <v>39</v>
      </c>
      <c r="AC1201" t="s">
        <v>1000</v>
      </c>
    </row>
    <row r="1202" spans="1:29" hidden="1" x14ac:dyDescent="0.25">
      <c r="A1202">
        <v>177</v>
      </c>
      <c r="B1202" t="s">
        <v>245</v>
      </c>
      <c r="C1202" t="s">
        <v>77</v>
      </c>
      <c r="D1202" t="s">
        <v>246</v>
      </c>
      <c r="E1202">
        <v>8</v>
      </c>
      <c r="F1202">
        <v>342</v>
      </c>
      <c r="G1202">
        <v>11990</v>
      </c>
      <c r="H1202">
        <v>1</v>
      </c>
      <c r="I1202">
        <v>244.16</v>
      </c>
      <c r="J1202">
        <v>244.16</v>
      </c>
      <c r="K1202" t="s">
        <v>223</v>
      </c>
      <c r="L1202" t="s">
        <v>999</v>
      </c>
      <c r="N1202" t="s">
        <v>228</v>
      </c>
      <c r="Q1202">
        <v>2</v>
      </c>
      <c r="R1202" s="24">
        <v>46032</v>
      </c>
      <c r="T1202" t="s">
        <v>38</v>
      </c>
      <c r="V1202" t="s">
        <v>921</v>
      </c>
      <c r="Y1202" t="s">
        <v>81</v>
      </c>
      <c r="Z1202" t="s">
        <v>924</v>
      </c>
      <c r="AA1202" t="s">
        <v>39</v>
      </c>
      <c r="AC1202" t="s">
        <v>1000</v>
      </c>
    </row>
    <row r="1203" spans="1:29" hidden="1" x14ac:dyDescent="0.25">
      <c r="A1203">
        <v>178</v>
      </c>
      <c r="B1203" t="s">
        <v>265</v>
      </c>
      <c r="C1203" t="s">
        <v>77</v>
      </c>
      <c r="D1203" t="s">
        <v>266</v>
      </c>
      <c r="E1203">
        <v>8</v>
      </c>
      <c r="F1203">
        <v>124</v>
      </c>
      <c r="G1203">
        <v>4252</v>
      </c>
      <c r="H1203">
        <v>2</v>
      </c>
      <c r="I1203">
        <v>33.11</v>
      </c>
      <c r="J1203">
        <v>66.22</v>
      </c>
      <c r="K1203" t="s">
        <v>223</v>
      </c>
      <c r="L1203" t="s">
        <v>999</v>
      </c>
      <c r="Q1203">
        <v>2</v>
      </c>
      <c r="R1203" s="24">
        <v>46032</v>
      </c>
      <c r="T1203" t="s">
        <v>38</v>
      </c>
      <c r="V1203" t="s">
        <v>921</v>
      </c>
      <c r="Y1203" t="s">
        <v>81</v>
      </c>
      <c r="Z1203" t="s">
        <v>924</v>
      </c>
      <c r="AA1203" t="s">
        <v>39</v>
      </c>
      <c r="AC1203" t="s">
        <v>1000</v>
      </c>
    </row>
    <row r="1204" spans="1:29" hidden="1" x14ac:dyDescent="0.25">
      <c r="A1204">
        <v>179</v>
      </c>
      <c r="B1204" t="s">
        <v>267</v>
      </c>
      <c r="C1204" t="s">
        <v>77</v>
      </c>
      <c r="D1204" t="s">
        <v>268</v>
      </c>
      <c r="E1204">
        <v>8</v>
      </c>
      <c r="F1204">
        <v>124</v>
      </c>
      <c r="G1204">
        <v>6824</v>
      </c>
      <c r="H1204">
        <v>2</v>
      </c>
      <c r="I1204">
        <v>53.14</v>
      </c>
      <c r="J1204">
        <v>106.28</v>
      </c>
      <c r="K1204" t="s">
        <v>223</v>
      </c>
      <c r="L1204" t="s">
        <v>999</v>
      </c>
      <c r="Q1204">
        <v>2</v>
      </c>
      <c r="R1204" s="24">
        <v>46032</v>
      </c>
      <c r="T1204" t="s">
        <v>38</v>
      </c>
      <c r="V1204" t="s">
        <v>921</v>
      </c>
      <c r="Y1204" t="s">
        <v>81</v>
      </c>
      <c r="Z1204" t="s">
        <v>924</v>
      </c>
      <c r="AA1204" t="s">
        <v>39</v>
      </c>
      <c r="AC1204" t="s">
        <v>1000</v>
      </c>
    </row>
    <row r="1205" spans="1:29" hidden="1" x14ac:dyDescent="0.25">
      <c r="A1205">
        <v>180</v>
      </c>
      <c r="B1205" t="s">
        <v>235</v>
      </c>
      <c r="C1205" t="s">
        <v>77</v>
      </c>
      <c r="D1205" t="s">
        <v>236</v>
      </c>
      <c r="E1205">
        <v>8</v>
      </c>
      <c r="F1205">
        <v>150</v>
      </c>
      <c r="G1205">
        <v>792</v>
      </c>
      <c r="H1205">
        <v>1</v>
      </c>
      <c r="I1205">
        <v>7.46</v>
      </c>
      <c r="J1205">
        <v>7.46</v>
      </c>
      <c r="K1205" t="s">
        <v>223</v>
      </c>
      <c r="L1205" t="s">
        <v>999</v>
      </c>
      <c r="Q1205">
        <v>2</v>
      </c>
      <c r="R1205" s="24">
        <v>46032</v>
      </c>
      <c r="T1205" t="s">
        <v>38</v>
      </c>
      <c r="V1205" t="s">
        <v>921</v>
      </c>
      <c r="Y1205" t="s">
        <v>81</v>
      </c>
      <c r="Z1205" t="s">
        <v>924</v>
      </c>
      <c r="AA1205" t="s">
        <v>39</v>
      </c>
      <c r="AC1205" t="s">
        <v>1000</v>
      </c>
    </row>
    <row r="1206" spans="1:29" hidden="1" x14ac:dyDescent="0.25">
      <c r="A1206">
        <v>181</v>
      </c>
      <c r="B1206" t="s">
        <v>269</v>
      </c>
      <c r="C1206" t="s">
        <v>77</v>
      </c>
      <c r="D1206" t="s">
        <v>270</v>
      </c>
      <c r="E1206">
        <v>8</v>
      </c>
      <c r="F1206">
        <v>124</v>
      </c>
      <c r="G1206">
        <v>792</v>
      </c>
      <c r="H1206">
        <v>1</v>
      </c>
      <c r="I1206">
        <v>6.17</v>
      </c>
      <c r="J1206">
        <v>6.17</v>
      </c>
      <c r="K1206" t="s">
        <v>223</v>
      </c>
      <c r="L1206" t="s">
        <v>999</v>
      </c>
      <c r="Q1206">
        <v>2</v>
      </c>
      <c r="R1206" s="24">
        <v>46032</v>
      </c>
      <c r="T1206" t="s">
        <v>38</v>
      </c>
      <c r="V1206" t="s">
        <v>921</v>
      </c>
      <c r="Y1206" t="s">
        <v>81</v>
      </c>
      <c r="Z1206" t="s">
        <v>924</v>
      </c>
      <c r="AA1206" t="s">
        <v>39</v>
      </c>
      <c r="AC1206" t="s">
        <v>1000</v>
      </c>
    </row>
    <row r="1207" spans="1:29" hidden="1" x14ac:dyDescent="0.25">
      <c r="A1207">
        <v>182</v>
      </c>
      <c r="B1207" t="s">
        <v>251</v>
      </c>
      <c r="C1207" t="s">
        <v>77</v>
      </c>
      <c r="D1207" t="s">
        <v>252</v>
      </c>
      <c r="E1207">
        <v>8</v>
      </c>
      <c r="F1207">
        <v>459</v>
      </c>
      <c r="G1207">
        <v>11977</v>
      </c>
      <c r="H1207">
        <v>1</v>
      </c>
      <c r="I1207">
        <v>331.9</v>
      </c>
      <c r="J1207">
        <v>331.9</v>
      </c>
      <c r="K1207" t="s">
        <v>223</v>
      </c>
      <c r="L1207" t="s">
        <v>1001</v>
      </c>
      <c r="N1207" t="s">
        <v>228</v>
      </c>
      <c r="Q1207">
        <v>2</v>
      </c>
      <c r="R1207" s="24">
        <v>46032</v>
      </c>
      <c r="T1207" t="s">
        <v>38</v>
      </c>
      <c r="V1207" t="s">
        <v>921</v>
      </c>
      <c r="Y1207" t="s">
        <v>81</v>
      </c>
      <c r="Z1207" t="s">
        <v>924</v>
      </c>
      <c r="AA1207" t="s">
        <v>39</v>
      </c>
      <c r="AC1207" t="s">
        <v>1002</v>
      </c>
    </row>
    <row r="1208" spans="1:29" hidden="1" x14ac:dyDescent="0.25">
      <c r="A1208">
        <v>183</v>
      </c>
      <c r="B1208" t="s">
        <v>256</v>
      </c>
      <c r="C1208" t="s">
        <v>77</v>
      </c>
      <c r="D1208" t="s">
        <v>257</v>
      </c>
      <c r="E1208">
        <v>8</v>
      </c>
      <c r="F1208">
        <v>458</v>
      </c>
      <c r="G1208">
        <v>11977</v>
      </c>
      <c r="H1208">
        <v>1</v>
      </c>
      <c r="I1208">
        <v>331.9</v>
      </c>
      <c r="J1208">
        <v>331.9</v>
      </c>
      <c r="K1208" t="s">
        <v>223</v>
      </c>
      <c r="L1208" t="s">
        <v>1001</v>
      </c>
      <c r="N1208" t="s">
        <v>228</v>
      </c>
      <c r="Q1208">
        <v>2</v>
      </c>
      <c r="R1208" s="24">
        <v>46032</v>
      </c>
      <c r="T1208" t="s">
        <v>38</v>
      </c>
      <c r="V1208" t="s">
        <v>921</v>
      </c>
      <c r="Y1208" t="s">
        <v>81</v>
      </c>
      <c r="Z1208" t="s">
        <v>924</v>
      </c>
      <c r="AA1208" t="s">
        <v>39</v>
      </c>
      <c r="AC1208" t="s">
        <v>1002</v>
      </c>
    </row>
    <row r="1209" spans="1:29" hidden="1" x14ac:dyDescent="0.25">
      <c r="A1209">
        <v>184</v>
      </c>
      <c r="B1209" t="s">
        <v>273</v>
      </c>
      <c r="C1209" t="s">
        <v>77</v>
      </c>
      <c r="D1209" t="s">
        <v>274</v>
      </c>
      <c r="E1209">
        <v>8</v>
      </c>
      <c r="F1209">
        <v>448</v>
      </c>
      <c r="G1209">
        <v>7587</v>
      </c>
      <c r="H1209">
        <v>2</v>
      </c>
      <c r="I1209">
        <v>211.05</v>
      </c>
      <c r="J1209">
        <v>422.1</v>
      </c>
      <c r="K1209" t="s">
        <v>223</v>
      </c>
      <c r="L1209" t="s">
        <v>1001</v>
      </c>
      <c r="N1209" t="s">
        <v>228</v>
      </c>
      <c r="Q1209">
        <v>2</v>
      </c>
      <c r="R1209" s="24">
        <v>46032</v>
      </c>
      <c r="T1209" t="s">
        <v>38</v>
      </c>
      <c r="V1209" t="s">
        <v>921</v>
      </c>
      <c r="Y1209" t="s">
        <v>81</v>
      </c>
      <c r="Z1209" t="s">
        <v>924</v>
      </c>
      <c r="AA1209" t="s">
        <v>39</v>
      </c>
      <c r="AC1209" t="s">
        <v>1002</v>
      </c>
    </row>
    <row r="1210" spans="1:29" hidden="1" x14ac:dyDescent="0.25">
      <c r="A1210">
        <v>185</v>
      </c>
      <c r="B1210" t="s">
        <v>265</v>
      </c>
      <c r="C1210" t="s">
        <v>77</v>
      </c>
      <c r="D1210" t="s">
        <v>266</v>
      </c>
      <c r="E1210">
        <v>8</v>
      </c>
      <c r="F1210">
        <v>124</v>
      </c>
      <c r="G1210">
        <v>4252</v>
      </c>
      <c r="H1210">
        <v>2</v>
      </c>
      <c r="I1210">
        <v>33.11</v>
      </c>
      <c r="J1210">
        <v>66.22</v>
      </c>
      <c r="K1210" t="s">
        <v>223</v>
      </c>
      <c r="L1210" t="s">
        <v>1001</v>
      </c>
      <c r="Q1210">
        <v>2</v>
      </c>
      <c r="R1210" s="24">
        <v>46032</v>
      </c>
      <c r="T1210" t="s">
        <v>38</v>
      </c>
      <c r="V1210" t="s">
        <v>921</v>
      </c>
      <c r="Y1210" t="s">
        <v>81</v>
      </c>
      <c r="Z1210" t="s">
        <v>924</v>
      </c>
      <c r="AA1210" t="s">
        <v>39</v>
      </c>
      <c r="AC1210" t="s">
        <v>1002</v>
      </c>
    </row>
    <row r="1211" spans="1:29" hidden="1" x14ac:dyDescent="0.25">
      <c r="A1211">
        <v>186</v>
      </c>
      <c r="B1211" t="s">
        <v>275</v>
      </c>
      <c r="C1211" t="s">
        <v>77</v>
      </c>
      <c r="D1211" t="s">
        <v>276</v>
      </c>
      <c r="E1211">
        <v>8</v>
      </c>
      <c r="F1211">
        <v>150</v>
      </c>
      <c r="G1211">
        <v>2972</v>
      </c>
      <c r="H1211">
        <v>1</v>
      </c>
      <c r="I1211">
        <v>28</v>
      </c>
      <c r="J1211">
        <v>28</v>
      </c>
      <c r="K1211" t="s">
        <v>223</v>
      </c>
      <c r="L1211" t="s">
        <v>1001</v>
      </c>
      <c r="Q1211">
        <v>2</v>
      </c>
      <c r="R1211" s="24">
        <v>46032</v>
      </c>
      <c r="T1211" t="s">
        <v>38</v>
      </c>
      <c r="V1211" t="s">
        <v>921</v>
      </c>
      <c r="Y1211" t="s">
        <v>81</v>
      </c>
      <c r="Z1211" t="s">
        <v>924</v>
      </c>
      <c r="AA1211" t="s">
        <v>39</v>
      </c>
      <c r="AC1211" t="s">
        <v>1002</v>
      </c>
    </row>
    <row r="1212" spans="1:29" hidden="1" x14ac:dyDescent="0.25">
      <c r="A1212">
        <v>187</v>
      </c>
      <c r="B1212" t="s">
        <v>277</v>
      </c>
      <c r="C1212" t="s">
        <v>77</v>
      </c>
      <c r="D1212" t="s">
        <v>278</v>
      </c>
      <c r="E1212">
        <v>8</v>
      </c>
      <c r="F1212">
        <v>124</v>
      </c>
      <c r="G1212">
        <v>2972</v>
      </c>
      <c r="H1212">
        <v>4</v>
      </c>
      <c r="I1212">
        <v>23.14</v>
      </c>
      <c r="J1212">
        <v>92.57</v>
      </c>
      <c r="K1212" t="s">
        <v>223</v>
      </c>
      <c r="L1212" t="s">
        <v>1001</v>
      </c>
      <c r="Q1212">
        <v>2</v>
      </c>
      <c r="R1212" s="24">
        <v>46032</v>
      </c>
      <c r="T1212" t="s">
        <v>38</v>
      </c>
      <c r="V1212" t="s">
        <v>921</v>
      </c>
      <c r="Y1212" t="s">
        <v>81</v>
      </c>
      <c r="Z1212" t="s">
        <v>924</v>
      </c>
      <c r="AA1212" t="s">
        <v>39</v>
      </c>
      <c r="AC1212" t="s">
        <v>1002</v>
      </c>
    </row>
    <row r="1213" spans="1:29" hidden="1" x14ac:dyDescent="0.25">
      <c r="A1213">
        <v>188</v>
      </c>
      <c r="B1213" t="s">
        <v>279</v>
      </c>
      <c r="C1213" t="s">
        <v>77</v>
      </c>
      <c r="D1213" t="s">
        <v>278</v>
      </c>
      <c r="E1213">
        <v>8</v>
      </c>
      <c r="F1213">
        <v>124</v>
      </c>
      <c r="G1213">
        <v>2972</v>
      </c>
      <c r="H1213">
        <v>1</v>
      </c>
      <c r="I1213">
        <v>23.14</v>
      </c>
      <c r="J1213">
        <v>23.14</v>
      </c>
      <c r="K1213" t="s">
        <v>223</v>
      </c>
      <c r="L1213" t="s">
        <v>1001</v>
      </c>
      <c r="Q1213">
        <v>2</v>
      </c>
      <c r="R1213" s="24">
        <v>46032</v>
      </c>
      <c r="T1213" t="s">
        <v>38</v>
      </c>
      <c r="V1213" t="s">
        <v>921</v>
      </c>
      <c r="Y1213" t="s">
        <v>81</v>
      </c>
      <c r="Z1213" t="s">
        <v>924</v>
      </c>
      <c r="AA1213" t="s">
        <v>39</v>
      </c>
      <c r="AC1213" t="s">
        <v>1002</v>
      </c>
    </row>
    <row r="1214" spans="1:29" hidden="1" x14ac:dyDescent="0.25">
      <c r="A1214">
        <v>189</v>
      </c>
      <c r="B1214" t="s">
        <v>280</v>
      </c>
      <c r="C1214" t="s">
        <v>77</v>
      </c>
      <c r="D1214" t="s">
        <v>281</v>
      </c>
      <c r="E1214">
        <v>8</v>
      </c>
      <c r="F1214">
        <v>124</v>
      </c>
      <c r="G1214">
        <v>601</v>
      </c>
      <c r="H1214">
        <v>1</v>
      </c>
      <c r="I1214">
        <v>4.68</v>
      </c>
      <c r="J1214">
        <v>4.68</v>
      </c>
      <c r="K1214" t="s">
        <v>223</v>
      </c>
      <c r="L1214" t="s">
        <v>1001</v>
      </c>
      <c r="Q1214">
        <v>2</v>
      </c>
      <c r="R1214" s="24">
        <v>46032</v>
      </c>
      <c r="T1214" t="s">
        <v>38</v>
      </c>
      <c r="V1214" t="s">
        <v>921</v>
      </c>
      <c r="Y1214" t="s">
        <v>81</v>
      </c>
      <c r="Z1214" t="s">
        <v>924</v>
      </c>
      <c r="AA1214" t="s">
        <v>39</v>
      </c>
      <c r="AC1214" t="s">
        <v>1002</v>
      </c>
    </row>
    <row r="1215" spans="1:29" hidden="1" x14ac:dyDescent="0.25">
      <c r="A1215">
        <v>190</v>
      </c>
      <c r="B1215" t="s">
        <v>282</v>
      </c>
      <c r="C1215" t="s">
        <v>77</v>
      </c>
      <c r="D1215" t="s">
        <v>283</v>
      </c>
      <c r="E1215">
        <v>8</v>
      </c>
      <c r="F1215">
        <v>150</v>
      </c>
      <c r="G1215">
        <v>1381</v>
      </c>
      <c r="H1215">
        <v>1</v>
      </c>
      <c r="I1215">
        <v>13.01</v>
      </c>
      <c r="J1215">
        <v>13.01</v>
      </c>
      <c r="K1215" t="s">
        <v>223</v>
      </c>
      <c r="L1215" t="s">
        <v>1001</v>
      </c>
      <c r="Q1215">
        <v>2</v>
      </c>
      <c r="R1215" s="24">
        <v>46032</v>
      </c>
      <c r="T1215" t="s">
        <v>38</v>
      </c>
      <c r="V1215" t="s">
        <v>921</v>
      </c>
      <c r="Y1215" t="s">
        <v>81</v>
      </c>
      <c r="Z1215" t="s">
        <v>924</v>
      </c>
      <c r="AA1215" t="s">
        <v>39</v>
      </c>
      <c r="AC1215" t="s">
        <v>1002</v>
      </c>
    </row>
    <row r="1216" spans="1:29" hidden="1" x14ac:dyDescent="0.25">
      <c r="A1216">
        <v>191</v>
      </c>
      <c r="B1216" t="s">
        <v>284</v>
      </c>
      <c r="C1216" t="s">
        <v>77</v>
      </c>
      <c r="D1216" t="s">
        <v>285</v>
      </c>
      <c r="E1216">
        <v>8</v>
      </c>
      <c r="F1216">
        <v>124</v>
      </c>
      <c r="G1216">
        <v>1381</v>
      </c>
      <c r="H1216">
        <v>4</v>
      </c>
      <c r="I1216">
        <v>10.76</v>
      </c>
      <c r="J1216">
        <v>43.02</v>
      </c>
      <c r="K1216" t="s">
        <v>223</v>
      </c>
      <c r="L1216" t="s">
        <v>1001</v>
      </c>
      <c r="Q1216">
        <v>2</v>
      </c>
      <c r="R1216" s="24">
        <v>46032</v>
      </c>
      <c r="T1216" t="s">
        <v>38</v>
      </c>
      <c r="V1216" t="s">
        <v>921</v>
      </c>
      <c r="Y1216" t="s">
        <v>81</v>
      </c>
      <c r="Z1216" t="s">
        <v>924</v>
      </c>
      <c r="AA1216" t="s">
        <v>39</v>
      </c>
      <c r="AC1216" t="s">
        <v>1002</v>
      </c>
    </row>
    <row r="1217" spans="1:29" hidden="1" x14ac:dyDescent="0.25">
      <c r="A1217">
        <v>192</v>
      </c>
      <c r="B1217" t="s">
        <v>267</v>
      </c>
      <c r="C1217" t="s">
        <v>77</v>
      </c>
      <c r="D1217" t="s">
        <v>268</v>
      </c>
      <c r="E1217">
        <v>8</v>
      </c>
      <c r="F1217">
        <v>124</v>
      </c>
      <c r="G1217">
        <v>6824</v>
      </c>
      <c r="H1217">
        <v>1</v>
      </c>
      <c r="I1217">
        <v>53.14</v>
      </c>
      <c r="J1217">
        <v>53.14</v>
      </c>
      <c r="K1217" t="s">
        <v>223</v>
      </c>
      <c r="L1217" t="s">
        <v>1001</v>
      </c>
      <c r="Q1217">
        <v>2</v>
      </c>
      <c r="R1217" s="24">
        <v>46032</v>
      </c>
      <c r="T1217" t="s">
        <v>38</v>
      </c>
      <c r="V1217" t="s">
        <v>921</v>
      </c>
      <c r="Y1217" t="s">
        <v>81</v>
      </c>
      <c r="Z1217" t="s">
        <v>924</v>
      </c>
      <c r="AA1217" t="s">
        <v>39</v>
      </c>
      <c r="AC1217" t="s">
        <v>1002</v>
      </c>
    </row>
    <row r="1218" spans="1:29" hidden="1" x14ac:dyDescent="0.25">
      <c r="A1218">
        <v>193</v>
      </c>
      <c r="B1218" t="s">
        <v>269</v>
      </c>
      <c r="C1218" t="s">
        <v>77</v>
      </c>
      <c r="D1218" t="s">
        <v>270</v>
      </c>
      <c r="E1218">
        <v>8</v>
      </c>
      <c r="F1218">
        <v>124</v>
      </c>
      <c r="G1218">
        <v>792</v>
      </c>
      <c r="H1218">
        <v>2</v>
      </c>
      <c r="I1218">
        <v>6.16</v>
      </c>
      <c r="J1218">
        <v>12.33</v>
      </c>
      <c r="K1218" t="s">
        <v>223</v>
      </c>
      <c r="L1218" t="s">
        <v>1001</v>
      </c>
      <c r="Q1218">
        <v>2</v>
      </c>
      <c r="R1218" s="24">
        <v>46032</v>
      </c>
      <c r="T1218" t="s">
        <v>38</v>
      </c>
      <c r="V1218" t="s">
        <v>921</v>
      </c>
      <c r="Y1218" t="s">
        <v>81</v>
      </c>
      <c r="Z1218" t="s">
        <v>924</v>
      </c>
      <c r="AA1218" t="s">
        <v>39</v>
      </c>
      <c r="AC1218" t="s">
        <v>1002</v>
      </c>
    </row>
    <row r="1219" spans="1:29" hidden="1" x14ac:dyDescent="0.25">
      <c r="A1219">
        <v>194</v>
      </c>
      <c r="B1219" t="s">
        <v>286</v>
      </c>
      <c r="C1219" t="s">
        <v>77</v>
      </c>
      <c r="D1219" t="s">
        <v>287</v>
      </c>
      <c r="E1219">
        <v>8</v>
      </c>
      <c r="F1219">
        <v>450</v>
      </c>
      <c r="G1219">
        <v>12007</v>
      </c>
      <c r="H1219">
        <v>2</v>
      </c>
      <c r="I1219">
        <v>334.02</v>
      </c>
      <c r="J1219">
        <v>668.05</v>
      </c>
      <c r="K1219" t="s">
        <v>223</v>
      </c>
      <c r="L1219" t="s">
        <v>1003</v>
      </c>
      <c r="Q1219">
        <v>2</v>
      </c>
      <c r="R1219" s="24">
        <v>46032</v>
      </c>
      <c r="T1219" t="s">
        <v>38</v>
      </c>
      <c r="V1219" t="s">
        <v>921</v>
      </c>
      <c r="Y1219" t="s">
        <v>81</v>
      </c>
      <c r="Z1219" t="s">
        <v>924</v>
      </c>
      <c r="AA1219" t="s">
        <v>39</v>
      </c>
      <c r="AC1219" t="s">
        <v>1004</v>
      </c>
    </row>
    <row r="1220" spans="1:29" hidden="1" x14ac:dyDescent="0.25">
      <c r="A1220">
        <v>195</v>
      </c>
      <c r="B1220" t="s">
        <v>290</v>
      </c>
      <c r="C1220" t="s">
        <v>77</v>
      </c>
      <c r="D1220" t="s">
        <v>287</v>
      </c>
      <c r="E1220">
        <v>8</v>
      </c>
      <c r="F1220">
        <v>450</v>
      </c>
      <c r="G1220">
        <v>12007</v>
      </c>
      <c r="H1220">
        <v>2</v>
      </c>
      <c r="I1220">
        <v>334.02</v>
      </c>
      <c r="J1220">
        <v>668.05</v>
      </c>
      <c r="K1220" t="s">
        <v>223</v>
      </c>
      <c r="L1220" t="s">
        <v>1003</v>
      </c>
      <c r="Q1220">
        <v>2</v>
      </c>
      <c r="R1220" s="24">
        <v>46032</v>
      </c>
      <c r="T1220" t="s">
        <v>38</v>
      </c>
      <c r="V1220" t="s">
        <v>921</v>
      </c>
      <c r="Y1220" t="s">
        <v>81</v>
      </c>
      <c r="Z1220" t="s">
        <v>924</v>
      </c>
      <c r="AA1220" t="s">
        <v>39</v>
      </c>
      <c r="AC1220" t="s">
        <v>1004</v>
      </c>
    </row>
    <row r="1221" spans="1:29" hidden="1" x14ac:dyDescent="0.25">
      <c r="A1221">
        <v>196</v>
      </c>
      <c r="B1221" t="s">
        <v>229</v>
      </c>
      <c r="C1221" t="s">
        <v>77</v>
      </c>
      <c r="D1221" t="s">
        <v>230</v>
      </c>
      <c r="E1221">
        <v>8</v>
      </c>
      <c r="F1221">
        <v>90</v>
      </c>
      <c r="G1221">
        <v>150</v>
      </c>
      <c r="H1221">
        <v>1</v>
      </c>
      <c r="I1221">
        <v>0.62</v>
      </c>
      <c r="J1221">
        <v>0.62</v>
      </c>
      <c r="K1221" t="s">
        <v>223</v>
      </c>
      <c r="L1221" t="s">
        <v>1003</v>
      </c>
      <c r="Q1221">
        <v>2</v>
      </c>
      <c r="R1221" s="24">
        <v>46032</v>
      </c>
      <c r="T1221" t="s">
        <v>38</v>
      </c>
      <c r="V1221" t="s">
        <v>921</v>
      </c>
      <c r="W1221" t="s">
        <v>81</v>
      </c>
      <c r="Z1221" t="s">
        <v>924</v>
      </c>
      <c r="AA1221" t="s">
        <v>39</v>
      </c>
      <c r="AC1221" t="s">
        <v>1004</v>
      </c>
    </row>
    <row r="1222" spans="1:29" hidden="1" x14ac:dyDescent="0.25">
      <c r="A1222">
        <v>197</v>
      </c>
      <c r="B1222" t="s">
        <v>275</v>
      </c>
      <c r="C1222" t="s">
        <v>77</v>
      </c>
      <c r="D1222" t="s">
        <v>276</v>
      </c>
      <c r="E1222">
        <v>8</v>
      </c>
      <c r="F1222">
        <v>150</v>
      </c>
      <c r="G1222">
        <v>2972</v>
      </c>
      <c r="H1222">
        <v>3</v>
      </c>
      <c r="I1222">
        <v>28</v>
      </c>
      <c r="J1222">
        <v>83.99</v>
      </c>
      <c r="K1222" t="s">
        <v>223</v>
      </c>
      <c r="L1222" t="s">
        <v>1003</v>
      </c>
      <c r="Q1222">
        <v>2</v>
      </c>
      <c r="R1222" s="24">
        <v>46032</v>
      </c>
      <c r="T1222" t="s">
        <v>38</v>
      </c>
      <c r="V1222" t="s">
        <v>921</v>
      </c>
      <c r="Y1222" t="s">
        <v>81</v>
      </c>
      <c r="Z1222" t="s">
        <v>924</v>
      </c>
      <c r="AA1222" t="s">
        <v>39</v>
      </c>
      <c r="AC1222" t="s">
        <v>1004</v>
      </c>
    </row>
    <row r="1223" spans="1:29" hidden="1" x14ac:dyDescent="0.25">
      <c r="A1223">
        <v>198</v>
      </c>
      <c r="B1223" t="s">
        <v>291</v>
      </c>
      <c r="C1223" t="s">
        <v>77</v>
      </c>
      <c r="D1223" t="s">
        <v>276</v>
      </c>
      <c r="E1223">
        <v>8</v>
      </c>
      <c r="F1223">
        <v>150</v>
      </c>
      <c r="G1223">
        <v>2972</v>
      </c>
      <c r="H1223">
        <v>1</v>
      </c>
      <c r="I1223">
        <v>28</v>
      </c>
      <c r="J1223">
        <v>28</v>
      </c>
      <c r="K1223" t="s">
        <v>223</v>
      </c>
      <c r="L1223" t="s">
        <v>1003</v>
      </c>
      <c r="Q1223">
        <v>2</v>
      </c>
      <c r="R1223" s="24">
        <v>46032</v>
      </c>
      <c r="T1223" t="s">
        <v>38</v>
      </c>
      <c r="V1223" t="s">
        <v>921</v>
      </c>
      <c r="Y1223" t="s">
        <v>81</v>
      </c>
      <c r="Z1223" t="s">
        <v>924</v>
      </c>
      <c r="AA1223" t="s">
        <v>39</v>
      </c>
      <c r="AC1223" t="s">
        <v>1004</v>
      </c>
    </row>
    <row r="1224" spans="1:29" hidden="1" x14ac:dyDescent="0.25">
      <c r="A1224">
        <v>199</v>
      </c>
      <c r="B1224" t="s">
        <v>292</v>
      </c>
      <c r="C1224" t="s">
        <v>77</v>
      </c>
      <c r="D1224" t="s">
        <v>293</v>
      </c>
      <c r="E1224">
        <v>8</v>
      </c>
      <c r="F1224">
        <v>446</v>
      </c>
      <c r="G1224">
        <v>7588</v>
      </c>
      <c r="H1224">
        <v>2</v>
      </c>
      <c r="I1224">
        <v>211.08</v>
      </c>
      <c r="J1224">
        <v>422.16</v>
      </c>
      <c r="K1224" t="s">
        <v>223</v>
      </c>
      <c r="L1224" t="s">
        <v>1005</v>
      </c>
      <c r="N1224" t="s">
        <v>228</v>
      </c>
      <c r="Q1224">
        <v>2</v>
      </c>
      <c r="R1224" s="24">
        <v>46032</v>
      </c>
      <c r="T1224" t="s">
        <v>38</v>
      </c>
      <c r="V1224" t="s">
        <v>921</v>
      </c>
      <c r="Y1224" t="s">
        <v>81</v>
      </c>
      <c r="Z1224" t="s">
        <v>924</v>
      </c>
      <c r="AA1224" t="s">
        <v>39</v>
      </c>
      <c r="AC1224" t="s">
        <v>1006</v>
      </c>
    </row>
    <row r="1225" spans="1:29" hidden="1" x14ac:dyDescent="0.25">
      <c r="A1225">
        <v>200</v>
      </c>
      <c r="B1225" t="s">
        <v>296</v>
      </c>
      <c r="C1225" t="s">
        <v>77</v>
      </c>
      <c r="D1225" t="s">
        <v>297</v>
      </c>
      <c r="E1225">
        <v>8</v>
      </c>
      <c r="F1225">
        <v>329</v>
      </c>
      <c r="G1225">
        <v>7565</v>
      </c>
      <c r="H1225">
        <v>2</v>
      </c>
      <c r="I1225">
        <v>154.86000000000001</v>
      </c>
      <c r="J1225">
        <v>309.73</v>
      </c>
      <c r="K1225" t="s">
        <v>223</v>
      </c>
      <c r="L1225" t="s">
        <v>1005</v>
      </c>
      <c r="N1225" t="s">
        <v>228</v>
      </c>
      <c r="Q1225">
        <v>2</v>
      </c>
      <c r="R1225" s="24">
        <v>46032</v>
      </c>
      <c r="T1225" t="s">
        <v>38</v>
      </c>
      <c r="V1225" t="s">
        <v>921</v>
      </c>
      <c r="Y1225" t="s">
        <v>81</v>
      </c>
      <c r="Z1225" t="s">
        <v>924</v>
      </c>
      <c r="AA1225" t="s">
        <v>39</v>
      </c>
      <c r="AC1225" t="s">
        <v>1006</v>
      </c>
    </row>
    <row r="1226" spans="1:29" hidden="1" x14ac:dyDescent="0.25">
      <c r="A1226">
        <v>201</v>
      </c>
      <c r="B1226" t="s">
        <v>298</v>
      </c>
      <c r="C1226" t="s">
        <v>77</v>
      </c>
      <c r="D1226" t="s">
        <v>299</v>
      </c>
      <c r="E1226">
        <v>8</v>
      </c>
      <c r="F1226">
        <v>329</v>
      </c>
      <c r="G1226">
        <v>7566</v>
      </c>
      <c r="H1226">
        <v>1</v>
      </c>
      <c r="I1226">
        <v>154.88</v>
      </c>
      <c r="J1226">
        <v>154.88</v>
      </c>
      <c r="K1226" t="s">
        <v>223</v>
      </c>
      <c r="L1226" t="s">
        <v>1005</v>
      </c>
      <c r="N1226" t="s">
        <v>228</v>
      </c>
      <c r="Q1226">
        <v>2</v>
      </c>
      <c r="R1226" s="24">
        <v>46032</v>
      </c>
      <c r="T1226" t="s">
        <v>38</v>
      </c>
      <c r="V1226" t="s">
        <v>921</v>
      </c>
      <c r="Y1226" t="s">
        <v>81</v>
      </c>
      <c r="Z1226" t="s">
        <v>924</v>
      </c>
      <c r="AA1226" t="s">
        <v>39</v>
      </c>
      <c r="AC1226" t="s">
        <v>1006</v>
      </c>
    </row>
    <row r="1227" spans="1:29" hidden="1" x14ac:dyDescent="0.25">
      <c r="A1227">
        <v>202</v>
      </c>
      <c r="B1227" t="s">
        <v>300</v>
      </c>
      <c r="C1227" t="s">
        <v>77</v>
      </c>
      <c r="D1227" t="s">
        <v>301</v>
      </c>
      <c r="E1227">
        <v>8</v>
      </c>
      <c r="F1227">
        <v>66</v>
      </c>
      <c r="G1227">
        <v>150</v>
      </c>
      <c r="H1227">
        <v>3</v>
      </c>
      <c r="I1227">
        <v>0.46</v>
      </c>
      <c r="J1227">
        <v>1.38</v>
      </c>
      <c r="K1227" t="s">
        <v>223</v>
      </c>
      <c r="L1227" t="s">
        <v>1005</v>
      </c>
      <c r="Q1227">
        <v>2</v>
      </c>
      <c r="R1227" s="24">
        <v>46032</v>
      </c>
      <c r="T1227" t="s">
        <v>38</v>
      </c>
      <c r="V1227" t="s">
        <v>921</v>
      </c>
      <c r="W1227" t="s">
        <v>81</v>
      </c>
      <c r="Z1227" t="s">
        <v>924</v>
      </c>
      <c r="AA1227" t="s">
        <v>39</v>
      </c>
      <c r="AC1227" t="s">
        <v>1006</v>
      </c>
    </row>
    <row r="1228" spans="1:29" hidden="1" x14ac:dyDescent="0.25">
      <c r="A1228">
        <v>203</v>
      </c>
      <c r="B1228" t="s">
        <v>302</v>
      </c>
      <c r="C1228" t="s">
        <v>77</v>
      </c>
      <c r="D1228" t="s">
        <v>301</v>
      </c>
      <c r="E1228">
        <v>8</v>
      </c>
      <c r="F1228">
        <v>66</v>
      </c>
      <c r="G1228">
        <v>150</v>
      </c>
      <c r="H1228">
        <v>6</v>
      </c>
      <c r="I1228">
        <v>0.46</v>
      </c>
      <c r="J1228">
        <v>2.77</v>
      </c>
      <c r="K1228" t="s">
        <v>223</v>
      </c>
      <c r="L1228" t="s">
        <v>1005</v>
      </c>
      <c r="Q1228">
        <v>2</v>
      </c>
      <c r="R1228" s="24">
        <v>46032</v>
      </c>
      <c r="T1228" t="s">
        <v>38</v>
      </c>
      <c r="V1228" t="s">
        <v>921</v>
      </c>
      <c r="W1228" t="s">
        <v>81</v>
      </c>
      <c r="Z1228" t="s">
        <v>924</v>
      </c>
      <c r="AA1228" t="s">
        <v>39</v>
      </c>
      <c r="AC1228" t="s">
        <v>1006</v>
      </c>
    </row>
    <row r="1229" spans="1:29" hidden="1" x14ac:dyDescent="0.25">
      <c r="A1229">
        <v>204</v>
      </c>
      <c r="B1229" t="s">
        <v>303</v>
      </c>
      <c r="C1229" t="s">
        <v>77</v>
      </c>
      <c r="D1229" t="s">
        <v>301</v>
      </c>
      <c r="E1229">
        <v>8</v>
      </c>
      <c r="F1229">
        <v>66</v>
      </c>
      <c r="G1229">
        <v>150</v>
      </c>
      <c r="H1229">
        <v>3</v>
      </c>
      <c r="I1229">
        <v>0.46</v>
      </c>
      <c r="J1229">
        <v>1.38</v>
      </c>
      <c r="K1229" t="s">
        <v>223</v>
      </c>
      <c r="L1229" t="s">
        <v>1005</v>
      </c>
      <c r="Q1229">
        <v>2</v>
      </c>
      <c r="R1229" s="24">
        <v>46032</v>
      </c>
      <c r="T1229" t="s">
        <v>38</v>
      </c>
      <c r="V1229" t="s">
        <v>921</v>
      </c>
      <c r="W1229" t="s">
        <v>81</v>
      </c>
      <c r="Z1229" t="s">
        <v>924</v>
      </c>
      <c r="AA1229" t="s">
        <v>39</v>
      </c>
      <c r="AC1229" t="s">
        <v>1006</v>
      </c>
    </row>
    <row r="1230" spans="1:29" hidden="1" x14ac:dyDescent="0.25">
      <c r="A1230">
        <v>205</v>
      </c>
      <c r="B1230" t="s">
        <v>304</v>
      </c>
      <c r="C1230" t="s">
        <v>77</v>
      </c>
      <c r="D1230" t="s">
        <v>305</v>
      </c>
      <c r="E1230">
        <v>8</v>
      </c>
      <c r="F1230">
        <v>150</v>
      </c>
      <c r="G1230">
        <v>1882</v>
      </c>
      <c r="H1230">
        <v>6</v>
      </c>
      <c r="I1230">
        <v>17.73</v>
      </c>
      <c r="J1230">
        <v>106.37</v>
      </c>
      <c r="K1230" t="s">
        <v>223</v>
      </c>
      <c r="L1230" t="s">
        <v>1005</v>
      </c>
      <c r="Q1230">
        <v>2</v>
      </c>
      <c r="R1230" s="24">
        <v>46032</v>
      </c>
      <c r="T1230" t="s">
        <v>38</v>
      </c>
      <c r="V1230" t="s">
        <v>921</v>
      </c>
      <c r="Y1230" t="s">
        <v>81</v>
      </c>
      <c r="Z1230" t="s">
        <v>924</v>
      </c>
      <c r="AA1230" t="s">
        <v>39</v>
      </c>
      <c r="AC1230" t="s">
        <v>1006</v>
      </c>
    </row>
    <row r="1231" spans="1:29" hidden="1" x14ac:dyDescent="0.25">
      <c r="A1231">
        <v>206</v>
      </c>
      <c r="B1231" t="s">
        <v>306</v>
      </c>
      <c r="C1231" t="s">
        <v>77</v>
      </c>
      <c r="D1231" t="s">
        <v>307</v>
      </c>
      <c r="E1231">
        <v>8</v>
      </c>
      <c r="F1231">
        <v>124</v>
      </c>
      <c r="G1231">
        <v>1882</v>
      </c>
      <c r="H1231">
        <v>2</v>
      </c>
      <c r="I1231">
        <v>14.66</v>
      </c>
      <c r="J1231">
        <v>29.31</v>
      </c>
      <c r="K1231" t="s">
        <v>223</v>
      </c>
      <c r="L1231" t="s">
        <v>1005</v>
      </c>
      <c r="Q1231">
        <v>2</v>
      </c>
      <c r="R1231" s="24">
        <v>46032</v>
      </c>
      <c r="T1231" t="s">
        <v>38</v>
      </c>
      <c r="V1231" t="s">
        <v>921</v>
      </c>
      <c r="Y1231" t="s">
        <v>81</v>
      </c>
      <c r="Z1231" t="s">
        <v>924</v>
      </c>
      <c r="AA1231" t="s">
        <v>39</v>
      </c>
      <c r="AC1231" t="s">
        <v>1006</v>
      </c>
    </row>
    <row r="1232" spans="1:29" hidden="1" x14ac:dyDescent="0.25">
      <c r="A1232">
        <v>207</v>
      </c>
      <c r="B1232" t="s">
        <v>291</v>
      </c>
      <c r="C1232" t="s">
        <v>77</v>
      </c>
      <c r="D1232" t="s">
        <v>276</v>
      </c>
      <c r="E1232">
        <v>8</v>
      </c>
      <c r="F1232">
        <v>150</v>
      </c>
      <c r="G1232">
        <v>2972</v>
      </c>
      <c r="H1232">
        <v>3</v>
      </c>
      <c r="I1232">
        <v>28</v>
      </c>
      <c r="J1232">
        <v>83.99</v>
      </c>
      <c r="K1232" t="s">
        <v>223</v>
      </c>
      <c r="L1232" t="s">
        <v>1005</v>
      </c>
      <c r="Q1232">
        <v>2</v>
      </c>
      <c r="R1232" s="24">
        <v>46032</v>
      </c>
      <c r="T1232" t="s">
        <v>38</v>
      </c>
      <c r="V1232" t="s">
        <v>921</v>
      </c>
      <c r="Y1232" t="s">
        <v>81</v>
      </c>
      <c r="Z1232" t="s">
        <v>924</v>
      </c>
      <c r="AA1232" t="s">
        <v>39</v>
      </c>
      <c r="AC1232" t="s">
        <v>1006</v>
      </c>
    </row>
    <row r="1233" spans="1:29" hidden="1" x14ac:dyDescent="0.25">
      <c r="A1233">
        <v>208</v>
      </c>
      <c r="B1233" t="s">
        <v>279</v>
      </c>
      <c r="C1233" t="s">
        <v>77</v>
      </c>
      <c r="D1233" t="s">
        <v>278</v>
      </c>
      <c r="E1233">
        <v>8</v>
      </c>
      <c r="F1233">
        <v>124</v>
      </c>
      <c r="G1233">
        <v>2972</v>
      </c>
      <c r="H1233">
        <v>3</v>
      </c>
      <c r="I1233">
        <v>23.14</v>
      </c>
      <c r="J1233">
        <v>69.430000000000007</v>
      </c>
      <c r="K1233" t="s">
        <v>223</v>
      </c>
      <c r="L1233" t="s">
        <v>1005</v>
      </c>
      <c r="Q1233">
        <v>2</v>
      </c>
      <c r="R1233" s="24">
        <v>46032</v>
      </c>
      <c r="T1233" t="s">
        <v>38</v>
      </c>
      <c r="V1233" t="s">
        <v>921</v>
      </c>
      <c r="Y1233" t="s">
        <v>81</v>
      </c>
      <c r="Z1233" t="s">
        <v>924</v>
      </c>
      <c r="AA1233" t="s">
        <v>39</v>
      </c>
      <c r="AC1233" t="s">
        <v>1006</v>
      </c>
    </row>
    <row r="1234" spans="1:29" hidden="1" x14ac:dyDescent="0.25">
      <c r="A1234">
        <v>209</v>
      </c>
      <c r="B1234" t="s">
        <v>308</v>
      </c>
      <c r="C1234" t="s">
        <v>77</v>
      </c>
      <c r="D1234" t="s">
        <v>309</v>
      </c>
      <c r="E1234">
        <v>8</v>
      </c>
      <c r="F1234">
        <v>150</v>
      </c>
      <c r="G1234">
        <v>2523</v>
      </c>
      <c r="H1234">
        <v>2</v>
      </c>
      <c r="I1234">
        <v>23.76</v>
      </c>
      <c r="J1234">
        <v>47.53</v>
      </c>
      <c r="K1234" t="s">
        <v>223</v>
      </c>
      <c r="L1234" t="s">
        <v>1005</v>
      </c>
      <c r="Q1234">
        <v>2</v>
      </c>
      <c r="R1234" s="24">
        <v>46032</v>
      </c>
      <c r="T1234" t="s">
        <v>38</v>
      </c>
      <c r="V1234" t="s">
        <v>921</v>
      </c>
      <c r="Y1234" t="s">
        <v>81</v>
      </c>
      <c r="Z1234" t="s">
        <v>924</v>
      </c>
      <c r="AA1234" t="s">
        <v>39</v>
      </c>
      <c r="AC1234" t="s">
        <v>1006</v>
      </c>
    </row>
    <row r="1235" spans="1:29" hidden="1" x14ac:dyDescent="0.25">
      <c r="A1235">
        <v>210</v>
      </c>
      <c r="B1235" t="s">
        <v>310</v>
      </c>
      <c r="C1235" t="s">
        <v>77</v>
      </c>
      <c r="D1235" t="s">
        <v>311</v>
      </c>
      <c r="E1235">
        <v>8</v>
      </c>
      <c r="F1235">
        <v>124</v>
      </c>
      <c r="G1235">
        <v>2523</v>
      </c>
      <c r="H1235">
        <v>2</v>
      </c>
      <c r="I1235">
        <v>19.64</v>
      </c>
      <c r="J1235">
        <v>39.29</v>
      </c>
      <c r="K1235" t="s">
        <v>223</v>
      </c>
      <c r="L1235" t="s">
        <v>1005</v>
      </c>
      <c r="Q1235">
        <v>2</v>
      </c>
      <c r="R1235" s="24">
        <v>46032</v>
      </c>
      <c r="T1235" t="s">
        <v>38</v>
      </c>
      <c r="V1235" t="s">
        <v>921</v>
      </c>
      <c r="Y1235" t="s">
        <v>81</v>
      </c>
      <c r="Z1235" t="s">
        <v>924</v>
      </c>
      <c r="AA1235" t="s">
        <v>39</v>
      </c>
      <c r="AC1235" t="s">
        <v>1006</v>
      </c>
    </row>
    <row r="1236" spans="1:29" hidden="1" x14ac:dyDescent="0.25">
      <c r="A1236">
        <v>211</v>
      </c>
      <c r="B1236" t="s">
        <v>312</v>
      </c>
      <c r="C1236" t="s">
        <v>77</v>
      </c>
      <c r="D1236" t="s">
        <v>309</v>
      </c>
      <c r="E1236">
        <v>8</v>
      </c>
      <c r="F1236">
        <v>150</v>
      </c>
      <c r="G1236">
        <v>2523</v>
      </c>
      <c r="H1236">
        <v>4</v>
      </c>
      <c r="I1236">
        <v>23.77</v>
      </c>
      <c r="J1236">
        <v>95.07</v>
      </c>
      <c r="K1236" t="s">
        <v>223</v>
      </c>
      <c r="L1236" t="s">
        <v>1005</v>
      </c>
      <c r="Q1236">
        <v>2</v>
      </c>
      <c r="R1236" s="24">
        <v>46032</v>
      </c>
      <c r="T1236" t="s">
        <v>38</v>
      </c>
      <c r="V1236" t="s">
        <v>921</v>
      </c>
      <c r="Y1236" t="s">
        <v>81</v>
      </c>
      <c r="Z1236" t="s">
        <v>924</v>
      </c>
      <c r="AA1236" t="s">
        <v>39</v>
      </c>
      <c r="AC1236" t="s">
        <v>1006</v>
      </c>
    </row>
    <row r="1237" spans="1:29" hidden="1" x14ac:dyDescent="0.25">
      <c r="A1237">
        <v>212</v>
      </c>
      <c r="B1237" t="s">
        <v>280</v>
      </c>
      <c r="C1237" t="s">
        <v>77</v>
      </c>
      <c r="D1237" t="s">
        <v>281</v>
      </c>
      <c r="E1237">
        <v>8</v>
      </c>
      <c r="F1237">
        <v>124</v>
      </c>
      <c r="G1237">
        <v>601</v>
      </c>
      <c r="H1237">
        <v>3</v>
      </c>
      <c r="I1237">
        <v>4.68</v>
      </c>
      <c r="J1237">
        <v>14.04</v>
      </c>
      <c r="K1237" t="s">
        <v>223</v>
      </c>
      <c r="L1237" t="s">
        <v>1005</v>
      </c>
      <c r="Q1237">
        <v>2</v>
      </c>
      <c r="R1237" s="24">
        <v>46032</v>
      </c>
      <c r="T1237" t="s">
        <v>38</v>
      </c>
      <c r="V1237" t="s">
        <v>921</v>
      </c>
      <c r="Y1237" t="s">
        <v>81</v>
      </c>
      <c r="Z1237" t="s">
        <v>924</v>
      </c>
      <c r="AA1237" t="s">
        <v>39</v>
      </c>
      <c r="AC1237" t="s">
        <v>1006</v>
      </c>
    </row>
    <row r="1238" spans="1:29" hidden="1" x14ac:dyDescent="0.25">
      <c r="A1238">
        <v>213</v>
      </c>
      <c r="B1238" t="s">
        <v>282</v>
      </c>
      <c r="C1238" t="s">
        <v>77</v>
      </c>
      <c r="D1238" t="s">
        <v>283</v>
      </c>
      <c r="E1238">
        <v>8</v>
      </c>
      <c r="F1238">
        <v>150</v>
      </c>
      <c r="G1238">
        <v>1381</v>
      </c>
      <c r="H1238">
        <v>3</v>
      </c>
      <c r="I1238">
        <v>13.01</v>
      </c>
      <c r="J1238">
        <v>39.03</v>
      </c>
      <c r="K1238" t="s">
        <v>223</v>
      </c>
      <c r="L1238" t="s">
        <v>1005</v>
      </c>
      <c r="Q1238">
        <v>2</v>
      </c>
      <c r="R1238" s="24">
        <v>46032</v>
      </c>
      <c r="T1238" t="s">
        <v>38</v>
      </c>
      <c r="V1238" t="s">
        <v>921</v>
      </c>
      <c r="Y1238" t="s">
        <v>81</v>
      </c>
      <c r="Z1238" t="s">
        <v>924</v>
      </c>
      <c r="AA1238" t="s">
        <v>39</v>
      </c>
      <c r="AC1238" t="s">
        <v>1006</v>
      </c>
    </row>
    <row r="1239" spans="1:29" hidden="1" x14ac:dyDescent="0.25">
      <c r="A1239">
        <v>214</v>
      </c>
      <c r="B1239" t="s">
        <v>269</v>
      </c>
      <c r="C1239" t="s">
        <v>77</v>
      </c>
      <c r="D1239" t="s">
        <v>270</v>
      </c>
      <c r="E1239">
        <v>8</v>
      </c>
      <c r="F1239">
        <v>124</v>
      </c>
      <c r="G1239">
        <v>792</v>
      </c>
      <c r="H1239">
        <v>3</v>
      </c>
      <c r="I1239">
        <v>6.17</v>
      </c>
      <c r="J1239">
        <v>18.5</v>
      </c>
      <c r="K1239" t="s">
        <v>223</v>
      </c>
      <c r="L1239" t="s">
        <v>1005</v>
      </c>
      <c r="Q1239">
        <v>2</v>
      </c>
      <c r="R1239" s="24">
        <v>46032</v>
      </c>
      <c r="T1239" t="s">
        <v>38</v>
      </c>
      <c r="V1239" t="s">
        <v>921</v>
      </c>
      <c r="Y1239" t="s">
        <v>81</v>
      </c>
      <c r="Z1239" t="s">
        <v>924</v>
      </c>
      <c r="AA1239" t="s">
        <v>39</v>
      </c>
      <c r="AC1239" t="s">
        <v>1006</v>
      </c>
    </row>
    <row r="1240" spans="1:29" hidden="1" x14ac:dyDescent="0.25">
      <c r="A1240">
        <v>215</v>
      </c>
      <c r="B1240" t="s">
        <v>313</v>
      </c>
      <c r="C1240" t="s">
        <v>77</v>
      </c>
      <c r="D1240" t="s">
        <v>314</v>
      </c>
      <c r="E1240">
        <v>8</v>
      </c>
      <c r="F1240">
        <v>158</v>
      </c>
      <c r="G1240">
        <v>228</v>
      </c>
      <c r="H1240">
        <v>18</v>
      </c>
      <c r="I1240">
        <v>2.25</v>
      </c>
      <c r="J1240">
        <v>40.5</v>
      </c>
      <c r="K1240" t="s">
        <v>223</v>
      </c>
      <c r="L1240" t="s">
        <v>1007</v>
      </c>
      <c r="Q1240">
        <v>2</v>
      </c>
      <c r="R1240" s="24">
        <v>46032</v>
      </c>
      <c r="T1240" t="s">
        <v>38</v>
      </c>
      <c r="V1240" t="s">
        <v>921</v>
      </c>
      <c r="W1240" t="s">
        <v>81</v>
      </c>
      <c r="Z1240" t="s">
        <v>924</v>
      </c>
      <c r="AA1240" t="s">
        <v>39</v>
      </c>
      <c r="AC1240" t="s">
        <v>1008</v>
      </c>
    </row>
    <row r="1241" spans="1:29" hidden="1" x14ac:dyDescent="0.25">
      <c r="A1241">
        <v>216</v>
      </c>
      <c r="B1241" t="s">
        <v>317</v>
      </c>
      <c r="C1241" t="s">
        <v>77</v>
      </c>
      <c r="D1241" t="s">
        <v>318</v>
      </c>
      <c r="E1241">
        <v>8</v>
      </c>
      <c r="F1241">
        <v>206</v>
      </c>
      <c r="G1241">
        <v>465</v>
      </c>
      <c r="H1241">
        <v>1</v>
      </c>
      <c r="I1241">
        <v>6.01</v>
      </c>
      <c r="J1241">
        <v>6.01</v>
      </c>
      <c r="K1241" t="s">
        <v>223</v>
      </c>
      <c r="L1241" t="s">
        <v>1007</v>
      </c>
      <c r="Q1241">
        <v>2</v>
      </c>
      <c r="R1241" s="24">
        <v>46032</v>
      </c>
      <c r="T1241" t="s">
        <v>38</v>
      </c>
      <c r="V1241" t="s">
        <v>921</v>
      </c>
      <c r="W1241" t="s">
        <v>81</v>
      </c>
      <c r="Z1241" t="s">
        <v>924</v>
      </c>
      <c r="AA1241" t="s">
        <v>39</v>
      </c>
      <c r="AC1241" t="s">
        <v>1008</v>
      </c>
    </row>
    <row r="1242" spans="1:29" hidden="1" x14ac:dyDescent="0.25">
      <c r="A1242">
        <v>217</v>
      </c>
      <c r="B1242" t="s">
        <v>319</v>
      </c>
      <c r="C1242" t="s">
        <v>77</v>
      </c>
      <c r="D1242" t="s">
        <v>320</v>
      </c>
      <c r="E1242">
        <v>8</v>
      </c>
      <c r="F1242">
        <v>196</v>
      </c>
      <c r="G1242">
        <v>340</v>
      </c>
      <c r="H1242">
        <v>2</v>
      </c>
      <c r="I1242">
        <v>4.18</v>
      </c>
      <c r="J1242">
        <v>8.36</v>
      </c>
      <c r="K1242" t="s">
        <v>223</v>
      </c>
      <c r="L1242" t="s">
        <v>1007</v>
      </c>
      <c r="Q1242">
        <v>2</v>
      </c>
      <c r="R1242" s="24">
        <v>46032</v>
      </c>
      <c r="T1242" t="s">
        <v>38</v>
      </c>
      <c r="V1242" t="s">
        <v>921</v>
      </c>
      <c r="W1242" t="s">
        <v>81</v>
      </c>
      <c r="Z1242" t="s">
        <v>924</v>
      </c>
      <c r="AA1242" t="s">
        <v>39</v>
      </c>
      <c r="AC1242" t="s">
        <v>1008</v>
      </c>
    </row>
    <row r="1243" spans="1:29" hidden="1" x14ac:dyDescent="0.25">
      <c r="A1243">
        <v>218</v>
      </c>
      <c r="B1243" t="s">
        <v>321</v>
      </c>
      <c r="C1243" t="s">
        <v>77</v>
      </c>
      <c r="D1243" t="s">
        <v>322</v>
      </c>
      <c r="E1243">
        <v>8</v>
      </c>
      <c r="F1243">
        <v>148</v>
      </c>
      <c r="G1243">
        <v>324</v>
      </c>
      <c r="H1243">
        <v>2</v>
      </c>
      <c r="I1243">
        <v>3.01</v>
      </c>
      <c r="J1243">
        <v>6.02</v>
      </c>
      <c r="K1243" t="s">
        <v>223</v>
      </c>
      <c r="L1243" t="s">
        <v>1007</v>
      </c>
      <c r="Q1243">
        <v>2</v>
      </c>
      <c r="R1243" s="24">
        <v>46032</v>
      </c>
      <c r="T1243" t="s">
        <v>38</v>
      </c>
      <c r="V1243" t="s">
        <v>921</v>
      </c>
      <c r="W1243" t="s">
        <v>81</v>
      </c>
      <c r="Z1243" t="s">
        <v>924</v>
      </c>
      <c r="AA1243" t="s">
        <v>39</v>
      </c>
      <c r="AC1243" t="s">
        <v>1008</v>
      </c>
    </row>
    <row r="1244" spans="1:29" hidden="1" x14ac:dyDescent="0.25">
      <c r="A1244">
        <v>219</v>
      </c>
      <c r="B1244" t="s">
        <v>323</v>
      </c>
      <c r="C1244" t="s">
        <v>77</v>
      </c>
      <c r="D1244" t="s">
        <v>324</v>
      </c>
      <c r="E1244">
        <v>8</v>
      </c>
      <c r="F1244">
        <v>160</v>
      </c>
      <c r="G1244">
        <v>340</v>
      </c>
      <c r="H1244">
        <v>2</v>
      </c>
      <c r="I1244">
        <v>3.42</v>
      </c>
      <c r="J1244">
        <v>6.83</v>
      </c>
      <c r="K1244" t="s">
        <v>223</v>
      </c>
      <c r="L1244" t="s">
        <v>1007</v>
      </c>
      <c r="Q1244">
        <v>2</v>
      </c>
      <c r="R1244" s="24">
        <v>46032</v>
      </c>
      <c r="T1244" t="s">
        <v>38</v>
      </c>
      <c r="V1244" t="s">
        <v>921</v>
      </c>
      <c r="W1244" t="s">
        <v>81</v>
      </c>
      <c r="Z1244" t="s">
        <v>924</v>
      </c>
      <c r="AA1244" t="s">
        <v>39</v>
      </c>
      <c r="AC1244" t="s">
        <v>1008</v>
      </c>
    </row>
    <row r="1245" spans="1:29" hidden="1" x14ac:dyDescent="0.25">
      <c r="A1245">
        <v>220</v>
      </c>
      <c r="B1245" t="s">
        <v>325</v>
      </c>
      <c r="C1245" t="s">
        <v>77</v>
      </c>
      <c r="D1245" t="s">
        <v>238</v>
      </c>
      <c r="E1245">
        <v>8</v>
      </c>
      <c r="F1245">
        <v>148</v>
      </c>
      <c r="G1245">
        <v>441</v>
      </c>
      <c r="H1245">
        <v>1</v>
      </c>
      <c r="I1245">
        <v>4.0999999999999996</v>
      </c>
      <c r="J1245">
        <v>4.0999999999999996</v>
      </c>
      <c r="K1245" t="s">
        <v>223</v>
      </c>
      <c r="L1245" t="s">
        <v>1007</v>
      </c>
      <c r="Q1245">
        <v>2</v>
      </c>
      <c r="R1245" s="24">
        <v>46032</v>
      </c>
      <c r="T1245" t="s">
        <v>38</v>
      </c>
      <c r="V1245" t="s">
        <v>921</v>
      </c>
      <c r="W1245" t="s">
        <v>81</v>
      </c>
      <c r="Z1245" t="s">
        <v>924</v>
      </c>
      <c r="AA1245" t="s">
        <v>39</v>
      </c>
      <c r="AC1245" t="s">
        <v>1008</v>
      </c>
    </row>
    <row r="1246" spans="1:29" hidden="1" x14ac:dyDescent="0.25">
      <c r="A1246">
        <v>221</v>
      </c>
      <c r="B1246" t="s">
        <v>326</v>
      </c>
      <c r="C1246" t="s">
        <v>77</v>
      </c>
      <c r="D1246" t="s">
        <v>322</v>
      </c>
      <c r="E1246">
        <v>8</v>
      </c>
      <c r="F1246">
        <v>148</v>
      </c>
      <c r="G1246">
        <v>324</v>
      </c>
      <c r="H1246">
        <v>2</v>
      </c>
      <c r="I1246">
        <v>3.01</v>
      </c>
      <c r="J1246">
        <v>6.02</v>
      </c>
      <c r="K1246" t="s">
        <v>223</v>
      </c>
      <c r="L1246" t="s">
        <v>1007</v>
      </c>
      <c r="Q1246">
        <v>2</v>
      </c>
      <c r="R1246" s="24">
        <v>46032</v>
      </c>
      <c r="T1246" t="s">
        <v>38</v>
      </c>
      <c r="V1246" t="s">
        <v>921</v>
      </c>
      <c r="W1246" t="s">
        <v>81</v>
      </c>
      <c r="Z1246" t="s">
        <v>924</v>
      </c>
      <c r="AA1246" t="s">
        <v>39</v>
      </c>
      <c r="AC1246" t="s">
        <v>1008</v>
      </c>
    </row>
    <row r="1247" spans="1:29" hidden="1" x14ac:dyDescent="0.25">
      <c r="A1247">
        <v>222</v>
      </c>
      <c r="B1247" t="s">
        <v>327</v>
      </c>
      <c r="C1247" t="s">
        <v>77</v>
      </c>
      <c r="D1247" t="s">
        <v>238</v>
      </c>
      <c r="E1247">
        <v>8</v>
      </c>
      <c r="F1247">
        <v>148</v>
      </c>
      <c r="G1247">
        <v>441</v>
      </c>
      <c r="H1247">
        <v>2</v>
      </c>
      <c r="I1247">
        <v>4.0999999999999996</v>
      </c>
      <c r="J1247">
        <v>8.19</v>
      </c>
      <c r="K1247" t="s">
        <v>223</v>
      </c>
      <c r="L1247" t="s">
        <v>1007</v>
      </c>
      <c r="Q1247">
        <v>2</v>
      </c>
      <c r="R1247" s="24">
        <v>46032</v>
      </c>
      <c r="T1247" t="s">
        <v>38</v>
      </c>
      <c r="V1247" t="s">
        <v>921</v>
      </c>
      <c r="W1247" t="s">
        <v>81</v>
      </c>
      <c r="Z1247" t="s">
        <v>924</v>
      </c>
      <c r="AA1247" t="s">
        <v>39</v>
      </c>
      <c r="AC1247" t="s">
        <v>1008</v>
      </c>
    </row>
    <row r="1248" spans="1:29" hidden="1" x14ac:dyDescent="0.25">
      <c r="A1248">
        <v>223</v>
      </c>
      <c r="B1248" t="s">
        <v>328</v>
      </c>
      <c r="C1248" t="s">
        <v>77</v>
      </c>
      <c r="D1248" t="s">
        <v>322</v>
      </c>
      <c r="E1248">
        <v>8</v>
      </c>
      <c r="F1248">
        <v>148</v>
      </c>
      <c r="G1248">
        <v>324</v>
      </c>
      <c r="H1248">
        <v>4</v>
      </c>
      <c r="I1248">
        <v>3.01</v>
      </c>
      <c r="J1248">
        <v>12.03</v>
      </c>
      <c r="K1248" t="s">
        <v>223</v>
      </c>
      <c r="L1248" t="s">
        <v>1007</v>
      </c>
      <c r="Q1248">
        <v>2</v>
      </c>
      <c r="R1248" s="24">
        <v>46032</v>
      </c>
      <c r="T1248" t="s">
        <v>38</v>
      </c>
      <c r="V1248" t="s">
        <v>921</v>
      </c>
      <c r="W1248" t="s">
        <v>81</v>
      </c>
      <c r="Z1248" t="s">
        <v>924</v>
      </c>
      <c r="AA1248" t="s">
        <v>39</v>
      </c>
      <c r="AC1248" t="s">
        <v>1008</v>
      </c>
    </row>
    <row r="1249" spans="1:29" hidden="1" x14ac:dyDescent="0.25">
      <c r="A1249">
        <v>224</v>
      </c>
      <c r="B1249" t="s">
        <v>296</v>
      </c>
      <c r="C1249" t="s">
        <v>77</v>
      </c>
      <c r="D1249" t="s">
        <v>297</v>
      </c>
      <c r="E1249">
        <v>8</v>
      </c>
      <c r="F1249">
        <v>329</v>
      </c>
      <c r="G1249">
        <v>7565</v>
      </c>
      <c r="H1249">
        <v>2</v>
      </c>
      <c r="I1249">
        <v>154.86000000000001</v>
      </c>
      <c r="J1249">
        <v>309.73</v>
      </c>
      <c r="K1249" t="s">
        <v>223</v>
      </c>
      <c r="L1249" t="s">
        <v>1007</v>
      </c>
      <c r="N1249" t="s">
        <v>228</v>
      </c>
      <c r="Q1249">
        <v>2</v>
      </c>
      <c r="R1249" s="24">
        <v>46032</v>
      </c>
      <c r="T1249" t="s">
        <v>38</v>
      </c>
      <c r="V1249" t="s">
        <v>921</v>
      </c>
      <c r="Y1249" t="s">
        <v>81</v>
      </c>
      <c r="Z1249" t="s">
        <v>924</v>
      </c>
      <c r="AA1249" t="s">
        <v>39</v>
      </c>
      <c r="AC1249" t="s">
        <v>1008</v>
      </c>
    </row>
    <row r="1250" spans="1:29" hidden="1" x14ac:dyDescent="0.25">
      <c r="A1250">
        <v>225</v>
      </c>
      <c r="B1250" t="s">
        <v>329</v>
      </c>
      <c r="C1250" t="s">
        <v>77</v>
      </c>
      <c r="D1250" t="s">
        <v>318</v>
      </c>
      <c r="E1250">
        <v>8</v>
      </c>
      <c r="F1250">
        <v>206</v>
      </c>
      <c r="G1250">
        <v>465</v>
      </c>
      <c r="H1250">
        <v>1</v>
      </c>
      <c r="I1250">
        <v>6.01</v>
      </c>
      <c r="J1250">
        <v>6.01</v>
      </c>
      <c r="K1250" t="s">
        <v>223</v>
      </c>
      <c r="L1250" t="s">
        <v>1007</v>
      </c>
      <c r="Q1250">
        <v>2</v>
      </c>
      <c r="R1250" s="24">
        <v>46032</v>
      </c>
      <c r="T1250" t="s">
        <v>38</v>
      </c>
      <c r="V1250" t="s">
        <v>921</v>
      </c>
      <c r="W1250" t="s">
        <v>81</v>
      </c>
      <c r="Z1250" t="s">
        <v>924</v>
      </c>
      <c r="AA1250" t="s">
        <v>39</v>
      </c>
      <c r="AC1250" t="s">
        <v>1008</v>
      </c>
    </row>
    <row r="1251" spans="1:29" hidden="1" x14ac:dyDescent="0.25">
      <c r="A1251">
        <v>226</v>
      </c>
      <c r="B1251" t="s">
        <v>330</v>
      </c>
      <c r="C1251" t="s">
        <v>77</v>
      </c>
      <c r="D1251" t="s">
        <v>320</v>
      </c>
      <c r="E1251">
        <v>8</v>
      </c>
      <c r="F1251">
        <v>196</v>
      </c>
      <c r="G1251">
        <v>340</v>
      </c>
      <c r="H1251">
        <v>2</v>
      </c>
      <c r="I1251">
        <v>4.18</v>
      </c>
      <c r="J1251">
        <v>8.36</v>
      </c>
      <c r="K1251" t="s">
        <v>223</v>
      </c>
      <c r="L1251" t="s">
        <v>1007</v>
      </c>
      <c r="Q1251">
        <v>2</v>
      </c>
      <c r="R1251" s="24">
        <v>46032</v>
      </c>
      <c r="T1251" t="s">
        <v>38</v>
      </c>
      <c r="V1251" t="s">
        <v>921</v>
      </c>
      <c r="W1251" t="s">
        <v>81</v>
      </c>
      <c r="Z1251" t="s">
        <v>924</v>
      </c>
      <c r="AA1251" t="s">
        <v>39</v>
      </c>
      <c r="AC1251" t="s">
        <v>1008</v>
      </c>
    </row>
    <row r="1252" spans="1:29" hidden="1" x14ac:dyDescent="0.25">
      <c r="A1252">
        <v>227</v>
      </c>
      <c r="B1252" t="s">
        <v>331</v>
      </c>
      <c r="C1252" t="s">
        <v>77</v>
      </c>
      <c r="D1252" t="s">
        <v>238</v>
      </c>
      <c r="E1252">
        <v>8</v>
      </c>
      <c r="F1252">
        <v>148</v>
      </c>
      <c r="G1252">
        <v>441</v>
      </c>
      <c r="H1252">
        <v>1</v>
      </c>
      <c r="I1252">
        <v>4.0999999999999996</v>
      </c>
      <c r="J1252">
        <v>4.0999999999999996</v>
      </c>
      <c r="K1252" t="s">
        <v>223</v>
      </c>
      <c r="L1252" t="s">
        <v>1007</v>
      </c>
      <c r="Q1252">
        <v>2</v>
      </c>
      <c r="R1252" s="24">
        <v>46032</v>
      </c>
      <c r="T1252" t="s">
        <v>38</v>
      </c>
      <c r="V1252" t="s">
        <v>921</v>
      </c>
      <c r="W1252" t="s">
        <v>81</v>
      </c>
      <c r="Z1252" t="s">
        <v>924</v>
      </c>
      <c r="AA1252" t="s">
        <v>39</v>
      </c>
      <c r="AC1252" t="s">
        <v>1008</v>
      </c>
    </row>
    <row r="1253" spans="1:29" hidden="1" x14ac:dyDescent="0.25">
      <c r="A1253">
        <v>228</v>
      </c>
      <c r="B1253" t="s">
        <v>332</v>
      </c>
      <c r="C1253" t="s">
        <v>77</v>
      </c>
      <c r="D1253" t="s">
        <v>322</v>
      </c>
      <c r="E1253">
        <v>8</v>
      </c>
      <c r="F1253">
        <v>148</v>
      </c>
      <c r="G1253">
        <v>324</v>
      </c>
      <c r="H1253">
        <v>2</v>
      </c>
      <c r="I1253">
        <v>3.01</v>
      </c>
      <c r="J1253">
        <v>6.02</v>
      </c>
      <c r="K1253" t="s">
        <v>223</v>
      </c>
      <c r="L1253" t="s">
        <v>1007</v>
      </c>
      <c r="Q1253">
        <v>2</v>
      </c>
      <c r="R1253" s="24">
        <v>46032</v>
      </c>
      <c r="T1253" t="s">
        <v>38</v>
      </c>
      <c r="V1253" t="s">
        <v>921</v>
      </c>
      <c r="W1253" t="s">
        <v>81</v>
      </c>
      <c r="Z1253" t="s">
        <v>924</v>
      </c>
      <c r="AA1253" t="s">
        <v>39</v>
      </c>
      <c r="AC1253" t="s">
        <v>1008</v>
      </c>
    </row>
    <row r="1254" spans="1:29" hidden="1" x14ac:dyDescent="0.25">
      <c r="A1254">
        <v>229</v>
      </c>
      <c r="B1254" t="s">
        <v>333</v>
      </c>
      <c r="C1254" t="s">
        <v>77</v>
      </c>
      <c r="D1254" t="s">
        <v>242</v>
      </c>
      <c r="E1254">
        <v>8</v>
      </c>
      <c r="F1254">
        <v>156</v>
      </c>
      <c r="G1254">
        <v>465</v>
      </c>
      <c r="H1254">
        <v>1</v>
      </c>
      <c r="I1254">
        <v>4.55</v>
      </c>
      <c r="J1254">
        <v>4.55</v>
      </c>
      <c r="K1254" t="s">
        <v>223</v>
      </c>
      <c r="L1254" t="s">
        <v>1007</v>
      </c>
      <c r="Q1254">
        <v>2</v>
      </c>
      <c r="R1254" s="24">
        <v>46032</v>
      </c>
      <c r="T1254" t="s">
        <v>38</v>
      </c>
      <c r="V1254" t="s">
        <v>921</v>
      </c>
      <c r="W1254" t="s">
        <v>81</v>
      </c>
      <c r="Z1254" t="s">
        <v>924</v>
      </c>
      <c r="AA1254" t="s">
        <v>39</v>
      </c>
      <c r="AC1254" t="s">
        <v>1008</v>
      </c>
    </row>
    <row r="1255" spans="1:29" hidden="1" x14ac:dyDescent="0.25">
      <c r="A1255">
        <v>230</v>
      </c>
      <c r="B1255" t="s">
        <v>334</v>
      </c>
      <c r="C1255" t="s">
        <v>77</v>
      </c>
      <c r="D1255" t="s">
        <v>324</v>
      </c>
      <c r="E1255">
        <v>8</v>
      </c>
      <c r="F1255">
        <v>160</v>
      </c>
      <c r="G1255">
        <v>340</v>
      </c>
      <c r="H1255">
        <v>2</v>
      </c>
      <c r="I1255">
        <v>3.42</v>
      </c>
      <c r="J1255">
        <v>6.83</v>
      </c>
      <c r="K1255" t="s">
        <v>223</v>
      </c>
      <c r="L1255" t="s">
        <v>1007</v>
      </c>
      <c r="Q1255">
        <v>2</v>
      </c>
      <c r="R1255" s="24">
        <v>46032</v>
      </c>
      <c r="T1255" t="s">
        <v>38</v>
      </c>
      <c r="V1255" t="s">
        <v>921</v>
      </c>
      <c r="W1255" t="s">
        <v>81</v>
      </c>
      <c r="Z1255" t="s">
        <v>924</v>
      </c>
      <c r="AA1255" t="s">
        <v>39</v>
      </c>
      <c r="AC1255" t="s">
        <v>1008</v>
      </c>
    </row>
    <row r="1256" spans="1:29" hidden="1" x14ac:dyDescent="0.25">
      <c r="A1256">
        <v>231</v>
      </c>
      <c r="B1256" t="s">
        <v>335</v>
      </c>
      <c r="C1256" t="s">
        <v>77</v>
      </c>
      <c r="D1256" t="s">
        <v>238</v>
      </c>
      <c r="E1256">
        <v>8</v>
      </c>
      <c r="F1256">
        <v>148</v>
      </c>
      <c r="G1256">
        <v>441</v>
      </c>
      <c r="H1256">
        <v>1</v>
      </c>
      <c r="I1256">
        <v>4.0999999999999996</v>
      </c>
      <c r="J1256">
        <v>4.0999999999999996</v>
      </c>
      <c r="K1256" t="s">
        <v>223</v>
      </c>
      <c r="L1256" t="s">
        <v>1007</v>
      </c>
      <c r="Q1256">
        <v>2</v>
      </c>
      <c r="R1256" s="24">
        <v>46032</v>
      </c>
      <c r="T1256" t="s">
        <v>38</v>
      </c>
      <c r="V1256" t="s">
        <v>921</v>
      </c>
      <c r="W1256" t="s">
        <v>81</v>
      </c>
      <c r="Z1256" t="s">
        <v>924</v>
      </c>
      <c r="AA1256" t="s">
        <v>39</v>
      </c>
      <c r="AC1256" t="s">
        <v>1008</v>
      </c>
    </row>
    <row r="1257" spans="1:29" hidden="1" x14ac:dyDescent="0.25">
      <c r="A1257">
        <v>232</v>
      </c>
      <c r="B1257" t="s">
        <v>336</v>
      </c>
      <c r="C1257" t="s">
        <v>77</v>
      </c>
      <c r="D1257" t="s">
        <v>322</v>
      </c>
      <c r="E1257">
        <v>8</v>
      </c>
      <c r="F1257">
        <v>148</v>
      </c>
      <c r="G1257">
        <v>324</v>
      </c>
      <c r="H1257">
        <v>2</v>
      </c>
      <c r="I1257">
        <v>3.01</v>
      </c>
      <c r="J1257">
        <v>6.02</v>
      </c>
      <c r="K1257" t="s">
        <v>223</v>
      </c>
      <c r="L1257" t="s">
        <v>1007</v>
      </c>
      <c r="Q1257">
        <v>2</v>
      </c>
      <c r="R1257" s="24">
        <v>46032</v>
      </c>
      <c r="T1257" t="s">
        <v>38</v>
      </c>
      <c r="V1257" t="s">
        <v>921</v>
      </c>
      <c r="W1257" t="s">
        <v>81</v>
      </c>
      <c r="Z1257" t="s">
        <v>924</v>
      </c>
      <c r="AA1257" t="s">
        <v>39</v>
      </c>
      <c r="AC1257" t="s">
        <v>1008</v>
      </c>
    </row>
    <row r="1258" spans="1:29" hidden="1" x14ac:dyDescent="0.25">
      <c r="A1258">
        <v>233</v>
      </c>
      <c r="B1258" t="s">
        <v>337</v>
      </c>
      <c r="C1258" t="s">
        <v>77</v>
      </c>
      <c r="D1258" t="s">
        <v>238</v>
      </c>
      <c r="E1258">
        <v>8</v>
      </c>
      <c r="F1258">
        <v>148</v>
      </c>
      <c r="G1258">
        <v>441</v>
      </c>
      <c r="H1258">
        <v>2</v>
      </c>
      <c r="I1258">
        <v>4.0999999999999996</v>
      </c>
      <c r="J1258">
        <v>8.19</v>
      </c>
      <c r="K1258" t="s">
        <v>223</v>
      </c>
      <c r="L1258" t="s">
        <v>1007</v>
      </c>
      <c r="Q1258">
        <v>2</v>
      </c>
      <c r="R1258" s="24">
        <v>46032</v>
      </c>
      <c r="T1258" t="s">
        <v>38</v>
      </c>
      <c r="V1258" t="s">
        <v>921</v>
      </c>
      <c r="W1258" t="s">
        <v>81</v>
      </c>
      <c r="Z1258" t="s">
        <v>924</v>
      </c>
      <c r="AA1258" t="s">
        <v>39</v>
      </c>
      <c r="AC1258" t="s">
        <v>1008</v>
      </c>
    </row>
    <row r="1259" spans="1:29" hidden="1" x14ac:dyDescent="0.25">
      <c r="A1259">
        <v>234</v>
      </c>
      <c r="B1259" t="s">
        <v>338</v>
      </c>
      <c r="C1259" t="s">
        <v>77</v>
      </c>
      <c r="D1259" t="s">
        <v>322</v>
      </c>
      <c r="E1259">
        <v>8</v>
      </c>
      <c r="F1259">
        <v>148</v>
      </c>
      <c r="G1259">
        <v>324</v>
      </c>
      <c r="H1259">
        <v>4</v>
      </c>
      <c r="I1259">
        <v>3.01</v>
      </c>
      <c r="J1259">
        <v>12.03</v>
      </c>
      <c r="K1259" t="s">
        <v>223</v>
      </c>
      <c r="L1259" t="s">
        <v>1007</v>
      </c>
      <c r="Q1259">
        <v>2</v>
      </c>
      <c r="R1259" s="24">
        <v>46032</v>
      </c>
      <c r="T1259" t="s">
        <v>38</v>
      </c>
      <c r="V1259" t="s">
        <v>921</v>
      </c>
      <c r="W1259" t="s">
        <v>81</v>
      </c>
      <c r="Z1259" t="s">
        <v>924</v>
      </c>
      <c r="AA1259" t="s">
        <v>39</v>
      </c>
      <c r="AC1259" t="s">
        <v>1008</v>
      </c>
    </row>
    <row r="1260" spans="1:29" hidden="1" x14ac:dyDescent="0.25">
      <c r="A1260">
        <v>235</v>
      </c>
      <c r="B1260" t="s">
        <v>298</v>
      </c>
      <c r="C1260" t="s">
        <v>77</v>
      </c>
      <c r="D1260" t="s">
        <v>299</v>
      </c>
      <c r="E1260">
        <v>8</v>
      </c>
      <c r="F1260">
        <v>329</v>
      </c>
      <c r="G1260">
        <v>7566</v>
      </c>
      <c r="H1260">
        <v>3</v>
      </c>
      <c r="I1260">
        <v>154.88</v>
      </c>
      <c r="J1260">
        <v>464.63</v>
      </c>
      <c r="K1260" t="s">
        <v>223</v>
      </c>
      <c r="L1260" t="s">
        <v>1007</v>
      </c>
      <c r="N1260" t="s">
        <v>228</v>
      </c>
      <c r="Q1260">
        <v>2</v>
      </c>
      <c r="R1260" s="24">
        <v>46032</v>
      </c>
      <c r="T1260" t="s">
        <v>38</v>
      </c>
      <c r="V1260" t="s">
        <v>921</v>
      </c>
      <c r="Y1260" t="s">
        <v>81</v>
      </c>
      <c r="Z1260" t="s">
        <v>924</v>
      </c>
      <c r="AA1260" t="s">
        <v>39</v>
      </c>
      <c r="AC1260" t="s">
        <v>1008</v>
      </c>
    </row>
    <row r="1261" spans="1:29" hidden="1" x14ac:dyDescent="0.25">
      <c r="A1261">
        <v>236</v>
      </c>
      <c r="B1261" t="s">
        <v>339</v>
      </c>
      <c r="C1261" t="s">
        <v>77</v>
      </c>
      <c r="D1261" t="s">
        <v>340</v>
      </c>
      <c r="E1261">
        <v>8</v>
      </c>
      <c r="F1261">
        <v>142</v>
      </c>
      <c r="G1261">
        <v>1799</v>
      </c>
      <c r="H1261">
        <v>1</v>
      </c>
      <c r="I1261">
        <v>16.04</v>
      </c>
      <c r="J1261">
        <v>16.04</v>
      </c>
      <c r="K1261" t="s">
        <v>223</v>
      </c>
      <c r="L1261" t="s">
        <v>1007</v>
      </c>
      <c r="O1261" t="s">
        <v>81</v>
      </c>
      <c r="Q1261">
        <v>2</v>
      </c>
      <c r="R1261" s="24">
        <v>46032</v>
      </c>
      <c r="T1261" t="s">
        <v>38</v>
      </c>
      <c r="V1261" t="s">
        <v>921</v>
      </c>
      <c r="Z1261" t="s">
        <v>924</v>
      </c>
      <c r="AA1261" t="s">
        <v>39</v>
      </c>
      <c r="AC1261" t="s">
        <v>1008</v>
      </c>
    </row>
    <row r="1262" spans="1:29" hidden="1" x14ac:dyDescent="0.25">
      <c r="A1262">
        <v>237</v>
      </c>
      <c r="B1262" t="s">
        <v>341</v>
      </c>
      <c r="C1262" t="s">
        <v>77</v>
      </c>
      <c r="D1262" t="s">
        <v>342</v>
      </c>
      <c r="E1262">
        <v>8</v>
      </c>
      <c r="F1262">
        <v>74</v>
      </c>
      <c r="G1262">
        <v>172</v>
      </c>
      <c r="H1262">
        <v>2</v>
      </c>
      <c r="I1262">
        <v>0.54</v>
      </c>
      <c r="J1262">
        <v>1.07</v>
      </c>
      <c r="K1262" t="s">
        <v>223</v>
      </c>
      <c r="L1262" t="s">
        <v>1007</v>
      </c>
      <c r="Q1262">
        <v>2</v>
      </c>
      <c r="R1262" s="24">
        <v>46032</v>
      </c>
      <c r="T1262" t="s">
        <v>38</v>
      </c>
      <c r="V1262" t="s">
        <v>921</v>
      </c>
      <c r="W1262" t="s">
        <v>81</v>
      </c>
      <c r="Z1262" t="s">
        <v>924</v>
      </c>
      <c r="AA1262" t="s">
        <v>39</v>
      </c>
      <c r="AC1262" t="s">
        <v>1008</v>
      </c>
    </row>
    <row r="1263" spans="1:29" hidden="1" x14ac:dyDescent="0.25">
      <c r="A1263">
        <v>238</v>
      </c>
      <c r="B1263" t="s">
        <v>343</v>
      </c>
      <c r="C1263" t="s">
        <v>77</v>
      </c>
      <c r="D1263" t="s">
        <v>230</v>
      </c>
      <c r="E1263">
        <v>8</v>
      </c>
      <c r="F1263">
        <v>90</v>
      </c>
      <c r="G1263">
        <v>150</v>
      </c>
      <c r="H1263">
        <v>6</v>
      </c>
      <c r="I1263">
        <v>0.62</v>
      </c>
      <c r="J1263">
        <v>3.71</v>
      </c>
      <c r="K1263" t="s">
        <v>223</v>
      </c>
      <c r="L1263" t="s">
        <v>1007</v>
      </c>
      <c r="Q1263">
        <v>2</v>
      </c>
      <c r="R1263" s="24">
        <v>46032</v>
      </c>
      <c r="T1263" t="s">
        <v>38</v>
      </c>
      <c r="V1263" t="s">
        <v>921</v>
      </c>
      <c r="W1263" t="s">
        <v>81</v>
      </c>
      <c r="Z1263" t="s">
        <v>924</v>
      </c>
      <c r="AA1263" t="s">
        <v>39</v>
      </c>
      <c r="AC1263" t="s">
        <v>1008</v>
      </c>
    </row>
    <row r="1264" spans="1:29" hidden="1" x14ac:dyDescent="0.25">
      <c r="A1264">
        <v>239</v>
      </c>
      <c r="B1264" t="s">
        <v>344</v>
      </c>
      <c r="C1264" t="s">
        <v>77</v>
      </c>
      <c r="D1264" t="s">
        <v>340</v>
      </c>
      <c r="E1264">
        <v>8</v>
      </c>
      <c r="F1264">
        <v>142</v>
      </c>
      <c r="G1264">
        <v>1799</v>
      </c>
      <c r="H1264">
        <v>2</v>
      </c>
      <c r="I1264">
        <v>16.05</v>
      </c>
      <c r="J1264">
        <v>32.090000000000003</v>
      </c>
      <c r="K1264" t="s">
        <v>223</v>
      </c>
      <c r="L1264" t="s">
        <v>1007</v>
      </c>
      <c r="O1264" t="s">
        <v>81</v>
      </c>
      <c r="Q1264">
        <v>2</v>
      </c>
      <c r="R1264" s="24">
        <v>46032</v>
      </c>
      <c r="T1264" t="s">
        <v>38</v>
      </c>
      <c r="V1264" t="s">
        <v>921</v>
      </c>
      <c r="Z1264" t="s">
        <v>924</v>
      </c>
      <c r="AA1264" t="s">
        <v>39</v>
      </c>
      <c r="AC1264" t="s">
        <v>1008</v>
      </c>
    </row>
    <row r="1265" spans="1:29" hidden="1" x14ac:dyDescent="0.25">
      <c r="A1265">
        <v>240</v>
      </c>
      <c r="B1265" t="s">
        <v>229</v>
      </c>
      <c r="C1265" t="s">
        <v>77</v>
      </c>
      <c r="D1265" t="s">
        <v>230</v>
      </c>
      <c r="E1265">
        <v>8</v>
      </c>
      <c r="F1265">
        <v>90</v>
      </c>
      <c r="G1265">
        <v>150</v>
      </c>
      <c r="H1265">
        <v>9</v>
      </c>
      <c r="I1265">
        <v>0.62</v>
      </c>
      <c r="J1265">
        <v>5.57</v>
      </c>
      <c r="K1265" t="s">
        <v>223</v>
      </c>
      <c r="L1265" t="s">
        <v>1007</v>
      </c>
      <c r="Q1265">
        <v>2</v>
      </c>
      <c r="R1265" s="24">
        <v>46032</v>
      </c>
      <c r="T1265" t="s">
        <v>38</v>
      </c>
      <c r="V1265" t="s">
        <v>921</v>
      </c>
      <c r="W1265" t="s">
        <v>81</v>
      </c>
      <c r="Z1265" t="s">
        <v>924</v>
      </c>
      <c r="AA1265" t="s">
        <v>39</v>
      </c>
      <c r="AC1265" t="s">
        <v>1008</v>
      </c>
    </row>
    <row r="1266" spans="1:29" hidden="1" x14ac:dyDescent="0.25">
      <c r="A1266">
        <v>241</v>
      </c>
      <c r="B1266" t="s">
        <v>345</v>
      </c>
      <c r="C1266" t="s">
        <v>77</v>
      </c>
      <c r="D1266" t="s">
        <v>340</v>
      </c>
      <c r="E1266">
        <v>8</v>
      </c>
      <c r="F1266">
        <v>142</v>
      </c>
      <c r="G1266">
        <v>1799</v>
      </c>
      <c r="H1266">
        <v>1</v>
      </c>
      <c r="I1266">
        <v>16.04</v>
      </c>
      <c r="J1266">
        <v>16.04</v>
      </c>
      <c r="K1266" t="s">
        <v>223</v>
      </c>
      <c r="L1266" t="s">
        <v>1007</v>
      </c>
      <c r="O1266" t="s">
        <v>81</v>
      </c>
      <c r="Q1266">
        <v>2</v>
      </c>
      <c r="R1266" s="24">
        <v>46032</v>
      </c>
      <c r="T1266" t="s">
        <v>38</v>
      </c>
      <c r="V1266" t="s">
        <v>921</v>
      </c>
      <c r="Z1266" t="s">
        <v>924</v>
      </c>
      <c r="AA1266" t="s">
        <v>39</v>
      </c>
      <c r="AC1266" t="s">
        <v>1008</v>
      </c>
    </row>
    <row r="1267" spans="1:29" hidden="1" x14ac:dyDescent="0.25">
      <c r="A1267">
        <v>242</v>
      </c>
      <c r="B1267" t="s">
        <v>346</v>
      </c>
      <c r="C1267" t="s">
        <v>77</v>
      </c>
      <c r="D1267" t="s">
        <v>342</v>
      </c>
      <c r="E1267">
        <v>8</v>
      </c>
      <c r="F1267">
        <v>74</v>
      </c>
      <c r="G1267">
        <v>172</v>
      </c>
      <c r="H1267">
        <v>3</v>
      </c>
      <c r="I1267">
        <v>0.53</v>
      </c>
      <c r="J1267">
        <v>1.6</v>
      </c>
      <c r="K1267" t="s">
        <v>223</v>
      </c>
      <c r="L1267" t="s">
        <v>1007</v>
      </c>
      <c r="Q1267">
        <v>2</v>
      </c>
      <c r="R1267" s="24">
        <v>46032</v>
      </c>
      <c r="T1267" t="s">
        <v>38</v>
      </c>
      <c r="V1267" t="s">
        <v>921</v>
      </c>
      <c r="W1267" t="s">
        <v>81</v>
      </c>
      <c r="Z1267" t="s">
        <v>924</v>
      </c>
      <c r="AA1267" t="s">
        <v>39</v>
      </c>
      <c r="AC1267" t="s">
        <v>1008</v>
      </c>
    </row>
    <row r="1268" spans="1:29" hidden="1" x14ac:dyDescent="0.25">
      <c r="A1268">
        <v>243</v>
      </c>
      <c r="B1268" t="s">
        <v>347</v>
      </c>
      <c r="C1268" t="s">
        <v>77</v>
      </c>
      <c r="D1268" t="s">
        <v>230</v>
      </c>
      <c r="E1268">
        <v>8</v>
      </c>
      <c r="F1268">
        <v>90</v>
      </c>
      <c r="G1268">
        <v>150</v>
      </c>
      <c r="H1268">
        <v>5</v>
      </c>
      <c r="I1268">
        <v>0.62</v>
      </c>
      <c r="J1268">
        <v>3.09</v>
      </c>
      <c r="K1268" t="s">
        <v>223</v>
      </c>
      <c r="L1268" t="s">
        <v>1007</v>
      </c>
      <c r="Q1268">
        <v>2</v>
      </c>
      <c r="R1268" s="24">
        <v>46032</v>
      </c>
      <c r="T1268" t="s">
        <v>38</v>
      </c>
      <c r="V1268" t="s">
        <v>921</v>
      </c>
      <c r="W1268" t="s">
        <v>81</v>
      </c>
      <c r="Z1268" t="s">
        <v>924</v>
      </c>
      <c r="AA1268" t="s">
        <v>39</v>
      </c>
      <c r="AC1268" t="s">
        <v>1008</v>
      </c>
    </row>
    <row r="1269" spans="1:29" hidden="1" x14ac:dyDescent="0.25">
      <c r="A1269">
        <v>244</v>
      </c>
      <c r="B1269" t="s">
        <v>348</v>
      </c>
      <c r="C1269" t="s">
        <v>77</v>
      </c>
      <c r="D1269" t="s">
        <v>314</v>
      </c>
      <c r="E1269">
        <v>8</v>
      </c>
      <c r="F1269">
        <v>158</v>
      </c>
      <c r="G1269">
        <v>228</v>
      </c>
      <c r="H1269">
        <v>27</v>
      </c>
      <c r="I1269">
        <v>2.21</v>
      </c>
      <c r="J1269">
        <v>59.73</v>
      </c>
      <c r="K1269" t="s">
        <v>223</v>
      </c>
      <c r="L1269" t="s">
        <v>1007</v>
      </c>
      <c r="Q1269">
        <v>2</v>
      </c>
      <c r="R1269" s="24">
        <v>46032</v>
      </c>
      <c r="T1269" t="s">
        <v>38</v>
      </c>
      <c r="V1269" t="s">
        <v>921</v>
      </c>
      <c r="W1269" t="s">
        <v>81</v>
      </c>
      <c r="Z1269" t="s">
        <v>924</v>
      </c>
      <c r="AA1269" t="s">
        <v>39</v>
      </c>
      <c r="AC1269" t="s">
        <v>1008</v>
      </c>
    </row>
    <row r="1270" spans="1:29" hidden="1" x14ac:dyDescent="0.25">
      <c r="A1270">
        <v>245</v>
      </c>
      <c r="B1270" t="s">
        <v>306</v>
      </c>
      <c r="C1270" t="s">
        <v>77</v>
      </c>
      <c r="D1270" t="s">
        <v>307</v>
      </c>
      <c r="E1270">
        <v>8</v>
      </c>
      <c r="F1270">
        <v>124</v>
      </c>
      <c r="G1270">
        <v>1882</v>
      </c>
      <c r="H1270">
        <v>4</v>
      </c>
      <c r="I1270">
        <v>14.66</v>
      </c>
      <c r="J1270">
        <v>58.62</v>
      </c>
      <c r="K1270" t="s">
        <v>223</v>
      </c>
      <c r="L1270" t="s">
        <v>1007</v>
      </c>
      <c r="Q1270">
        <v>2</v>
      </c>
      <c r="R1270" s="24">
        <v>46032</v>
      </c>
      <c r="T1270" t="s">
        <v>38</v>
      </c>
      <c r="V1270" t="s">
        <v>921</v>
      </c>
      <c r="Y1270" t="s">
        <v>81</v>
      </c>
      <c r="Z1270" t="s">
        <v>924</v>
      </c>
      <c r="AA1270" t="s">
        <v>39</v>
      </c>
      <c r="AC1270" t="s">
        <v>1008</v>
      </c>
    </row>
    <row r="1271" spans="1:29" hidden="1" x14ac:dyDescent="0.25">
      <c r="A1271">
        <v>246</v>
      </c>
      <c r="B1271" t="s">
        <v>308</v>
      </c>
      <c r="C1271" t="s">
        <v>77</v>
      </c>
      <c r="D1271" t="s">
        <v>309</v>
      </c>
      <c r="E1271">
        <v>8</v>
      </c>
      <c r="F1271">
        <v>150</v>
      </c>
      <c r="G1271">
        <v>2523</v>
      </c>
      <c r="H1271">
        <v>2</v>
      </c>
      <c r="I1271">
        <v>23.76</v>
      </c>
      <c r="J1271">
        <v>47.53</v>
      </c>
      <c r="K1271" t="s">
        <v>223</v>
      </c>
      <c r="L1271" t="s">
        <v>1007</v>
      </c>
      <c r="Q1271">
        <v>2</v>
      </c>
      <c r="R1271" s="24">
        <v>46032</v>
      </c>
      <c r="T1271" t="s">
        <v>38</v>
      </c>
      <c r="V1271" t="s">
        <v>921</v>
      </c>
      <c r="Y1271" t="s">
        <v>81</v>
      </c>
      <c r="Z1271" t="s">
        <v>924</v>
      </c>
      <c r="AA1271" t="s">
        <v>39</v>
      </c>
      <c r="AC1271" t="s">
        <v>1008</v>
      </c>
    </row>
    <row r="1272" spans="1:29" hidden="1" x14ac:dyDescent="0.25">
      <c r="A1272">
        <v>247</v>
      </c>
      <c r="B1272" t="s">
        <v>310</v>
      </c>
      <c r="C1272" t="s">
        <v>77</v>
      </c>
      <c r="D1272" t="s">
        <v>311</v>
      </c>
      <c r="E1272">
        <v>8</v>
      </c>
      <c r="F1272">
        <v>124</v>
      </c>
      <c r="G1272">
        <v>2523</v>
      </c>
      <c r="H1272">
        <v>2</v>
      </c>
      <c r="I1272">
        <v>19.64</v>
      </c>
      <c r="J1272">
        <v>39.29</v>
      </c>
      <c r="K1272" t="s">
        <v>223</v>
      </c>
      <c r="L1272" t="s">
        <v>1007</v>
      </c>
      <c r="Q1272">
        <v>2</v>
      </c>
      <c r="R1272" s="24">
        <v>46032</v>
      </c>
      <c r="T1272" t="s">
        <v>38</v>
      </c>
      <c r="V1272" t="s">
        <v>921</v>
      </c>
      <c r="Y1272" t="s">
        <v>81</v>
      </c>
      <c r="Z1272" t="s">
        <v>924</v>
      </c>
      <c r="AA1272" t="s">
        <v>39</v>
      </c>
      <c r="AC1272" t="s">
        <v>1008</v>
      </c>
    </row>
    <row r="1273" spans="1:29" hidden="1" x14ac:dyDescent="0.25">
      <c r="A1273">
        <v>248</v>
      </c>
      <c r="B1273" t="s">
        <v>349</v>
      </c>
      <c r="C1273" t="s">
        <v>77</v>
      </c>
      <c r="D1273" t="s">
        <v>311</v>
      </c>
      <c r="E1273">
        <v>8</v>
      </c>
      <c r="F1273">
        <v>124</v>
      </c>
      <c r="G1273">
        <v>2523</v>
      </c>
      <c r="H1273">
        <v>4</v>
      </c>
      <c r="I1273">
        <v>19.649999999999999</v>
      </c>
      <c r="J1273">
        <v>78.59</v>
      </c>
      <c r="K1273" t="s">
        <v>223</v>
      </c>
      <c r="L1273" t="s">
        <v>1007</v>
      </c>
      <c r="Q1273">
        <v>2</v>
      </c>
      <c r="R1273" s="24">
        <v>46032</v>
      </c>
      <c r="T1273" t="s">
        <v>38</v>
      </c>
      <c r="V1273" t="s">
        <v>921</v>
      </c>
      <c r="Y1273" t="s">
        <v>81</v>
      </c>
      <c r="Z1273" t="s">
        <v>924</v>
      </c>
      <c r="AA1273" t="s">
        <v>39</v>
      </c>
      <c r="AC1273" t="s">
        <v>1008</v>
      </c>
    </row>
    <row r="1274" spans="1:29" hidden="1" x14ac:dyDescent="0.25">
      <c r="A1274">
        <v>249</v>
      </c>
      <c r="B1274" t="s">
        <v>350</v>
      </c>
      <c r="C1274" t="s">
        <v>77</v>
      </c>
      <c r="D1274" t="s">
        <v>351</v>
      </c>
      <c r="E1274">
        <v>8</v>
      </c>
      <c r="F1274">
        <v>150</v>
      </c>
      <c r="G1274">
        <v>601</v>
      </c>
      <c r="H1274">
        <v>4</v>
      </c>
      <c r="I1274">
        <v>5.66</v>
      </c>
      <c r="J1274">
        <v>22.65</v>
      </c>
      <c r="K1274" t="s">
        <v>223</v>
      </c>
      <c r="L1274" t="s">
        <v>1007</v>
      </c>
      <c r="Q1274">
        <v>2</v>
      </c>
      <c r="R1274" s="24">
        <v>46032</v>
      </c>
      <c r="T1274" t="s">
        <v>38</v>
      </c>
      <c r="V1274" t="s">
        <v>921</v>
      </c>
      <c r="Y1274" t="s">
        <v>81</v>
      </c>
      <c r="Z1274" t="s">
        <v>924</v>
      </c>
      <c r="AA1274" t="s">
        <v>39</v>
      </c>
      <c r="AC1274" t="s">
        <v>1008</v>
      </c>
    </row>
    <row r="1275" spans="1:29" hidden="1" x14ac:dyDescent="0.25">
      <c r="A1275">
        <v>250</v>
      </c>
      <c r="B1275" t="s">
        <v>267</v>
      </c>
      <c r="C1275" t="s">
        <v>77</v>
      </c>
      <c r="D1275" t="s">
        <v>268</v>
      </c>
      <c r="E1275">
        <v>8</v>
      </c>
      <c r="F1275">
        <v>124</v>
      </c>
      <c r="G1275">
        <v>6824</v>
      </c>
      <c r="H1275">
        <v>1</v>
      </c>
      <c r="I1275">
        <v>53.14</v>
      </c>
      <c r="J1275">
        <v>53.14</v>
      </c>
      <c r="K1275" t="s">
        <v>223</v>
      </c>
      <c r="L1275" t="s">
        <v>1007</v>
      </c>
      <c r="Q1275">
        <v>2</v>
      </c>
      <c r="R1275" s="24">
        <v>46032</v>
      </c>
      <c r="T1275" t="s">
        <v>38</v>
      </c>
      <c r="V1275" t="s">
        <v>921</v>
      </c>
      <c r="Y1275" t="s">
        <v>81</v>
      </c>
      <c r="Z1275" t="s">
        <v>924</v>
      </c>
      <c r="AA1275" t="s">
        <v>39</v>
      </c>
      <c r="AC1275" t="s">
        <v>1008</v>
      </c>
    </row>
    <row r="1276" spans="1:29" hidden="1" x14ac:dyDescent="0.25">
      <c r="A1276">
        <v>251</v>
      </c>
      <c r="B1276" t="s">
        <v>235</v>
      </c>
      <c r="C1276" t="s">
        <v>77</v>
      </c>
      <c r="D1276" t="s">
        <v>236</v>
      </c>
      <c r="E1276">
        <v>8</v>
      </c>
      <c r="F1276">
        <v>150</v>
      </c>
      <c r="G1276">
        <v>792</v>
      </c>
      <c r="H1276">
        <v>2</v>
      </c>
      <c r="I1276">
        <v>7.46</v>
      </c>
      <c r="J1276">
        <v>14.92</v>
      </c>
      <c r="K1276" t="s">
        <v>223</v>
      </c>
      <c r="L1276" t="s">
        <v>1007</v>
      </c>
      <c r="Q1276">
        <v>2</v>
      </c>
      <c r="R1276" s="24">
        <v>46032</v>
      </c>
      <c r="T1276" t="s">
        <v>38</v>
      </c>
      <c r="V1276" t="s">
        <v>921</v>
      </c>
      <c r="Y1276" t="s">
        <v>81</v>
      </c>
      <c r="Z1276" t="s">
        <v>924</v>
      </c>
      <c r="AA1276" t="s">
        <v>39</v>
      </c>
      <c r="AC1276" t="s">
        <v>1008</v>
      </c>
    </row>
    <row r="1277" spans="1:29" hidden="1" x14ac:dyDescent="0.25">
      <c r="A1277">
        <v>252</v>
      </c>
      <c r="B1277" t="s">
        <v>352</v>
      </c>
      <c r="C1277" t="s">
        <v>77</v>
      </c>
      <c r="D1277" t="s">
        <v>340</v>
      </c>
      <c r="E1277">
        <v>8</v>
      </c>
      <c r="F1277">
        <v>142</v>
      </c>
      <c r="G1277">
        <v>1799</v>
      </c>
      <c r="H1277">
        <v>2</v>
      </c>
      <c r="I1277">
        <v>16.05</v>
      </c>
      <c r="J1277">
        <v>32.090000000000003</v>
      </c>
      <c r="K1277" t="s">
        <v>223</v>
      </c>
      <c r="L1277" t="s">
        <v>1007</v>
      </c>
      <c r="O1277" t="s">
        <v>81</v>
      </c>
      <c r="Q1277">
        <v>2</v>
      </c>
      <c r="R1277" s="24">
        <v>46032</v>
      </c>
      <c r="T1277" t="s">
        <v>38</v>
      </c>
      <c r="V1277" t="s">
        <v>921</v>
      </c>
      <c r="Z1277" t="s">
        <v>924</v>
      </c>
      <c r="AA1277" t="s">
        <v>39</v>
      </c>
      <c r="AC1277" t="s">
        <v>1008</v>
      </c>
    </row>
    <row r="1278" spans="1:29" hidden="1" x14ac:dyDescent="0.25">
      <c r="A1278">
        <v>253</v>
      </c>
      <c r="B1278" t="s">
        <v>341</v>
      </c>
      <c r="C1278" t="s">
        <v>77</v>
      </c>
      <c r="D1278" t="s">
        <v>342</v>
      </c>
      <c r="E1278">
        <v>8</v>
      </c>
      <c r="F1278">
        <v>74</v>
      </c>
      <c r="G1278">
        <v>172</v>
      </c>
      <c r="H1278">
        <v>1</v>
      </c>
      <c r="I1278">
        <v>0.53</v>
      </c>
      <c r="J1278">
        <v>0.53</v>
      </c>
      <c r="K1278" t="s">
        <v>353</v>
      </c>
      <c r="L1278" t="s">
        <v>1009</v>
      </c>
      <c r="Q1278">
        <v>2</v>
      </c>
      <c r="R1278" s="24">
        <v>46032</v>
      </c>
      <c r="T1278" t="s">
        <v>38</v>
      </c>
      <c r="V1278" t="s">
        <v>921</v>
      </c>
      <c r="W1278" t="s">
        <v>81</v>
      </c>
      <c r="Z1278" t="s">
        <v>924</v>
      </c>
      <c r="AA1278" t="s">
        <v>355</v>
      </c>
      <c r="AC1278" t="s">
        <v>1010</v>
      </c>
    </row>
    <row r="1279" spans="1:29" hidden="1" x14ac:dyDescent="0.25">
      <c r="A1279">
        <v>254</v>
      </c>
      <c r="B1279" t="s">
        <v>357</v>
      </c>
      <c r="C1279" t="s">
        <v>77</v>
      </c>
      <c r="D1279" t="s">
        <v>342</v>
      </c>
      <c r="E1279">
        <v>8</v>
      </c>
      <c r="F1279">
        <v>74</v>
      </c>
      <c r="G1279">
        <v>172</v>
      </c>
      <c r="H1279">
        <v>6</v>
      </c>
      <c r="I1279">
        <v>0.53</v>
      </c>
      <c r="J1279">
        <v>3.2</v>
      </c>
      <c r="K1279" t="s">
        <v>353</v>
      </c>
      <c r="L1279" t="s">
        <v>1009</v>
      </c>
      <c r="Q1279">
        <v>2</v>
      </c>
      <c r="R1279" s="24">
        <v>46032</v>
      </c>
      <c r="T1279" t="s">
        <v>38</v>
      </c>
      <c r="V1279" t="s">
        <v>921</v>
      </c>
      <c r="W1279" t="s">
        <v>81</v>
      </c>
      <c r="Z1279" t="s">
        <v>924</v>
      </c>
      <c r="AA1279" t="s">
        <v>355</v>
      </c>
      <c r="AC1279" t="s">
        <v>1010</v>
      </c>
    </row>
    <row r="1280" spans="1:29" hidden="1" x14ac:dyDescent="0.25">
      <c r="A1280">
        <v>255</v>
      </c>
      <c r="B1280" t="s">
        <v>347</v>
      </c>
      <c r="C1280" t="s">
        <v>77</v>
      </c>
      <c r="D1280" t="s">
        <v>230</v>
      </c>
      <c r="E1280">
        <v>8</v>
      </c>
      <c r="F1280">
        <v>90</v>
      </c>
      <c r="G1280">
        <v>150</v>
      </c>
      <c r="H1280">
        <v>1</v>
      </c>
      <c r="I1280">
        <v>0.62</v>
      </c>
      <c r="J1280">
        <v>0.62</v>
      </c>
      <c r="K1280" t="s">
        <v>353</v>
      </c>
      <c r="L1280" t="s">
        <v>1009</v>
      </c>
      <c r="Q1280">
        <v>2</v>
      </c>
      <c r="R1280" s="24">
        <v>46032</v>
      </c>
      <c r="T1280" t="s">
        <v>38</v>
      </c>
      <c r="V1280" t="s">
        <v>921</v>
      </c>
      <c r="W1280" t="s">
        <v>81</v>
      </c>
      <c r="Z1280" t="s">
        <v>924</v>
      </c>
      <c r="AA1280" t="s">
        <v>355</v>
      </c>
      <c r="AC1280" t="s">
        <v>1010</v>
      </c>
    </row>
    <row r="1281" spans="1:29" hidden="1" x14ac:dyDescent="0.25">
      <c r="A1281">
        <v>256</v>
      </c>
      <c r="B1281" t="s">
        <v>348</v>
      </c>
      <c r="C1281" t="s">
        <v>77</v>
      </c>
      <c r="D1281" t="s">
        <v>314</v>
      </c>
      <c r="E1281">
        <v>8</v>
      </c>
      <c r="F1281">
        <v>158</v>
      </c>
      <c r="G1281">
        <v>228</v>
      </c>
      <c r="H1281">
        <v>3</v>
      </c>
      <c r="I1281">
        <v>2.21</v>
      </c>
      <c r="J1281">
        <v>6.64</v>
      </c>
      <c r="K1281" t="s">
        <v>353</v>
      </c>
      <c r="L1281" t="s">
        <v>1009</v>
      </c>
      <c r="Q1281">
        <v>2</v>
      </c>
      <c r="R1281" s="24">
        <v>46032</v>
      </c>
      <c r="T1281" t="s">
        <v>38</v>
      </c>
      <c r="V1281" t="s">
        <v>921</v>
      </c>
      <c r="W1281" t="s">
        <v>81</v>
      </c>
      <c r="Z1281" t="s">
        <v>924</v>
      </c>
      <c r="AA1281" t="s">
        <v>355</v>
      </c>
      <c r="AC1281" t="s">
        <v>1010</v>
      </c>
    </row>
    <row r="1282" spans="1:29" hidden="1" x14ac:dyDescent="0.25">
      <c r="A1282">
        <v>257</v>
      </c>
      <c r="B1282" t="s">
        <v>358</v>
      </c>
      <c r="C1282" t="s">
        <v>77</v>
      </c>
      <c r="D1282" t="s">
        <v>359</v>
      </c>
      <c r="E1282">
        <v>10</v>
      </c>
      <c r="F1282">
        <v>350</v>
      </c>
      <c r="G1282">
        <v>12000</v>
      </c>
      <c r="H1282">
        <v>1</v>
      </c>
      <c r="I1282">
        <v>329.7</v>
      </c>
      <c r="J1282">
        <v>329.7</v>
      </c>
      <c r="K1282" t="s">
        <v>360</v>
      </c>
      <c r="L1282" t="s">
        <v>1011</v>
      </c>
      <c r="P1282" t="s">
        <v>81</v>
      </c>
      <c r="Q1282">
        <v>2</v>
      </c>
      <c r="R1282" s="24">
        <v>46032</v>
      </c>
      <c r="T1282" t="s">
        <v>38</v>
      </c>
      <c r="V1282" t="s">
        <v>921</v>
      </c>
      <c r="Y1282" t="s">
        <v>81</v>
      </c>
      <c r="Z1282" t="s">
        <v>924</v>
      </c>
      <c r="AA1282" t="s">
        <v>39</v>
      </c>
      <c r="AC1282" t="s">
        <v>1012</v>
      </c>
    </row>
    <row r="1283" spans="1:29" hidden="1" x14ac:dyDescent="0.25">
      <c r="A1283">
        <v>258</v>
      </c>
      <c r="B1283" t="s">
        <v>363</v>
      </c>
      <c r="C1283" t="s">
        <v>77</v>
      </c>
      <c r="D1283" t="s">
        <v>359</v>
      </c>
      <c r="E1283">
        <v>10</v>
      </c>
      <c r="F1283">
        <v>350</v>
      </c>
      <c r="G1283">
        <v>12000</v>
      </c>
      <c r="H1283">
        <v>1</v>
      </c>
      <c r="I1283">
        <v>329.7</v>
      </c>
      <c r="J1283">
        <v>329.7</v>
      </c>
      <c r="K1283" t="s">
        <v>360</v>
      </c>
      <c r="L1283" t="s">
        <v>1011</v>
      </c>
      <c r="P1283" t="s">
        <v>81</v>
      </c>
      <c r="Q1283">
        <v>2</v>
      </c>
      <c r="R1283" s="24">
        <v>46032</v>
      </c>
      <c r="T1283" t="s">
        <v>38</v>
      </c>
      <c r="V1283" t="s">
        <v>921</v>
      </c>
      <c r="Y1283" t="s">
        <v>81</v>
      </c>
      <c r="Z1283" t="s">
        <v>924</v>
      </c>
      <c r="AA1283" t="s">
        <v>39</v>
      </c>
      <c r="AC1283" t="s">
        <v>1012</v>
      </c>
    </row>
    <row r="1284" spans="1:29" hidden="1" x14ac:dyDescent="0.25">
      <c r="A1284">
        <v>259</v>
      </c>
      <c r="B1284" t="s">
        <v>364</v>
      </c>
      <c r="C1284" t="s">
        <v>77</v>
      </c>
      <c r="D1284" t="s">
        <v>365</v>
      </c>
      <c r="E1284">
        <v>10</v>
      </c>
      <c r="F1284">
        <v>380</v>
      </c>
      <c r="G1284">
        <v>12000</v>
      </c>
      <c r="H1284">
        <v>2</v>
      </c>
      <c r="I1284">
        <v>357.96</v>
      </c>
      <c r="J1284">
        <v>715.91</v>
      </c>
      <c r="K1284" t="s">
        <v>360</v>
      </c>
      <c r="L1284" t="s">
        <v>1011</v>
      </c>
      <c r="Q1284">
        <v>2</v>
      </c>
      <c r="R1284" s="24">
        <v>46032</v>
      </c>
      <c r="T1284" t="s">
        <v>38</v>
      </c>
      <c r="V1284" t="s">
        <v>921</v>
      </c>
      <c r="Y1284" t="s">
        <v>81</v>
      </c>
      <c r="Z1284" t="s">
        <v>924</v>
      </c>
      <c r="AA1284" t="s">
        <v>39</v>
      </c>
      <c r="AC1284" t="s">
        <v>1012</v>
      </c>
    </row>
    <row r="1285" spans="1:29" hidden="1" x14ac:dyDescent="0.25">
      <c r="A1285">
        <v>260</v>
      </c>
      <c r="B1285" t="s">
        <v>366</v>
      </c>
      <c r="C1285" t="s">
        <v>77</v>
      </c>
      <c r="D1285" t="s">
        <v>365</v>
      </c>
      <c r="E1285">
        <v>10</v>
      </c>
      <c r="F1285">
        <v>380</v>
      </c>
      <c r="G1285">
        <v>12000</v>
      </c>
      <c r="H1285">
        <v>2</v>
      </c>
      <c r="I1285">
        <v>357.96</v>
      </c>
      <c r="J1285">
        <v>715.91</v>
      </c>
      <c r="K1285" t="s">
        <v>360</v>
      </c>
      <c r="L1285" t="s">
        <v>1013</v>
      </c>
      <c r="Q1285">
        <v>2</v>
      </c>
      <c r="R1285" s="24">
        <v>46032</v>
      </c>
      <c r="T1285" t="s">
        <v>38</v>
      </c>
      <c r="V1285" t="s">
        <v>921</v>
      </c>
      <c r="Y1285" t="s">
        <v>81</v>
      </c>
      <c r="Z1285" t="s">
        <v>924</v>
      </c>
      <c r="AA1285" t="s">
        <v>39</v>
      </c>
      <c r="AC1285" t="s">
        <v>1014</v>
      </c>
    </row>
    <row r="1286" spans="1:29" hidden="1" x14ac:dyDescent="0.25">
      <c r="A1286">
        <v>261</v>
      </c>
      <c r="B1286" t="s">
        <v>369</v>
      </c>
      <c r="C1286" t="s">
        <v>77</v>
      </c>
      <c r="D1286" t="s">
        <v>359</v>
      </c>
      <c r="E1286">
        <v>10</v>
      </c>
      <c r="F1286">
        <v>350</v>
      </c>
      <c r="G1286">
        <v>12000</v>
      </c>
      <c r="H1286">
        <v>1</v>
      </c>
      <c r="I1286">
        <v>329.7</v>
      </c>
      <c r="J1286">
        <v>329.7</v>
      </c>
      <c r="K1286" t="s">
        <v>360</v>
      </c>
      <c r="L1286" t="s">
        <v>1013</v>
      </c>
      <c r="P1286" t="s">
        <v>81</v>
      </c>
      <c r="Q1286">
        <v>2</v>
      </c>
      <c r="R1286" s="24">
        <v>46032</v>
      </c>
      <c r="T1286" t="s">
        <v>38</v>
      </c>
      <c r="V1286" t="s">
        <v>921</v>
      </c>
      <c r="Y1286" t="s">
        <v>81</v>
      </c>
      <c r="Z1286" t="s">
        <v>924</v>
      </c>
      <c r="AA1286" t="s">
        <v>39</v>
      </c>
      <c r="AC1286" t="s">
        <v>1014</v>
      </c>
    </row>
    <row r="1287" spans="1:29" hidden="1" x14ac:dyDescent="0.25">
      <c r="A1287">
        <v>262</v>
      </c>
      <c r="B1287" t="s">
        <v>370</v>
      </c>
      <c r="C1287" t="s">
        <v>77</v>
      </c>
      <c r="D1287" t="s">
        <v>359</v>
      </c>
      <c r="E1287">
        <v>10</v>
      </c>
      <c r="F1287">
        <v>350</v>
      </c>
      <c r="G1287">
        <v>12000</v>
      </c>
      <c r="H1287">
        <v>1</v>
      </c>
      <c r="I1287">
        <v>329.7</v>
      </c>
      <c r="J1287">
        <v>329.7</v>
      </c>
      <c r="K1287" t="s">
        <v>360</v>
      </c>
      <c r="L1287" t="s">
        <v>1013</v>
      </c>
      <c r="P1287" t="s">
        <v>81</v>
      </c>
      <c r="Q1287">
        <v>2</v>
      </c>
      <c r="R1287" s="24">
        <v>46032</v>
      </c>
      <c r="T1287" t="s">
        <v>38</v>
      </c>
      <c r="V1287" t="s">
        <v>921</v>
      </c>
      <c r="Y1287" t="s">
        <v>81</v>
      </c>
      <c r="Z1287" t="s">
        <v>924</v>
      </c>
      <c r="AA1287" t="s">
        <v>39</v>
      </c>
      <c r="AC1287" t="s">
        <v>1014</v>
      </c>
    </row>
    <row r="1288" spans="1:29" hidden="1" x14ac:dyDescent="0.25">
      <c r="A1288">
        <v>263</v>
      </c>
      <c r="B1288" t="s">
        <v>371</v>
      </c>
      <c r="C1288" t="s">
        <v>77</v>
      </c>
      <c r="D1288" t="s">
        <v>359</v>
      </c>
      <c r="E1288">
        <v>10</v>
      </c>
      <c r="F1288">
        <v>350</v>
      </c>
      <c r="G1288">
        <v>12000</v>
      </c>
      <c r="H1288">
        <v>2</v>
      </c>
      <c r="I1288">
        <v>329.7</v>
      </c>
      <c r="J1288">
        <v>659.41</v>
      </c>
      <c r="K1288" t="s">
        <v>360</v>
      </c>
      <c r="L1288" t="s">
        <v>1015</v>
      </c>
      <c r="P1288" t="s">
        <v>81</v>
      </c>
      <c r="Q1288">
        <v>2</v>
      </c>
      <c r="R1288" s="24">
        <v>46032</v>
      </c>
      <c r="T1288" t="s">
        <v>38</v>
      </c>
      <c r="V1288" t="s">
        <v>921</v>
      </c>
      <c r="Y1288" t="s">
        <v>81</v>
      </c>
      <c r="Z1288" t="s">
        <v>924</v>
      </c>
      <c r="AA1288" t="s">
        <v>39</v>
      </c>
      <c r="AC1288" t="s">
        <v>1016</v>
      </c>
    </row>
    <row r="1289" spans="1:29" hidden="1" x14ac:dyDescent="0.25">
      <c r="A1289">
        <v>264</v>
      </c>
      <c r="B1289" t="s">
        <v>366</v>
      </c>
      <c r="C1289" t="s">
        <v>77</v>
      </c>
      <c r="D1289" t="s">
        <v>365</v>
      </c>
      <c r="E1289">
        <v>10</v>
      </c>
      <c r="F1289">
        <v>380</v>
      </c>
      <c r="G1289">
        <v>12000</v>
      </c>
      <c r="H1289">
        <v>2</v>
      </c>
      <c r="I1289">
        <v>357.96</v>
      </c>
      <c r="J1289">
        <v>715.91</v>
      </c>
      <c r="K1289" t="s">
        <v>360</v>
      </c>
      <c r="L1289" t="s">
        <v>1015</v>
      </c>
      <c r="Q1289">
        <v>2</v>
      </c>
      <c r="R1289" s="24">
        <v>46032</v>
      </c>
      <c r="T1289" t="s">
        <v>38</v>
      </c>
      <c r="V1289" t="s">
        <v>921</v>
      </c>
      <c r="Y1289" t="s">
        <v>81</v>
      </c>
      <c r="Z1289" t="s">
        <v>924</v>
      </c>
      <c r="AA1289" t="s">
        <v>39</v>
      </c>
      <c r="AC1289" t="s">
        <v>1016</v>
      </c>
    </row>
    <row r="1290" spans="1:29" hidden="1" x14ac:dyDescent="0.25">
      <c r="A1290">
        <v>265</v>
      </c>
      <c r="B1290" t="s">
        <v>374</v>
      </c>
      <c r="C1290" t="s">
        <v>77</v>
      </c>
      <c r="D1290" t="s">
        <v>365</v>
      </c>
      <c r="E1290">
        <v>10</v>
      </c>
      <c r="F1290">
        <v>380</v>
      </c>
      <c r="G1290">
        <v>12000</v>
      </c>
      <c r="H1290">
        <v>2</v>
      </c>
      <c r="I1290">
        <v>357.96</v>
      </c>
      <c r="J1290">
        <v>715.91</v>
      </c>
      <c r="K1290" t="s">
        <v>360</v>
      </c>
      <c r="L1290" t="s">
        <v>1017</v>
      </c>
      <c r="Q1290">
        <v>2</v>
      </c>
      <c r="R1290" s="24">
        <v>46032</v>
      </c>
      <c r="T1290" t="s">
        <v>38</v>
      </c>
      <c r="V1290" t="s">
        <v>921</v>
      </c>
      <c r="Y1290" t="s">
        <v>81</v>
      </c>
      <c r="Z1290" t="s">
        <v>924</v>
      </c>
      <c r="AA1290" t="s">
        <v>39</v>
      </c>
      <c r="AC1290" t="s">
        <v>1018</v>
      </c>
    </row>
    <row r="1291" spans="1:29" hidden="1" x14ac:dyDescent="0.25">
      <c r="A1291">
        <v>266</v>
      </c>
      <c r="B1291" t="s">
        <v>377</v>
      </c>
      <c r="C1291" t="s">
        <v>77</v>
      </c>
      <c r="D1291" t="s">
        <v>378</v>
      </c>
      <c r="E1291">
        <v>10</v>
      </c>
      <c r="F1291">
        <v>230</v>
      </c>
      <c r="G1291">
        <v>12000</v>
      </c>
      <c r="H1291">
        <v>3</v>
      </c>
      <c r="I1291">
        <v>216.66</v>
      </c>
      <c r="J1291">
        <v>649.98</v>
      </c>
      <c r="K1291" t="s">
        <v>360</v>
      </c>
      <c r="L1291" t="s">
        <v>1017</v>
      </c>
      <c r="Q1291">
        <v>2</v>
      </c>
      <c r="R1291" s="24">
        <v>46032</v>
      </c>
      <c r="T1291" t="s">
        <v>38</v>
      </c>
      <c r="V1291" t="s">
        <v>921</v>
      </c>
      <c r="Y1291" t="s">
        <v>81</v>
      </c>
      <c r="Z1291" t="s">
        <v>924</v>
      </c>
      <c r="AA1291" t="s">
        <v>39</v>
      </c>
      <c r="AC1291" t="s">
        <v>1018</v>
      </c>
    </row>
    <row r="1292" spans="1:29" hidden="1" x14ac:dyDescent="0.25">
      <c r="A1292">
        <v>267</v>
      </c>
      <c r="B1292" t="s">
        <v>379</v>
      </c>
      <c r="C1292" t="s">
        <v>77</v>
      </c>
      <c r="D1292" t="s">
        <v>380</v>
      </c>
      <c r="E1292">
        <v>10</v>
      </c>
      <c r="F1292">
        <v>230</v>
      </c>
      <c r="G1292">
        <v>9518</v>
      </c>
      <c r="H1292">
        <v>2</v>
      </c>
      <c r="I1292">
        <v>171.84</v>
      </c>
      <c r="J1292">
        <v>343.69</v>
      </c>
      <c r="K1292" t="s">
        <v>360</v>
      </c>
      <c r="L1292" t="s">
        <v>1019</v>
      </c>
      <c r="Q1292">
        <v>2</v>
      </c>
      <c r="R1292" s="24">
        <v>46032</v>
      </c>
      <c r="T1292" t="s">
        <v>38</v>
      </c>
      <c r="V1292" t="s">
        <v>921</v>
      </c>
      <c r="Y1292" t="s">
        <v>81</v>
      </c>
      <c r="Z1292" t="s">
        <v>924</v>
      </c>
      <c r="AA1292" t="s">
        <v>39</v>
      </c>
      <c r="AC1292" t="s">
        <v>1020</v>
      </c>
    </row>
    <row r="1293" spans="1:29" hidden="1" x14ac:dyDescent="0.25">
      <c r="A1293">
        <v>268</v>
      </c>
      <c r="B1293" t="s">
        <v>383</v>
      </c>
      <c r="C1293" t="s">
        <v>77</v>
      </c>
      <c r="D1293" t="s">
        <v>384</v>
      </c>
      <c r="E1293">
        <v>10</v>
      </c>
      <c r="F1293">
        <v>375</v>
      </c>
      <c r="G1293">
        <v>500</v>
      </c>
      <c r="H1293">
        <v>4</v>
      </c>
      <c r="I1293">
        <v>14.72</v>
      </c>
      <c r="J1293">
        <v>58.88</v>
      </c>
      <c r="K1293" t="s">
        <v>360</v>
      </c>
      <c r="L1293" t="s">
        <v>1019</v>
      </c>
      <c r="Q1293">
        <v>2</v>
      </c>
      <c r="R1293" s="24">
        <v>46032</v>
      </c>
      <c r="T1293" t="s">
        <v>38</v>
      </c>
      <c r="V1293" t="s">
        <v>921</v>
      </c>
      <c r="W1293" t="s">
        <v>81</v>
      </c>
      <c r="Z1293" t="s">
        <v>924</v>
      </c>
      <c r="AA1293" t="s">
        <v>39</v>
      </c>
      <c r="AC1293" t="s">
        <v>1020</v>
      </c>
    </row>
    <row r="1294" spans="1:29" hidden="1" x14ac:dyDescent="0.25">
      <c r="A1294">
        <v>269</v>
      </c>
      <c r="B1294" t="s">
        <v>385</v>
      </c>
      <c r="C1294" t="s">
        <v>77</v>
      </c>
      <c r="D1294" t="s">
        <v>384</v>
      </c>
      <c r="E1294">
        <v>10</v>
      </c>
      <c r="F1294">
        <v>375</v>
      </c>
      <c r="G1294">
        <v>500</v>
      </c>
      <c r="H1294">
        <v>2</v>
      </c>
      <c r="I1294">
        <v>14.72</v>
      </c>
      <c r="J1294">
        <v>29.44</v>
      </c>
      <c r="K1294" t="s">
        <v>360</v>
      </c>
      <c r="L1294" t="s">
        <v>1019</v>
      </c>
      <c r="Q1294">
        <v>2</v>
      </c>
      <c r="R1294" s="24">
        <v>46032</v>
      </c>
      <c r="T1294" t="s">
        <v>38</v>
      </c>
      <c r="V1294" t="s">
        <v>921</v>
      </c>
      <c r="W1294" t="s">
        <v>81</v>
      </c>
      <c r="Z1294" t="s">
        <v>924</v>
      </c>
      <c r="AA1294" t="s">
        <v>39</v>
      </c>
      <c r="AC1294" t="s">
        <v>1020</v>
      </c>
    </row>
    <row r="1295" spans="1:29" hidden="1" x14ac:dyDescent="0.25">
      <c r="A1295">
        <v>270</v>
      </c>
      <c r="B1295" t="s">
        <v>386</v>
      </c>
      <c r="C1295" t="s">
        <v>77</v>
      </c>
      <c r="D1295" t="s">
        <v>387</v>
      </c>
      <c r="E1295">
        <v>10</v>
      </c>
      <c r="F1295">
        <v>148</v>
      </c>
      <c r="G1295">
        <v>441</v>
      </c>
      <c r="H1295">
        <v>1</v>
      </c>
      <c r="I1295">
        <v>5.0599999999999996</v>
      </c>
      <c r="J1295">
        <v>5.0599999999999996</v>
      </c>
      <c r="K1295" t="s">
        <v>360</v>
      </c>
      <c r="L1295" t="s">
        <v>1019</v>
      </c>
      <c r="Q1295">
        <v>2</v>
      </c>
      <c r="R1295" s="24">
        <v>46032</v>
      </c>
      <c r="T1295" t="s">
        <v>38</v>
      </c>
      <c r="V1295" t="s">
        <v>921</v>
      </c>
      <c r="W1295" t="s">
        <v>81</v>
      </c>
      <c r="Z1295" t="s">
        <v>924</v>
      </c>
      <c r="AA1295" t="s">
        <v>39</v>
      </c>
      <c r="AC1295" t="s">
        <v>1020</v>
      </c>
    </row>
    <row r="1296" spans="1:29" hidden="1" x14ac:dyDescent="0.25">
      <c r="A1296">
        <v>271</v>
      </c>
      <c r="B1296" t="s">
        <v>388</v>
      </c>
      <c r="C1296" t="s">
        <v>77</v>
      </c>
      <c r="D1296" t="s">
        <v>359</v>
      </c>
      <c r="E1296">
        <v>10</v>
      </c>
      <c r="F1296">
        <v>350</v>
      </c>
      <c r="G1296">
        <v>12000</v>
      </c>
      <c r="H1296">
        <v>2</v>
      </c>
      <c r="I1296">
        <v>329.7</v>
      </c>
      <c r="J1296">
        <v>659.41</v>
      </c>
      <c r="K1296" t="s">
        <v>360</v>
      </c>
      <c r="L1296" t="s">
        <v>1019</v>
      </c>
      <c r="P1296" t="s">
        <v>81</v>
      </c>
      <c r="Q1296">
        <v>2</v>
      </c>
      <c r="R1296" s="24">
        <v>46032</v>
      </c>
      <c r="T1296" t="s">
        <v>38</v>
      </c>
      <c r="V1296" t="s">
        <v>921</v>
      </c>
      <c r="Y1296" t="s">
        <v>81</v>
      </c>
      <c r="Z1296" t="s">
        <v>924</v>
      </c>
      <c r="AA1296" t="s">
        <v>39</v>
      </c>
      <c r="AC1296" t="s">
        <v>1020</v>
      </c>
    </row>
    <row r="1297" spans="1:29" hidden="1" x14ac:dyDescent="0.25">
      <c r="A1297">
        <v>272</v>
      </c>
      <c r="B1297" t="s">
        <v>377</v>
      </c>
      <c r="C1297" t="s">
        <v>77</v>
      </c>
      <c r="D1297" t="s">
        <v>378</v>
      </c>
      <c r="E1297">
        <v>10</v>
      </c>
      <c r="F1297">
        <v>230</v>
      </c>
      <c r="G1297">
        <v>12000</v>
      </c>
      <c r="H1297">
        <v>1</v>
      </c>
      <c r="I1297">
        <v>216.66</v>
      </c>
      <c r="J1297">
        <v>216.66</v>
      </c>
      <c r="K1297" t="s">
        <v>360</v>
      </c>
      <c r="L1297" t="s">
        <v>1019</v>
      </c>
      <c r="Q1297">
        <v>2</v>
      </c>
      <c r="R1297" s="24">
        <v>46032</v>
      </c>
      <c r="T1297" t="s">
        <v>38</v>
      </c>
      <c r="V1297" t="s">
        <v>921</v>
      </c>
      <c r="Y1297" t="s">
        <v>81</v>
      </c>
      <c r="Z1297" t="s">
        <v>924</v>
      </c>
      <c r="AA1297" t="s">
        <v>39</v>
      </c>
      <c r="AC1297" t="s">
        <v>1020</v>
      </c>
    </row>
    <row r="1298" spans="1:29" hidden="1" x14ac:dyDescent="0.25">
      <c r="A1298">
        <v>273</v>
      </c>
      <c r="B1298" t="s">
        <v>389</v>
      </c>
      <c r="C1298" t="s">
        <v>77</v>
      </c>
      <c r="D1298" t="s">
        <v>390</v>
      </c>
      <c r="E1298">
        <v>10</v>
      </c>
      <c r="F1298">
        <v>200</v>
      </c>
      <c r="G1298">
        <v>9518</v>
      </c>
      <c r="H1298">
        <v>3</v>
      </c>
      <c r="I1298">
        <v>149.43</v>
      </c>
      <c r="J1298">
        <v>448.3</v>
      </c>
      <c r="K1298" t="s">
        <v>360</v>
      </c>
      <c r="L1298" t="s">
        <v>1021</v>
      </c>
      <c r="Q1298">
        <v>2</v>
      </c>
      <c r="R1298" s="24">
        <v>46032</v>
      </c>
      <c r="T1298" t="s">
        <v>38</v>
      </c>
      <c r="V1298" t="s">
        <v>921</v>
      </c>
      <c r="Y1298" t="s">
        <v>81</v>
      </c>
      <c r="Z1298" t="s">
        <v>924</v>
      </c>
      <c r="AA1298" t="s">
        <v>39</v>
      </c>
      <c r="AC1298" t="s">
        <v>1022</v>
      </c>
    </row>
    <row r="1299" spans="1:29" hidden="1" x14ac:dyDescent="0.25">
      <c r="A1299">
        <v>274</v>
      </c>
      <c r="B1299" t="s">
        <v>379</v>
      </c>
      <c r="C1299" t="s">
        <v>77</v>
      </c>
      <c r="D1299" t="s">
        <v>380</v>
      </c>
      <c r="E1299">
        <v>10</v>
      </c>
      <c r="F1299">
        <v>230</v>
      </c>
      <c r="G1299">
        <v>9518</v>
      </c>
      <c r="H1299">
        <v>2</v>
      </c>
      <c r="I1299">
        <v>171.84</v>
      </c>
      <c r="J1299">
        <v>343.69</v>
      </c>
      <c r="K1299" t="s">
        <v>360</v>
      </c>
      <c r="L1299" t="s">
        <v>1021</v>
      </c>
      <c r="Q1299">
        <v>2</v>
      </c>
      <c r="R1299" s="24">
        <v>46032</v>
      </c>
      <c r="T1299" t="s">
        <v>38</v>
      </c>
      <c r="V1299" t="s">
        <v>921</v>
      </c>
      <c r="Y1299" t="s">
        <v>81</v>
      </c>
      <c r="Z1299" t="s">
        <v>924</v>
      </c>
      <c r="AA1299" t="s">
        <v>39</v>
      </c>
      <c r="AC1299" t="s">
        <v>1022</v>
      </c>
    </row>
    <row r="1300" spans="1:29" hidden="1" x14ac:dyDescent="0.25">
      <c r="A1300">
        <v>275</v>
      </c>
      <c r="B1300" t="s">
        <v>393</v>
      </c>
      <c r="C1300" t="s">
        <v>77</v>
      </c>
      <c r="D1300" t="s">
        <v>394</v>
      </c>
      <c r="E1300">
        <v>10</v>
      </c>
      <c r="F1300">
        <v>240</v>
      </c>
      <c r="G1300">
        <v>375</v>
      </c>
      <c r="H1300">
        <v>4</v>
      </c>
      <c r="I1300">
        <v>7.06</v>
      </c>
      <c r="J1300">
        <v>28.26</v>
      </c>
      <c r="K1300" t="s">
        <v>360</v>
      </c>
      <c r="L1300" t="s">
        <v>1021</v>
      </c>
      <c r="Q1300">
        <v>2</v>
      </c>
      <c r="R1300" s="24">
        <v>46032</v>
      </c>
      <c r="T1300" t="s">
        <v>38</v>
      </c>
      <c r="V1300" t="s">
        <v>921</v>
      </c>
      <c r="W1300" t="s">
        <v>81</v>
      </c>
      <c r="Z1300" t="s">
        <v>924</v>
      </c>
      <c r="AA1300" t="s">
        <v>39</v>
      </c>
      <c r="AC1300" t="s">
        <v>1022</v>
      </c>
    </row>
    <row r="1301" spans="1:29" hidden="1" x14ac:dyDescent="0.25">
      <c r="A1301">
        <v>276</v>
      </c>
      <c r="B1301" t="s">
        <v>395</v>
      </c>
      <c r="C1301" t="s">
        <v>77</v>
      </c>
      <c r="D1301" t="s">
        <v>394</v>
      </c>
      <c r="E1301">
        <v>10</v>
      </c>
      <c r="F1301">
        <v>240</v>
      </c>
      <c r="G1301">
        <v>375</v>
      </c>
      <c r="H1301">
        <v>2</v>
      </c>
      <c r="I1301">
        <v>7.06</v>
      </c>
      <c r="J1301">
        <v>14.13</v>
      </c>
      <c r="K1301" t="s">
        <v>360</v>
      </c>
      <c r="L1301" t="s">
        <v>1021</v>
      </c>
      <c r="Q1301">
        <v>2</v>
      </c>
      <c r="R1301" s="24">
        <v>46032</v>
      </c>
      <c r="T1301" t="s">
        <v>38</v>
      </c>
      <c r="V1301" t="s">
        <v>921</v>
      </c>
      <c r="W1301" t="s">
        <v>81</v>
      </c>
      <c r="Z1301" t="s">
        <v>924</v>
      </c>
      <c r="AA1301" t="s">
        <v>39</v>
      </c>
      <c r="AC1301" t="s">
        <v>1022</v>
      </c>
    </row>
    <row r="1302" spans="1:29" hidden="1" x14ac:dyDescent="0.25">
      <c r="A1302">
        <v>277</v>
      </c>
      <c r="B1302" t="s">
        <v>396</v>
      </c>
      <c r="C1302" t="s">
        <v>77</v>
      </c>
      <c r="D1302" t="s">
        <v>397</v>
      </c>
      <c r="E1302">
        <v>10</v>
      </c>
      <c r="F1302">
        <v>86</v>
      </c>
      <c r="G1302">
        <v>338</v>
      </c>
      <c r="H1302">
        <v>4</v>
      </c>
      <c r="I1302">
        <v>2.2599999999999998</v>
      </c>
      <c r="J1302">
        <v>9.06</v>
      </c>
      <c r="K1302" t="s">
        <v>360</v>
      </c>
      <c r="L1302" t="s">
        <v>1021</v>
      </c>
      <c r="Q1302">
        <v>2</v>
      </c>
      <c r="R1302" s="24">
        <v>46032</v>
      </c>
      <c r="T1302" t="s">
        <v>38</v>
      </c>
      <c r="V1302" t="s">
        <v>921</v>
      </c>
      <c r="W1302" t="s">
        <v>81</v>
      </c>
      <c r="Z1302" t="s">
        <v>924</v>
      </c>
      <c r="AA1302" t="s">
        <v>39</v>
      </c>
      <c r="AC1302" t="s">
        <v>1022</v>
      </c>
    </row>
    <row r="1303" spans="1:29" hidden="1" x14ac:dyDescent="0.25">
      <c r="A1303">
        <v>278</v>
      </c>
      <c r="B1303" t="s">
        <v>386</v>
      </c>
      <c r="C1303" t="s">
        <v>77</v>
      </c>
      <c r="D1303" t="s">
        <v>387</v>
      </c>
      <c r="E1303">
        <v>10</v>
      </c>
      <c r="F1303">
        <v>148</v>
      </c>
      <c r="G1303">
        <v>441</v>
      </c>
      <c r="H1303">
        <v>12</v>
      </c>
      <c r="I1303">
        <v>5.0599999999999996</v>
      </c>
      <c r="J1303">
        <v>60.73</v>
      </c>
      <c r="K1303" t="s">
        <v>360</v>
      </c>
      <c r="L1303" t="s">
        <v>1021</v>
      </c>
      <c r="Q1303">
        <v>2</v>
      </c>
      <c r="R1303" s="24">
        <v>46032</v>
      </c>
      <c r="T1303" t="s">
        <v>38</v>
      </c>
      <c r="V1303" t="s">
        <v>921</v>
      </c>
      <c r="W1303" t="s">
        <v>81</v>
      </c>
      <c r="Z1303" t="s">
        <v>924</v>
      </c>
      <c r="AA1303" t="s">
        <v>39</v>
      </c>
      <c r="AC1303" t="s">
        <v>1022</v>
      </c>
    </row>
    <row r="1304" spans="1:29" hidden="1" x14ac:dyDescent="0.25">
      <c r="A1304">
        <v>279</v>
      </c>
      <c r="B1304" t="s">
        <v>398</v>
      </c>
      <c r="C1304" t="s">
        <v>77</v>
      </c>
      <c r="D1304" t="s">
        <v>399</v>
      </c>
      <c r="E1304">
        <v>10</v>
      </c>
      <c r="F1304">
        <v>200</v>
      </c>
      <c r="G1304">
        <v>250</v>
      </c>
      <c r="H1304">
        <v>1</v>
      </c>
      <c r="I1304">
        <v>3.93</v>
      </c>
      <c r="J1304">
        <v>3.93</v>
      </c>
      <c r="K1304" t="s">
        <v>360</v>
      </c>
      <c r="L1304" t="s">
        <v>1021</v>
      </c>
      <c r="Q1304">
        <v>2</v>
      </c>
      <c r="R1304" s="24">
        <v>46032</v>
      </c>
      <c r="T1304" t="s">
        <v>38</v>
      </c>
      <c r="V1304" t="s">
        <v>921</v>
      </c>
      <c r="W1304" t="s">
        <v>81</v>
      </c>
      <c r="Z1304" t="s">
        <v>924</v>
      </c>
      <c r="AA1304" t="s">
        <v>39</v>
      </c>
      <c r="AC1304" t="s">
        <v>1022</v>
      </c>
    </row>
    <row r="1305" spans="1:29" hidden="1" x14ac:dyDescent="0.25">
      <c r="A1305">
        <v>280</v>
      </c>
      <c r="B1305" t="s">
        <v>400</v>
      </c>
      <c r="C1305" t="s">
        <v>77</v>
      </c>
      <c r="D1305" t="s">
        <v>387</v>
      </c>
      <c r="E1305">
        <v>10</v>
      </c>
      <c r="F1305">
        <v>148</v>
      </c>
      <c r="G1305">
        <v>441</v>
      </c>
      <c r="H1305">
        <v>10</v>
      </c>
      <c r="I1305">
        <v>5.0599999999999996</v>
      </c>
      <c r="J1305">
        <v>50.61</v>
      </c>
      <c r="K1305" t="s">
        <v>360</v>
      </c>
      <c r="L1305" t="s">
        <v>1021</v>
      </c>
      <c r="Q1305">
        <v>2</v>
      </c>
      <c r="R1305" s="24">
        <v>46032</v>
      </c>
      <c r="T1305" t="s">
        <v>38</v>
      </c>
      <c r="V1305" t="s">
        <v>921</v>
      </c>
      <c r="W1305" t="s">
        <v>81</v>
      </c>
      <c r="Z1305" t="s">
        <v>924</v>
      </c>
      <c r="AA1305" t="s">
        <v>39</v>
      </c>
      <c r="AC1305" t="s">
        <v>1022</v>
      </c>
    </row>
    <row r="1306" spans="1:29" hidden="1" x14ac:dyDescent="0.25">
      <c r="A1306">
        <v>281</v>
      </c>
      <c r="B1306" t="s">
        <v>401</v>
      </c>
      <c r="C1306" t="s">
        <v>77</v>
      </c>
      <c r="D1306" t="s">
        <v>402</v>
      </c>
      <c r="E1306">
        <v>10</v>
      </c>
      <c r="F1306">
        <v>80</v>
      </c>
      <c r="G1306">
        <v>120</v>
      </c>
      <c r="H1306">
        <v>2</v>
      </c>
      <c r="I1306">
        <v>0.72</v>
      </c>
      <c r="J1306">
        <v>1.45</v>
      </c>
      <c r="K1306" t="s">
        <v>360</v>
      </c>
      <c r="L1306" t="s">
        <v>1021</v>
      </c>
      <c r="N1306" t="s">
        <v>228</v>
      </c>
      <c r="Q1306">
        <v>2</v>
      </c>
      <c r="R1306" s="24">
        <v>46032</v>
      </c>
      <c r="T1306" t="s">
        <v>38</v>
      </c>
      <c r="V1306" t="s">
        <v>921</v>
      </c>
      <c r="W1306" t="s">
        <v>81</v>
      </c>
      <c r="Z1306" t="s">
        <v>924</v>
      </c>
      <c r="AA1306" t="s">
        <v>39</v>
      </c>
      <c r="AC1306" t="s">
        <v>1022</v>
      </c>
    </row>
    <row r="1307" spans="1:29" hidden="1" x14ac:dyDescent="0.25">
      <c r="A1307">
        <v>282</v>
      </c>
      <c r="B1307" t="s">
        <v>403</v>
      </c>
      <c r="C1307" t="s">
        <v>77</v>
      </c>
      <c r="D1307" t="s">
        <v>387</v>
      </c>
      <c r="E1307">
        <v>10</v>
      </c>
      <c r="F1307">
        <v>148</v>
      </c>
      <c r="G1307">
        <v>441</v>
      </c>
      <c r="H1307">
        <v>21</v>
      </c>
      <c r="I1307">
        <v>5.0599999999999996</v>
      </c>
      <c r="J1307">
        <v>106.28</v>
      </c>
      <c r="K1307" t="s">
        <v>360</v>
      </c>
      <c r="L1307" t="s">
        <v>1021</v>
      </c>
      <c r="Q1307">
        <v>2</v>
      </c>
      <c r="R1307" s="24">
        <v>46032</v>
      </c>
      <c r="T1307" t="s">
        <v>38</v>
      </c>
      <c r="V1307" t="s">
        <v>921</v>
      </c>
      <c r="W1307" t="s">
        <v>81</v>
      </c>
      <c r="Z1307" t="s">
        <v>924</v>
      </c>
      <c r="AA1307" t="s">
        <v>39</v>
      </c>
      <c r="AC1307" t="s">
        <v>1022</v>
      </c>
    </row>
    <row r="1308" spans="1:29" hidden="1" x14ac:dyDescent="0.25">
      <c r="A1308">
        <v>283</v>
      </c>
      <c r="B1308" t="s">
        <v>404</v>
      </c>
      <c r="C1308" t="s">
        <v>77</v>
      </c>
      <c r="D1308" t="s">
        <v>405</v>
      </c>
      <c r="E1308">
        <v>10</v>
      </c>
      <c r="F1308">
        <v>120</v>
      </c>
      <c r="G1308">
        <v>220</v>
      </c>
      <c r="H1308">
        <v>1</v>
      </c>
      <c r="I1308">
        <v>2.0099999999999998</v>
      </c>
      <c r="J1308">
        <v>2.0099999999999998</v>
      </c>
      <c r="K1308" t="s">
        <v>360</v>
      </c>
      <c r="L1308" t="s">
        <v>1021</v>
      </c>
      <c r="N1308" t="s">
        <v>228</v>
      </c>
      <c r="Q1308">
        <v>2</v>
      </c>
      <c r="R1308" s="24">
        <v>46032</v>
      </c>
      <c r="T1308" t="s">
        <v>38</v>
      </c>
      <c r="V1308" t="s">
        <v>921</v>
      </c>
      <c r="W1308" t="s">
        <v>81</v>
      </c>
      <c r="Z1308" t="s">
        <v>924</v>
      </c>
      <c r="AA1308" t="s">
        <v>39</v>
      </c>
      <c r="AC1308" t="s">
        <v>1022</v>
      </c>
    </row>
    <row r="1309" spans="1:29" hidden="1" x14ac:dyDescent="0.25">
      <c r="A1309">
        <v>284</v>
      </c>
      <c r="B1309" t="s">
        <v>406</v>
      </c>
      <c r="C1309" t="s">
        <v>77</v>
      </c>
      <c r="D1309" t="s">
        <v>407</v>
      </c>
      <c r="E1309">
        <v>10</v>
      </c>
      <c r="F1309">
        <v>380</v>
      </c>
      <c r="G1309">
        <v>4577</v>
      </c>
      <c r="H1309">
        <v>2</v>
      </c>
      <c r="I1309">
        <v>135.07</v>
      </c>
      <c r="J1309">
        <v>270.14999999999998</v>
      </c>
      <c r="K1309" t="s">
        <v>360</v>
      </c>
      <c r="L1309" t="s">
        <v>1021</v>
      </c>
      <c r="Q1309">
        <v>2</v>
      </c>
      <c r="R1309" s="24">
        <v>46032</v>
      </c>
      <c r="T1309" t="s">
        <v>38</v>
      </c>
      <c r="V1309" t="s">
        <v>921</v>
      </c>
      <c r="Y1309" t="s">
        <v>81</v>
      </c>
      <c r="Z1309" t="s">
        <v>924</v>
      </c>
      <c r="AA1309" t="s">
        <v>39</v>
      </c>
      <c r="AC1309" t="s">
        <v>1022</v>
      </c>
    </row>
    <row r="1310" spans="1:29" hidden="1" x14ac:dyDescent="0.25">
      <c r="A1310">
        <v>285</v>
      </c>
      <c r="B1310" t="s">
        <v>408</v>
      </c>
      <c r="C1310" t="s">
        <v>77</v>
      </c>
      <c r="D1310" t="s">
        <v>397</v>
      </c>
      <c r="E1310">
        <v>10</v>
      </c>
      <c r="F1310">
        <v>86</v>
      </c>
      <c r="G1310">
        <v>338</v>
      </c>
      <c r="H1310">
        <v>16</v>
      </c>
      <c r="I1310">
        <v>2.2599999999999998</v>
      </c>
      <c r="J1310">
        <v>36.229999999999997</v>
      </c>
      <c r="K1310" t="s">
        <v>360</v>
      </c>
      <c r="L1310" t="s">
        <v>1023</v>
      </c>
      <c r="Q1310">
        <v>2</v>
      </c>
      <c r="R1310" s="24">
        <v>46032</v>
      </c>
      <c r="T1310" t="s">
        <v>38</v>
      </c>
      <c r="V1310" t="s">
        <v>921</v>
      </c>
      <c r="W1310" t="s">
        <v>81</v>
      </c>
      <c r="Z1310" t="s">
        <v>924</v>
      </c>
      <c r="AA1310" t="s">
        <v>39</v>
      </c>
      <c r="AC1310" t="s">
        <v>1024</v>
      </c>
    </row>
    <row r="1311" spans="1:29" hidden="1" x14ac:dyDescent="0.25">
      <c r="A1311">
        <v>286</v>
      </c>
      <c r="B1311" t="s">
        <v>411</v>
      </c>
      <c r="C1311" t="s">
        <v>77</v>
      </c>
      <c r="D1311" t="s">
        <v>412</v>
      </c>
      <c r="E1311">
        <v>10</v>
      </c>
      <c r="F1311">
        <v>532</v>
      </c>
      <c r="G1311">
        <v>4080</v>
      </c>
      <c r="H1311">
        <v>2</v>
      </c>
      <c r="I1311">
        <v>168.27</v>
      </c>
      <c r="J1311">
        <v>336.54</v>
      </c>
      <c r="K1311" t="s">
        <v>360</v>
      </c>
      <c r="L1311" t="s">
        <v>1023</v>
      </c>
      <c r="O1311" t="s">
        <v>81</v>
      </c>
      <c r="P1311" t="s">
        <v>81</v>
      </c>
      <c r="Q1311">
        <v>2</v>
      </c>
      <c r="R1311" s="24">
        <v>46032</v>
      </c>
      <c r="T1311" t="s">
        <v>38</v>
      </c>
      <c r="V1311" t="s">
        <v>921</v>
      </c>
      <c r="Z1311" t="s">
        <v>924</v>
      </c>
      <c r="AA1311" t="s">
        <v>39</v>
      </c>
      <c r="AC1311" t="s">
        <v>1024</v>
      </c>
    </row>
    <row r="1312" spans="1:29" hidden="1" x14ac:dyDescent="0.25">
      <c r="A1312">
        <v>287</v>
      </c>
      <c r="B1312" t="s">
        <v>396</v>
      </c>
      <c r="C1312" t="s">
        <v>77</v>
      </c>
      <c r="D1312" t="s">
        <v>397</v>
      </c>
      <c r="E1312">
        <v>10</v>
      </c>
      <c r="F1312">
        <v>86</v>
      </c>
      <c r="G1312">
        <v>338</v>
      </c>
      <c r="H1312">
        <v>4</v>
      </c>
      <c r="I1312">
        <v>2.2599999999999998</v>
      </c>
      <c r="J1312">
        <v>9.06</v>
      </c>
      <c r="K1312" t="s">
        <v>360</v>
      </c>
      <c r="L1312" t="s">
        <v>1023</v>
      </c>
      <c r="Q1312">
        <v>2</v>
      </c>
      <c r="R1312" s="24">
        <v>46032</v>
      </c>
      <c r="T1312" t="s">
        <v>38</v>
      </c>
      <c r="V1312" t="s">
        <v>921</v>
      </c>
      <c r="W1312" t="s">
        <v>81</v>
      </c>
      <c r="Z1312" t="s">
        <v>924</v>
      </c>
      <c r="AA1312" t="s">
        <v>39</v>
      </c>
      <c r="AC1312" t="s">
        <v>1024</v>
      </c>
    </row>
    <row r="1313" spans="1:29" hidden="1" x14ac:dyDescent="0.25">
      <c r="A1313">
        <v>288</v>
      </c>
      <c r="B1313" t="s">
        <v>401</v>
      </c>
      <c r="C1313" t="s">
        <v>77</v>
      </c>
      <c r="D1313" t="s">
        <v>402</v>
      </c>
      <c r="E1313">
        <v>10</v>
      </c>
      <c r="F1313">
        <v>80</v>
      </c>
      <c r="G1313">
        <v>120</v>
      </c>
      <c r="H1313">
        <v>1</v>
      </c>
      <c r="I1313">
        <v>0.72</v>
      </c>
      <c r="J1313">
        <v>0.72</v>
      </c>
      <c r="K1313" t="s">
        <v>360</v>
      </c>
      <c r="L1313" t="s">
        <v>1023</v>
      </c>
      <c r="N1313" t="s">
        <v>228</v>
      </c>
      <c r="Q1313">
        <v>2</v>
      </c>
      <c r="R1313" s="24">
        <v>46032</v>
      </c>
      <c r="T1313" t="s">
        <v>38</v>
      </c>
      <c r="V1313" t="s">
        <v>921</v>
      </c>
      <c r="W1313" t="s">
        <v>81</v>
      </c>
      <c r="Z1313" t="s">
        <v>924</v>
      </c>
      <c r="AA1313" t="s">
        <v>39</v>
      </c>
      <c r="AC1313" t="s">
        <v>1024</v>
      </c>
    </row>
    <row r="1314" spans="1:29" hidden="1" x14ac:dyDescent="0.25">
      <c r="A1314">
        <v>289</v>
      </c>
      <c r="B1314" t="s">
        <v>413</v>
      </c>
      <c r="C1314" t="s">
        <v>77</v>
      </c>
      <c r="D1314" t="s">
        <v>414</v>
      </c>
      <c r="E1314">
        <v>10</v>
      </c>
      <c r="F1314">
        <v>100</v>
      </c>
      <c r="G1314">
        <v>100</v>
      </c>
      <c r="H1314">
        <v>2</v>
      </c>
      <c r="I1314">
        <v>0.4</v>
      </c>
      <c r="J1314">
        <v>0.79</v>
      </c>
      <c r="K1314" t="s">
        <v>360</v>
      </c>
      <c r="L1314" t="s">
        <v>1023</v>
      </c>
      <c r="N1314" t="s">
        <v>228</v>
      </c>
      <c r="Q1314">
        <v>2</v>
      </c>
      <c r="R1314" s="24">
        <v>46032</v>
      </c>
      <c r="T1314" t="s">
        <v>38</v>
      </c>
      <c r="V1314" t="s">
        <v>921</v>
      </c>
      <c r="X1314" t="s">
        <v>81</v>
      </c>
      <c r="Z1314" t="s">
        <v>924</v>
      </c>
      <c r="AA1314" t="s">
        <v>39</v>
      </c>
      <c r="AC1314" t="s">
        <v>1024</v>
      </c>
    </row>
    <row r="1315" spans="1:29" hidden="1" x14ac:dyDescent="0.25">
      <c r="A1315">
        <v>290</v>
      </c>
      <c r="B1315" t="s">
        <v>415</v>
      </c>
      <c r="C1315" t="s">
        <v>77</v>
      </c>
      <c r="D1315" t="s">
        <v>414</v>
      </c>
      <c r="E1315">
        <v>10</v>
      </c>
      <c r="F1315">
        <v>100</v>
      </c>
      <c r="G1315">
        <v>100</v>
      </c>
      <c r="H1315">
        <v>4</v>
      </c>
      <c r="I1315">
        <v>0.4</v>
      </c>
      <c r="J1315">
        <v>1.58</v>
      </c>
      <c r="K1315" t="s">
        <v>360</v>
      </c>
      <c r="L1315" t="s">
        <v>1023</v>
      </c>
      <c r="N1315" t="s">
        <v>228</v>
      </c>
      <c r="Q1315">
        <v>2</v>
      </c>
      <c r="R1315" s="24">
        <v>46032</v>
      </c>
      <c r="T1315" t="s">
        <v>38</v>
      </c>
      <c r="V1315" t="s">
        <v>921</v>
      </c>
      <c r="X1315" t="s">
        <v>81</v>
      </c>
      <c r="Z1315" t="s">
        <v>924</v>
      </c>
      <c r="AA1315" t="s">
        <v>39</v>
      </c>
      <c r="AC1315" t="s">
        <v>1024</v>
      </c>
    </row>
    <row r="1316" spans="1:29" hidden="1" x14ac:dyDescent="0.25">
      <c r="A1316">
        <v>291</v>
      </c>
      <c r="B1316" t="s">
        <v>404</v>
      </c>
      <c r="C1316" t="s">
        <v>77</v>
      </c>
      <c r="D1316" t="s">
        <v>405</v>
      </c>
      <c r="E1316">
        <v>10</v>
      </c>
      <c r="F1316">
        <v>120</v>
      </c>
      <c r="G1316">
        <v>220</v>
      </c>
      <c r="H1316">
        <v>5</v>
      </c>
      <c r="I1316">
        <v>2.0099999999999998</v>
      </c>
      <c r="J1316">
        <v>10.06</v>
      </c>
      <c r="K1316" t="s">
        <v>360</v>
      </c>
      <c r="L1316" t="s">
        <v>1023</v>
      </c>
      <c r="N1316" t="s">
        <v>228</v>
      </c>
      <c r="Q1316">
        <v>2</v>
      </c>
      <c r="R1316" s="24">
        <v>46032</v>
      </c>
      <c r="T1316" t="s">
        <v>38</v>
      </c>
      <c r="V1316" t="s">
        <v>921</v>
      </c>
      <c r="W1316" t="s">
        <v>81</v>
      </c>
      <c r="Z1316" t="s">
        <v>924</v>
      </c>
      <c r="AA1316" t="s">
        <v>39</v>
      </c>
      <c r="AC1316" t="s">
        <v>1024</v>
      </c>
    </row>
    <row r="1317" spans="1:29" hidden="1" x14ac:dyDescent="0.25">
      <c r="A1317">
        <v>292</v>
      </c>
      <c r="B1317" t="s">
        <v>416</v>
      </c>
      <c r="C1317" t="s">
        <v>77</v>
      </c>
      <c r="D1317" t="s">
        <v>414</v>
      </c>
      <c r="E1317">
        <v>10</v>
      </c>
      <c r="F1317">
        <v>100</v>
      </c>
      <c r="G1317">
        <v>100</v>
      </c>
      <c r="H1317">
        <v>1</v>
      </c>
      <c r="I1317">
        <v>0.39</v>
      </c>
      <c r="J1317">
        <v>0.39</v>
      </c>
      <c r="K1317" t="s">
        <v>360</v>
      </c>
      <c r="L1317" t="s">
        <v>1023</v>
      </c>
      <c r="N1317" t="s">
        <v>228</v>
      </c>
      <c r="Q1317">
        <v>2</v>
      </c>
      <c r="R1317" s="24">
        <v>46032</v>
      </c>
      <c r="T1317" t="s">
        <v>38</v>
      </c>
      <c r="V1317" t="s">
        <v>921</v>
      </c>
      <c r="X1317" t="s">
        <v>81</v>
      </c>
      <c r="Z1317" t="s">
        <v>924</v>
      </c>
      <c r="AA1317" t="s">
        <v>39</v>
      </c>
      <c r="AC1317" t="s">
        <v>1024</v>
      </c>
    </row>
    <row r="1318" spans="1:29" hidden="1" x14ac:dyDescent="0.25">
      <c r="A1318">
        <v>293</v>
      </c>
      <c r="B1318" t="s">
        <v>417</v>
      </c>
      <c r="C1318" t="s">
        <v>77</v>
      </c>
      <c r="D1318" t="s">
        <v>418</v>
      </c>
      <c r="E1318">
        <v>10</v>
      </c>
      <c r="F1318">
        <v>200</v>
      </c>
      <c r="G1318">
        <v>12000</v>
      </c>
      <c r="H1318">
        <v>4</v>
      </c>
      <c r="I1318">
        <v>188.4</v>
      </c>
      <c r="J1318">
        <v>753.62</v>
      </c>
      <c r="K1318" t="s">
        <v>360</v>
      </c>
      <c r="L1318" t="s">
        <v>1023</v>
      </c>
      <c r="Q1318">
        <v>2</v>
      </c>
      <c r="R1318" s="24">
        <v>46032</v>
      </c>
      <c r="T1318" t="s">
        <v>38</v>
      </c>
      <c r="V1318" t="s">
        <v>921</v>
      </c>
      <c r="Y1318" t="s">
        <v>81</v>
      </c>
      <c r="Z1318" t="s">
        <v>924</v>
      </c>
      <c r="AA1318" t="s">
        <v>39</v>
      </c>
      <c r="AC1318" t="s">
        <v>1024</v>
      </c>
    </row>
    <row r="1319" spans="1:29" hidden="1" x14ac:dyDescent="0.25">
      <c r="A1319">
        <v>294</v>
      </c>
      <c r="B1319" t="s">
        <v>419</v>
      </c>
      <c r="C1319" t="s">
        <v>77</v>
      </c>
      <c r="D1319" t="s">
        <v>420</v>
      </c>
      <c r="E1319">
        <v>10</v>
      </c>
      <c r="F1319">
        <v>200</v>
      </c>
      <c r="G1319">
        <v>3586</v>
      </c>
      <c r="H1319">
        <v>2</v>
      </c>
      <c r="I1319">
        <v>56.3</v>
      </c>
      <c r="J1319">
        <v>112.6</v>
      </c>
      <c r="K1319" t="s">
        <v>360</v>
      </c>
      <c r="L1319" t="s">
        <v>1023</v>
      </c>
      <c r="Q1319">
        <v>2</v>
      </c>
      <c r="R1319" s="24">
        <v>46032</v>
      </c>
      <c r="T1319" t="s">
        <v>38</v>
      </c>
      <c r="V1319" t="s">
        <v>921</v>
      </c>
      <c r="Y1319" t="s">
        <v>81</v>
      </c>
      <c r="Z1319" t="s">
        <v>924</v>
      </c>
      <c r="AA1319" t="s">
        <v>39</v>
      </c>
      <c r="AC1319" t="s">
        <v>1024</v>
      </c>
    </row>
    <row r="1320" spans="1:29" hidden="1" x14ac:dyDescent="0.25">
      <c r="A1320">
        <v>295</v>
      </c>
      <c r="B1320" t="s">
        <v>421</v>
      </c>
      <c r="C1320" t="s">
        <v>77</v>
      </c>
      <c r="D1320" t="s">
        <v>422</v>
      </c>
      <c r="E1320">
        <v>10</v>
      </c>
      <c r="F1320">
        <v>230</v>
      </c>
      <c r="G1320">
        <v>3586</v>
      </c>
      <c r="H1320">
        <v>1</v>
      </c>
      <c r="I1320">
        <v>64.75</v>
      </c>
      <c r="J1320">
        <v>64.75</v>
      </c>
      <c r="K1320" t="s">
        <v>360</v>
      </c>
      <c r="L1320" t="s">
        <v>1023</v>
      </c>
      <c r="Q1320">
        <v>2</v>
      </c>
      <c r="R1320" s="24">
        <v>46032</v>
      </c>
      <c r="T1320" t="s">
        <v>38</v>
      </c>
      <c r="V1320" t="s">
        <v>921</v>
      </c>
      <c r="Y1320" t="s">
        <v>81</v>
      </c>
      <c r="Z1320" t="s">
        <v>924</v>
      </c>
      <c r="AA1320" t="s">
        <v>39</v>
      </c>
      <c r="AC1320" t="s">
        <v>1024</v>
      </c>
    </row>
    <row r="1321" spans="1:29" hidden="1" x14ac:dyDescent="0.25">
      <c r="A1321">
        <v>296</v>
      </c>
      <c r="B1321" t="s">
        <v>423</v>
      </c>
      <c r="C1321" t="s">
        <v>77</v>
      </c>
      <c r="D1321" t="s">
        <v>414</v>
      </c>
      <c r="E1321">
        <v>10</v>
      </c>
      <c r="F1321">
        <v>100</v>
      </c>
      <c r="G1321">
        <v>100</v>
      </c>
      <c r="H1321">
        <v>4</v>
      </c>
      <c r="I1321">
        <v>0.4</v>
      </c>
      <c r="J1321">
        <v>1.58</v>
      </c>
      <c r="K1321" t="s">
        <v>360</v>
      </c>
      <c r="L1321" t="s">
        <v>1023</v>
      </c>
      <c r="N1321" t="s">
        <v>228</v>
      </c>
      <c r="Q1321">
        <v>2</v>
      </c>
      <c r="R1321" s="24">
        <v>46032</v>
      </c>
      <c r="T1321" t="s">
        <v>38</v>
      </c>
      <c r="V1321" t="s">
        <v>921</v>
      </c>
      <c r="X1321" t="s">
        <v>81</v>
      </c>
      <c r="Z1321" t="s">
        <v>924</v>
      </c>
      <c r="AA1321" t="s">
        <v>39</v>
      </c>
      <c r="AC1321" t="s">
        <v>1024</v>
      </c>
    </row>
    <row r="1322" spans="1:29" hidden="1" x14ac:dyDescent="0.25">
      <c r="A1322">
        <v>297</v>
      </c>
      <c r="B1322" t="s">
        <v>389</v>
      </c>
      <c r="C1322" t="s">
        <v>77</v>
      </c>
      <c r="D1322" t="s">
        <v>390</v>
      </c>
      <c r="E1322">
        <v>10</v>
      </c>
      <c r="F1322">
        <v>200</v>
      </c>
      <c r="G1322">
        <v>9518</v>
      </c>
      <c r="H1322">
        <v>1</v>
      </c>
      <c r="I1322">
        <v>149.43</v>
      </c>
      <c r="J1322">
        <v>149.43</v>
      </c>
      <c r="K1322" t="s">
        <v>360</v>
      </c>
      <c r="L1322" t="s">
        <v>1025</v>
      </c>
      <c r="Q1322">
        <v>2</v>
      </c>
      <c r="R1322" s="24">
        <v>46032</v>
      </c>
      <c r="T1322" t="s">
        <v>38</v>
      </c>
      <c r="V1322" t="s">
        <v>921</v>
      </c>
      <c r="Y1322" t="s">
        <v>81</v>
      </c>
      <c r="Z1322" t="s">
        <v>924</v>
      </c>
      <c r="AA1322" t="s">
        <v>39</v>
      </c>
      <c r="AC1322" t="s">
        <v>1026</v>
      </c>
    </row>
    <row r="1323" spans="1:29" hidden="1" x14ac:dyDescent="0.25">
      <c r="A1323">
        <v>298</v>
      </c>
      <c r="B1323" t="s">
        <v>426</v>
      </c>
      <c r="C1323" t="s">
        <v>77</v>
      </c>
      <c r="D1323" t="s">
        <v>412</v>
      </c>
      <c r="E1323">
        <v>10</v>
      </c>
      <c r="F1323">
        <v>532</v>
      </c>
      <c r="G1323">
        <v>4080</v>
      </c>
      <c r="H1323">
        <v>2</v>
      </c>
      <c r="I1323">
        <v>168.27</v>
      </c>
      <c r="J1323">
        <v>336.54</v>
      </c>
      <c r="K1323" t="s">
        <v>360</v>
      </c>
      <c r="L1323" t="s">
        <v>1025</v>
      </c>
      <c r="O1323" t="s">
        <v>81</v>
      </c>
      <c r="P1323" t="s">
        <v>81</v>
      </c>
      <c r="Q1323">
        <v>2</v>
      </c>
      <c r="R1323" s="24">
        <v>46032</v>
      </c>
      <c r="T1323" t="s">
        <v>38</v>
      </c>
      <c r="V1323" t="s">
        <v>921</v>
      </c>
      <c r="Z1323" t="s">
        <v>924</v>
      </c>
      <c r="AA1323" t="s">
        <v>39</v>
      </c>
      <c r="AC1323" t="s">
        <v>1026</v>
      </c>
    </row>
    <row r="1324" spans="1:29" hidden="1" x14ac:dyDescent="0.25">
      <c r="A1324">
        <v>299</v>
      </c>
      <c r="B1324" t="s">
        <v>427</v>
      </c>
      <c r="C1324" t="s">
        <v>77</v>
      </c>
      <c r="D1324" t="s">
        <v>428</v>
      </c>
      <c r="E1324">
        <v>10</v>
      </c>
      <c r="F1324">
        <v>280</v>
      </c>
      <c r="G1324">
        <v>349</v>
      </c>
      <c r="H1324">
        <v>8</v>
      </c>
      <c r="I1324">
        <v>5.3</v>
      </c>
      <c r="J1324">
        <v>42.42</v>
      </c>
      <c r="K1324" t="s">
        <v>360</v>
      </c>
      <c r="L1324" t="s">
        <v>1025</v>
      </c>
      <c r="Q1324">
        <v>2</v>
      </c>
      <c r="R1324" s="24">
        <v>46032</v>
      </c>
      <c r="T1324" t="s">
        <v>38</v>
      </c>
      <c r="V1324" t="s">
        <v>921</v>
      </c>
      <c r="W1324" t="s">
        <v>81</v>
      </c>
      <c r="Z1324" t="s">
        <v>924</v>
      </c>
      <c r="AA1324" t="s">
        <v>39</v>
      </c>
      <c r="AC1324" t="s">
        <v>1026</v>
      </c>
    </row>
    <row r="1325" spans="1:29" hidden="1" x14ac:dyDescent="0.25">
      <c r="A1325">
        <v>300</v>
      </c>
      <c r="B1325" t="s">
        <v>429</v>
      </c>
      <c r="C1325" t="s">
        <v>77</v>
      </c>
      <c r="D1325" t="s">
        <v>402</v>
      </c>
      <c r="E1325">
        <v>10</v>
      </c>
      <c r="F1325">
        <v>80</v>
      </c>
      <c r="G1325">
        <v>120</v>
      </c>
      <c r="H1325">
        <v>1</v>
      </c>
      <c r="I1325">
        <v>0.72</v>
      </c>
      <c r="J1325">
        <v>0.72</v>
      </c>
      <c r="K1325" t="s">
        <v>360</v>
      </c>
      <c r="L1325" t="s">
        <v>1025</v>
      </c>
      <c r="N1325" t="s">
        <v>228</v>
      </c>
      <c r="Q1325">
        <v>2</v>
      </c>
      <c r="R1325" s="24">
        <v>46032</v>
      </c>
      <c r="T1325" t="s">
        <v>38</v>
      </c>
      <c r="V1325" t="s">
        <v>921</v>
      </c>
      <c r="W1325" t="s">
        <v>81</v>
      </c>
      <c r="Z1325" t="s">
        <v>924</v>
      </c>
      <c r="AA1325" t="s">
        <v>39</v>
      </c>
      <c r="AC1325" t="s">
        <v>1026</v>
      </c>
    </row>
    <row r="1326" spans="1:29" hidden="1" x14ac:dyDescent="0.25">
      <c r="A1326">
        <v>301</v>
      </c>
      <c r="B1326" t="s">
        <v>430</v>
      </c>
      <c r="C1326" t="s">
        <v>77</v>
      </c>
      <c r="D1326" t="s">
        <v>431</v>
      </c>
      <c r="E1326">
        <v>10</v>
      </c>
      <c r="F1326">
        <v>120</v>
      </c>
      <c r="G1326">
        <v>250</v>
      </c>
      <c r="H1326">
        <v>1</v>
      </c>
      <c r="I1326">
        <v>2.36</v>
      </c>
      <c r="J1326">
        <v>2.36</v>
      </c>
      <c r="K1326" t="s">
        <v>360</v>
      </c>
      <c r="L1326" t="s">
        <v>1025</v>
      </c>
      <c r="Q1326">
        <v>2</v>
      </c>
      <c r="R1326" s="24">
        <v>46032</v>
      </c>
      <c r="T1326" t="s">
        <v>38</v>
      </c>
      <c r="V1326" t="s">
        <v>921</v>
      </c>
      <c r="W1326" t="s">
        <v>81</v>
      </c>
      <c r="Z1326" t="s">
        <v>924</v>
      </c>
      <c r="AA1326" t="s">
        <v>39</v>
      </c>
      <c r="AC1326" t="s">
        <v>1026</v>
      </c>
    </row>
    <row r="1327" spans="1:29" hidden="1" x14ac:dyDescent="0.25">
      <c r="A1327">
        <v>302</v>
      </c>
      <c r="B1327" t="s">
        <v>432</v>
      </c>
      <c r="C1327" t="s">
        <v>77</v>
      </c>
      <c r="D1327" t="s">
        <v>433</v>
      </c>
      <c r="E1327">
        <v>10</v>
      </c>
      <c r="F1327">
        <v>105</v>
      </c>
      <c r="G1327">
        <v>195</v>
      </c>
      <c r="H1327">
        <v>1</v>
      </c>
      <c r="I1327">
        <v>1.02</v>
      </c>
      <c r="J1327">
        <v>1.02</v>
      </c>
      <c r="K1327" t="s">
        <v>360</v>
      </c>
      <c r="L1327" t="s">
        <v>1025</v>
      </c>
      <c r="Q1327">
        <v>2</v>
      </c>
      <c r="R1327" s="24">
        <v>46032</v>
      </c>
      <c r="T1327" t="s">
        <v>38</v>
      </c>
      <c r="V1327" t="s">
        <v>921</v>
      </c>
      <c r="W1327" t="s">
        <v>81</v>
      </c>
      <c r="Z1327" t="s">
        <v>924</v>
      </c>
      <c r="AA1327" t="s">
        <v>39</v>
      </c>
      <c r="AC1327" t="s">
        <v>1026</v>
      </c>
    </row>
    <row r="1328" spans="1:29" hidden="1" x14ac:dyDescent="0.25">
      <c r="A1328">
        <v>303</v>
      </c>
      <c r="B1328" t="s">
        <v>434</v>
      </c>
      <c r="C1328" t="s">
        <v>77</v>
      </c>
      <c r="D1328" t="s">
        <v>435</v>
      </c>
      <c r="E1328">
        <v>10</v>
      </c>
      <c r="F1328">
        <v>148</v>
      </c>
      <c r="G1328">
        <v>324</v>
      </c>
      <c r="H1328">
        <v>2</v>
      </c>
      <c r="I1328">
        <v>3.7</v>
      </c>
      <c r="J1328">
        <v>7.4</v>
      </c>
      <c r="K1328" t="s">
        <v>360</v>
      </c>
      <c r="L1328" t="s">
        <v>1025</v>
      </c>
      <c r="Q1328">
        <v>2</v>
      </c>
      <c r="R1328" s="24">
        <v>46032</v>
      </c>
      <c r="T1328" t="s">
        <v>38</v>
      </c>
      <c r="V1328" t="s">
        <v>921</v>
      </c>
      <c r="W1328" t="s">
        <v>81</v>
      </c>
      <c r="Z1328" t="s">
        <v>924</v>
      </c>
      <c r="AA1328" t="s">
        <v>39</v>
      </c>
      <c r="AC1328" t="s">
        <v>1026</v>
      </c>
    </row>
    <row r="1329" spans="1:29" hidden="1" x14ac:dyDescent="0.25">
      <c r="A1329">
        <v>304</v>
      </c>
      <c r="B1329" t="s">
        <v>436</v>
      </c>
      <c r="C1329" t="s">
        <v>77</v>
      </c>
      <c r="D1329" t="s">
        <v>387</v>
      </c>
      <c r="E1329">
        <v>10</v>
      </c>
      <c r="F1329">
        <v>148</v>
      </c>
      <c r="G1329">
        <v>441</v>
      </c>
      <c r="H1329">
        <v>9</v>
      </c>
      <c r="I1329">
        <v>5.0599999999999996</v>
      </c>
      <c r="J1329">
        <v>45.55</v>
      </c>
      <c r="K1329" t="s">
        <v>360</v>
      </c>
      <c r="L1329" t="s">
        <v>1025</v>
      </c>
      <c r="Q1329">
        <v>2</v>
      </c>
      <c r="R1329" s="24">
        <v>46032</v>
      </c>
      <c r="T1329" t="s">
        <v>38</v>
      </c>
      <c r="V1329" t="s">
        <v>921</v>
      </c>
      <c r="W1329" t="s">
        <v>81</v>
      </c>
      <c r="Z1329" t="s">
        <v>924</v>
      </c>
      <c r="AA1329" t="s">
        <v>39</v>
      </c>
      <c r="AC1329" t="s">
        <v>1026</v>
      </c>
    </row>
    <row r="1330" spans="1:29" hidden="1" x14ac:dyDescent="0.25">
      <c r="A1330">
        <v>305</v>
      </c>
      <c r="B1330" t="s">
        <v>437</v>
      </c>
      <c r="C1330" t="s">
        <v>77</v>
      </c>
      <c r="D1330" t="s">
        <v>387</v>
      </c>
      <c r="E1330">
        <v>10</v>
      </c>
      <c r="F1330">
        <v>148</v>
      </c>
      <c r="G1330">
        <v>441</v>
      </c>
      <c r="H1330">
        <v>13</v>
      </c>
      <c r="I1330">
        <v>5.0599999999999996</v>
      </c>
      <c r="J1330">
        <v>65.790000000000006</v>
      </c>
      <c r="K1330" t="s">
        <v>360</v>
      </c>
      <c r="L1330" t="s">
        <v>1025</v>
      </c>
      <c r="Q1330">
        <v>2</v>
      </c>
      <c r="R1330" s="24">
        <v>46032</v>
      </c>
      <c r="T1330" t="s">
        <v>38</v>
      </c>
      <c r="V1330" t="s">
        <v>921</v>
      </c>
      <c r="W1330" t="s">
        <v>81</v>
      </c>
      <c r="Z1330" t="s">
        <v>924</v>
      </c>
      <c r="AA1330" t="s">
        <v>39</v>
      </c>
      <c r="AC1330" t="s">
        <v>1026</v>
      </c>
    </row>
    <row r="1331" spans="1:29" hidden="1" x14ac:dyDescent="0.25">
      <c r="A1331">
        <v>306</v>
      </c>
      <c r="B1331" t="s">
        <v>400</v>
      </c>
      <c r="C1331" t="s">
        <v>77</v>
      </c>
      <c r="D1331" t="s">
        <v>387</v>
      </c>
      <c r="E1331">
        <v>10</v>
      </c>
      <c r="F1331">
        <v>148</v>
      </c>
      <c r="G1331">
        <v>441</v>
      </c>
      <c r="H1331">
        <v>2</v>
      </c>
      <c r="I1331">
        <v>5.0599999999999996</v>
      </c>
      <c r="J1331">
        <v>10.119999999999999</v>
      </c>
      <c r="K1331" t="s">
        <v>360</v>
      </c>
      <c r="L1331" t="s">
        <v>1025</v>
      </c>
      <c r="Q1331">
        <v>2</v>
      </c>
      <c r="R1331" s="24">
        <v>46032</v>
      </c>
      <c r="T1331" t="s">
        <v>38</v>
      </c>
      <c r="V1331" t="s">
        <v>921</v>
      </c>
      <c r="W1331" t="s">
        <v>81</v>
      </c>
      <c r="Z1331" t="s">
        <v>924</v>
      </c>
      <c r="AA1331" t="s">
        <v>39</v>
      </c>
      <c r="AC1331" t="s">
        <v>1026</v>
      </c>
    </row>
    <row r="1332" spans="1:29" hidden="1" x14ac:dyDescent="0.25">
      <c r="A1332">
        <v>307</v>
      </c>
      <c r="B1332" t="s">
        <v>401</v>
      </c>
      <c r="C1332" t="s">
        <v>77</v>
      </c>
      <c r="D1332" t="s">
        <v>402</v>
      </c>
      <c r="E1332">
        <v>10</v>
      </c>
      <c r="F1332">
        <v>80</v>
      </c>
      <c r="G1332">
        <v>120</v>
      </c>
      <c r="H1332">
        <v>5</v>
      </c>
      <c r="I1332">
        <v>0.72</v>
      </c>
      <c r="J1332">
        <v>3.62</v>
      </c>
      <c r="K1332" t="s">
        <v>360</v>
      </c>
      <c r="L1332" t="s">
        <v>1025</v>
      </c>
      <c r="N1332" t="s">
        <v>228</v>
      </c>
      <c r="Q1332">
        <v>2</v>
      </c>
      <c r="R1332" s="24">
        <v>46032</v>
      </c>
      <c r="T1332" t="s">
        <v>38</v>
      </c>
      <c r="V1332" t="s">
        <v>921</v>
      </c>
      <c r="W1332" t="s">
        <v>81</v>
      </c>
      <c r="Z1332" t="s">
        <v>924</v>
      </c>
      <c r="AA1332" t="s">
        <v>39</v>
      </c>
      <c r="AC1332" t="s">
        <v>1026</v>
      </c>
    </row>
    <row r="1333" spans="1:29" hidden="1" x14ac:dyDescent="0.25">
      <c r="A1333">
        <v>308</v>
      </c>
      <c r="B1333" t="s">
        <v>438</v>
      </c>
      <c r="C1333" t="s">
        <v>77</v>
      </c>
      <c r="D1333" t="s">
        <v>405</v>
      </c>
      <c r="E1333">
        <v>10</v>
      </c>
      <c r="F1333">
        <v>120</v>
      </c>
      <c r="G1333">
        <v>220</v>
      </c>
      <c r="H1333">
        <v>6</v>
      </c>
      <c r="I1333">
        <v>2.0099999999999998</v>
      </c>
      <c r="J1333">
        <v>12.08</v>
      </c>
      <c r="K1333" t="s">
        <v>360</v>
      </c>
      <c r="L1333" t="s">
        <v>1025</v>
      </c>
      <c r="N1333" t="s">
        <v>228</v>
      </c>
      <c r="Q1333">
        <v>2</v>
      </c>
      <c r="R1333" s="24">
        <v>46032</v>
      </c>
      <c r="T1333" t="s">
        <v>38</v>
      </c>
      <c r="V1333" t="s">
        <v>921</v>
      </c>
      <c r="W1333" t="s">
        <v>81</v>
      </c>
      <c r="Z1333" t="s">
        <v>924</v>
      </c>
      <c r="AA1333" t="s">
        <v>39</v>
      </c>
      <c r="AC1333" t="s">
        <v>1026</v>
      </c>
    </row>
    <row r="1334" spans="1:29" hidden="1" x14ac:dyDescent="0.25">
      <c r="A1334">
        <v>309</v>
      </c>
      <c r="B1334" t="s">
        <v>439</v>
      </c>
      <c r="C1334" t="s">
        <v>77</v>
      </c>
      <c r="D1334" t="s">
        <v>440</v>
      </c>
      <c r="E1334">
        <v>10</v>
      </c>
      <c r="F1334">
        <v>350</v>
      </c>
      <c r="G1334">
        <v>4580</v>
      </c>
      <c r="H1334">
        <v>1</v>
      </c>
      <c r="I1334">
        <v>125.84</v>
      </c>
      <c r="J1334">
        <v>125.84</v>
      </c>
      <c r="K1334" t="s">
        <v>360</v>
      </c>
      <c r="L1334" t="s">
        <v>1025</v>
      </c>
      <c r="P1334" t="s">
        <v>81</v>
      </c>
      <c r="Q1334">
        <v>2</v>
      </c>
      <c r="R1334" s="24">
        <v>46032</v>
      </c>
      <c r="T1334" t="s">
        <v>38</v>
      </c>
      <c r="V1334" t="s">
        <v>921</v>
      </c>
      <c r="Y1334" t="s">
        <v>81</v>
      </c>
      <c r="Z1334" t="s">
        <v>924</v>
      </c>
      <c r="AA1334" t="s">
        <v>39</v>
      </c>
      <c r="AC1334" t="s">
        <v>1026</v>
      </c>
    </row>
    <row r="1335" spans="1:29" hidden="1" x14ac:dyDescent="0.25">
      <c r="A1335">
        <v>310</v>
      </c>
      <c r="B1335" t="s">
        <v>441</v>
      </c>
      <c r="C1335" t="s">
        <v>77</v>
      </c>
      <c r="D1335" t="s">
        <v>407</v>
      </c>
      <c r="E1335">
        <v>10</v>
      </c>
      <c r="F1335">
        <v>380</v>
      </c>
      <c r="G1335">
        <v>4577</v>
      </c>
      <c r="H1335">
        <v>2</v>
      </c>
      <c r="I1335">
        <v>135.07</v>
      </c>
      <c r="J1335">
        <v>270.14999999999998</v>
      </c>
      <c r="K1335" t="s">
        <v>360</v>
      </c>
      <c r="L1335" t="s">
        <v>1025</v>
      </c>
      <c r="Q1335">
        <v>2</v>
      </c>
      <c r="R1335" s="24">
        <v>46032</v>
      </c>
      <c r="T1335" t="s">
        <v>38</v>
      </c>
      <c r="V1335" t="s">
        <v>921</v>
      </c>
      <c r="Y1335" t="s">
        <v>81</v>
      </c>
      <c r="Z1335" t="s">
        <v>924</v>
      </c>
      <c r="AA1335" t="s">
        <v>39</v>
      </c>
      <c r="AC1335" t="s">
        <v>1026</v>
      </c>
    </row>
    <row r="1336" spans="1:29" hidden="1" x14ac:dyDescent="0.25">
      <c r="A1336">
        <v>311</v>
      </c>
      <c r="B1336" t="s">
        <v>404</v>
      </c>
      <c r="C1336" t="s">
        <v>77</v>
      </c>
      <c r="D1336" t="s">
        <v>405</v>
      </c>
      <c r="E1336">
        <v>10</v>
      </c>
      <c r="F1336">
        <v>120</v>
      </c>
      <c r="G1336">
        <v>220</v>
      </c>
      <c r="H1336">
        <v>5</v>
      </c>
      <c r="I1336">
        <v>2.0099999999999998</v>
      </c>
      <c r="J1336">
        <v>10.06</v>
      </c>
      <c r="K1336" t="s">
        <v>360</v>
      </c>
      <c r="L1336" t="s">
        <v>1025</v>
      </c>
      <c r="N1336" t="s">
        <v>228</v>
      </c>
      <c r="Q1336">
        <v>2</v>
      </c>
      <c r="R1336" s="24">
        <v>46032</v>
      </c>
      <c r="T1336" t="s">
        <v>38</v>
      </c>
      <c r="V1336" t="s">
        <v>921</v>
      </c>
      <c r="W1336" t="s">
        <v>81</v>
      </c>
      <c r="Z1336" t="s">
        <v>924</v>
      </c>
      <c r="AA1336" t="s">
        <v>39</v>
      </c>
      <c r="AC1336" t="s">
        <v>1026</v>
      </c>
    </row>
    <row r="1337" spans="1:29" hidden="1" x14ac:dyDescent="0.25">
      <c r="A1337">
        <v>312</v>
      </c>
      <c r="B1337" t="s">
        <v>442</v>
      </c>
      <c r="C1337" t="s">
        <v>77</v>
      </c>
      <c r="D1337" t="s">
        <v>440</v>
      </c>
      <c r="E1337">
        <v>10</v>
      </c>
      <c r="F1337">
        <v>350</v>
      </c>
      <c r="G1337">
        <v>4580</v>
      </c>
      <c r="H1337">
        <v>1</v>
      </c>
      <c r="I1337">
        <v>125.84</v>
      </c>
      <c r="J1337">
        <v>125.84</v>
      </c>
      <c r="K1337" t="s">
        <v>360</v>
      </c>
      <c r="L1337" t="s">
        <v>1025</v>
      </c>
      <c r="P1337" t="s">
        <v>81</v>
      </c>
      <c r="Q1337">
        <v>2</v>
      </c>
      <c r="R1337" s="24">
        <v>46032</v>
      </c>
      <c r="T1337" t="s">
        <v>38</v>
      </c>
      <c r="V1337" t="s">
        <v>921</v>
      </c>
      <c r="Y1337" t="s">
        <v>81</v>
      </c>
      <c r="Z1337" t="s">
        <v>924</v>
      </c>
      <c r="AA1337" t="s">
        <v>39</v>
      </c>
      <c r="AC1337" t="s">
        <v>1026</v>
      </c>
    </row>
    <row r="1338" spans="1:29" hidden="1" x14ac:dyDescent="0.25">
      <c r="A1338">
        <v>313</v>
      </c>
      <c r="B1338" t="s">
        <v>416</v>
      </c>
      <c r="C1338" t="s">
        <v>77</v>
      </c>
      <c r="D1338" t="s">
        <v>414</v>
      </c>
      <c r="E1338">
        <v>10</v>
      </c>
      <c r="F1338">
        <v>100</v>
      </c>
      <c r="G1338">
        <v>100</v>
      </c>
      <c r="H1338">
        <v>1</v>
      </c>
      <c r="I1338">
        <v>0.39</v>
      </c>
      <c r="J1338">
        <v>0.39</v>
      </c>
      <c r="K1338" t="s">
        <v>360</v>
      </c>
      <c r="L1338" t="s">
        <v>1025</v>
      </c>
      <c r="N1338" t="s">
        <v>228</v>
      </c>
      <c r="Q1338">
        <v>2</v>
      </c>
      <c r="R1338" s="24">
        <v>46032</v>
      </c>
      <c r="T1338" t="s">
        <v>38</v>
      </c>
      <c r="V1338" t="s">
        <v>921</v>
      </c>
      <c r="X1338" t="s">
        <v>81</v>
      </c>
      <c r="Z1338" t="s">
        <v>924</v>
      </c>
      <c r="AA1338" t="s">
        <v>39</v>
      </c>
      <c r="AC1338" t="s">
        <v>1026</v>
      </c>
    </row>
    <row r="1339" spans="1:29" hidden="1" x14ac:dyDescent="0.25">
      <c r="A1339">
        <v>314</v>
      </c>
      <c r="B1339" t="s">
        <v>421</v>
      </c>
      <c r="C1339" t="s">
        <v>77</v>
      </c>
      <c r="D1339" t="s">
        <v>422</v>
      </c>
      <c r="E1339">
        <v>10</v>
      </c>
      <c r="F1339">
        <v>230</v>
      </c>
      <c r="G1339">
        <v>3586</v>
      </c>
      <c r="H1339">
        <v>2</v>
      </c>
      <c r="I1339">
        <v>64.739999999999995</v>
      </c>
      <c r="J1339">
        <v>129.49</v>
      </c>
      <c r="K1339" t="s">
        <v>360</v>
      </c>
      <c r="L1339" t="s">
        <v>1025</v>
      </c>
      <c r="Q1339">
        <v>2</v>
      </c>
      <c r="R1339" s="24">
        <v>46032</v>
      </c>
      <c r="T1339" t="s">
        <v>38</v>
      </c>
      <c r="V1339" t="s">
        <v>921</v>
      </c>
      <c r="Y1339" t="s">
        <v>81</v>
      </c>
      <c r="Z1339" t="s">
        <v>924</v>
      </c>
      <c r="AA1339" t="s">
        <v>39</v>
      </c>
      <c r="AC1339" t="s">
        <v>1026</v>
      </c>
    </row>
    <row r="1340" spans="1:29" hidden="1" x14ac:dyDescent="0.25">
      <c r="A1340">
        <v>315</v>
      </c>
      <c r="B1340" t="s">
        <v>429</v>
      </c>
      <c r="C1340" t="s">
        <v>77</v>
      </c>
      <c r="D1340" t="s">
        <v>402</v>
      </c>
      <c r="E1340">
        <v>10</v>
      </c>
      <c r="F1340">
        <v>80</v>
      </c>
      <c r="G1340">
        <v>120</v>
      </c>
      <c r="H1340">
        <v>1</v>
      </c>
      <c r="I1340">
        <v>0.72</v>
      </c>
      <c r="J1340">
        <v>0.72</v>
      </c>
      <c r="K1340" t="s">
        <v>360</v>
      </c>
      <c r="L1340" t="s">
        <v>1027</v>
      </c>
      <c r="N1340" t="s">
        <v>228</v>
      </c>
      <c r="Q1340">
        <v>2</v>
      </c>
      <c r="R1340" s="24">
        <v>46032</v>
      </c>
      <c r="T1340" t="s">
        <v>38</v>
      </c>
      <c r="V1340" t="s">
        <v>921</v>
      </c>
      <c r="W1340" t="s">
        <v>81</v>
      </c>
      <c r="Z1340" t="s">
        <v>924</v>
      </c>
      <c r="AA1340" t="s">
        <v>39</v>
      </c>
      <c r="AC1340" t="s">
        <v>1028</v>
      </c>
    </row>
    <row r="1341" spans="1:29" hidden="1" x14ac:dyDescent="0.25">
      <c r="A1341">
        <v>316</v>
      </c>
      <c r="B1341" t="s">
        <v>445</v>
      </c>
      <c r="C1341" t="s">
        <v>77</v>
      </c>
      <c r="D1341" t="s">
        <v>435</v>
      </c>
      <c r="E1341">
        <v>10</v>
      </c>
      <c r="F1341">
        <v>148</v>
      </c>
      <c r="G1341">
        <v>324</v>
      </c>
      <c r="H1341">
        <v>26</v>
      </c>
      <c r="I1341">
        <v>3.7</v>
      </c>
      <c r="J1341">
        <v>96.24</v>
      </c>
      <c r="K1341" t="s">
        <v>360</v>
      </c>
      <c r="L1341" t="s">
        <v>1027</v>
      </c>
      <c r="Q1341">
        <v>2</v>
      </c>
      <c r="R1341" s="24">
        <v>46032</v>
      </c>
      <c r="T1341" t="s">
        <v>38</v>
      </c>
      <c r="V1341" t="s">
        <v>921</v>
      </c>
      <c r="W1341" t="s">
        <v>81</v>
      </c>
      <c r="Z1341" t="s">
        <v>924</v>
      </c>
      <c r="AA1341" t="s">
        <v>39</v>
      </c>
      <c r="AC1341" t="s">
        <v>1028</v>
      </c>
    </row>
    <row r="1342" spans="1:29" hidden="1" x14ac:dyDescent="0.25">
      <c r="A1342">
        <v>317</v>
      </c>
      <c r="B1342" t="s">
        <v>446</v>
      </c>
      <c r="C1342" t="s">
        <v>77</v>
      </c>
      <c r="D1342" t="s">
        <v>387</v>
      </c>
      <c r="E1342">
        <v>10</v>
      </c>
      <c r="F1342">
        <v>148</v>
      </c>
      <c r="G1342">
        <v>441</v>
      </c>
      <c r="H1342">
        <v>8</v>
      </c>
      <c r="I1342">
        <v>5.0599999999999996</v>
      </c>
      <c r="J1342">
        <v>40.49</v>
      </c>
      <c r="K1342" t="s">
        <v>360</v>
      </c>
      <c r="L1342" t="s">
        <v>1027</v>
      </c>
      <c r="Q1342">
        <v>2</v>
      </c>
      <c r="R1342" s="24">
        <v>46032</v>
      </c>
      <c r="T1342" t="s">
        <v>38</v>
      </c>
      <c r="V1342" t="s">
        <v>921</v>
      </c>
      <c r="W1342" t="s">
        <v>81</v>
      </c>
      <c r="Z1342" t="s">
        <v>924</v>
      </c>
      <c r="AA1342" t="s">
        <v>39</v>
      </c>
      <c r="AC1342" t="s">
        <v>1028</v>
      </c>
    </row>
    <row r="1343" spans="1:29" hidden="1" x14ac:dyDescent="0.25">
      <c r="A1343">
        <v>318</v>
      </c>
      <c r="B1343" t="s">
        <v>434</v>
      </c>
      <c r="C1343" t="s">
        <v>77</v>
      </c>
      <c r="D1343" t="s">
        <v>435</v>
      </c>
      <c r="E1343">
        <v>10</v>
      </c>
      <c r="F1343">
        <v>148</v>
      </c>
      <c r="G1343">
        <v>324</v>
      </c>
      <c r="H1343">
        <v>26</v>
      </c>
      <c r="I1343">
        <v>3.7</v>
      </c>
      <c r="J1343">
        <v>96.24</v>
      </c>
      <c r="K1343" t="s">
        <v>360</v>
      </c>
      <c r="L1343" t="s">
        <v>1027</v>
      </c>
      <c r="Q1343">
        <v>2</v>
      </c>
      <c r="R1343" s="24">
        <v>46032</v>
      </c>
      <c r="T1343" t="s">
        <v>38</v>
      </c>
      <c r="V1343" t="s">
        <v>921</v>
      </c>
      <c r="W1343" t="s">
        <v>81</v>
      </c>
      <c r="Z1343" t="s">
        <v>924</v>
      </c>
      <c r="AA1343" t="s">
        <v>39</v>
      </c>
      <c r="AC1343" t="s">
        <v>1028</v>
      </c>
    </row>
    <row r="1344" spans="1:29" hidden="1" x14ac:dyDescent="0.25">
      <c r="A1344">
        <v>319</v>
      </c>
      <c r="B1344" t="s">
        <v>436</v>
      </c>
      <c r="C1344" t="s">
        <v>77</v>
      </c>
      <c r="D1344" t="s">
        <v>387</v>
      </c>
      <c r="E1344">
        <v>10</v>
      </c>
      <c r="F1344">
        <v>148</v>
      </c>
      <c r="G1344">
        <v>441</v>
      </c>
      <c r="H1344">
        <v>12</v>
      </c>
      <c r="I1344">
        <v>5.0599999999999996</v>
      </c>
      <c r="J1344">
        <v>60.73</v>
      </c>
      <c r="K1344" t="s">
        <v>360</v>
      </c>
      <c r="L1344" t="s">
        <v>1027</v>
      </c>
      <c r="Q1344">
        <v>2</v>
      </c>
      <c r="R1344" s="24">
        <v>46032</v>
      </c>
      <c r="T1344" t="s">
        <v>38</v>
      </c>
      <c r="V1344" t="s">
        <v>921</v>
      </c>
      <c r="W1344" t="s">
        <v>81</v>
      </c>
      <c r="Z1344" t="s">
        <v>924</v>
      </c>
      <c r="AA1344" t="s">
        <v>39</v>
      </c>
      <c r="AC1344" t="s">
        <v>1028</v>
      </c>
    </row>
    <row r="1345" spans="1:29" hidden="1" x14ac:dyDescent="0.25">
      <c r="A1345">
        <v>320</v>
      </c>
      <c r="B1345" t="s">
        <v>438</v>
      </c>
      <c r="C1345" t="s">
        <v>77</v>
      </c>
      <c r="D1345" t="s">
        <v>405</v>
      </c>
      <c r="E1345">
        <v>10</v>
      </c>
      <c r="F1345">
        <v>120</v>
      </c>
      <c r="G1345">
        <v>220</v>
      </c>
      <c r="H1345">
        <v>2</v>
      </c>
      <c r="I1345">
        <v>2.02</v>
      </c>
      <c r="J1345">
        <v>4.03</v>
      </c>
      <c r="K1345" t="s">
        <v>360</v>
      </c>
      <c r="L1345" t="s">
        <v>1027</v>
      </c>
      <c r="N1345" t="s">
        <v>228</v>
      </c>
      <c r="Q1345">
        <v>2</v>
      </c>
      <c r="R1345" s="24">
        <v>46032</v>
      </c>
      <c r="T1345" t="s">
        <v>38</v>
      </c>
      <c r="V1345" t="s">
        <v>921</v>
      </c>
      <c r="W1345" t="s">
        <v>81</v>
      </c>
      <c r="Z1345" t="s">
        <v>924</v>
      </c>
      <c r="AA1345" t="s">
        <v>39</v>
      </c>
      <c r="AC1345" t="s">
        <v>1028</v>
      </c>
    </row>
    <row r="1346" spans="1:29" hidden="1" x14ac:dyDescent="0.25">
      <c r="A1346">
        <v>321</v>
      </c>
      <c r="B1346" t="s">
        <v>447</v>
      </c>
      <c r="C1346" t="s">
        <v>77</v>
      </c>
      <c r="D1346" t="s">
        <v>435</v>
      </c>
      <c r="E1346">
        <v>10</v>
      </c>
      <c r="F1346">
        <v>148</v>
      </c>
      <c r="G1346">
        <v>324</v>
      </c>
      <c r="H1346">
        <v>2</v>
      </c>
      <c r="I1346">
        <v>3.7</v>
      </c>
      <c r="J1346">
        <v>7.4</v>
      </c>
      <c r="K1346" t="s">
        <v>360</v>
      </c>
      <c r="L1346" t="s">
        <v>1027</v>
      </c>
      <c r="Q1346">
        <v>2</v>
      </c>
      <c r="R1346" s="24">
        <v>46032</v>
      </c>
      <c r="T1346" t="s">
        <v>38</v>
      </c>
      <c r="V1346" t="s">
        <v>921</v>
      </c>
      <c r="W1346" t="s">
        <v>81</v>
      </c>
      <c r="Z1346" t="s">
        <v>924</v>
      </c>
      <c r="AA1346" t="s">
        <v>39</v>
      </c>
      <c r="AC1346" t="s">
        <v>1028</v>
      </c>
    </row>
    <row r="1347" spans="1:29" hidden="1" x14ac:dyDescent="0.25">
      <c r="A1347">
        <v>322</v>
      </c>
      <c r="B1347" t="s">
        <v>448</v>
      </c>
      <c r="C1347" t="s">
        <v>77</v>
      </c>
      <c r="D1347" t="s">
        <v>407</v>
      </c>
      <c r="E1347">
        <v>10</v>
      </c>
      <c r="F1347">
        <v>380</v>
      </c>
      <c r="G1347">
        <v>4577</v>
      </c>
      <c r="H1347">
        <v>2</v>
      </c>
      <c r="I1347">
        <v>135.07</v>
      </c>
      <c r="J1347">
        <v>270.14999999999998</v>
      </c>
      <c r="K1347" t="s">
        <v>360</v>
      </c>
      <c r="L1347" t="s">
        <v>1027</v>
      </c>
      <c r="Q1347">
        <v>2</v>
      </c>
      <c r="R1347" s="24">
        <v>46032</v>
      </c>
      <c r="T1347" t="s">
        <v>38</v>
      </c>
      <c r="V1347" t="s">
        <v>921</v>
      </c>
      <c r="Y1347" t="s">
        <v>81</v>
      </c>
      <c r="Z1347" t="s">
        <v>924</v>
      </c>
      <c r="AA1347" t="s">
        <v>39</v>
      </c>
      <c r="AC1347" t="s">
        <v>1028</v>
      </c>
    </row>
    <row r="1348" spans="1:29" hidden="1" x14ac:dyDescent="0.25">
      <c r="A1348">
        <v>323</v>
      </c>
      <c r="B1348" t="s">
        <v>439</v>
      </c>
      <c r="C1348" t="s">
        <v>77</v>
      </c>
      <c r="D1348" t="s">
        <v>440</v>
      </c>
      <c r="E1348">
        <v>10</v>
      </c>
      <c r="F1348">
        <v>350</v>
      </c>
      <c r="G1348">
        <v>4580</v>
      </c>
      <c r="H1348">
        <v>1</v>
      </c>
      <c r="I1348">
        <v>125.84</v>
      </c>
      <c r="J1348">
        <v>125.84</v>
      </c>
      <c r="K1348" t="s">
        <v>360</v>
      </c>
      <c r="L1348" t="s">
        <v>1027</v>
      </c>
      <c r="P1348" t="s">
        <v>81</v>
      </c>
      <c r="Q1348">
        <v>2</v>
      </c>
      <c r="R1348" s="24">
        <v>46032</v>
      </c>
      <c r="T1348" t="s">
        <v>38</v>
      </c>
      <c r="V1348" t="s">
        <v>921</v>
      </c>
      <c r="Y1348" t="s">
        <v>81</v>
      </c>
      <c r="Z1348" t="s">
        <v>924</v>
      </c>
      <c r="AA1348" t="s">
        <v>39</v>
      </c>
      <c r="AC1348" t="s">
        <v>1028</v>
      </c>
    </row>
    <row r="1349" spans="1:29" hidden="1" x14ac:dyDescent="0.25">
      <c r="A1349">
        <v>324</v>
      </c>
      <c r="B1349" t="s">
        <v>449</v>
      </c>
      <c r="C1349" t="s">
        <v>77</v>
      </c>
      <c r="D1349" t="s">
        <v>450</v>
      </c>
      <c r="E1349">
        <v>10</v>
      </c>
      <c r="F1349">
        <v>350</v>
      </c>
      <c r="G1349">
        <v>4480</v>
      </c>
      <c r="H1349">
        <v>2</v>
      </c>
      <c r="I1349">
        <v>123.09</v>
      </c>
      <c r="J1349">
        <v>246.18</v>
      </c>
      <c r="K1349" t="s">
        <v>360</v>
      </c>
      <c r="L1349" t="s">
        <v>1027</v>
      </c>
      <c r="P1349" t="s">
        <v>81</v>
      </c>
      <c r="Q1349">
        <v>2</v>
      </c>
      <c r="R1349" s="24">
        <v>46032</v>
      </c>
      <c r="T1349" t="s">
        <v>38</v>
      </c>
      <c r="V1349" t="s">
        <v>921</v>
      </c>
      <c r="Y1349" t="s">
        <v>81</v>
      </c>
      <c r="Z1349" t="s">
        <v>924</v>
      </c>
      <c r="AA1349" t="s">
        <v>39</v>
      </c>
      <c r="AC1349" t="s">
        <v>1028</v>
      </c>
    </row>
    <row r="1350" spans="1:29" hidden="1" x14ac:dyDescent="0.25">
      <c r="A1350">
        <v>325</v>
      </c>
      <c r="B1350" t="s">
        <v>441</v>
      </c>
      <c r="C1350" t="s">
        <v>77</v>
      </c>
      <c r="D1350" t="s">
        <v>407</v>
      </c>
      <c r="E1350">
        <v>10</v>
      </c>
      <c r="F1350">
        <v>380</v>
      </c>
      <c r="G1350">
        <v>4577</v>
      </c>
      <c r="H1350">
        <v>2</v>
      </c>
      <c r="I1350">
        <v>135.07</v>
      </c>
      <c r="J1350">
        <v>270.14999999999998</v>
      </c>
      <c r="K1350" t="s">
        <v>360</v>
      </c>
      <c r="L1350" t="s">
        <v>1027</v>
      </c>
      <c r="Q1350">
        <v>2</v>
      </c>
      <c r="R1350" s="24">
        <v>46032</v>
      </c>
      <c r="T1350" t="s">
        <v>38</v>
      </c>
      <c r="V1350" t="s">
        <v>921</v>
      </c>
      <c r="Y1350" t="s">
        <v>81</v>
      </c>
      <c r="Z1350" t="s">
        <v>924</v>
      </c>
      <c r="AA1350" t="s">
        <v>39</v>
      </c>
      <c r="AC1350" t="s">
        <v>1028</v>
      </c>
    </row>
    <row r="1351" spans="1:29" hidden="1" x14ac:dyDescent="0.25">
      <c r="A1351">
        <v>326</v>
      </c>
      <c r="B1351" t="s">
        <v>451</v>
      </c>
      <c r="C1351" t="s">
        <v>77</v>
      </c>
      <c r="D1351" t="s">
        <v>452</v>
      </c>
      <c r="E1351">
        <v>10</v>
      </c>
      <c r="F1351">
        <v>127</v>
      </c>
      <c r="G1351">
        <v>220</v>
      </c>
      <c r="H1351">
        <v>1</v>
      </c>
      <c r="I1351">
        <v>2.13</v>
      </c>
      <c r="J1351">
        <v>2.13</v>
      </c>
      <c r="K1351" t="s">
        <v>360</v>
      </c>
      <c r="L1351" t="s">
        <v>1027</v>
      </c>
      <c r="N1351" t="s">
        <v>228</v>
      </c>
      <c r="Q1351">
        <v>2</v>
      </c>
      <c r="R1351" s="24">
        <v>46032</v>
      </c>
      <c r="T1351" t="s">
        <v>38</v>
      </c>
      <c r="V1351" t="s">
        <v>921</v>
      </c>
      <c r="W1351" t="s">
        <v>81</v>
      </c>
      <c r="Z1351" t="s">
        <v>924</v>
      </c>
      <c r="AA1351" t="s">
        <v>39</v>
      </c>
      <c r="AC1351" t="s">
        <v>1028</v>
      </c>
    </row>
    <row r="1352" spans="1:29" hidden="1" x14ac:dyDescent="0.25">
      <c r="A1352">
        <v>327</v>
      </c>
      <c r="B1352" t="s">
        <v>453</v>
      </c>
      <c r="C1352" t="s">
        <v>77</v>
      </c>
      <c r="D1352" t="s">
        <v>450</v>
      </c>
      <c r="E1352">
        <v>10</v>
      </c>
      <c r="F1352">
        <v>350</v>
      </c>
      <c r="G1352">
        <v>4480</v>
      </c>
      <c r="H1352">
        <v>1</v>
      </c>
      <c r="I1352">
        <v>123.09</v>
      </c>
      <c r="J1352">
        <v>123.09</v>
      </c>
      <c r="K1352" t="s">
        <v>360</v>
      </c>
      <c r="L1352" t="s">
        <v>1027</v>
      </c>
      <c r="P1352" t="s">
        <v>81</v>
      </c>
      <c r="Q1352">
        <v>2</v>
      </c>
      <c r="R1352" s="24">
        <v>46032</v>
      </c>
      <c r="T1352" t="s">
        <v>38</v>
      </c>
      <c r="V1352" t="s">
        <v>921</v>
      </c>
      <c r="Y1352" t="s">
        <v>81</v>
      </c>
      <c r="Z1352" t="s">
        <v>924</v>
      </c>
      <c r="AA1352" t="s">
        <v>39</v>
      </c>
      <c r="AC1352" t="s">
        <v>1028</v>
      </c>
    </row>
    <row r="1353" spans="1:29" hidden="1" x14ac:dyDescent="0.25">
      <c r="A1353">
        <v>328</v>
      </c>
      <c r="B1353" t="s">
        <v>426</v>
      </c>
      <c r="C1353" t="s">
        <v>77</v>
      </c>
      <c r="D1353" t="s">
        <v>412</v>
      </c>
      <c r="E1353">
        <v>10</v>
      </c>
      <c r="F1353">
        <v>532</v>
      </c>
      <c r="G1353">
        <v>4080</v>
      </c>
      <c r="H1353">
        <v>2</v>
      </c>
      <c r="I1353">
        <v>168.27</v>
      </c>
      <c r="J1353">
        <v>336.54</v>
      </c>
      <c r="K1353" t="s">
        <v>360</v>
      </c>
      <c r="L1353" t="s">
        <v>1029</v>
      </c>
      <c r="O1353" t="s">
        <v>81</v>
      </c>
      <c r="P1353" t="s">
        <v>81</v>
      </c>
      <c r="Q1353">
        <v>2</v>
      </c>
      <c r="R1353" s="24">
        <v>46032</v>
      </c>
      <c r="T1353" t="s">
        <v>38</v>
      </c>
      <c r="V1353" t="s">
        <v>921</v>
      </c>
      <c r="Z1353" t="s">
        <v>924</v>
      </c>
      <c r="AA1353" t="s">
        <v>39</v>
      </c>
      <c r="AC1353" t="s">
        <v>1030</v>
      </c>
    </row>
    <row r="1354" spans="1:29" hidden="1" x14ac:dyDescent="0.25">
      <c r="A1354">
        <v>329</v>
      </c>
      <c r="B1354" t="s">
        <v>456</v>
      </c>
      <c r="C1354" t="s">
        <v>77</v>
      </c>
      <c r="D1354" t="s">
        <v>457</v>
      </c>
      <c r="E1354">
        <v>10</v>
      </c>
      <c r="F1354">
        <v>70</v>
      </c>
      <c r="G1354">
        <v>120</v>
      </c>
      <c r="H1354">
        <v>4</v>
      </c>
      <c r="I1354">
        <v>0.63</v>
      </c>
      <c r="J1354">
        <v>2.52</v>
      </c>
      <c r="K1354" t="s">
        <v>360</v>
      </c>
      <c r="L1354" t="s">
        <v>1029</v>
      </c>
      <c r="N1354" t="s">
        <v>228</v>
      </c>
      <c r="Q1354">
        <v>2</v>
      </c>
      <c r="R1354" s="24">
        <v>46032</v>
      </c>
      <c r="T1354" t="s">
        <v>38</v>
      </c>
      <c r="V1354" t="s">
        <v>921</v>
      </c>
      <c r="W1354" t="s">
        <v>81</v>
      </c>
      <c r="Z1354" t="s">
        <v>924</v>
      </c>
      <c r="AA1354" t="s">
        <v>39</v>
      </c>
      <c r="AC1354" t="s">
        <v>1030</v>
      </c>
    </row>
    <row r="1355" spans="1:29" hidden="1" x14ac:dyDescent="0.25">
      <c r="A1355">
        <v>330</v>
      </c>
      <c r="B1355" t="s">
        <v>429</v>
      </c>
      <c r="C1355" t="s">
        <v>77</v>
      </c>
      <c r="D1355" t="s">
        <v>402</v>
      </c>
      <c r="E1355">
        <v>10</v>
      </c>
      <c r="F1355">
        <v>80</v>
      </c>
      <c r="G1355">
        <v>120</v>
      </c>
      <c r="H1355">
        <v>4</v>
      </c>
      <c r="I1355">
        <v>0.72</v>
      </c>
      <c r="J1355">
        <v>2.9</v>
      </c>
      <c r="K1355" t="s">
        <v>360</v>
      </c>
      <c r="L1355" t="s">
        <v>1029</v>
      </c>
      <c r="N1355" t="s">
        <v>228</v>
      </c>
      <c r="Q1355">
        <v>2</v>
      </c>
      <c r="R1355" s="24">
        <v>46032</v>
      </c>
      <c r="T1355" t="s">
        <v>38</v>
      </c>
      <c r="V1355" t="s">
        <v>921</v>
      </c>
      <c r="W1355" t="s">
        <v>81</v>
      </c>
      <c r="Z1355" t="s">
        <v>924</v>
      </c>
      <c r="AA1355" t="s">
        <v>39</v>
      </c>
      <c r="AC1355" t="s">
        <v>1030</v>
      </c>
    </row>
    <row r="1356" spans="1:29" hidden="1" x14ac:dyDescent="0.25">
      <c r="A1356">
        <v>331</v>
      </c>
      <c r="B1356" t="s">
        <v>458</v>
      </c>
      <c r="C1356" t="s">
        <v>77</v>
      </c>
      <c r="D1356" t="s">
        <v>405</v>
      </c>
      <c r="E1356">
        <v>10</v>
      </c>
      <c r="F1356">
        <v>120</v>
      </c>
      <c r="G1356">
        <v>220</v>
      </c>
      <c r="H1356">
        <v>9</v>
      </c>
      <c r="I1356">
        <v>2.0099999999999998</v>
      </c>
      <c r="J1356">
        <v>18.11</v>
      </c>
      <c r="K1356" t="s">
        <v>360</v>
      </c>
      <c r="L1356" t="s">
        <v>1029</v>
      </c>
      <c r="N1356" t="s">
        <v>228</v>
      </c>
      <c r="Q1356">
        <v>2</v>
      </c>
      <c r="R1356" s="24">
        <v>46032</v>
      </c>
      <c r="T1356" t="s">
        <v>38</v>
      </c>
      <c r="V1356" t="s">
        <v>921</v>
      </c>
      <c r="W1356" t="s">
        <v>81</v>
      </c>
      <c r="Z1356" t="s">
        <v>924</v>
      </c>
      <c r="AA1356" t="s">
        <v>39</v>
      </c>
      <c r="AC1356" t="s">
        <v>1030</v>
      </c>
    </row>
    <row r="1357" spans="1:29" hidden="1" x14ac:dyDescent="0.25">
      <c r="A1357">
        <v>332</v>
      </c>
      <c r="B1357" t="s">
        <v>459</v>
      </c>
      <c r="C1357" t="s">
        <v>77</v>
      </c>
      <c r="D1357" t="s">
        <v>402</v>
      </c>
      <c r="E1357">
        <v>10</v>
      </c>
      <c r="F1357">
        <v>80</v>
      </c>
      <c r="G1357">
        <v>120</v>
      </c>
      <c r="H1357">
        <v>1</v>
      </c>
      <c r="I1357">
        <v>0.72</v>
      </c>
      <c r="J1357">
        <v>0.72</v>
      </c>
      <c r="K1357" t="s">
        <v>360</v>
      </c>
      <c r="L1357" t="s">
        <v>1029</v>
      </c>
      <c r="N1357" t="s">
        <v>228</v>
      </c>
      <c r="Q1357">
        <v>2</v>
      </c>
      <c r="R1357" s="24">
        <v>46032</v>
      </c>
      <c r="T1357" t="s">
        <v>38</v>
      </c>
      <c r="V1357" t="s">
        <v>921</v>
      </c>
      <c r="W1357" t="s">
        <v>81</v>
      </c>
      <c r="Z1357" t="s">
        <v>924</v>
      </c>
      <c r="AA1357" t="s">
        <v>39</v>
      </c>
      <c r="AC1357" t="s">
        <v>1030</v>
      </c>
    </row>
    <row r="1358" spans="1:29" hidden="1" x14ac:dyDescent="0.25">
      <c r="A1358">
        <v>333</v>
      </c>
      <c r="B1358" t="s">
        <v>446</v>
      </c>
      <c r="C1358" t="s">
        <v>77</v>
      </c>
      <c r="D1358" t="s">
        <v>387</v>
      </c>
      <c r="E1358">
        <v>10</v>
      </c>
      <c r="F1358">
        <v>148</v>
      </c>
      <c r="G1358">
        <v>441</v>
      </c>
      <c r="H1358">
        <v>4</v>
      </c>
      <c r="I1358">
        <v>5.0599999999999996</v>
      </c>
      <c r="J1358">
        <v>20.239999999999998</v>
      </c>
      <c r="K1358" t="s">
        <v>360</v>
      </c>
      <c r="L1358" t="s">
        <v>1029</v>
      </c>
      <c r="Q1358">
        <v>2</v>
      </c>
      <c r="R1358" s="24">
        <v>46032</v>
      </c>
      <c r="T1358" t="s">
        <v>38</v>
      </c>
      <c r="V1358" t="s">
        <v>921</v>
      </c>
      <c r="W1358" t="s">
        <v>81</v>
      </c>
      <c r="Z1358" t="s">
        <v>924</v>
      </c>
      <c r="AA1358" t="s">
        <v>39</v>
      </c>
      <c r="AC1358" t="s">
        <v>1030</v>
      </c>
    </row>
    <row r="1359" spans="1:29" hidden="1" x14ac:dyDescent="0.25">
      <c r="A1359">
        <v>334</v>
      </c>
      <c r="B1359" t="s">
        <v>460</v>
      </c>
      <c r="C1359" t="s">
        <v>77</v>
      </c>
      <c r="D1359" t="s">
        <v>435</v>
      </c>
      <c r="E1359">
        <v>10</v>
      </c>
      <c r="F1359">
        <v>148</v>
      </c>
      <c r="G1359">
        <v>324</v>
      </c>
      <c r="H1359">
        <v>40</v>
      </c>
      <c r="I1359">
        <v>3.7</v>
      </c>
      <c r="J1359">
        <v>148.06</v>
      </c>
      <c r="K1359" t="s">
        <v>360</v>
      </c>
      <c r="L1359" t="s">
        <v>1029</v>
      </c>
      <c r="Q1359">
        <v>2</v>
      </c>
      <c r="R1359" s="24">
        <v>46032</v>
      </c>
      <c r="T1359" t="s">
        <v>38</v>
      </c>
      <c r="V1359" t="s">
        <v>921</v>
      </c>
      <c r="W1359" t="s">
        <v>81</v>
      </c>
      <c r="Z1359" t="s">
        <v>924</v>
      </c>
      <c r="AA1359" t="s">
        <v>39</v>
      </c>
      <c r="AC1359" t="s">
        <v>1030</v>
      </c>
    </row>
    <row r="1360" spans="1:29" hidden="1" x14ac:dyDescent="0.25">
      <c r="A1360">
        <v>335</v>
      </c>
      <c r="B1360" t="s">
        <v>461</v>
      </c>
      <c r="C1360" t="s">
        <v>77</v>
      </c>
      <c r="D1360" t="s">
        <v>435</v>
      </c>
      <c r="E1360">
        <v>10</v>
      </c>
      <c r="F1360">
        <v>148</v>
      </c>
      <c r="G1360">
        <v>324</v>
      </c>
      <c r="H1360">
        <v>26</v>
      </c>
      <c r="I1360">
        <v>3.7</v>
      </c>
      <c r="J1360">
        <v>96.24</v>
      </c>
      <c r="K1360" t="s">
        <v>360</v>
      </c>
      <c r="L1360" t="s">
        <v>1029</v>
      </c>
      <c r="Q1360">
        <v>2</v>
      </c>
      <c r="R1360" s="24">
        <v>46032</v>
      </c>
      <c r="T1360" t="s">
        <v>38</v>
      </c>
      <c r="V1360" t="s">
        <v>921</v>
      </c>
      <c r="W1360" t="s">
        <v>81</v>
      </c>
      <c r="Z1360" t="s">
        <v>924</v>
      </c>
      <c r="AA1360" t="s">
        <v>39</v>
      </c>
      <c r="AC1360" t="s">
        <v>1030</v>
      </c>
    </row>
    <row r="1361" spans="1:29" hidden="1" x14ac:dyDescent="0.25">
      <c r="A1361">
        <v>336</v>
      </c>
      <c r="B1361" t="s">
        <v>462</v>
      </c>
      <c r="C1361" t="s">
        <v>77</v>
      </c>
      <c r="D1361" t="s">
        <v>435</v>
      </c>
      <c r="E1361">
        <v>10</v>
      </c>
      <c r="F1361">
        <v>148</v>
      </c>
      <c r="G1361">
        <v>324</v>
      </c>
      <c r="H1361">
        <v>28</v>
      </c>
      <c r="I1361">
        <v>3.7</v>
      </c>
      <c r="J1361">
        <v>103.64</v>
      </c>
      <c r="K1361" t="s">
        <v>360</v>
      </c>
      <c r="L1361" t="s">
        <v>1029</v>
      </c>
      <c r="Q1361">
        <v>2</v>
      </c>
      <c r="R1361" s="24">
        <v>46032</v>
      </c>
      <c r="T1361" t="s">
        <v>38</v>
      </c>
      <c r="V1361" t="s">
        <v>921</v>
      </c>
      <c r="W1361" t="s">
        <v>81</v>
      </c>
      <c r="Z1361" t="s">
        <v>924</v>
      </c>
      <c r="AA1361" t="s">
        <v>39</v>
      </c>
      <c r="AC1361" t="s">
        <v>1030</v>
      </c>
    </row>
    <row r="1362" spans="1:29" hidden="1" x14ac:dyDescent="0.25">
      <c r="A1362">
        <v>337</v>
      </c>
      <c r="B1362" t="s">
        <v>438</v>
      </c>
      <c r="C1362" t="s">
        <v>77</v>
      </c>
      <c r="D1362" t="s">
        <v>405</v>
      </c>
      <c r="E1362">
        <v>10</v>
      </c>
      <c r="F1362">
        <v>120</v>
      </c>
      <c r="G1362">
        <v>220</v>
      </c>
      <c r="H1362">
        <v>3</v>
      </c>
      <c r="I1362">
        <v>2.0099999999999998</v>
      </c>
      <c r="J1362">
        <v>6.04</v>
      </c>
      <c r="K1362" t="s">
        <v>360</v>
      </c>
      <c r="L1362" t="s">
        <v>1029</v>
      </c>
      <c r="N1362" t="s">
        <v>228</v>
      </c>
      <c r="Q1362">
        <v>2</v>
      </c>
      <c r="R1362" s="24">
        <v>46032</v>
      </c>
      <c r="T1362" t="s">
        <v>38</v>
      </c>
      <c r="V1362" t="s">
        <v>921</v>
      </c>
      <c r="W1362" t="s">
        <v>81</v>
      </c>
      <c r="Z1362" t="s">
        <v>924</v>
      </c>
      <c r="AA1362" t="s">
        <v>39</v>
      </c>
      <c r="AC1362" t="s">
        <v>1030</v>
      </c>
    </row>
    <row r="1363" spans="1:29" hidden="1" x14ac:dyDescent="0.25">
      <c r="A1363">
        <v>338</v>
      </c>
      <c r="B1363" t="s">
        <v>447</v>
      </c>
      <c r="C1363" t="s">
        <v>77</v>
      </c>
      <c r="D1363" t="s">
        <v>435</v>
      </c>
      <c r="E1363">
        <v>10</v>
      </c>
      <c r="F1363">
        <v>148</v>
      </c>
      <c r="G1363">
        <v>324</v>
      </c>
      <c r="H1363">
        <v>40</v>
      </c>
      <c r="I1363">
        <v>3.7</v>
      </c>
      <c r="J1363">
        <v>148.06</v>
      </c>
      <c r="K1363" t="s">
        <v>360</v>
      </c>
      <c r="L1363" t="s">
        <v>1029</v>
      </c>
      <c r="Q1363">
        <v>2</v>
      </c>
      <c r="R1363" s="24">
        <v>46032</v>
      </c>
      <c r="T1363" t="s">
        <v>38</v>
      </c>
      <c r="V1363" t="s">
        <v>921</v>
      </c>
      <c r="W1363" t="s">
        <v>81</v>
      </c>
      <c r="Z1363" t="s">
        <v>924</v>
      </c>
      <c r="AA1363" t="s">
        <v>39</v>
      </c>
      <c r="AC1363" t="s">
        <v>1030</v>
      </c>
    </row>
    <row r="1364" spans="1:29" hidden="1" x14ac:dyDescent="0.25">
      <c r="A1364">
        <v>339</v>
      </c>
      <c r="B1364" t="s">
        <v>463</v>
      </c>
      <c r="C1364" t="s">
        <v>77</v>
      </c>
      <c r="D1364" t="s">
        <v>440</v>
      </c>
      <c r="E1364">
        <v>10</v>
      </c>
      <c r="F1364">
        <v>350</v>
      </c>
      <c r="G1364">
        <v>4580</v>
      </c>
      <c r="H1364">
        <v>1</v>
      </c>
      <c r="I1364">
        <v>125.84</v>
      </c>
      <c r="J1364">
        <v>125.84</v>
      </c>
      <c r="K1364" t="s">
        <v>360</v>
      </c>
      <c r="L1364" t="s">
        <v>1029</v>
      </c>
      <c r="P1364" t="s">
        <v>81</v>
      </c>
      <c r="Q1364">
        <v>2</v>
      </c>
      <c r="R1364" s="24">
        <v>46032</v>
      </c>
      <c r="T1364" t="s">
        <v>38</v>
      </c>
      <c r="V1364" t="s">
        <v>921</v>
      </c>
      <c r="Y1364" t="s">
        <v>81</v>
      </c>
      <c r="Z1364" t="s">
        <v>924</v>
      </c>
      <c r="AA1364" t="s">
        <v>39</v>
      </c>
      <c r="AC1364" t="s">
        <v>1030</v>
      </c>
    </row>
    <row r="1365" spans="1:29" hidden="1" x14ac:dyDescent="0.25">
      <c r="A1365">
        <v>340</v>
      </c>
      <c r="B1365" t="s">
        <v>464</v>
      </c>
      <c r="C1365" t="s">
        <v>77</v>
      </c>
      <c r="D1365" t="s">
        <v>450</v>
      </c>
      <c r="E1365">
        <v>10</v>
      </c>
      <c r="F1365">
        <v>350</v>
      </c>
      <c r="G1365">
        <v>4480</v>
      </c>
      <c r="H1365">
        <v>1</v>
      </c>
      <c r="I1365">
        <v>123.09</v>
      </c>
      <c r="J1365">
        <v>123.09</v>
      </c>
      <c r="K1365" t="s">
        <v>360</v>
      </c>
      <c r="L1365" t="s">
        <v>1029</v>
      </c>
      <c r="P1365" t="s">
        <v>81</v>
      </c>
      <c r="Q1365">
        <v>2</v>
      </c>
      <c r="R1365" s="24">
        <v>46032</v>
      </c>
      <c r="T1365" t="s">
        <v>38</v>
      </c>
      <c r="V1365" t="s">
        <v>921</v>
      </c>
      <c r="Y1365" t="s">
        <v>81</v>
      </c>
      <c r="Z1365" t="s">
        <v>924</v>
      </c>
      <c r="AA1365" t="s">
        <v>39</v>
      </c>
      <c r="AC1365" t="s">
        <v>1030</v>
      </c>
    </row>
    <row r="1366" spans="1:29" hidden="1" x14ac:dyDescent="0.25">
      <c r="A1366">
        <v>341</v>
      </c>
      <c r="B1366" t="s">
        <v>419</v>
      </c>
      <c r="C1366" t="s">
        <v>77</v>
      </c>
      <c r="D1366" t="s">
        <v>420</v>
      </c>
      <c r="E1366">
        <v>10</v>
      </c>
      <c r="F1366">
        <v>200</v>
      </c>
      <c r="G1366">
        <v>3586</v>
      </c>
      <c r="H1366">
        <v>2</v>
      </c>
      <c r="I1366">
        <v>56.3</v>
      </c>
      <c r="J1366">
        <v>112.6</v>
      </c>
      <c r="K1366" t="s">
        <v>360</v>
      </c>
      <c r="L1366" t="s">
        <v>1029</v>
      </c>
      <c r="Q1366">
        <v>2</v>
      </c>
      <c r="R1366" s="24">
        <v>46032</v>
      </c>
      <c r="T1366" t="s">
        <v>38</v>
      </c>
      <c r="V1366" t="s">
        <v>921</v>
      </c>
      <c r="Y1366" t="s">
        <v>81</v>
      </c>
      <c r="Z1366" t="s">
        <v>924</v>
      </c>
      <c r="AA1366" t="s">
        <v>39</v>
      </c>
      <c r="AC1366" t="s">
        <v>1030</v>
      </c>
    </row>
    <row r="1367" spans="1:29" hidden="1" x14ac:dyDescent="0.25">
      <c r="A1367">
        <v>342</v>
      </c>
      <c r="B1367" t="s">
        <v>421</v>
      </c>
      <c r="C1367" t="s">
        <v>77</v>
      </c>
      <c r="D1367" t="s">
        <v>422</v>
      </c>
      <c r="E1367">
        <v>10</v>
      </c>
      <c r="F1367">
        <v>230</v>
      </c>
      <c r="G1367">
        <v>3586</v>
      </c>
      <c r="H1367">
        <v>1</v>
      </c>
      <c r="I1367">
        <v>64.75</v>
      </c>
      <c r="J1367">
        <v>64.75</v>
      </c>
      <c r="K1367" t="s">
        <v>360</v>
      </c>
      <c r="L1367" t="s">
        <v>1029</v>
      </c>
      <c r="Q1367">
        <v>2</v>
      </c>
      <c r="R1367" s="24">
        <v>46032</v>
      </c>
      <c r="T1367" t="s">
        <v>38</v>
      </c>
      <c r="V1367" t="s">
        <v>921</v>
      </c>
      <c r="Y1367" t="s">
        <v>81</v>
      </c>
      <c r="Z1367" t="s">
        <v>924</v>
      </c>
      <c r="AA1367" t="s">
        <v>39</v>
      </c>
      <c r="AC1367" t="s">
        <v>1030</v>
      </c>
    </row>
    <row r="1368" spans="1:29" hidden="1" x14ac:dyDescent="0.25">
      <c r="A1368">
        <v>343</v>
      </c>
      <c r="B1368" t="s">
        <v>456</v>
      </c>
      <c r="C1368" t="s">
        <v>77</v>
      </c>
      <c r="D1368" t="s">
        <v>457</v>
      </c>
      <c r="E1368">
        <v>10</v>
      </c>
      <c r="F1368">
        <v>70</v>
      </c>
      <c r="G1368">
        <v>120</v>
      </c>
      <c r="H1368">
        <v>2</v>
      </c>
      <c r="I1368">
        <v>0.63</v>
      </c>
      <c r="J1368">
        <v>1.26</v>
      </c>
      <c r="K1368" t="s">
        <v>1031</v>
      </c>
      <c r="L1368" t="s">
        <v>1032</v>
      </c>
      <c r="N1368" t="s">
        <v>228</v>
      </c>
      <c r="Q1368">
        <v>2</v>
      </c>
      <c r="R1368" s="24">
        <v>46032</v>
      </c>
      <c r="T1368" t="s">
        <v>38</v>
      </c>
      <c r="V1368" t="s">
        <v>921</v>
      </c>
      <c r="W1368" t="s">
        <v>81</v>
      </c>
      <c r="Z1368" t="s">
        <v>924</v>
      </c>
      <c r="AA1368" t="s">
        <v>1033</v>
      </c>
      <c r="AC1368" t="s">
        <v>1034</v>
      </c>
    </row>
    <row r="1369" spans="1:29" hidden="1" x14ac:dyDescent="0.25">
      <c r="A1369">
        <v>344</v>
      </c>
      <c r="B1369" t="s">
        <v>459</v>
      </c>
      <c r="C1369" t="s">
        <v>77</v>
      </c>
      <c r="D1369" t="s">
        <v>402</v>
      </c>
      <c r="E1369">
        <v>10</v>
      </c>
      <c r="F1369">
        <v>80</v>
      </c>
      <c r="G1369">
        <v>120</v>
      </c>
      <c r="H1369">
        <v>3</v>
      </c>
      <c r="I1369">
        <v>0.72</v>
      </c>
      <c r="J1369">
        <v>2.17</v>
      </c>
      <c r="K1369" t="s">
        <v>1031</v>
      </c>
      <c r="L1369" t="s">
        <v>1032</v>
      </c>
      <c r="N1369" t="s">
        <v>228</v>
      </c>
      <c r="Q1369">
        <v>2</v>
      </c>
      <c r="R1369" s="24">
        <v>46032</v>
      </c>
      <c r="T1369" t="s">
        <v>38</v>
      </c>
      <c r="V1369" t="s">
        <v>921</v>
      </c>
      <c r="W1369" t="s">
        <v>81</v>
      </c>
      <c r="Z1369" t="s">
        <v>924</v>
      </c>
      <c r="AA1369" t="s">
        <v>1033</v>
      </c>
      <c r="AC1369" t="s">
        <v>1034</v>
      </c>
    </row>
    <row r="1370" spans="1:29" hidden="1" x14ac:dyDescent="0.25">
      <c r="A1370">
        <v>345</v>
      </c>
      <c r="B1370" t="s">
        <v>467</v>
      </c>
      <c r="C1370" t="s">
        <v>77</v>
      </c>
      <c r="D1370" t="s">
        <v>405</v>
      </c>
      <c r="E1370">
        <v>10</v>
      </c>
      <c r="F1370">
        <v>120</v>
      </c>
      <c r="G1370">
        <v>220</v>
      </c>
      <c r="H1370">
        <v>7</v>
      </c>
      <c r="I1370">
        <v>2.0099999999999998</v>
      </c>
      <c r="J1370">
        <v>14.09</v>
      </c>
      <c r="K1370" t="s">
        <v>1031</v>
      </c>
      <c r="L1370" t="s">
        <v>1032</v>
      </c>
      <c r="N1370" t="s">
        <v>228</v>
      </c>
      <c r="Q1370">
        <v>2</v>
      </c>
      <c r="R1370" s="24">
        <v>46032</v>
      </c>
      <c r="T1370" t="s">
        <v>38</v>
      </c>
      <c r="V1370" t="s">
        <v>921</v>
      </c>
      <c r="W1370" t="s">
        <v>81</v>
      </c>
      <c r="Z1370" t="s">
        <v>924</v>
      </c>
      <c r="AA1370" t="s">
        <v>1033</v>
      </c>
      <c r="AC1370" t="s">
        <v>1034</v>
      </c>
    </row>
    <row r="1371" spans="1:29" hidden="1" x14ac:dyDescent="0.25">
      <c r="A1371">
        <v>346</v>
      </c>
      <c r="B1371" t="s">
        <v>460</v>
      </c>
      <c r="C1371" t="s">
        <v>77</v>
      </c>
      <c r="D1371" t="s">
        <v>435</v>
      </c>
      <c r="E1371">
        <v>10</v>
      </c>
      <c r="F1371">
        <v>148</v>
      </c>
      <c r="G1371">
        <v>324</v>
      </c>
      <c r="H1371">
        <v>2</v>
      </c>
      <c r="I1371">
        <v>3.7</v>
      </c>
      <c r="J1371">
        <v>7.4</v>
      </c>
      <c r="K1371" t="s">
        <v>1031</v>
      </c>
      <c r="L1371" t="s">
        <v>1032</v>
      </c>
      <c r="Q1371">
        <v>2</v>
      </c>
      <c r="R1371" s="24">
        <v>46032</v>
      </c>
      <c r="T1371" t="s">
        <v>38</v>
      </c>
      <c r="V1371" t="s">
        <v>921</v>
      </c>
      <c r="W1371" t="s">
        <v>81</v>
      </c>
      <c r="Z1371" t="s">
        <v>924</v>
      </c>
      <c r="AA1371" t="s">
        <v>1033</v>
      </c>
      <c r="AC1371" t="s">
        <v>1034</v>
      </c>
    </row>
    <row r="1372" spans="1:29" hidden="1" x14ac:dyDescent="0.25">
      <c r="A1372">
        <v>347</v>
      </c>
      <c r="B1372" t="s">
        <v>468</v>
      </c>
      <c r="C1372" t="s">
        <v>77</v>
      </c>
      <c r="D1372" t="s">
        <v>469</v>
      </c>
      <c r="E1372">
        <v>10</v>
      </c>
      <c r="F1372">
        <v>160</v>
      </c>
      <c r="G1372">
        <v>160</v>
      </c>
      <c r="H1372">
        <v>2</v>
      </c>
      <c r="I1372">
        <v>0.96</v>
      </c>
      <c r="J1372">
        <v>1.92</v>
      </c>
      <c r="K1372" t="s">
        <v>1031</v>
      </c>
      <c r="L1372" t="s">
        <v>1032</v>
      </c>
      <c r="N1372" t="s">
        <v>228</v>
      </c>
      <c r="Q1372">
        <v>2</v>
      </c>
      <c r="R1372" s="24">
        <v>46032</v>
      </c>
      <c r="T1372" t="s">
        <v>38</v>
      </c>
      <c r="V1372" t="s">
        <v>921</v>
      </c>
      <c r="X1372" t="s">
        <v>81</v>
      </c>
      <c r="Z1372" t="s">
        <v>924</v>
      </c>
      <c r="AA1372" t="s">
        <v>1033</v>
      </c>
      <c r="AC1372" t="s">
        <v>1034</v>
      </c>
    </row>
    <row r="1373" spans="1:29" hidden="1" x14ac:dyDescent="0.25">
      <c r="A1373">
        <v>348</v>
      </c>
      <c r="B1373" t="s">
        <v>470</v>
      </c>
      <c r="C1373" t="s">
        <v>77</v>
      </c>
      <c r="D1373" t="s">
        <v>469</v>
      </c>
      <c r="E1373">
        <v>10</v>
      </c>
      <c r="F1373">
        <v>160</v>
      </c>
      <c r="G1373">
        <v>160</v>
      </c>
      <c r="H1373">
        <v>4</v>
      </c>
      <c r="I1373">
        <v>0.96</v>
      </c>
      <c r="J1373">
        <v>3.85</v>
      </c>
      <c r="K1373" t="s">
        <v>1031</v>
      </c>
      <c r="L1373" t="s">
        <v>1032</v>
      </c>
      <c r="N1373" t="s">
        <v>228</v>
      </c>
      <c r="Q1373">
        <v>2</v>
      </c>
      <c r="R1373" s="24">
        <v>46032</v>
      </c>
      <c r="T1373" t="s">
        <v>38</v>
      </c>
      <c r="V1373" t="s">
        <v>921</v>
      </c>
      <c r="X1373" t="s">
        <v>81</v>
      </c>
      <c r="Z1373" t="s">
        <v>924</v>
      </c>
      <c r="AA1373" t="s">
        <v>1033</v>
      </c>
      <c r="AC1373" t="s">
        <v>1034</v>
      </c>
    </row>
    <row r="1374" spans="1:29" hidden="1" x14ac:dyDescent="0.25">
      <c r="A1374">
        <v>349</v>
      </c>
      <c r="B1374" t="s">
        <v>471</v>
      </c>
      <c r="C1374" t="s">
        <v>77</v>
      </c>
      <c r="D1374" t="s">
        <v>469</v>
      </c>
      <c r="E1374">
        <v>10</v>
      </c>
      <c r="F1374">
        <v>160</v>
      </c>
      <c r="G1374">
        <v>160</v>
      </c>
      <c r="H1374">
        <v>2</v>
      </c>
      <c r="I1374">
        <v>0.96</v>
      </c>
      <c r="J1374">
        <v>1.92</v>
      </c>
      <c r="K1374" t="s">
        <v>1031</v>
      </c>
      <c r="L1374" t="s">
        <v>1032</v>
      </c>
      <c r="N1374" t="s">
        <v>228</v>
      </c>
      <c r="Q1374">
        <v>2</v>
      </c>
      <c r="R1374" s="24">
        <v>46032</v>
      </c>
      <c r="T1374" t="s">
        <v>38</v>
      </c>
      <c r="V1374" t="s">
        <v>921</v>
      </c>
      <c r="X1374" t="s">
        <v>81</v>
      </c>
      <c r="Z1374" t="s">
        <v>924</v>
      </c>
      <c r="AA1374" t="s">
        <v>1033</v>
      </c>
      <c r="AC1374" t="s">
        <v>1034</v>
      </c>
    </row>
    <row r="1375" spans="1:29" hidden="1" x14ac:dyDescent="0.25">
      <c r="A1375">
        <v>350</v>
      </c>
      <c r="B1375" t="s">
        <v>472</v>
      </c>
      <c r="C1375" t="s">
        <v>77</v>
      </c>
      <c r="D1375" t="s">
        <v>469</v>
      </c>
      <c r="E1375">
        <v>10</v>
      </c>
      <c r="F1375">
        <v>160</v>
      </c>
      <c r="G1375">
        <v>160</v>
      </c>
      <c r="H1375">
        <v>4</v>
      </c>
      <c r="I1375">
        <v>0.96</v>
      </c>
      <c r="J1375">
        <v>3.85</v>
      </c>
      <c r="K1375" t="s">
        <v>1031</v>
      </c>
      <c r="L1375" t="s">
        <v>1032</v>
      </c>
      <c r="N1375" t="s">
        <v>228</v>
      </c>
      <c r="Q1375">
        <v>2</v>
      </c>
      <c r="R1375" s="24">
        <v>46032</v>
      </c>
      <c r="T1375" t="s">
        <v>38</v>
      </c>
      <c r="V1375" t="s">
        <v>921</v>
      </c>
      <c r="X1375" t="s">
        <v>81</v>
      </c>
      <c r="Z1375" t="s">
        <v>924</v>
      </c>
      <c r="AA1375" t="s">
        <v>1033</v>
      </c>
      <c r="AC1375" t="s">
        <v>1034</v>
      </c>
    </row>
    <row r="1376" spans="1:29" hidden="1" x14ac:dyDescent="0.25">
      <c r="A1376">
        <v>351</v>
      </c>
      <c r="B1376" t="s">
        <v>473</v>
      </c>
      <c r="C1376" t="s">
        <v>77</v>
      </c>
      <c r="D1376" t="s">
        <v>474</v>
      </c>
      <c r="E1376">
        <v>12</v>
      </c>
      <c r="F1376">
        <v>220</v>
      </c>
      <c r="G1376">
        <v>12000</v>
      </c>
      <c r="H1376">
        <v>2</v>
      </c>
      <c r="I1376">
        <v>248.69</v>
      </c>
      <c r="J1376">
        <v>497.38</v>
      </c>
      <c r="K1376" t="s">
        <v>475</v>
      </c>
      <c r="L1376" t="s">
        <v>1035</v>
      </c>
      <c r="O1376" t="s">
        <v>81</v>
      </c>
      <c r="Q1376">
        <v>2</v>
      </c>
      <c r="R1376" s="24">
        <v>46032</v>
      </c>
      <c r="T1376" t="s">
        <v>38</v>
      </c>
      <c r="V1376" t="s">
        <v>921</v>
      </c>
      <c r="Y1376" t="s">
        <v>81</v>
      </c>
      <c r="Z1376" t="s">
        <v>924</v>
      </c>
      <c r="AA1376" t="s">
        <v>39</v>
      </c>
      <c r="AC1376" t="s">
        <v>1036</v>
      </c>
    </row>
    <row r="1377" spans="1:29" hidden="1" x14ac:dyDescent="0.25">
      <c r="A1377">
        <v>352</v>
      </c>
      <c r="B1377" t="s">
        <v>478</v>
      </c>
      <c r="C1377" t="s">
        <v>77</v>
      </c>
      <c r="D1377" t="s">
        <v>474</v>
      </c>
      <c r="E1377">
        <v>12</v>
      </c>
      <c r="F1377">
        <v>220</v>
      </c>
      <c r="G1377">
        <v>12000</v>
      </c>
      <c r="H1377">
        <v>2</v>
      </c>
      <c r="I1377">
        <v>248.69</v>
      </c>
      <c r="J1377">
        <v>497.38</v>
      </c>
      <c r="K1377" t="s">
        <v>475</v>
      </c>
      <c r="L1377" t="s">
        <v>1035</v>
      </c>
      <c r="O1377" t="s">
        <v>81</v>
      </c>
      <c r="Q1377">
        <v>2</v>
      </c>
      <c r="R1377" s="24">
        <v>46032</v>
      </c>
      <c r="T1377" t="s">
        <v>38</v>
      </c>
      <c r="V1377" t="s">
        <v>921</v>
      </c>
      <c r="Y1377" t="s">
        <v>81</v>
      </c>
      <c r="Z1377" t="s">
        <v>924</v>
      </c>
      <c r="AA1377" t="s">
        <v>39</v>
      </c>
      <c r="AC1377" t="s">
        <v>1036</v>
      </c>
    </row>
    <row r="1378" spans="1:29" hidden="1" x14ac:dyDescent="0.25">
      <c r="A1378">
        <v>353</v>
      </c>
      <c r="B1378" t="s">
        <v>479</v>
      </c>
      <c r="C1378" t="s">
        <v>77</v>
      </c>
      <c r="D1378" t="s">
        <v>474</v>
      </c>
      <c r="E1378">
        <v>12</v>
      </c>
      <c r="F1378">
        <v>220</v>
      </c>
      <c r="G1378">
        <v>12000</v>
      </c>
      <c r="H1378">
        <v>2</v>
      </c>
      <c r="I1378">
        <v>248.69</v>
      </c>
      <c r="J1378">
        <v>497.38</v>
      </c>
      <c r="K1378" t="s">
        <v>475</v>
      </c>
      <c r="L1378" t="s">
        <v>1035</v>
      </c>
      <c r="O1378" t="s">
        <v>81</v>
      </c>
      <c r="Q1378">
        <v>2</v>
      </c>
      <c r="R1378" s="24">
        <v>46032</v>
      </c>
      <c r="T1378" t="s">
        <v>38</v>
      </c>
      <c r="V1378" t="s">
        <v>921</v>
      </c>
      <c r="Y1378" t="s">
        <v>81</v>
      </c>
      <c r="Z1378" t="s">
        <v>924</v>
      </c>
      <c r="AA1378" t="s">
        <v>39</v>
      </c>
      <c r="AC1378" t="s">
        <v>1036</v>
      </c>
    </row>
    <row r="1379" spans="1:29" hidden="1" x14ac:dyDescent="0.25">
      <c r="A1379">
        <v>354</v>
      </c>
      <c r="B1379" t="s">
        <v>480</v>
      </c>
      <c r="C1379" t="s">
        <v>77</v>
      </c>
      <c r="D1379" t="s">
        <v>481</v>
      </c>
      <c r="E1379">
        <v>12</v>
      </c>
      <c r="F1379">
        <v>220</v>
      </c>
      <c r="G1379">
        <v>11989</v>
      </c>
      <c r="H1379">
        <v>2</v>
      </c>
      <c r="I1379">
        <v>248.46</v>
      </c>
      <c r="J1379">
        <v>496.92</v>
      </c>
      <c r="K1379" t="s">
        <v>475</v>
      </c>
      <c r="L1379" t="s">
        <v>1037</v>
      </c>
      <c r="O1379" t="s">
        <v>81</v>
      </c>
      <c r="Q1379">
        <v>2</v>
      </c>
      <c r="R1379" s="24">
        <v>46032</v>
      </c>
      <c r="T1379" t="s">
        <v>38</v>
      </c>
      <c r="V1379" t="s">
        <v>921</v>
      </c>
      <c r="Y1379" t="s">
        <v>81</v>
      </c>
      <c r="Z1379" t="s">
        <v>924</v>
      </c>
      <c r="AA1379" t="s">
        <v>39</v>
      </c>
      <c r="AC1379" t="s">
        <v>1038</v>
      </c>
    </row>
    <row r="1380" spans="1:29" hidden="1" x14ac:dyDescent="0.25">
      <c r="A1380">
        <v>355</v>
      </c>
      <c r="B1380" t="s">
        <v>484</v>
      </c>
      <c r="C1380" t="s">
        <v>77</v>
      </c>
      <c r="D1380" t="s">
        <v>474</v>
      </c>
      <c r="E1380">
        <v>12</v>
      </c>
      <c r="F1380">
        <v>220</v>
      </c>
      <c r="G1380">
        <v>12000</v>
      </c>
      <c r="H1380">
        <v>2</v>
      </c>
      <c r="I1380">
        <v>248.7</v>
      </c>
      <c r="J1380">
        <v>497.39</v>
      </c>
      <c r="K1380" t="s">
        <v>475</v>
      </c>
      <c r="L1380" t="s">
        <v>1037</v>
      </c>
      <c r="O1380" t="s">
        <v>81</v>
      </c>
      <c r="Q1380">
        <v>2</v>
      </c>
      <c r="R1380" s="24">
        <v>46032</v>
      </c>
      <c r="T1380" t="s">
        <v>38</v>
      </c>
      <c r="V1380" t="s">
        <v>921</v>
      </c>
      <c r="Y1380" t="s">
        <v>81</v>
      </c>
      <c r="Z1380" t="s">
        <v>924</v>
      </c>
      <c r="AA1380" t="s">
        <v>39</v>
      </c>
      <c r="AC1380" t="s">
        <v>1038</v>
      </c>
    </row>
    <row r="1381" spans="1:29" hidden="1" x14ac:dyDescent="0.25">
      <c r="A1381">
        <v>356</v>
      </c>
      <c r="B1381" t="s">
        <v>485</v>
      </c>
      <c r="C1381" t="s">
        <v>77</v>
      </c>
      <c r="D1381" t="s">
        <v>481</v>
      </c>
      <c r="E1381">
        <v>12</v>
      </c>
      <c r="F1381">
        <v>220</v>
      </c>
      <c r="G1381">
        <v>11989</v>
      </c>
      <c r="H1381">
        <v>2</v>
      </c>
      <c r="I1381">
        <v>248.46</v>
      </c>
      <c r="J1381">
        <v>496.92</v>
      </c>
      <c r="K1381" t="s">
        <v>475</v>
      </c>
      <c r="L1381" t="s">
        <v>1037</v>
      </c>
      <c r="O1381" t="s">
        <v>81</v>
      </c>
      <c r="Q1381">
        <v>2</v>
      </c>
      <c r="R1381" s="24">
        <v>46032</v>
      </c>
      <c r="T1381" t="s">
        <v>38</v>
      </c>
      <c r="V1381" t="s">
        <v>921</v>
      </c>
      <c r="Y1381" t="s">
        <v>81</v>
      </c>
      <c r="Z1381" t="s">
        <v>924</v>
      </c>
      <c r="AA1381" t="s">
        <v>39</v>
      </c>
      <c r="AC1381" t="s">
        <v>1038</v>
      </c>
    </row>
    <row r="1382" spans="1:29" hidden="1" x14ac:dyDescent="0.25">
      <c r="A1382">
        <v>357</v>
      </c>
      <c r="B1382" t="s">
        <v>486</v>
      </c>
      <c r="C1382" t="s">
        <v>77</v>
      </c>
      <c r="D1382" t="s">
        <v>487</v>
      </c>
      <c r="E1382">
        <v>12</v>
      </c>
      <c r="F1382">
        <v>220</v>
      </c>
      <c r="G1382">
        <v>7562</v>
      </c>
      <c r="H1382">
        <v>2</v>
      </c>
      <c r="I1382">
        <v>156.72</v>
      </c>
      <c r="J1382">
        <v>313.44</v>
      </c>
      <c r="K1382" t="s">
        <v>475</v>
      </c>
      <c r="L1382" t="s">
        <v>1039</v>
      </c>
      <c r="O1382" t="s">
        <v>81</v>
      </c>
      <c r="Q1382">
        <v>2</v>
      </c>
      <c r="R1382" s="24">
        <v>46032</v>
      </c>
      <c r="T1382" t="s">
        <v>38</v>
      </c>
      <c r="V1382" t="s">
        <v>921</v>
      </c>
      <c r="Y1382" t="s">
        <v>81</v>
      </c>
      <c r="Z1382" t="s">
        <v>924</v>
      </c>
      <c r="AA1382" t="s">
        <v>39</v>
      </c>
      <c r="AC1382" t="s">
        <v>1040</v>
      </c>
    </row>
    <row r="1383" spans="1:29" hidden="1" x14ac:dyDescent="0.25">
      <c r="A1383">
        <v>358</v>
      </c>
      <c r="B1383" t="s">
        <v>490</v>
      </c>
      <c r="C1383" t="s">
        <v>77</v>
      </c>
      <c r="D1383" t="s">
        <v>491</v>
      </c>
      <c r="E1383">
        <v>12</v>
      </c>
      <c r="F1383">
        <v>220</v>
      </c>
      <c r="G1383">
        <v>7565</v>
      </c>
      <c r="H1383">
        <v>2</v>
      </c>
      <c r="I1383">
        <v>156.78</v>
      </c>
      <c r="J1383">
        <v>313.56</v>
      </c>
      <c r="K1383" t="s">
        <v>475</v>
      </c>
      <c r="L1383" t="s">
        <v>1039</v>
      </c>
      <c r="O1383" t="s">
        <v>81</v>
      </c>
      <c r="Q1383">
        <v>2</v>
      </c>
      <c r="R1383" s="24">
        <v>46032</v>
      </c>
      <c r="T1383" t="s">
        <v>38</v>
      </c>
      <c r="V1383" t="s">
        <v>921</v>
      </c>
      <c r="Y1383" t="s">
        <v>81</v>
      </c>
      <c r="Z1383" t="s">
        <v>924</v>
      </c>
      <c r="AA1383" t="s">
        <v>39</v>
      </c>
      <c r="AC1383" t="s">
        <v>1040</v>
      </c>
    </row>
    <row r="1384" spans="1:29" hidden="1" x14ac:dyDescent="0.25">
      <c r="A1384">
        <v>359</v>
      </c>
      <c r="B1384" t="s">
        <v>492</v>
      </c>
      <c r="C1384" t="s">
        <v>77</v>
      </c>
      <c r="D1384" t="s">
        <v>493</v>
      </c>
      <c r="E1384">
        <v>12</v>
      </c>
      <c r="F1384">
        <v>220</v>
      </c>
      <c r="G1384">
        <v>7561</v>
      </c>
      <c r="H1384">
        <v>2</v>
      </c>
      <c r="I1384">
        <v>156.69999999999999</v>
      </c>
      <c r="J1384">
        <v>313.39</v>
      </c>
      <c r="K1384" t="s">
        <v>475</v>
      </c>
      <c r="L1384" t="s">
        <v>1039</v>
      </c>
      <c r="O1384" t="s">
        <v>81</v>
      </c>
      <c r="Q1384">
        <v>2</v>
      </c>
      <c r="R1384" s="24">
        <v>46032</v>
      </c>
      <c r="T1384" t="s">
        <v>38</v>
      </c>
      <c r="V1384" t="s">
        <v>921</v>
      </c>
      <c r="Y1384" t="s">
        <v>81</v>
      </c>
      <c r="Z1384" t="s">
        <v>924</v>
      </c>
      <c r="AA1384" t="s">
        <v>39</v>
      </c>
      <c r="AC1384" t="s">
        <v>1040</v>
      </c>
    </row>
    <row r="1385" spans="1:29" hidden="1" x14ac:dyDescent="0.25">
      <c r="A1385">
        <v>360</v>
      </c>
      <c r="B1385" t="s">
        <v>494</v>
      </c>
      <c r="C1385" t="s">
        <v>77</v>
      </c>
      <c r="D1385" t="s">
        <v>495</v>
      </c>
      <c r="E1385">
        <v>12</v>
      </c>
      <c r="F1385">
        <v>220</v>
      </c>
      <c r="G1385">
        <v>11993</v>
      </c>
      <c r="H1385">
        <v>2</v>
      </c>
      <c r="I1385">
        <v>248.54</v>
      </c>
      <c r="J1385">
        <v>497.09</v>
      </c>
      <c r="K1385" t="s">
        <v>475</v>
      </c>
      <c r="L1385" t="s">
        <v>1041</v>
      </c>
      <c r="O1385" t="s">
        <v>81</v>
      </c>
      <c r="Q1385">
        <v>2</v>
      </c>
      <c r="R1385" s="24">
        <v>46032</v>
      </c>
      <c r="T1385" t="s">
        <v>38</v>
      </c>
      <c r="V1385" t="s">
        <v>921</v>
      </c>
      <c r="Y1385" t="s">
        <v>81</v>
      </c>
      <c r="Z1385" t="s">
        <v>924</v>
      </c>
      <c r="AA1385" t="s">
        <v>39</v>
      </c>
      <c r="AC1385" t="s">
        <v>1042</v>
      </c>
    </row>
    <row r="1386" spans="1:29" hidden="1" x14ac:dyDescent="0.25">
      <c r="A1386">
        <v>361</v>
      </c>
      <c r="B1386" t="s">
        <v>498</v>
      </c>
      <c r="C1386" t="s">
        <v>77</v>
      </c>
      <c r="D1386" t="s">
        <v>499</v>
      </c>
      <c r="E1386">
        <v>12</v>
      </c>
      <c r="F1386">
        <v>220</v>
      </c>
      <c r="G1386">
        <v>11991</v>
      </c>
      <c r="H1386">
        <v>2</v>
      </c>
      <c r="I1386">
        <v>248.5</v>
      </c>
      <c r="J1386">
        <v>497</v>
      </c>
      <c r="K1386" t="s">
        <v>475</v>
      </c>
      <c r="L1386" t="s">
        <v>1041</v>
      </c>
      <c r="O1386" t="s">
        <v>81</v>
      </c>
      <c r="Q1386">
        <v>2</v>
      </c>
      <c r="R1386" s="24">
        <v>46032</v>
      </c>
      <c r="T1386" t="s">
        <v>38</v>
      </c>
      <c r="V1386" t="s">
        <v>921</v>
      </c>
      <c r="Y1386" t="s">
        <v>81</v>
      </c>
      <c r="Z1386" t="s">
        <v>924</v>
      </c>
      <c r="AA1386" t="s">
        <v>39</v>
      </c>
      <c r="AC1386" t="s">
        <v>1042</v>
      </c>
    </row>
    <row r="1387" spans="1:29" hidden="1" x14ac:dyDescent="0.25">
      <c r="A1387">
        <v>362</v>
      </c>
      <c r="B1387" t="s">
        <v>500</v>
      </c>
      <c r="C1387" t="s">
        <v>77</v>
      </c>
      <c r="D1387" t="s">
        <v>495</v>
      </c>
      <c r="E1387">
        <v>12</v>
      </c>
      <c r="F1387">
        <v>220</v>
      </c>
      <c r="G1387">
        <v>11993</v>
      </c>
      <c r="H1387">
        <v>2</v>
      </c>
      <c r="I1387">
        <v>248.54</v>
      </c>
      <c r="J1387">
        <v>497.09</v>
      </c>
      <c r="K1387" t="s">
        <v>475</v>
      </c>
      <c r="L1387" t="s">
        <v>1041</v>
      </c>
      <c r="O1387" t="s">
        <v>81</v>
      </c>
      <c r="Q1387">
        <v>2</v>
      </c>
      <c r="R1387" s="24">
        <v>46032</v>
      </c>
      <c r="T1387" t="s">
        <v>38</v>
      </c>
      <c r="V1387" t="s">
        <v>921</v>
      </c>
      <c r="Y1387" t="s">
        <v>81</v>
      </c>
      <c r="Z1387" t="s">
        <v>924</v>
      </c>
      <c r="AA1387" t="s">
        <v>39</v>
      </c>
      <c r="AC1387" t="s">
        <v>1042</v>
      </c>
    </row>
    <row r="1388" spans="1:29" hidden="1" x14ac:dyDescent="0.25">
      <c r="A1388">
        <v>363</v>
      </c>
      <c r="B1388" t="s">
        <v>501</v>
      </c>
      <c r="C1388" t="s">
        <v>77</v>
      </c>
      <c r="D1388" t="s">
        <v>499</v>
      </c>
      <c r="E1388">
        <v>12</v>
      </c>
      <c r="F1388">
        <v>220</v>
      </c>
      <c r="G1388">
        <v>11991</v>
      </c>
      <c r="H1388">
        <v>2</v>
      </c>
      <c r="I1388">
        <v>248.5</v>
      </c>
      <c r="J1388">
        <v>497</v>
      </c>
      <c r="K1388" t="s">
        <v>475</v>
      </c>
      <c r="L1388" t="s">
        <v>1043</v>
      </c>
      <c r="O1388" t="s">
        <v>81</v>
      </c>
      <c r="Q1388">
        <v>2</v>
      </c>
      <c r="R1388" s="24">
        <v>46032</v>
      </c>
      <c r="T1388" t="s">
        <v>38</v>
      </c>
      <c r="V1388" t="s">
        <v>921</v>
      </c>
      <c r="Y1388" t="s">
        <v>81</v>
      </c>
      <c r="Z1388" t="s">
        <v>924</v>
      </c>
      <c r="AA1388" t="s">
        <v>39</v>
      </c>
      <c r="AC1388" t="s">
        <v>1044</v>
      </c>
    </row>
    <row r="1389" spans="1:29" hidden="1" x14ac:dyDescent="0.25">
      <c r="A1389">
        <v>364</v>
      </c>
      <c r="B1389" t="s">
        <v>504</v>
      </c>
      <c r="C1389" t="s">
        <v>77</v>
      </c>
      <c r="D1389" t="s">
        <v>499</v>
      </c>
      <c r="E1389">
        <v>12</v>
      </c>
      <c r="F1389">
        <v>220</v>
      </c>
      <c r="G1389">
        <v>11991</v>
      </c>
      <c r="H1389">
        <v>2</v>
      </c>
      <c r="I1389">
        <v>248.5</v>
      </c>
      <c r="J1389">
        <v>497</v>
      </c>
      <c r="K1389" t="s">
        <v>475</v>
      </c>
      <c r="L1389" t="s">
        <v>1043</v>
      </c>
      <c r="O1389" t="s">
        <v>81</v>
      </c>
      <c r="Q1389">
        <v>2</v>
      </c>
      <c r="R1389" s="24">
        <v>46032</v>
      </c>
      <c r="T1389" t="s">
        <v>38</v>
      </c>
      <c r="V1389" t="s">
        <v>921</v>
      </c>
      <c r="Y1389" t="s">
        <v>81</v>
      </c>
      <c r="Z1389" t="s">
        <v>924</v>
      </c>
      <c r="AA1389" t="s">
        <v>39</v>
      </c>
      <c r="AC1389" t="s">
        <v>1044</v>
      </c>
    </row>
    <row r="1390" spans="1:29" hidden="1" x14ac:dyDescent="0.25">
      <c r="A1390">
        <v>365</v>
      </c>
      <c r="B1390" t="s">
        <v>505</v>
      </c>
      <c r="C1390" t="s">
        <v>77</v>
      </c>
      <c r="D1390" t="s">
        <v>499</v>
      </c>
      <c r="E1390">
        <v>12</v>
      </c>
      <c r="F1390">
        <v>220</v>
      </c>
      <c r="G1390">
        <v>11991</v>
      </c>
      <c r="H1390">
        <v>2</v>
      </c>
      <c r="I1390">
        <v>248.5</v>
      </c>
      <c r="J1390">
        <v>497</v>
      </c>
      <c r="K1390" t="s">
        <v>475</v>
      </c>
      <c r="L1390" t="s">
        <v>1043</v>
      </c>
      <c r="O1390" t="s">
        <v>81</v>
      </c>
      <c r="Q1390">
        <v>2</v>
      </c>
      <c r="R1390" s="24">
        <v>46032</v>
      </c>
      <c r="T1390" t="s">
        <v>38</v>
      </c>
      <c r="V1390" t="s">
        <v>921</v>
      </c>
      <c r="Y1390" t="s">
        <v>81</v>
      </c>
      <c r="Z1390" t="s">
        <v>924</v>
      </c>
      <c r="AA1390" t="s">
        <v>39</v>
      </c>
      <c r="AC1390" t="s">
        <v>1044</v>
      </c>
    </row>
    <row r="1391" spans="1:29" hidden="1" x14ac:dyDescent="0.25">
      <c r="A1391">
        <v>366</v>
      </c>
      <c r="B1391" t="s">
        <v>506</v>
      </c>
      <c r="C1391" t="s">
        <v>77</v>
      </c>
      <c r="D1391" t="s">
        <v>507</v>
      </c>
      <c r="E1391">
        <v>12</v>
      </c>
      <c r="F1391">
        <v>220</v>
      </c>
      <c r="G1391">
        <v>7564</v>
      </c>
      <c r="H1391">
        <v>2</v>
      </c>
      <c r="I1391">
        <v>156.76</v>
      </c>
      <c r="J1391">
        <v>313.51</v>
      </c>
      <c r="K1391" t="s">
        <v>475</v>
      </c>
      <c r="L1391" t="s">
        <v>1045</v>
      </c>
      <c r="O1391" t="s">
        <v>81</v>
      </c>
      <c r="Q1391">
        <v>2</v>
      </c>
      <c r="R1391" s="24">
        <v>46032</v>
      </c>
      <c r="T1391" t="s">
        <v>38</v>
      </c>
      <c r="V1391" t="s">
        <v>921</v>
      </c>
      <c r="Y1391" t="s">
        <v>81</v>
      </c>
      <c r="Z1391" t="s">
        <v>924</v>
      </c>
      <c r="AA1391" t="s">
        <v>1046</v>
      </c>
      <c r="AC1391" t="s">
        <v>1047</v>
      </c>
    </row>
    <row r="1392" spans="1:29" hidden="1" x14ac:dyDescent="0.25">
      <c r="A1392">
        <v>367</v>
      </c>
      <c r="B1392" t="s">
        <v>510</v>
      </c>
      <c r="C1392" t="s">
        <v>77</v>
      </c>
      <c r="D1392" t="s">
        <v>511</v>
      </c>
      <c r="E1392">
        <v>16</v>
      </c>
      <c r="F1392">
        <v>50</v>
      </c>
      <c r="G1392">
        <v>120</v>
      </c>
      <c r="H1392">
        <v>16</v>
      </c>
      <c r="I1392">
        <v>0.7</v>
      </c>
      <c r="J1392">
        <v>11.15</v>
      </c>
      <c r="K1392" t="s">
        <v>512</v>
      </c>
      <c r="L1392" t="s">
        <v>1048</v>
      </c>
      <c r="N1392" t="s">
        <v>228</v>
      </c>
      <c r="Q1392">
        <v>2</v>
      </c>
      <c r="R1392" s="24">
        <v>46032</v>
      </c>
      <c r="T1392" t="s">
        <v>38</v>
      </c>
      <c r="V1392" t="s">
        <v>921</v>
      </c>
      <c r="X1392" t="s">
        <v>81</v>
      </c>
      <c r="Z1392" t="s">
        <v>924</v>
      </c>
      <c r="AA1392" t="s">
        <v>39</v>
      </c>
      <c r="AC1392" t="s">
        <v>1049</v>
      </c>
    </row>
    <row r="1393" spans="1:29" hidden="1" x14ac:dyDescent="0.25">
      <c r="A1393">
        <v>368</v>
      </c>
      <c r="B1393" t="s">
        <v>515</v>
      </c>
      <c r="C1393" t="s">
        <v>77</v>
      </c>
      <c r="D1393" t="s">
        <v>516</v>
      </c>
      <c r="E1393">
        <v>16</v>
      </c>
      <c r="F1393">
        <v>220</v>
      </c>
      <c r="G1393">
        <v>280</v>
      </c>
      <c r="H1393">
        <v>4</v>
      </c>
      <c r="I1393">
        <v>7.71</v>
      </c>
      <c r="J1393">
        <v>30.85</v>
      </c>
      <c r="K1393" t="s">
        <v>512</v>
      </c>
      <c r="L1393" t="s">
        <v>1048</v>
      </c>
      <c r="Q1393">
        <v>2</v>
      </c>
      <c r="R1393" s="24">
        <v>46032</v>
      </c>
      <c r="T1393" t="s">
        <v>38</v>
      </c>
      <c r="V1393" t="s">
        <v>921</v>
      </c>
      <c r="W1393" t="s">
        <v>81</v>
      </c>
      <c r="Z1393" t="s">
        <v>924</v>
      </c>
      <c r="AA1393" t="s">
        <v>39</v>
      </c>
      <c r="AC1393" t="s">
        <v>1049</v>
      </c>
    </row>
    <row r="1394" spans="1:29" hidden="1" x14ac:dyDescent="0.25">
      <c r="A1394">
        <v>369</v>
      </c>
      <c r="B1394" t="s">
        <v>517</v>
      </c>
      <c r="C1394" t="s">
        <v>77</v>
      </c>
      <c r="D1394" t="s">
        <v>518</v>
      </c>
      <c r="E1394">
        <v>16</v>
      </c>
      <c r="F1394">
        <v>200</v>
      </c>
      <c r="G1394">
        <v>300</v>
      </c>
      <c r="H1394">
        <v>2</v>
      </c>
      <c r="I1394">
        <v>4.8600000000000003</v>
      </c>
      <c r="J1394">
        <v>9.73</v>
      </c>
      <c r="K1394" t="s">
        <v>512</v>
      </c>
      <c r="L1394" t="s">
        <v>1048</v>
      </c>
      <c r="Q1394">
        <v>2</v>
      </c>
      <c r="R1394" s="24">
        <v>46032</v>
      </c>
      <c r="T1394" t="s">
        <v>38</v>
      </c>
      <c r="V1394" t="s">
        <v>921</v>
      </c>
      <c r="W1394" t="s">
        <v>81</v>
      </c>
      <c r="Z1394" t="s">
        <v>924</v>
      </c>
      <c r="AA1394" t="s">
        <v>39</v>
      </c>
      <c r="AC1394" t="s">
        <v>1049</v>
      </c>
    </row>
    <row r="1395" spans="1:29" hidden="1" x14ac:dyDescent="0.25">
      <c r="A1395">
        <v>370</v>
      </c>
      <c r="B1395" t="s">
        <v>519</v>
      </c>
      <c r="C1395" t="s">
        <v>77</v>
      </c>
      <c r="D1395" t="s">
        <v>518</v>
      </c>
      <c r="E1395">
        <v>16</v>
      </c>
      <c r="F1395">
        <v>200</v>
      </c>
      <c r="G1395">
        <v>300</v>
      </c>
      <c r="H1395">
        <v>2</v>
      </c>
      <c r="I1395">
        <v>4.8600000000000003</v>
      </c>
      <c r="J1395">
        <v>9.73</v>
      </c>
      <c r="K1395" t="s">
        <v>512</v>
      </c>
      <c r="L1395" t="s">
        <v>1048</v>
      </c>
      <c r="Q1395">
        <v>2</v>
      </c>
      <c r="R1395" s="24">
        <v>46032</v>
      </c>
      <c r="T1395" t="s">
        <v>38</v>
      </c>
      <c r="V1395" t="s">
        <v>921</v>
      </c>
      <c r="W1395" t="s">
        <v>81</v>
      </c>
      <c r="Z1395" t="s">
        <v>924</v>
      </c>
      <c r="AA1395" t="s">
        <v>39</v>
      </c>
      <c r="AC1395" t="s">
        <v>1049</v>
      </c>
    </row>
    <row r="1396" spans="1:29" hidden="1" x14ac:dyDescent="0.25">
      <c r="A1396">
        <v>371</v>
      </c>
      <c r="B1396" t="s">
        <v>520</v>
      </c>
      <c r="C1396" t="s">
        <v>77</v>
      </c>
      <c r="D1396" t="s">
        <v>521</v>
      </c>
      <c r="E1396">
        <v>16</v>
      </c>
      <c r="F1396">
        <v>275</v>
      </c>
      <c r="G1396">
        <v>12000</v>
      </c>
      <c r="H1396">
        <v>1</v>
      </c>
      <c r="I1396">
        <v>414.49</v>
      </c>
      <c r="J1396">
        <v>414.49</v>
      </c>
      <c r="K1396" t="s">
        <v>512</v>
      </c>
      <c r="L1396" t="s">
        <v>1048</v>
      </c>
      <c r="O1396" t="s">
        <v>81</v>
      </c>
      <c r="Q1396">
        <v>2</v>
      </c>
      <c r="R1396" s="24">
        <v>46032</v>
      </c>
      <c r="T1396" t="s">
        <v>38</v>
      </c>
      <c r="V1396" t="s">
        <v>921</v>
      </c>
      <c r="Y1396" t="s">
        <v>81</v>
      </c>
      <c r="Z1396" t="s">
        <v>924</v>
      </c>
      <c r="AA1396" t="s">
        <v>39</v>
      </c>
      <c r="AC1396" t="s">
        <v>1049</v>
      </c>
    </row>
    <row r="1397" spans="1:29" hidden="1" x14ac:dyDescent="0.25">
      <c r="A1397">
        <v>372</v>
      </c>
      <c r="B1397" t="s">
        <v>522</v>
      </c>
      <c r="C1397" t="s">
        <v>77</v>
      </c>
      <c r="D1397" t="s">
        <v>521</v>
      </c>
      <c r="E1397">
        <v>16</v>
      </c>
      <c r="F1397">
        <v>275</v>
      </c>
      <c r="G1397">
        <v>12000</v>
      </c>
      <c r="H1397">
        <v>1</v>
      </c>
      <c r="I1397">
        <v>414.48</v>
      </c>
      <c r="J1397">
        <v>414.48</v>
      </c>
      <c r="K1397" t="s">
        <v>512</v>
      </c>
      <c r="L1397" t="s">
        <v>1048</v>
      </c>
      <c r="O1397" t="s">
        <v>81</v>
      </c>
      <c r="Q1397">
        <v>2</v>
      </c>
      <c r="R1397" s="24">
        <v>46032</v>
      </c>
      <c r="T1397" t="s">
        <v>38</v>
      </c>
      <c r="V1397" t="s">
        <v>921</v>
      </c>
      <c r="Y1397" t="s">
        <v>81</v>
      </c>
      <c r="Z1397" t="s">
        <v>924</v>
      </c>
      <c r="AA1397" t="s">
        <v>39</v>
      </c>
      <c r="AC1397" t="s">
        <v>1049</v>
      </c>
    </row>
    <row r="1398" spans="1:29" hidden="1" x14ac:dyDescent="0.25">
      <c r="A1398">
        <v>373</v>
      </c>
      <c r="B1398" t="s">
        <v>523</v>
      </c>
      <c r="C1398" t="s">
        <v>77</v>
      </c>
      <c r="D1398" t="s">
        <v>524</v>
      </c>
      <c r="E1398">
        <v>16</v>
      </c>
      <c r="F1398">
        <v>275</v>
      </c>
      <c r="G1398">
        <v>11976</v>
      </c>
      <c r="H1398">
        <v>1</v>
      </c>
      <c r="I1398">
        <v>413.65</v>
      </c>
      <c r="J1398">
        <v>413.65</v>
      </c>
      <c r="K1398" t="s">
        <v>512</v>
      </c>
      <c r="L1398" t="s">
        <v>1048</v>
      </c>
      <c r="O1398" t="s">
        <v>81</v>
      </c>
      <c r="Q1398">
        <v>2</v>
      </c>
      <c r="R1398" s="24">
        <v>46032</v>
      </c>
      <c r="T1398" t="s">
        <v>38</v>
      </c>
      <c r="V1398" t="s">
        <v>921</v>
      </c>
      <c r="Y1398" t="s">
        <v>81</v>
      </c>
      <c r="Z1398" t="s">
        <v>924</v>
      </c>
      <c r="AA1398" t="s">
        <v>39</v>
      </c>
      <c r="AC1398" t="s">
        <v>1049</v>
      </c>
    </row>
    <row r="1399" spans="1:29" hidden="1" x14ac:dyDescent="0.25">
      <c r="A1399">
        <v>374</v>
      </c>
      <c r="B1399" t="s">
        <v>525</v>
      </c>
      <c r="C1399" t="s">
        <v>77</v>
      </c>
      <c r="D1399" t="s">
        <v>518</v>
      </c>
      <c r="E1399">
        <v>16</v>
      </c>
      <c r="F1399">
        <v>200</v>
      </c>
      <c r="G1399">
        <v>300</v>
      </c>
      <c r="H1399">
        <v>2</v>
      </c>
      <c r="I1399">
        <v>4.8600000000000003</v>
      </c>
      <c r="J1399">
        <v>9.73</v>
      </c>
      <c r="K1399" t="s">
        <v>512</v>
      </c>
      <c r="L1399" t="s">
        <v>1048</v>
      </c>
      <c r="Q1399">
        <v>2</v>
      </c>
      <c r="R1399" s="24">
        <v>46032</v>
      </c>
      <c r="T1399" t="s">
        <v>38</v>
      </c>
      <c r="V1399" t="s">
        <v>921</v>
      </c>
      <c r="W1399" t="s">
        <v>81</v>
      </c>
      <c r="Z1399" t="s">
        <v>924</v>
      </c>
      <c r="AA1399" t="s">
        <v>39</v>
      </c>
      <c r="AC1399" t="s">
        <v>1049</v>
      </c>
    </row>
    <row r="1400" spans="1:29" hidden="1" x14ac:dyDescent="0.25">
      <c r="A1400">
        <v>375</v>
      </c>
      <c r="B1400" t="s">
        <v>526</v>
      </c>
      <c r="C1400" t="s">
        <v>77</v>
      </c>
      <c r="D1400" t="s">
        <v>518</v>
      </c>
      <c r="E1400">
        <v>16</v>
      </c>
      <c r="F1400">
        <v>200</v>
      </c>
      <c r="G1400">
        <v>300</v>
      </c>
      <c r="H1400">
        <v>2</v>
      </c>
      <c r="I1400">
        <v>4.8600000000000003</v>
      </c>
      <c r="J1400">
        <v>9.73</v>
      </c>
      <c r="K1400" t="s">
        <v>512</v>
      </c>
      <c r="L1400" t="s">
        <v>1048</v>
      </c>
      <c r="Q1400">
        <v>2</v>
      </c>
      <c r="R1400" s="24">
        <v>46032</v>
      </c>
      <c r="T1400" t="s">
        <v>38</v>
      </c>
      <c r="V1400" t="s">
        <v>921</v>
      </c>
      <c r="W1400" t="s">
        <v>81</v>
      </c>
      <c r="Z1400" t="s">
        <v>924</v>
      </c>
      <c r="AA1400" t="s">
        <v>39</v>
      </c>
      <c r="AC1400" t="s">
        <v>1049</v>
      </c>
    </row>
    <row r="1401" spans="1:29" hidden="1" x14ac:dyDescent="0.25">
      <c r="A1401">
        <v>376</v>
      </c>
      <c r="B1401" t="s">
        <v>527</v>
      </c>
      <c r="C1401" t="s">
        <v>77</v>
      </c>
      <c r="D1401" t="s">
        <v>521</v>
      </c>
      <c r="E1401">
        <v>16</v>
      </c>
      <c r="F1401">
        <v>275</v>
      </c>
      <c r="G1401">
        <v>12000</v>
      </c>
      <c r="H1401">
        <v>1</v>
      </c>
      <c r="I1401">
        <v>414.48</v>
      </c>
      <c r="J1401">
        <v>414.48</v>
      </c>
      <c r="K1401" t="s">
        <v>512</v>
      </c>
      <c r="L1401" t="s">
        <v>1048</v>
      </c>
      <c r="O1401" t="s">
        <v>81</v>
      </c>
      <c r="Q1401">
        <v>2</v>
      </c>
      <c r="R1401" s="24">
        <v>46032</v>
      </c>
      <c r="T1401" t="s">
        <v>38</v>
      </c>
      <c r="V1401" t="s">
        <v>921</v>
      </c>
      <c r="Y1401" t="s">
        <v>81</v>
      </c>
      <c r="Z1401" t="s">
        <v>924</v>
      </c>
      <c r="AA1401" t="s">
        <v>39</v>
      </c>
      <c r="AC1401" t="s">
        <v>1049</v>
      </c>
    </row>
    <row r="1402" spans="1:29" hidden="1" x14ac:dyDescent="0.25">
      <c r="A1402">
        <v>377</v>
      </c>
      <c r="B1402" t="s">
        <v>528</v>
      </c>
      <c r="C1402" t="s">
        <v>77</v>
      </c>
      <c r="D1402" t="s">
        <v>529</v>
      </c>
      <c r="E1402">
        <v>16</v>
      </c>
      <c r="F1402">
        <v>275</v>
      </c>
      <c r="G1402">
        <v>7587</v>
      </c>
      <c r="H1402">
        <v>1</v>
      </c>
      <c r="I1402">
        <v>262.06</v>
      </c>
      <c r="J1402">
        <v>262.06</v>
      </c>
      <c r="K1402" t="s">
        <v>512</v>
      </c>
      <c r="L1402" t="s">
        <v>1048</v>
      </c>
      <c r="O1402" t="s">
        <v>81</v>
      </c>
      <c r="Q1402">
        <v>2</v>
      </c>
      <c r="R1402" s="24">
        <v>46032</v>
      </c>
      <c r="T1402" t="s">
        <v>38</v>
      </c>
      <c r="V1402" t="s">
        <v>921</v>
      </c>
      <c r="Y1402" t="s">
        <v>81</v>
      </c>
      <c r="Z1402" t="s">
        <v>924</v>
      </c>
      <c r="AA1402" t="s">
        <v>39</v>
      </c>
      <c r="AC1402" t="s">
        <v>1049</v>
      </c>
    </row>
    <row r="1403" spans="1:29" hidden="1" x14ac:dyDescent="0.25">
      <c r="A1403">
        <v>378</v>
      </c>
      <c r="B1403" t="s">
        <v>530</v>
      </c>
      <c r="C1403" t="s">
        <v>77</v>
      </c>
      <c r="D1403" t="s">
        <v>521</v>
      </c>
      <c r="E1403">
        <v>16</v>
      </c>
      <c r="F1403">
        <v>275</v>
      </c>
      <c r="G1403">
        <v>12000</v>
      </c>
      <c r="H1403">
        <v>1</v>
      </c>
      <c r="I1403">
        <v>414.48</v>
      </c>
      <c r="J1403">
        <v>414.48</v>
      </c>
      <c r="K1403" t="s">
        <v>512</v>
      </c>
      <c r="L1403" t="s">
        <v>1048</v>
      </c>
      <c r="O1403" t="s">
        <v>81</v>
      </c>
      <c r="Q1403">
        <v>2</v>
      </c>
      <c r="R1403" s="24">
        <v>46032</v>
      </c>
      <c r="T1403" t="s">
        <v>38</v>
      </c>
      <c r="V1403" t="s">
        <v>921</v>
      </c>
      <c r="Y1403" t="s">
        <v>81</v>
      </c>
      <c r="Z1403" t="s">
        <v>924</v>
      </c>
      <c r="AA1403" t="s">
        <v>39</v>
      </c>
      <c r="AC1403" t="s">
        <v>1049</v>
      </c>
    </row>
    <row r="1404" spans="1:29" hidden="1" x14ac:dyDescent="0.25">
      <c r="A1404">
        <v>379</v>
      </c>
      <c r="B1404" t="s">
        <v>531</v>
      </c>
      <c r="C1404" t="s">
        <v>77</v>
      </c>
      <c r="D1404" t="s">
        <v>532</v>
      </c>
      <c r="E1404">
        <v>16</v>
      </c>
      <c r="F1404">
        <v>275</v>
      </c>
      <c r="G1404">
        <v>7583</v>
      </c>
      <c r="H1404">
        <v>1</v>
      </c>
      <c r="I1404">
        <v>261.92</v>
      </c>
      <c r="J1404">
        <v>261.92</v>
      </c>
      <c r="K1404" t="s">
        <v>512</v>
      </c>
      <c r="L1404" t="s">
        <v>1048</v>
      </c>
      <c r="O1404" t="s">
        <v>81</v>
      </c>
      <c r="Q1404">
        <v>2</v>
      </c>
      <c r="R1404" s="24">
        <v>46032</v>
      </c>
      <c r="T1404" t="s">
        <v>38</v>
      </c>
      <c r="V1404" t="s">
        <v>921</v>
      </c>
      <c r="Y1404" t="s">
        <v>81</v>
      </c>
      <c r="Z1404" t="s">
        <v>924</v>
      </c>
      <c r="AA1404" t="s">
        <v>39</v>
      </c>
      <c r="AC1404" t="s">
        <v>1049</v>
      </c>
    </row>
    <row r="1405" spans="1:29" hidden="1" x14ac:dyDescent="0.25">
      <c r="A1405">
        <v>380</v>
      </c>
      <c r="B1405" t="s">
        <v>535</v>
      </c>
      <c r="C1405" t="s">
        <v>77</v>
      </c>
      <c r="D1405" t="s">
        <v>516</v>
      </c>
      <c r="E1405">
        <v>16</v>
      </c>
      <c r="F1405">
        <v>220</v>
      </c>
      <c r="G1405">
        <v>280</v>
      </c>
      <c r="H1405">
        <v>4</v>
      </c>
      <c r="I1405">
        <v>7.71</v>
      </c>
      <c r="J1405">
        <v>30.85</v>
      </c>
      <c r="K1405" t="s">
        <v>512</v>
      </c>
      <c r="L1405" t="s">
        <v>1048</v>
      </c>
      <c r="Q1405">
        <v>2</v>
      </c>
      <c r="R1405" s="24">
        <v>46032</v>
      </c>
      <c r="T1405" t="s">
        <v>38</v>
      </c>
      <c r="V1405" t="s">
        <v>921</v>
      </c>
      <c r="W1405" t="s">
        <v>81</v>
      </c>
      <c r="Z1405" t="s">
        <v>924</v>
      </c>
      <c r="AA1405" t="s">
        <v>39</v>
      </c>
      <c r="AC1405" t="s">
        <v>1049</v>
      </c>
    </row>
    <row r="1406" spans="1:29" hidden="1" x14ac:dyDescent="0.25">
      <c r="A1406">
        <v>381</v>
      </c>
      <c r="B1406" t="s">
        <v>536</v>
      </c>
      <c r="C1406" t="s">
        <v>77</v>
      </c>
      <c r="D1406" t="s">
        <v>537</v>
      </c>
      <c r="E1406">
        <v>16</v>
      </c>
      <c r="F1406">
        <v>170</v>
      </c>
      <c r="G1406">
        <v>170</v>
      </c>
      <c r="H1406">
        <v>6</v>
      </c>
      <c r="I1406">
        <v>3.6</v>
      </c>
      <c r="J1406">
        <v>21.63</v>
      </c>
      <c r="K1406" t="s">
        <v>512</v>
      </c>
      <c r="L1406" t="s">
        <v>1048</v>
      </c>
      <c r="Q1406">
        <v>2</v>
      </c>
      <c r="R1406" s="24">
        <v>46032</v>
      </c>
      <c r="T1406" t="s">
        <v>38</v>
      </c>
      <c r="V1406" t="s">
        <v>921</v>
      </c>
      <c r="W1406" t="s">
        <v>81</v>
      </c>
      <c r="Z1406" t="s">
        <v>924</v>
      </c>
      <c r="AA1406" t="s">
        <v>39</v>
      </c>
      <c r="AC1406" t="s">
        <v>1049</v>
      </c>
    </row>
    <row r="1407" spans="1:29" hidden="1" x14ac:dyDescent="0.25">
      <c r="A1407">
        <v>382</v>
      </c>
      <c r="B1407" t="s">
        <v>538</v>
      </c>
      <c r="C1407" t="s">
        <v>77</v>
      </c>
      <c r="D1407" t="s">
        <v>537</v>
      </c>
      <c r="E1407">
        <v>16</v>
      </c>
      <c r="F1407">
        <v>170</v>
      </c>
      <c r="G1407">
        <v>170</v>
      </c>
      <c r="H1407">
        <v>4</v>
      </c>
      <c r="I1407">
        <v>3.6</v>
      </c>
      <c r="J1407">
        <v>14.42</v>
      </c>
      <c r="K1407" t="s">
        <v>512</v>
      </c>
      <c r="L1407" t="s">
        <v>1048</v>
      </c>
      <c r="Q1407">
        <v>2</v>
      </c>
      <c r="R1407" s="24">
        <v>46032</v>
      </c>
      <c r="T1407" t="s">
        <v>38</v>
      </c>
      <c r="V1407" t="s">
        <v>921</v>
      </c>
      <c r="W1407" t="s">
        <v>81</v>
      </c>
      <c r="Z1407" t="s">
        <v>924</v>
      </c>
      <c r="AA1407" t="s">
        <v>39</v>
      </c>
      <c r="AC1407" t="s">
        <v>1049</v>
      </c>
    </row>
    <row r="1408" spans="1:29" hidden="1" x14ac:dyDescent="0.25">
      <c r="A1408">
        <v>383</v>
      </c>
      <c r="B1408" t="s">
        <v>539</v>
      </c>
      <c r="C1408" t="s">
        <v>77</v>
      </c>
      <c r="D1408" t="s">
        <v>537</v>
      </c>
      <c r="E1408">
        <v>16</v>
      </c>
      <c r="F1408">
        <v>170</v>
      </c>
      <c r="G1408">
        <v>170</v>
      </c>
      <c r="H1408">
        <v>4</v>
      </c>
      <c r="I1408">
        <v>3.6</v>
      </c>
      <c r="J1408">
        <v>14.42</v>
      </c>
      <c r="K1408" t="s">
        <v>512</v>
      </c>
      <c r="L1408" t="s">
        <v>1048</v>
      </c>
      <c r="Q1408">
        <v>2</v>
      </c>
      <c r="R1408" s="24">
        <v>46032</v>
      </c>
      <c r="T1408" t="s">
        <v>38</v>
      </c>
      <c r="V1408" t="s">
        <v>921</v>
      </c>
      <c r="W1408" t="s">
        <v>81</v>
      </c>
      <c r="Z1408" t="s">
        <v>924</v>
      </c>
      <c r="AA1408" t="s">
        <v>39</v>
      </c>
      <c r="AC1408" t="s">
        <v>1049</v>
      </c>
    </row>
    <row r="1409" spans="1:29" hidden="1" x14ac:dyDescent="0.25">
      <c r="A1409">
        <v>384</v>
      </c>
      <c r="B1409" t="s">
        <v>540</v>
      </c>
      <c r="C1409" t="s">
        <v>77</v>
      </c>
      <c r="D1409" t="s">
        <v>537</v>
      </c>
      <c r="E1409">
        <v>16</v>
      </c>
      <c r="F1409">
        <v>170</v>
      </c>
      <c r="G1409">
        <v>170</v>
      </c>
      <c r="H1409">
        <v>4</v>
      </c>
      <c r="I1409">
        <v>3.6</v>
      </c>
      <c r="J1409">
        <v>14.42</v>
      </c>
      <c r="K1409" t="s">
        <v>512</v>
      </c>
      <c r="L1409" t="s">
        <v>1048</v>
      </c>
      <c r="Q1409">
        <v>2</v>
      </c>
      <c r="R1409" s="24">
        <v>46032</v>
      </c>
      <c r="T1409" t="s">
        <v>38</v>
      </c>
      <c r="V1409" t="s">
        <v>921</v>
      </c>
      <c r="W1409" t="s">
        <v>81</v>
      </c>
      <c r="Z1409" t="s">
        <v>924</v>
      </c>
      <c r="AA1409" t="s">
        <v>39</v>
      </c>
      <c r="AC1409" t="s">
        <v>1049</v>
      </c>
    </row>
    <row r="1410" spans="1:29" hidden="1" x14ac:dyDescent="0.25">
      <c r="A1410">
        <v>385</v>
      </c>
      <c r="B1410" t="s">
        <v>541</v>
      </c>
      <c r="C1410" t="s">
        <v>77</v>
      </c>
      <c r="D1410" t="s">
        <v>537</v>
      </c>
      <c r="E1410">
        <v>16</v>
      </c>
      <c r="F1410">
        <v>170</v>
      </c>
      <c r="G1410">
        <v>170</v>
      </c>
      <c r="H1410">
        <v>4</v>
      </c>
      <c r="I1410">
        <v>3.6</v>
      </c>
      <c r="J1410">
        <v>14.42</v>
      </c>
      <c r="K1410" t="s">
        <v>512</v>
      </c>
      <c r="L1410" t="s">
        <v>1048</v>
      </c>
      <c r="Q1410">
        <v>2</v>
      </c>
      <c r="R1410" s="24">
        <v>46032</v>
      </c>
      <c r="T1410" t="s">
        <v>38</v>
      </c>
      <c r="V1410" t="s">
        <v>921</v>
      </c>
      <c r="W1410" t="s">
        <v>81</v>
      </c>
      <c r="Z1410" t="s">
        <v>924</v>
      </c>
      <c r="AA1410" t="s">
        <v>39</v>
      </c>
      <c r="AC1410" t="s">
        <v>1049</v>
      </c>
    </row>
    <row r="1411" spans="1:29" hidden="1" x14ac:dyDescent="0.25">
      <c r="A1411">
        <v>386</v>
      </c>
      <c r="B1411" t="s">
        <v>542</v>
      </c>
      <c r="C1411" t="s">
        <v>77</v>
      </c>
      <c r="D1411" t="s">
        <v>537</v>
      </c>
      <c r="E1411">
        <v>16</v>
      </c>
      <c r="F1411">
        <v>170</v>
      </c>
      <c r="G1411">
        <v>170</v>
      </c>
      <c r="H1411">
        <v>4</v>
      </c>
      <c r="I1411">
        <v>3.6</v>
      </c>
      <c r="J1411">
        <v>14.42</v>
      </c>
      <c r="K1411" t="s">
        <v>512</v>
      </c>
      <c r="L1411" t="s">
        <v>1048</v>
      </c>
      <c r="Q1411">
        <v>2</v>
      </c>
      <c r="R1411" s="24">
        <v>46032</v>
      </c>
      <c r="T1411" t="s">
        <v>38</v>
      </c>
      <c r="V1411" t="s">
        <v>921</v>
      </c>
      <c r="W1411" t="s">
        <v>81</v>
      </c>
      <c r="Z1411" t="s">
        <v>924</v>
      </c>
      <c r="AA1411" t="s">
        <v>39</v>
      </c>
      <c r="AC1411" t="s">
        <v>1049</v>
      </c>
    </row>
    <row r="1412" spans="1:29" hidden="1" x14ac:dyDescent="0.25">
      <c r="A1412">
        <v>387</v>
      </c>
      <c r="B1412" t="s">
        <v>543</v>
      </c>
      <c r="C1412" t="s">
        <v>77</v>
      </c>
      <c r="D1412" t="s">
        <v>537</v>
      </c>
      <c r="E1412">
        <v>16</v>
      </c>
      <c r="F1412">
        <v>170</v>
      </c>
      <c r="G1412">
        <v>170</v>
      </c>
      <c r="H1412">
        <v>4</v>
      </c>
      <c r="I1412">
        <v>3.6</v>
      </c>
      <c r="J1412">
        <v>14.42</v>
      </c>
      <c r="K1412" t="s">
        <v>512</v>
      </c>
      <c r="L1412" t="s">
        <v>1048</v>
      </c>
      <c r="Q1412">
        <v>2</v>
      </c>
      <c r="R1412" s="24">
        <v>46032</v>
      </c>
      <c r="T1412" t="s">
        <v>38</v>
      </c>
      <c r="V1412" t="s">
        <v>921</v>
      </c>
      <c r="W1412" t="s">
        <v>81</v>
      </c>
      <c r="Z1412" t="s">
        <v>924</v>
      </c>
      <c r="AA1412" t="s">
        <v>39</v>
      </c>
      <c r="AC1412" t="s">
        <v>1049</v>
      </c>
    </row>
    <row r="1413" spans="1:29" hidden="1" x14ac:dyDescent="0.25">
      <c r="A1413">
        <v>388</v>
      </c>
      <c r="B1413" t="s">
        <v>544</v>
      </c>
      <c r="C1413" t="s">
        <v>77</v>
      </c>
      <c r="D1413" t="s">
        <v>537</v>
      </c>
      <c r="E1413">
        <v>16</v>
      </c>
      <c r="F1413">
        <v>170</v>
      </c>
      <c r="G1413">
        <v>170</v>
      </c>
      <c r="H1413">
        <v>4</v>
      </c>
      <c r="I1413">
        <v>3.6</v>
      </c>
      <c r="J1413">
        <v>14.42</v>
      </c>
      <c r="K1413" t="s">
        <v>512</v>
      </c>
      <c r="L1413" t="s">
        <v>1048</v>
      </c>
      <c r="Q1413">
        <v>2</v>
      </c>
      <c r="R1413" s="24">
        <v>46032</v>
      </c>
      <c r="T1413" t="s">
        <v>38</v>
      </c>
      <c r="V1413" t="s">
        <v>921</v>
      </c>
      <c r="W1413" t="s">
        <v>81</v>
      </c>
      <c r="Z1413" t="s">
        <v>924</v>
      </c>
      <c r="AA1413" t="s">
        <v>39</v>
      </c>
      <c r="AC1413" t="s">
        <v>1049</v>
      </c>
    </row>
    <row r="1414" spans="1:29" hidden="1" x14ac:dyDescent="0.25">
      <c r="A1414">
        <v>389</v>
      </c>
      <c r="B1414" t="s">
        <v>545</v>
      </c>
      <c r="C1414" t="s">
        <v>77</v>
      </c>
      <c r="D1414" t="s">
        <v>537</v>
      </c>
      <c r="E1414">
        <v>16</v>
      </c>
      <c r="F1414">
        <v>170</v>
      </c>
      <c r="G1414">
        <v>170</v>
      </c>
      <c r="H1414">
        <v>4</v>
      </c>
      <c r="I1414">
        <v>3.6</v>
      </c>
      <c r="J1414">
        <v>14.42</v>
      </c>
      <c r="K1414" t="s">
        <v>512</v>
      </c>
      <c r="L1414" t="s">
        <v>1048</v>
      </c>
      <c r="Q1414">
        <v>2</v>
      </c>
      <c r="R1414" s="24">
        <v>46032</v>
      </c>
      <c r="T1414" t="s">
        <v>38</v>
      </c>
      <c r="V1414" t="s">
        <v>921</v>
      </c>
      <c r="W1414" t="s">
        <v>81</v>
      </c>
      <c r="Z1414" t="s">
        <v>924</v>
      </c>
      <c r="AA1414" t="s">
        <v>39</v>
      </c>
      <c r="AC1414" t="s">
        <v>1049</v>
      </c>
    </row>
    <row r="1415" spans="1:29" hidden="1" x14ac:dyDescent="0.25">
      <c r="A1415">
        <v>390</v>
      </c>
      <c r="B1415" t="s">
        <v>546</v>
      </c>
      <c r="C1415" t="s">
        <v>77</v>
      </c>
      <c r="D1415" t="s">
        <v>537</v>
      </c>
      <c r="E1415">
        <v>16</v>
      </c>
      <c r="F1415">
        <v>170</v>
      </c>
      <c r="G1415">
        <v>170</v>
      </c>
      <c r="H1415">
        <v>6</v>
      </c>
      <c r="I1415">
        <v>3.6</v>
      </c>
      <c r="J1415">
        <v>21.63</v>
      </c>
      <c r="K1415" t="s">
        <v>512</v>
      </c>
      <c r="L1415" t="s">
        <v>1048</v>
      </c>
      <c r="Q1415">
        <v>2</v>
      </c>
      <c r="R1415" s="24">
        <v>46032</v>
      </c>
      <c r="T1415" t="s">
        <v>38</v>
      </c>
      <c r="V1415" t="s">
        <v>921</v>
      </c>
      <c r="W1415" t="s">
        <v>81</v>
      </c>
      <c r="Z1415" t="s">
        <v>924</v>
      </c>
      <c r="AA1415" t="s">
        <v>39</v>
      </c>
      <c r="AC1415" t="s">
        <v>1049</v>
      </c>
    </row>
    <row r="1416" spans="1:29" hidden="1" x14ac:dyDescent="0.25">
      <c r="A1416">
        <v>391</v>
      </c>
      <c r="B1416" t="s">
        <v>533</v>
      </c>
      <c r="C1416" t="s">
        <v>77</v>
      </c>
      <c r="D1416" t="s">
        <v>534</v>
      </c>
      <c r="E1416">
        <v>16</v>
      </c>
      <c r="F1416">
        <v>240</v>
      </c>
      <c r="G1416">
        <v>240</v>
      </c>
      <c r="H1416">
        <v>2</v>
      </c>
      <c r="I1416">
        <v>4.01</v>
      </c>
      <c r="J1416">
        <v>8.0299999999999994</v>
      </c>
      <c r="K1416" t="s">
        <v>512</v>
      </c>
      <c r="L1416" t="s">
        <v>1048</v>
      </c>
      <c r="N1416" t="s">
        <v>228</v>
      </c>
      <c r="Q1416">
        <v>2</v>
      </c>
      <c r="R1416" s="24">
        <v>46032</v>
      </c>
      <c r="T1416" t="s">
        <v>38</v>
      </c>
      <c r="V1416" t="s">
        <v>921</v>
      </c>
      <c r="X1416" t="s">
        <v>81</v>
      </c>
      <c r="Z1416" t="s">
        <v>924</v>
      </c>
      <c r="AA1416" t="s">
        <v>39</v>
      </c>
      <c r="AC1416" t="s">
        <v>1049</v>
      </c>
    </row>
    <row r="1417" spans="1:29" hidden="1" x14ac:dyDescent="0.25">
      <c r="A1417">
        <v>392</v>
      </c>
      <c r="B1417" t="s">
        <v>547</v>
      </c>
      <c r="C1417" t="s">
        <v>77</v>
      </c>
      <c r="D1417" t="s">
        <v>524</v>
      </c>
      <c r="E1417">
        <v>16</v>
      </c>
      <c r="F1417">
        <v>275</v>
      </c>
      <c r="G1417">
        <v>11976</v>
      </c>
      <c r="H1417">
        <v>1</v>
      </c>
      <c r="I1417">
        <v>413.65</v>
      </c>
      <c r="J1417">
        <v>413.65</v>
      </c>
      <c r="K1417" t="s">
        <v>512</v>
      </c>
      <c r="L1417" t="s">
        <v>1050</v>
      </c>
      <c r="O1417" t="s">
        <v>81</v>
      </c>
      <c r="Q1417">
        <v>2</v>
      </c>
      <c r="R1417" s="24">
        <v>46032</v>
      </c>
      <c r="T1417" t="s">
        <v>38</v>
      </c>
      <c r="V1417" t="s">
        <v>921</v>
      </c>
      <c r="Y1417" t="s">
        <v>81</v>
      </c>
      <c r="Z1417" t="s">
        <v>924</v>
      </c>
      <c r="AA1417" t="s">
        <v>39</v>
      </c>
      <c r="AC1417" t="s">
        <v>1051</v>
      </c>
    </row>
    <row r="1418" spans="1:29" hidden="1" x14ac:dyDescent="0.25">
      <c r="A1418">
        <v>393</v>
      </c>
      <c r="B1418" t="s">
        <v>550</v>
      </c>
      <c r="C1418" t="s">
        <v>77</v>
      </c>
      <c r="D1418" t="s">
        <v>551</v>
      </c>
      <c r="E1418">
        <v>16</v>
      </c>
      <c r="F1418">
        <v>275</v>
      </c>
      <c r="G1418">
        <v>11978</v>
      </c>
      <c r="H1418">
        <v>1</v>
      </c>
      <c r="I1418">
        <v>413.72</v>
      </c>
      <c r="J1418">
        <v>413.72</v>
      </c>
      <c r="K1418" t="s">
        <v>512</v>
      </c>
      <c r="L1418" t="s">
        <v>1050</v>
      </c>
      <c r="O1418" t="s">
        <v>81</v>
      </c>
      <c r="Q1418">
        <v>2</v>
      </c>
      <c r="R1418" s="24">
        <v>46032</v>
      </c>
      <c r="T1418" t="s">
        <v>38</v>
      </c>
      <c r="V1418" t="s">
        <v>921</v>
      </c>
      <c r="Y1418" t="s">
        <v>81</v>
      </c>
      <c r="Z1418" t="s">
        <v>924</v>
      </c>
      <c r="AA1418" t="s">
        <v>39</v>
      </c>
      <c r="AC1418" t="s">
        <v>1051</v>
      </c>
    </row>
    <row r="1419" spans="1:29" hidden="1" x14ac:dyDescent="0.25">
      <c r="A1419">
        <v>394</v>
      </c>
      <c r="B1419" t="s">
        <v>552</v>
      </c>
      <c r="C1419" t="s">
        <v>77</v>
      </c>
      <c r="D1419" t="s">
        <v>553</v>
      </c>
      <c r="E1419">
        <v>16</v>
      </c>
      <c r="F1419">
        <v>275</v>
      </c>
      <c r="G1419">
        <v>12007</v>
      </c>
      <c r="H1419">
        <v>1</v>
      </c>
      <c r="I1419">
        <v>414.72</v>
      </c>
      <c r="J1419">
        <v>414.72</v>
      </c>
      <c r="K1419" t="s">
        <v>512</v>
      </c>
      <c r="L1419" t="s">
        <v>1050</v>
      </c>
      <c r="O1419" t="s">
        <v>81</v>
      </c>
      <c r="Q1419">
        <v>2</v>
      </c>
      <c r="R1419" s="24">
        <v>46032</v>
      </c>
      <c r="T1419" t="s">
        <v>38</v>
      </c>
      <c r="V1419" t="s">
        <v>921</v>
      </c>
      <c r="Y1419" t="s">
        <v>81</v>
      </c>
      <c r="Z1419" t="s">
        <v>924</v>
      </c>
      <c r="AA1419" t="s">
        <v>39</v>
      </c>
      <c r="AC1419" t="s">
        <v>1051</v>
      </c>
    </row>
    <row r="1420" spans="1:29" hidden="1" x14ac:dyDescent="0.25">
      <c r="A1420">
        <v>395</v>
      </c>
      <c r="B1420" t="s">
        <v>554</v>
      </c>
      <c r="C1420" t="s">
        <v>77</v>
      </c>
      <c r="D1420" t="s">
        <v>555</v>
      </c>
      <c r="E1420">
        <v>16</v>
      </c>
      <c r="F1420">
        <v>275</v>
      </c>
      <c r="G1420">
        <v>12005</v>
      </c>
      <c r="H1420">
        <v>1</v>
      </c>
      <c r="I1420">
        <v>414.65</v>
      </c>
      <c r="J1420">
        <v>414.65</v>
      </c>
      <c r="K1420" t="s">
        <v>512</v>
      </c>
      <c r="L1420" t="s">
        <v>1050</v>
      </c>
      <c r="O1420" t="s">
        <v>81</v>
      </c>
      <c r="Q1420">
        <v>2</v>
      </c>
      <c r="R1420" s="24">
        <v>46032</v>
      </c>
      <c r="T1420" t="s">
        <v>38</v>
      </c>
      <c r="V1420" t="s">
        <v>921</v>
      </c>
      <c r="Y1420" t="s">
        <v>81</v>
      </c>
      <c r="Z1420" t="s">
        <v>924</v>
      </c>
      <c r="AA1420" t="s">
        <v>39</v>
      </c>
      <c r="AC1420" t="s">
        <v>1051</v>
      </c>
    </row>
    <row r="1421" spans="1:29" hidden="1" x14ac:dyDescent="0.25">
      <c r="A1421">
        <v>396</v>
      </c>
      <c r="B1421" t="s">
        <v>556</v>
      </c>
      <c r="C1421" t="s">
        <v>77</v>
      </c>
      <c r="D1421" t="s">
        <v>551</v>
      </c>
      <c r="E1421">
        <v>16</v>
      </c>
      <c r="F1421">
        <v>275</v>
      </c>
      <c r="G1421">
        <v>11978</v>
      </c>
      <c r="H1421">
        <v>1</v>
      </c>
      <c r="I1421">
        <v>413.72</v>
      </c>
      <c r="J1421">
        <v>413.72</v>
      </c>
      <c r="K1421" t="s">
        <v>512</v>
      </c>
      <c r="L1421" t="s">
        <v>1050</v>
      </c>
      <c r="O1421" t="s">
        <v>81</v>
      </c>
      <c r="Q1421">
        <v>2</v>
      </c>
      <c r="R1421" s="24">
        <v>46032</v>
      </c>
      <c r="T1421" t="s">
        <v>38</v>
      </c>
      <c r="V1421" t="s">
        <v>921</v>
      </c>
      <c r="Y1421" t="s">
        <v>81</v>
      </c>
      <c r="Z1421" t="s">
        <v>924</v>
      </c>
      <c r="AA1421" t="s">
        <v>39</v>
      </c>
      <c r="AC1421" t="s">
        <v>1051</v>
      </c>
    </row>
    <row r="1422" spans="1:29" hidden="1" x14ac:dyDescent="0.25">
      <c r="A1422">
        <v>397</v>
      </c>
      <c r="B1422" t="s">
        <v>557</v>
      </c>
      <c r="C1422" t="s">
        <v>77</v>
      </c>
      <c r="D1422" t="s">
        <v>553</v>
      </c>
      <c r="E1422">
        <v>16</v>
      </c>
      <c r="F1422">
        <v>275</v>
      </c>
      <c r="G1422">
        <v>12007</v>
      </c>
      <c r="H1422">
        <v>1</v>
      </c>
      <c r="I1422">
        <v>414.72</v>
      </c>
      <c r="J1422">
        <v>414.72</v>
      </c>
      <c r="K1422" t="s">
        <v>512</v>
      </c>
      <c r="L1422" t="s">
        <v>1050</v>
      </c>
      <c r="O1422" t="s">
        <v>81</v>
      </c>
      <c r="Q1422">
        <v>2</v>
      </c>
      <c r="R1422" s="24">
        <v>46032</v>
      </c>
      <c r="T1422" t="s">
        <v>38</v>
      </c>
      <c r="V1422" t="s">
        <v>921</v>
      </c>
      <c r="Y1422" t="s">
        <v>81</v>
      </c>
      <c r="Z1422" t="s">
        <v>924</v>
      </c>
      <c r="AA1422" t="s">
        <v>39</v>
      </c>
      <c r="AC1422" t="s">
        <v>1051</v>
      </c>
    </row>
    <row r="1423" spans="1:29" hidden="1" x14ac:dyDescent="0.25">
      <c r="A1423">
        <v>398</v>
      </c>
      <c r="B1423" t="s">
        <v>558</v>
      </c>
      <c r="C1423" t="s">
        <v>77</v>
      </c>
      <c r="D1423" t="s">
        <v>555</v>
      </c>
      <c r="E1423">
        <v>16</v>
      </c>
      <c r="F1423">
        <v>275</v>
      </c>
      <c r="G1423">
        <v>12005</v>
      </c>
      <c r="H1423">
        <v>1</v>
      </c>
      <c r="I1423">
        <v>414.65</v>
      </c>
      <c r="J1423">
        <v>414.65</v>
      </c>
      <c r="K1423" t="s">
        <v>512</v>
      </c>
      <c r="L1423" t="s">
        <v>1050</v>
      </c>
      <c r="O1423" t="s">
        <v>81</v>
      </c>
      <c r="Q1423">
        <v>2</v>
      </c>
      <c r="R1423" s="24">
        <v>46032</v>
      </c>
      <c r="T1423" t="s">
        <v>38</v>
      </c>
      <c r="V1423" t="s">
        <v>921</v>
      </c>
      <c r="Y1423" t="s">
        <v>81</v>
      </c>
      <c r="Z1423" t="s">
        <v>924</v>
      </c>
      <c r="AA1423" t="s">
        <v>39</v>
      </c>
      <c r="AC1423" t="s">
        <v>1051</v>
      </c>
    </row>
    <row r="1424" spans="1:29" hidden="1" x14ac:dyDescent="0.25">
      <c r="A1424">
        <v>399</v>
      </c>
      <c r="B1424" t="s">
        <v>559</v>
      </c>
      <c r="C1424" t="s">
        <v>77</v>
      </c>
      <c r="D1424" t="s">
        <v>560</v>
      </c>
      <c r="E1424">
        <v>16</v>
      </c>
      <c r="F1424">
        <v>275</v>
      </c>
      <c r="G1424">
        <v>7588</v>
      </c>
      <c r="H1424">
        <v>1</v>
      </c>
      <c r="I1424">
        <v>262.08999999999997</v>
      </c>
      <c r="J1424">
        <v>262.08999999999997</v>
      </c>
      <c r="K1424" t="s">
        <v>1052</v>
      </c>
      <c r="L1424" t="s">
        <v>1053</v>
      </c>
      <c r="O1424" t="s">
        <v>81</v>
      </c>
      <c r="Q1424">
        <v>2</v>
      </c>
      <c r="R1424" s="24">
        <v>46032</v>
      </c>
      <c r="T1424" t="s">
        <v>38</v>
      </c>
      <c r="V1424" t="s">
        <v>921</v>
      </c>
      <c r="Y1424" t="s">
        <v>81</v>
      </c>
      <c r="Z1424" t="s">
        <v>924</v>
      </c>
      <c r="AA1424" t="s">
        <v>1054</v>
      </c>
      <c r="AC1424" t="s">
        <v>1055</v>
      </c>
    </row>
    <row r="1425" spans="1:29" hidden="1" x14ac:dyDescent="0.25">
      <c r="A1425">
        <v>400</v>
      </c>
      <c r="B1425" t="s">
        <v>563</v>
      </c>
      <c r="C1425" t="s">
        <v>77</v>
      </c>
      <c r="D1425" t="s">
        <v>532</v>
      </c>
      <c r="E1425">
        <v>16</v>
      </c>
      <c r="F1425">
        <v>275</v>
      </c>
      <c r="G1425">
        <v>7583</v>
      </c>
      <c r="H1425">
        <v>1</v>
      </c>
      <c r="I1425">
        <v>261.92</v>
      </c>
      <c r="J1425">
        <v>261.92</v>
      </c>
      <c r="K1425" t="s">
        <v>1052</v>
      </c>
      <c r="L1425" t="s">
        <v>1053</v>
      </c>
      <c r="O1425" t="s">
        <v>81</v>
      </c>
      <c r="Q1425">
        <v>2</v>
      </c>
      <c r="R1425" s="24">
        <v>46032</v>
      </c>
      <c r="T1425" t="s">
        <v>38</v>
      </c>
      <c r="V1425" t="s">
        <v>921</v>
      </c>
      <c r="Y1425" t="s">
        <v>81</v>
      </c>
      <c r="Z1425" t="s">
        <v>924</v>
      </c>
      <c r="AA1425" t="s">
        <v>1054</v>
      </c>
      <c r="AC1425" t="s">
        <v>1055</v>
      </c>
    </row>
    <row r="1426" spans="1:29" hidden="1" x14ac:dyDescent="0.25">
      <c r="A1426">
        <v>401</v>
      </c>
      <c r="B1426" t="s">
        <v>564</v>
      </c>
      <c r="C1426" t="s">
        <v>77</v>
      </c>
      <c r="D1426" t="s">
        <v>534</v>
      </c>
      <c r="E1426">
        <v>16</v>
      </c>
      <c r="F1426">
        <v>240</v>
      </c>
      <c r="G1426">
        <v>240</v>
      </c>
      <c r="H1426">
        <v>2</v>
      </c>
      <c r="I1426">
        <v>4.01</v>
      </c>
      <c r="J1426">
        <v>8.0299999999999994</v>
      </c>
      <c r="K1426" t="s">
        <v>1052</v>
      </c>
      <c r="L1426" t="s">
        <v>1053</v>
      </c>
      <c r="N1426" t="s">
        <v>228</v>
      </c>
      <c r="Q1426">
        <v>2</v>
      </c>
      <c r="R1426" s="24">
        <v>46032</v>
      </c>
      <c r="T1426" t="s">
        <v>38</v>
      </c>
      <c r="V1426" t="s">
        <v>921</v>
      </c>
      <c r="X1426" t="s">
        <v>81</v>
      </c>
      <c r="Z1426" t="s">
        <v>924</v>
      </c>
      <c r="AA1426" t="s">
        <v>1054</v>
      </c>
      <c r="AC1426" t="s">
        <v>1055</v>
      </c>
    </row>
    <row r="1427" spans="1:29" hidden="1" x14ac:dyDescent="0.25">
      <c r="A1427">
        <v>402</v>
      </c>
      <c r="B1427" t="s">
        <v>565</v>
      </c>
      <c r="C1427" t="s">
        <v>77</v>
      </c>
      <c r="D1427" t="s">
        <v>534</v>
      </c>
      <c r="E1427">
        <v>16</v>
      </c>
      <c r="F1427">
        <v>240</v>
      </c>
      <c r="G1427">
        <v>240</v>
      </c>
      <c r="H1427">
        <v>4</v>
      </c>
      <c r="I1427">
        <v>4.01</v>
      </c>
      <c r="J1427">
        <v>16.05</v>
      </c>
      <c r="K1427" t="s">
        <v>1052</v>
      </c>
      <c r="L1427" t="s">
        <v>1053</v>
      </c>
      <c r="N1427" t="s">
        <v>228</v>
      </c>
      <c r="Q1427">
        <v>2</v>
      </c>
      <c r="R1427" s="24">
        <v>46032</v>
      </c>
      <c r="T1427" t="s">
        <v>38</v>
      </c>
      <c r="V1427" t="s">
        <v>921</v>
      </c>
      <c r="X1427" t="s">
        <v>81</v>
      </c>
      <c r="Z1427" t="s">
        <v>924</v>
      </c>
      <c r="AA1427" t="s">
        <v>1054</v>
      </c>
      <c r="AC1427" t="s">
        <v>1055</v>
      </c>
    </row>
    <row r="1428" spans="1:29" hidden="1" x14ac:dyDescent="0.25">
      <c r="A1428">
        <v>403</v>
      </c>
      <c r="B1428" t="s">
        <v>566</v>
      </c>
      <c r="C1428" t="s">
        <v>77</v>
      </c>
      <c r="D1428" t="s">
        <v>567</v>
      </c>
      <c r="E1428">
        <v>20</v>
      </c>
      <c r="F1428">
        <v>240</v>
      </c>
      <c r="G1428">
        <v>250</v>
      </c>
      <c r="H1428">
        <v>8</v>
      </c>
      <c r="I1428">
        <v>6.68</v>
      </c>
      <c r="J1428">
        <v>53.41</v>
      </c>
      <c r="K1428" t="s">
        <v>568</v>
      </c>
      <c r="L1428" t="s">
        <v>1056</v>
      </c>
      <c r="N1428" t="s">
        <v>228</v>
      </c>
      <c r="Q1428">
        <v>2</v>
      </c>
      <c r="R1428" s="24">
        <v>46032</v>
      </c>
      <c r="T1428" t="s">
        <v>38</v>
      </c>
      <c r="V1428" t="s">
        <v>921</v>
      </c>
      <c r="X1428" t="s">
        <v>81</v>
      </c>
      <c r="Z1428" t="s">
        <v>924</v>
      </c>
      <c r="AA1428" t="s">
        <v>39</v>
      </c>
      <c r="AC1428" t="s">
        <v>1057</v>
      </c>
    </row>
    <row r="1429" spans="1:29" hidden="1" x14ac:dyDescent="0.25">
      <c r="A1429">
        <v>404</v>
      </c>
      <c r="B1429" t="s">
        <v>571</v>
      </c>
      <c r="C1429" t="s">
        <v>77</v>
      </c>
      <c r="D1429" t="s">
        <v>572</v>
      </c>
      <c r="E1429">
        <v>20</v>
      </c>
      <c r="F1429">
        <v>400</v>
      </c>
      <c r="G1429">
        <v>780</v>
      </c>
      <c r="H1429">
        <v>7</v>
      </c>
      <c r="I1429">
        <v>48.61</v>
      </c>
      <c r="J1429">
        <v>340.24</v>
      </c>
      <c r="K1429" t="s">
        <v>568</v>
      </c>
      <c r="L1429" t="s">
        <v>1056</v>
      </c>
      <c r="N1429" t="s">
        <v>228</v>
      </c>
      <c r="Q1429">
        <v>2</v>
      </c>
      <c r="R1429" s="24">
        <v>46032</v>
      </c>
      <c r="T1429" t="s">
        <v>38</v>
      </c>
      <c r="V1429" t="s">
        <v>921</v>
      </c>
      <c r="X1429" t="s">
        <v>81</v>
      </c>
      <c r="Z1429" t="s">
        <v>924</v>
      </c>
      <c r="AA1429" t="s">
        <v>39</v>
      </c>
      <c r="AC1429" t="s">
        <v>1057</v>
      </c>
    </row>
    <row r="1430" spans="1:29" hidden="1" x14ac:dyDescent="0.25">
      <c r="A1430">
        <v>405</v>
      </c>
      <c r="B1430" t="s">
        <v>573</v>
      </c>
      <c r="C1430" t="s">
        <v>77</v>
      </c>
      <c r="D1430" t="s">
        <v>572</v>
      </c>
      <c r="E1430">
        <v>20</v>
      </c>
      <c r="F1430">
        <v>400</v>
      </c>
      <c r="G1430">
        <v>780</v>
      </c>
      <c r="H1430">
        <v>4</v>
      </c>
      <c r="I1430">
        <v>48.6</v>
      </c>
      <c r="J1430">
        <v>194.42</v>
      </c>
      <c r="K1430" t="s">
        <v>568</v>
      </c>
      <c r="L1430" t="s">
        <v>1056</v>
      </c>
      <c r="N1430" t="s">
        <v>228</v>
      </c>
      <c r="Q1430">
        <v>2</v>
      </c>
      <c r="R1430" s="24">
        <v>46032</v>
      </c>
      <c r="T1430" t="s">
        <v>38</v>
      </c>
      <c r="V1430" t="s">
        <v>921</v>
      </c>
      <c r="X1430" t="s">
        <v>81</v>
      </c>
      <c r="Z1430" t="s">
        <v>924</v>
      </c>
      <c r="AA1430" t="s">
        <v>39</v>
      </c>
      <c r="AC1430" t="s">
        <v>1057</v>
      </c>
    </row>
    <row r="1431" spans="1:29" hidden="1" x14ac:dyDescent="0.25">
      <c r="A1431">
        <v>406</v>
      </c>
      <c r="B1431" t="s">
        <v>574</v>
      </c>
      <c r="C1431" t="s">
        <v>77</v>
      </c>
      <c r="D1431" t="s">
        <v>572</v>
      </c>
      <c r="E1431">
        <v>20</v>
      </c>
      <c r="F1431">
        <v>400</v>
      </c>
      <c r="G1431">
        <v>780</v>
      </c>
      <c r="H1431">
        <v>4</v>
      </c>
      <c r="I1431">
        <v>48.6</v>
      </c>
      <c r="J1431">
        <v>194.42</v>
      </c>
      <c r="K1431" t="s">
        <v>568</v>
      </c>
      <c r="L1431" t="s">
        <v>1056</v>
      </c>
      <c r="N1431" t="s">
        <v>228</v>
      </c>
      <c r="Q1431">
        <v>2</v>
      </c>
      <c r="R1431" s="24">
        <v>46032</v>
      </c>
      <c r="T1431" t="s">
        <v>38</v>
      </c>
      <c r="V1431" t="s">
        <v>921</v>
      </c>
      <c r="X1431" t="s">
        <v>81</v>
      </c>
      <c r="Z1431" t="s">
        <v>924</v>
      </c>
      <c r="AA1431" t="s">
        <v>39</v>
      </c>
      <c r="AC1431" t="s">
        <v>1057</v>
      </c>
    </row>
    <row r="1432" spans="1:29" hidden="1" x14ac:dyDescent="0.25">
      <c r="A1432">
        <v>407</v>
      </c>
      <c r="B1432" t="s">
        <v>575</v>
      </c>
      <c r="C1432" t="s">
        <v>77</v>
      </c>
      <c r="D1432" t="s">
        <v>576</v>
      </c>
      <c r="E1432">
        <v>20</v>
      </c>
      <c r="F1432">
        <v>326</v>
      </c>
      <c r="G1432">
        <v>525</v>
      </c>
      <c r="H1432">
        <v>4</v>
      </c>
      <c r="I1432">
        <v>23.66</v>
      </c>
      <c r="J1432">
        <v>94.66</v>
      </c>
      <c r="K1432" t="s">
        <v>568</v>
      </c>
      <c r="L1432" t="s">
        <v>1056</v>
      </c>
      <c r="N1432" t="s">
        <v>228</v>
      </c>
      <c r="Q1432">
        <v>2</v>
      </c>
      <c r="R1432" s="24">
        <v>46032</v>
      </c>
      <c r="T1432" t="s">
        <v>38</v>
      </c>
      <c r="V1432" t="s">
        <v>921</v>
      </c>
      <c r="X1432" t="s">
        <v>81</v>
      </c>
      <c r="Z1432" t="s">
        <v>924</v>
      </c>
      <c r="AA1432" t="s">
        <v>39</v>
      </c>
      <c r="AC1432" t="s">
        <v>1057</v>
      </c>
    </row>
    <row r="1433" spans="1:29" hidden="1" x14ac:dyDescent="0.25">
      <c r="A1433">
        <v>408</v>
      </c>
      <c r="B1433" t="s">
        <v>577</v>
      </c>
      <c r="C1433" t="s">
        <v>77</v>
      </c>
      <c r="D1433" t="s">
        <v>578</v>
      </c>
      <c r="E1433">
        <v>20</v>
      </c>
      <c r="F1433">
        <v>175</v>
      </c>
      <c r="G1433">
        <v>180</v>
      </c>
      <c r="H1433">
        <v>6</v>
      </c>
      <c r="I1433">
        <v>4.58</v>
      </c>
      <c r="J1433">
        <v>27.45</v>
      </c>
      <c r="K1433" t="s">
        <v>568</v>
      </c>
      <c r="L1433" t="s">
        <v>1056</v>
      </c>
      <c r="N1433" t="s">
        <v>228</v>
      </c>
      <c r="Q1433">
        <v>2</v>
      </c>
      <c r="R1433" s="24">
        <v>46032</v>
      </c>
      <c r="T1433" t="s">
        <v>38</v>
      </c>
      <c r="V1433" t="s">
        <v>921</v>
      </c>
      <c r="X1433" t="s">
        <v>81</v>
      </c>
      <c r="Z1433" t="s">
        <v>924</v>
      </c>
      <c r="AA1433" t="s">
        <v>39</v>
      </c>
      <c r="AC1433" t="s">
        <v>1057</v>
      </c>
    </row>
    <row r="1434" spans="1:29" hidden="1" x14ac:dyDescent="0.25">
      <c r="A1434">
        <v>409</v>
      </c>
      <c r="B1434" t="s">
        <v>579</v>
      </c>
      <c r="C1434" t="s">
        <v>77</v>
      </c>
      <c r="D1434" t="s">
        <v>580</v>
      </c>
      <c r="E1434">
        <v>20</v>
      </c>
      <c r="F1434">
        <v>180</v>
      </c>
      <c r="G1434">
        <v>300</v>
      </c>
      <c r="H1434">
        <v>1</v>
      </c>
      <c r="I1434">
        <v>8.48</v>
      </c>
      <c r="J1434">
        <v>8.48</v>
      </c>
      <c r="K1434" t="s">
        <v>568</v>
      </c>
      <c r="L1434" t="s">
        <v>1056</v>
      </c>
      <c r="Q1434">
        <v>2</v>
      </c>
      <c r="R1434" s="24">
        <v>46032</v>
      </c>
      <c r="T1434" t="s">
        <v>38</v>
      </c>
      <c r="V1434" t="s">
        <v>921</v>
      </c>
      <c r="W1434" t="s">
        <v>81</v>
      </c>
      <c r="Z1434" t="s">
        <v>924</v>
      </c>
      <c r="AA1434" t="s">
        <v>39</v>
      </c>
      <c r="AC1434" t="s">
        <v>1057</v>
      </c>
    </row>
    <row r="1435" spans="1:29" hidden="1" x14ac:dyDescent="0.25">
      <c r="A1435">
        <v>410</v>
      </c>
      <c r="B1435" t="s">
        <v>581</v>
      </c>
      <c r="C1435" t="s">
        <v>77</v>
      </c>
      <c r="D1435" t="s">
        <v>576</v>
      </c>
      <c r="E1435">
        <v>20</v>
      </c>
      <c r="F1435">
        <v>326</v>
      </c>
      <c r="G1435">
        <v>525</v>
      </c>
      <c r="H1435">
        <v>4</v>
      </c>
      <c r="I1435">
        <v>26.87</v>
      </c>
      <c r="J1435">
        <v>107.48</v>
      </c>
      <c r="K1435" t="s">
        <v>568</v>
      </c>
      <c r="L1435" t="s">
        <v>1056</v>
      </c>
      <c r="Q1435">
        <v>2</v>
      </c>
      <c r="R1435" s="24">
        <v>46032</v>
      </c>
      <c r="T1435" t="s">
        <v>38</v>
      </c>
      <c r="V1435" t="s">
        <v>921</v>
      </c>
      <c r="W1435" t="s">
        <v>81</v>
      </c>
      <c r="Z1435" t="s">
        <v>924</v>
      </c>
      <c r="AA1435" t="s">
        <v>39</v>
      </c>
      <c r="AC1435" t="s">
        <v>1057</v>
      </c>
    </row>
    <row r="1436" spans="1:29" hidden="1" x14ac:dyDescent="0.25">
      <c r="A1436">
        <v>411</v>
      </c>
      <c r="B1436" t="s">
        <v>582</v>
      </c>
      <c r="C1436" t="s">
        <v>77</v>
      </c>
      <c r="D1436" t="s">
        <v>583</v>
      </c>
      <c r="E1436">
        <v>20</v>
      </c>
      <c r="F1436">
        <v>200</v>
      </c>
      <c r="G1436">
        <v>200</v>
      </c>
      <c r="H1436">
        <v>2</v>
      </c>
      <c r="I1436">
        <v>6.28</v>
      </c>
      <c r="J1436">
        <v>12.56</v>
      </c>
      <c r="K1436" t="s">
        <v>568</v>
      </c>
      <c r="L1436" t="s">
        <v>1056</v>
      </c>
      <c r="Q1436">
        <v>2</v>
      </c>
      <c r="R1436" s="24">
        <v>46032</v>
      </c>
      <c r="T1436" t="s">
        <v>38</v>
      </c>
      <c r="V1436" t="s">
        <v>921</v>
      </c>
      <c r="W1436" t="s">
        <v>81</v>
      </c>
      <c r="Z1436" t="s">
        <v>924</v>
      </c>
      <c r="AA1436" t="s">
        <v>39</v>
      </c>
      <c r="AC1436" t="s">
        <v>1057</v>
      </c>
    </row>
    <row r="1437" spans="1:29" hidden="1" x14ac:dyDescent="0.25">
      <c r="A1437">
        <v>412</v>
      </c>
      <c r="B1437" t="s">
        <v>584</v>
      </c>
      <c r="C1437" t="s">
        <v>77</v>
      </c>
      <c r="D1437" t="s">
        <v>572</v>
      </c>
      <c r="E1437">
        <v>20</v>
      </c>
      <c r="F1437">
        <v>400</v>
      </c>
      <c r="G1437">
        <v>780</v>
      </c>
      <c r="H1437">
        <v>2</v>
      </c>
      <c r="I1437">
        <v>48.6</v>
      </c>
      <c r="J1437">
        <v>97.21</v>
      </c>
      <c r="K1437" t="s">
        <v>568</v>
      </c>
      <c r="L1437" t="s">
        <v>1056</v>
      </c>
      <c r="N1437" t="s">
        <v>228</v>
      </c>
      <c r="Q1437">
        <v>2</v>
      </c>
      <c r="R1437" s="24">
        <v>46032</v>
      </c>
      <c r="T1437" t="s">
        <v>38</v>
      </c>
      <c r="V1437" t="s">
        <v>921</v>
      </c>
      <c r="X1437" t="s">
        <v>81</v>
      </c>
      <c r="Z1437" t="s">
        <v>924</v>
      </c>
      <c r="AA1437" t="s">
        <v>39</v>
      </c>
      <c r="AC1437" t="s">
        <v>1057</v>
      </c>
    </row>
    <row r="1438" spans="1:29" hidden="1" x14ac:dyDescent="0.25">
      <c r="A1438">
        <v>413</v>
      </c>
      <c r="B1438" t="s">
        <v>585</v>
      </c>
      <c r="C1438" t="s">
        <v>77</v>
      </c>
      <c r="D1438" t="s">
        <v>578</v>
      </c>
      <c r="E1438">
        <v>20</v>
      </c>
      <c r="F1438">
        <v>175</v>
      </c>
      <c r="G1438">
        <v>180</v>
      </c>
      <c r="H1438">
        <v>4</v>
      </c>
      <c r="I1438">
        <v>4.58</v>
      </c>
      <c r="J1438">
        <v>18.3</v>
      </c>
      <c r="K1438" t="s">
        <v>568</v>
      </c>
      <c r="L1438" t="s">
        <v>1056</v>
      </c>
      <c r="N1438" t="s">
        <v>228</v>
      </c>
      <c r="Q1438">
        <v>2</v>
      </c>
      <c r="R1438" s="24">
        <v>46032</v>
      </c>
      <c r="T1438" t="s">
        <v>38</v>
      </c>
      <c r="V1438" t="s">
        <v>921</v>
      </c>
      <c r="X1438" t="s">
        <v>81</v>
      </c>
      <c r="Z1438" t="s">
        <v>924</v>
      </c>
      <c r="AA1438" t="s">
        <v>39</v>
      </c>
      <c r="AC1438" t="s">
        <v>1057</v>
      </c>
    </row>
    <row r="1439" spans="1:29" hidden="1" x14ac:dyDescent="0.25">
      <c r="A1439">
        <v>414</v>
      </c>
      <c r="B1439" t="s">
        <v>586</v>
      </c>
      <c r="C1439" t="s">
        <v>77</v>
      </c>
      <c r="D1439" t="s">
        <v>580</v>
      </c>
      <c r="E1439">
        <v>20</v>
      </c>
      <c r="F1439">
        <v>180</v>
      </c>
      <c r="G1439">
        <v>300</v>
      </c>
      <c r="H1439">
        <v>1</v>
      </c>
      <c r="I1439">
        <v>8.48</v>
      </c>
      <c r="J1439">
        <v>8.48</v>
      </c>
      <c r="K1439" t="s">
        <v>568</v>
      </c>
      <c r="L1439" t="s">
        <v>1056</v>
      </c>
      <c r="Q1439">
        <v>2</v>
      </c>
      <c r="R1439" s="24">
        <v>46032</v>
      </c>
      <c r="T1439" t="s">
        <v>38</v>
      </c>
      <c r="V1439" t="s">
        <v>921</v>
      </c>
      <c r="W1439" t="s">
        <v>81</v>
      </c>
      <c r="Z1439" t="s">
        <v>924</v>
      </c>
      <c r="AA1439" t="s">
        <v>39</v>
      </c>
      <c r="AC1439" t="s">
        <v>1057</v>
      </c>
    </row>
    <row r="1440" spans="1:29" hidden="1" x14ac:dyDescent="0.25">
      <c r="A1440">
        <v>415</v>
      </c>
      <c r="B1440" t="s">
        <v>1058</v>
      </c>
      <c r="C1440" t="s">
        <v>77</v>
      </c>
      <c r="D1440" t="s">
        <v>588</v>
      </c>
      <c r="E1440">
        <v>20</v>
      </c>
      <c r="F1440">
        <v>326</v>
      </c>
      <c r="G1440">
        <v>500</v>
      </c>
      <c r="H1440">
        <v>2</v>
      </c>
      <c r="I1440">
        <v>21.2</v>
      </c>
      <c r="J1440">
        <v>42.39</v>
      </c>
      <c r="K1440" t="s">
        <v>568</v>
      </c>
      <c r="L1440" t="s">
        <v>1056</v>
      </c>
      <c r="N1440" t="s">
        <v>228</v>
      </c>
      <c r="Q1440">
        <v>2</v>
      </c>
      <c r="R1440" s="24">
        <v>46032</v>
      </c>
      <c r="T1440" t="s">
        <v>38</v>
      </c>
      <c r="V1440" t="s">
        <v>921</v>
      </c>
      <c r="W1440" t="s">
        <v>81</v>
      </c>
      <c r="Z1440" t="s">
        <v>924</v>
      </c>
      <c r="AA1440" t="s">
        <v>39</v>
      </c>
      <c r="AC1440" t="s">
        <v>1057</v>
      </c>
    </row>
    <row r="1441" spans="1:29" hidden="1" x14ac:dyDescent="0.25">
      <c r="A1441">
        <v>416</v>
      </c>
      <c r="B1441" t="s">
        <v>589</v>
      </c>
      <c r="C1441" t="s">
        <v>77</v>
      </c>
      <c r="D1441" t="s">
        <v>588</v>
      </c>
      <c r="E1441">
        <v>20</v>
      </c>
      <c r="F1441">
        <v>326</v>
      </c>
      <c r="G1441">
        <v>500</v>
      </c>
      <c r="H1441">
        <v>2</v>
      </c>
      <c r="I1441">
        <v>25.59</v>
      </c>
      <c r="J1441">
        <v>51.18</v>
      </c>
      <c r="K1441" t="s">
        <v>568</v>
      </c>
      <c r="L1441" t="s">
        <v>1056</v>
      </c>
      <c r="Q1441">
        <v>2</v>
      </c>
      <c r="R1441" s="24">
        <v>46032</v>
      </c>
      <c r="T1441" t="s">
        <v>38</v>
      </c>
      <c r="V1441" t="s">
        <v>921</v>
      </c>
      <c r="W1441" t="s">
        <v>81</v>
      </c>
      <c r="Z1441" t="s">
        <v>924</v>
      </c>
      <c r="AA1441" t="s">
        <v>39</v>
      </c>
      <c r="AC1441" t="s">
        <v>1057</v>
      </c>
    </row>
    <row r="1442" spans="1:29" hidden="1" x14ac:dyDescent="0.25">
      <c r="A1442">
        <v>417</v>
      </c>
      <c r="B1442" t="s">
        <v>590</v>
      </c>
      <c r="C1442" t="s">
        <v>77</v>
      </c>
      <c r="D1442" t="s">
        <v>583</v>
      </c>
      <c r="E1442">
        <v>20</v>
      </c>
      <c r="F1442">
        <v>200</v>
      </c>
      <c r="G1442">
        <v>200</v>
      </c>
      <c r="H1442">
        <v>2</v>
      </c>
      <c r="I1442">
        <v>6.28</v>
      </c>
      <c r="J1442">
        <v>12.56</v>
      </c>
      <c r="K1442" t="s">
        <v>568</v>
      </c>
      <c r="L1442" t="s">
        <v>1056</v>
      </c>
      <c r="Q1442">
        <v>2</v>
      </c>
      <c r="R1442" s="24">
        <v>46032</v>
      </c>
      <c r="T1442" t="s">
        <v>38</v>
      </c>
      <c r="V1442" t="s">
        <v>921</v>
      </c>
      <c r="W1442" t="s">
        <v>81</v>
      </c>
      <c r="Z1442" t="s">
        <v>924</v>
      </c>
      <c r="AA1442" t="s">
        <v>39</v>
      </c>
      <c r="AC1442" t="s">
        <v>1057</v>
      </c>
    </row>
    <row r="1443" spans="1:29" hidden="1" x14ac:dyDescent="0.25">
      <c r="A1443">
        <v>418</v>
      </c>
      <c r="B1443" t="s">
        <v>591</v>
      </c>
      <c r="C1443" t="s">
        <v>77</v>
      </c>
      <c r="D1443" t="s">
        <v>592</v>
      </c>
      <c r="E1443">
        <v>20</v>
      </c>
      <c r="F1443">
        <v>326</v>
      </c>
      <c r="G1443">
        <v>550</v>
      </c>
      <c r="H1443">
        <v>4</v>
      </c>
      <c r="I1443">
        <v>24.94</v>
      </c>
      <c r="J1443">
        <v>99.78</v>
      </c>
      <c r="K1443" t="s">
        <v>568</v>
      </c>
      <c r="L1443" t="s">
        <v>1056</v>
      </c>
      <c r="N1443" t="s">
        <v>228</v>
      </c>
      <c r="Q1443">
        <v>2</v>
      </c>
      <c r="R1443" s="24">
        <v>46032</v>
      </c>
      <c r="T1443" t="s">
        <v>38</v>
      </c>
      <c r="V1443" t="s">
        <v>921</v>
      </c>
      <c r="X1443" t="s">
        <v>81</v>
      </c>
      <c r="Z1443" t="s">
        <v>924</v>
      </c>
      <c r="AA1443" t="s">
        <v>39</v>
      </c>
      <c r="AC1443" t="s">
        <v>1057</v>
      </c>
    </row>
    <row r="1444" spans="1:29" hidden="1" x14ac:dyDescent="0.25">
      <c r="A1444">
        <v>419</v>
      </c>
      <c r="B1444" t="s">
        <v>593</v>
      </c>
      <c r="C1444" t="s">
        <v>77</v>
      </c>
      <c r="D1444" t="s">
        <v>592</v>
      </c>
      <c r="E1444">
        <v>20</v>
      </c>
      <c r="F1444">
        <v>326</v>
      </c>
      <c r="G1444">
        <v>550</v>
      </c>
      <c r="H1444">
        <v>4</v>
      </c>
      <c r="I1444">
        <v>28.15</v>
      </c>
      <c r="J1444">
        <v>112.6</v>
      </c>
      <c r="K1444" t="s">
        <v>568</v>
      </c>
      <c r="L1444" t="s">
        <v>1056</v>
      </c>
      <c r="Q1444">
        <v>2</v>
      </c>
      <c r="R1444" s="24">
        <v>46032</v>
      </c>
      <c r="T1444" t="s">
        <v>38</v>
      </c>
      <c r="V1444" t="s">
        <v>921</v>
      </c>
      <c r="W1444" t="s">
        <v>81</v>
      </c>
      <c r="Z1444" t="s">
        <v>924</v>
      </c>
      <c r="AA1444" t="s">
        <v>39</v>
      </c>
      <c r="AC1444" t="s">
        <v>1057</v>
      </c>
    </row>
    <row r="1445" spans="1:29" hidden="1" x14ac:dyDescent="0.25">
      <c r="A1445">
        <v>420</v>
      </c>
      <c r="B1445" t="s">
        <v>594</v>
      </c>
      <c r="C1445" t="s">
        <v>77</v>
      </c>
      <c r="D1445" t="s">
        <v>572</v>
      </c>
      <c r="E1445">
        <v>20</v>
      </c>
      <c r="F1445">
        <v>400</v>
      </c>
      <c r="G1445">
        <v>780</v>
      </c>
      <c r="H1445">
        <v>4</v>
      </c>
      <c r="I1445">
        <v>48.6</v>
      </c>
      <c r="J1445">
        <v>194.42</v>
      </c>
      <c r="K1445" t="s">
        <v>568</v>
      </c>
      <c r="L1445" t="s">
        <v>1056</v>
      </c>
      <c r="N1445" t="s">
        <v>228</v>
      </c>
      <c r="Q1445">
        <v>2</v>
      </c>
      <c r="R1445" s="24">
        <v>46032</v>
      </c>
      <c r="T1445" t="s">
        <v>38</v>
      </c>
      <c r="V1445" t="s">
        <v>921</v>
      </c>
      <c r="X1445" t="s">
        <v>81</v>
      </c>
      <c r="Z1445" t="s">
        <v>924</v>
      </c>
      <c r="AA1445" t="s">
        <v>39</v>
      </c>
      <c r="AC1445" t="s">
        <v>1057</v>
      </c>
    </row>
    <row r="1446" spans="1:29" hidden="1" x14ac:dyDescent="0.25">
      <c r="A1446">
        <v>421</v>
      </c>
      <c r="B1446" t="s">
        <v>595</v>
      </c>
      <c r="C1446" t="s">
        <v>77</v>
      </c>
      <c r="D1446" t="s">
        <v>576</v>
      </c>
      <c r="E1446">
        <v>20</v>
      </c>
      <c r="F1446">
        <v>326</v>
      </c>
      <c r="G1446">
        <v>525</v>
      </c>
      <c r="H1446">
        <v>4</v>
      </c>
      <c r="I1446">
        <v>23.66</v>
      </c>
      <c r="J1446">
        <v>94.66</v>
      </c>
      <c r="K1446" t="s">
        <v>568</v>
      </c>
      <c r="L1446" t="s">
        <v>1056</v>
      </c>
      <c r="N1446" t="s">
        <v>228</v>
      </c>
      <c r="Q1446">
        <v>2</v>
      </c>
      <c r="R1446" s="24">
        <v>46032</v>
      </c>
      <c r="T1446" t="s">
        <v>38</v>
      </c>
      <c r="V1446" t="s">
        <v>921</v>
      </c>
      <c r="X1446" t="s">
        <v>81</v>
      </c>
      <c r="Z1446" t="s">
        <v>924</v>
      </c>
      <c r="AA1446" t="s">
        <v>39</v>
      </c>
      <c r="AC1446" t="s">
        <v>1057</v>
      </c>
    </row>
    <row r="1447" spans="1:29" hidden="1" x14ac:dyDescent="0.25">
      <c r="A1447">
        <v>422</v>
      </c>
      <c r="B1447" t="s">
        <v>596</v>
      </c>
      <c r="C1447" t="s">
        <v>77</v>
      </c>
      <c r="D1447" t="s">
        <v>578</v>
      </c>
      <c r="E1447">
        <v>20</v>
      </c>
      <c r="F1447">
        <v>175</v>
      </c>
      <c r="G1447">
        <v>180</v>
      </c>
      <c r="H1447">
        <v>8</v>
      </c>
      <c r="I1447">
        <v>4.58</v>
      </c>
      <c r="J1447">
        <v>36.6</v>
      </c>
      <c r="K1447" t="s">
        <v>568</v>
      </c>
      <c r="L1447" t="s">
        <v>1056</v>
      </c>
      <c r="N1447" t="s">
        <v>228</v>
      </c>
      <c r="Q1447">
        <v>2</v>
      </c>
      <c r="R1447" s="24">
        <v>46032</v>
      </c>
      <c r="T1447" t="s">
        <v>38</v>
      </c>
      <c r="V1447" t="s">
        <v>921</v>
      </c>
      <c r="X1447" t="s">
        <v>81</v>
      </c>
      <c r="Z1447" t="s">
        <v>924</v>
      </c>
      <c r="AA1447" t="s">
        <v>39</v>
      </c>
      <c r="AC1447" t="s">
        <v>1057</v>
      </c>
    </row>
    <row r="1448" spans="1:29" hidden="1" x14ac:dyDescent="0.25">
      <c r="A1448">
        <v>423</v>
      </c>
      <c r="B1448" t="s">
        <v>597</v>
      </c>
      <c r="C1448" t="s">
        <v>77</v>
      </c>
      <c r="D1448" t="s">
        <v>580</v>
      </c>
      <c r="E1448">
        <v>20</v>
      </c>
      <c r="F1448">
        <v>180</v>
      </c>
      <c r="G1448">
        <v>300</v>
      </c>
      <c r="H1448">
        <v>1</v>
      </c>
      <c r="I1448">
        <v>8.48</v>
      </c>
      <c r="J1448">
        <v>8.48</v>
      </c>
      <c r="K1448" t="s">
        <v>568</v>
      </c>
      <c r="L1448" t="s">
        <v>1056</v>
      </c>
      <c r="Q1448">
        <v>2</v>
      </c>
      <c r="R1448" s="24">
        <v>46032</v>
      </c>
      <c r="T1448" t="s">
        <v>38</v>
      </c>
      <c r="V1448" t="s">
        <v>921</v>
      </c>
      <c r="W1448" t="s">
        <v>81</v>
      </c>
      <c r="Z1448" t="s">
        <v>924</v>
      </c>
      <c r="AA1448" t="s">
        <v>39</v>
      </c>
      <c r="AC1448" t="s">
        <v>1057</v>
      </c>
    </row>
    <row r="1449" spans="1:29" hidden="1" x14ac:dyDescent="0.25">
      <c r="A1449">
        <v>424</v>
      </c>
      <c r="B1449" t="s">
        <v>598</v>
      </c>
      <c r="C1449" t="s">
        <v>77</v>
      </c>
      <c r="D1449" t="s">
        <v>576</v>
      </c>
      <c r="E1449">
        <v>20</v>
      </c>
      <c r="F1449">
        <v>326</v>
      </c>
      <c r="G1449">
        <v>525</v>
      </c>
      <c r="H1449">
        <v>4</v>
      </c>
      <c r="I1449">
        <v>26.87</v>
      </c>
      <c r="J1449">
        <v>107.48</v>
      </c>
      <c r="K1449" t="s">
        <v>568</v>
      </c>
      <c r="L1449" t="s">
        <v>1056</v>
      </c>
      <c r="Q1449">
        <v>2</v>
      </c>
      <c r="R1449" s="24">
        <v>46032</v>
      </c>
      <c r="T1449" t="s">
        <v>38</v>
      </c>
      <c r="V1449" t="s">
        <v>921</v>
      </c>
      <c r="W1449" t="s">
        <v>81</v>
      </c>
      <c r="Z1449" t="s">
        <v>924</v>
      </c>
      <c r="AA1449" t="s">
        <v>39</v>
      </c>
      <c r="AC1449" t="s">
        <v>1057</v>
      </c>
    </row>
    <row r="1450" spans="1:29" hidden="1" x14ac:dyDescent="0.25">
      <c r="A1450">
        <v>425</v>
      </c>
      <c r="B1450" t="s">
        <v>599</v>
      </c>
      <c r="C1450" t="s">
        <v>77</v>
      </c>
      <c r="D1450" t="s">
        <v>583</v>
      </c>
      <c r="E1450">
        <v>20</v>
      </c>
      <c r="F1450">
        <v>200</v>
      </c>
      <c r="G1450">
        <v>200</v>
      </c>
      <c r="H1450">
        <v>2</v>
      </c>
      <c r="I1450">
        <v>6.28</v>
      </c>
      <c r="J1450">
        <v>12.56</v>
      </c>
      <c r="K1450" t="s">
        <v>568</v>
      </c>
      <c r="L1450" t="s">
        <v>1056</v>
      </c>
      <c r="Q1450">
        <v>2</v>
      </c>
      <c r="R1450" s="24">
        <v>46032</v>
      </c>
      <c r="T1450" t="s">
        <v>38</v>
      </c>
      <c r="V1450" t="s">
        <v>921</v>
      </c>
      <c r="W1450" t="s">
        <v>81</v>
      </c>
      <c r="Z1450" t="s">
        <v>924</v>
      </c>
      <c r="AA1450" t="s">
        <v>39</v>
      </c>
      <c r="AC1450" t="s">
        <v>1057</v>
      </c>
    </row>
    <row r="1451" spans="1:29" hidden="1" x14ac:dyDescent="0.25">
      <c r="A1451">
        <v>426</v>
      </c>
      <c r="B1451" t="s">
        <v>600</v>
      </c>
      <c r="C1451" t="s">
        <v>77</v>
      </c>
      <c r="D1451" t="s">
        <v>572</v>
      </c>
      <c r="E1451">
        <v>20</v>
      </c>
      <c r="F1451">
        <v>400</v>
      </c>
      <c r="G1451">
        <v>780</v>
      </c>
      <c r="H1451">
        <v>2</v>
      </c>
      <c r="I1451">
        <v>48.6</v>
      </c>
      <c r="J1451">
        <v>97.21</v>
      </c>
      <c r="K1451" t="s">
        <v>568</v>
      </c>
      <c r="L1451" t="s">
        <v>1056</v>
      </c>
      <c r="N1451" t="s">
        <v>228</v>
      </c>
      <c r="Q1451">
        <v>2</v>
      </c>
      <c r="R1451" s="24">
        <v>46032</v>
      </c>
      <c r="T1451" t="s">
        <v>38</v>
      </c>
      <c r="V1451" t="s">
        <v>921</v>
      </c>
      <c r="X1451" t="s">
        <v>81</v>
      </c>
      <c r="Z1451" t="s">
        <v>924</v>
      </c>
      <c r="AA1451" t="s">
        <v>39</v>
      </c>
      <c r="AC1451" t="s">
        <v>1057</v>
      </c>
    </row>
    <row r="1452" spans="1:29" hidden="1" x14ac:dyDescent="0.25">
      <c r="A1452">
        <v>427</v>
      </c>
      <c r="B1452" t="s">
        <v>601</v>
      </c>
      <c r="C1452" t="s">
        <v>77</v>
      </c>
      <c r="D1452" t="s">
        <v>578</v>
      </c>
      <c r="E1452">
        <v>20</v>
      </c>
      <c r="F1452">
        <v>175</v>
      </c>
      <c r="G1452">
        <v>180</v>
      </c>
      <c r="H1452">
        <v>4</v>
      </c>
      <c r="I1452">
        <v>4.58</v>
      </c>
      <c r="J1452">
        <v>18.3</v>
      </c>
      <c r="K1452" t="s">
        <v>568</v>
      </c>
      <c r="L1452" t="s">
        <v>1056</v>
      </c>
      <c r="N1452" t="s">
        <v>228</v>
      </c>
      <c r="Q1452">
        <v>2</v>
      </c>
      <c r="R1452" s="24">
        <v>46032</v>
      </c>
      <c r="T1452" t="s">
        <v>38</v>
      </c>
      <c r="V1452" t="s">
        <v>921</v>
      </c>
      <c r="X1452" t="s">
        <v>81</v>
      </c>
      <c r="Z1452" t="s">
        <v>924</v>
      </c>
      <c r="AA1452" t="s">
        <v>39</v>
      </c>
      <c r="AC1452" t="s">
        <v>1057</v>
      </c>
    </row>
    <row r="1453" spans="1:29" hidden="1" x14ac:dyDescent="0.25">
      <c r="A1453">
        <v>428</v>
      </c>
      <c r="B1453" t="s">
        <v>1059</v>
      </c>
      <c r="C1453" t="s">
        <v>77</v>
      </c>
      <c r="D1453" t="s">
        <v>588</v>
      </c>
      <c r="E1453">
        <v>20</v>
      </c>
      <c r="F1453">
        <v>326</v>
      </c>
      <c r="G1453">
        <v>500</v>
      </c>
      <c r="H1453">
        <v>2</v>
      </c>
      <c r="I1453">
        <v>21.2</v>
      </c>
      <c r="J1453">
        <v>42.39</v>
      </c>
      <c r="K1453" t="s">
        <v>568</v>
      </c>
      <c r="L1453" t="s">
        <v>1056</v>
      </c>
      <c r="N1453" t="s">
        <v>228</v>
      </c>
      <c r="Q1453">
        <v>2</v>
      </c>
      <c r="R1453" s="24">
        <v>46032</v>
      </c>
      <c r="T1453" t="s">
        <v>38</v>
      </c>
      <c r="V1453" t="s">
        <v>921</v>
      </c>
      <c r="W1453" t="s">
        <v>81</v>
      </c>
      <c r="Z1453" t="s">
        <v>924</v>
      </c>
      <c r="AA1453" t="s">
        <v>39</v>
      </c>
      <c r="AC1453" t="s">
        <v>1057</v>
      </c>
    </row>
    <row r="1454" spans="1:29" hidden="1" x14ac:dyDescent="0.25">
      <c r="A1454">
        <v>429</v>
      </c>
      <c r="B1454" t="s">
        <v>604</v>
      </c>
      <c r="C1454" t="s">
        <v>77</v>
      </c>
      <c r="D1454" t="s">
        <v>588</v>
      </c>
      <c r="E1454">
        <v>20</v>
      </c>
      <c r="F1454">
        <v>326</v>
      </c>
      <c r="G1454">
        <v>500</v>
      </c>
      <c r="H1454">
        <v>2</v>
      </c>
      <c r="I1454">
        <v>25.59</v>
      </c>
      <c r="J1454">
        <v>51.18</v>
      </c>
      <c r="K1454" t="s">
        <v>568</v>
      </c>
      <c r="L1454" t="s">
        <v>1056</v>
      </c>
      <c r="Q1454">
        <v>2</v>
      </c>
      <c r="R1454" s="24">
        <v>46032</v>
      </c>
      <c r="T1454" t="s">
        <v>38</v>
      </c>
      <c r="V1454" t="s">
        <v>921</v>
      </c>
      <c r="W1454" t="s">
        <v>81</v>
      </c>
      <c r="Z1454" t="s">
        <v>924</v>
      </c>
      <c r="AA1454" t="s">
        <v>39</v>
      </c>
      <c r="AC1454" t="s">
        <v>1057</v>
      </c>
    </row>
    <row r="1455" spans="1:29" hidden="1" x14ac:dyDescent="0.25">
      <c r="A1455">
        <v>430</v>
      </c>
      <c r="B1455" t="s">
        <v>605</v>
      </c>
      <c r="C1455" t="s">
        <v>77</v>
      </c>
      <c r="D1455" t="s">
        <v>583</v>
      </c>
      <c r="E1455">
        <v>20</v>
      </c>
      <c r="F1455">
        <v>200</v>
      </c>
      <c r="G1455">
        <v>200</v>
      </c>
      <c r="H1455">
        <v>2</v>
      </c>
      <c r="I1455">
        <v>6.28</v>
      </c>
      <c r="J1455">
        <v>12.56</v>
      </c>
      <c r="K1455" t="s">
        <v>568</v>
      </c>
      <c r="L1455" t="s">
        <v>1056</v>
      </c>
      <c r="Q1455">
        <v>2</v>
      </c>
      <c r="R1455" s="24">
        <v>46032</v>
      </c>
      <c r="T1455" t="s">
        <v>38</v>
      </c>
      <c r="V1455" t="s">
        <v>921</v>
      </c>
      <c r="W1455" t="s">
        <v>81</v>
      </c>
      <c r="Z1455" t="s">
        <v>924</v>
      </c>
      <c r="AA1455" t="s">
        <v>39</v>
      </c>
      <c r="AC1455" t="s">
        <v>1057</v>
      </c>
    </row>
    <row r="1456" spans="1:29" hidden="1" x14ac:dyDescent="0.25">
      <c r="A1456">
        <v>431</v>
      </c>
      <c r="B1456" t="s">
        <v>606</v>
      </c>
      <c r="C1456" t="s">
        <v>77</v>
      </c>
      <c r="D1456" t="s">
        <v>592</v>
      </c>
      <c r="E1456">
        <v>20</v>
      </c>
      <c r="F1456">
        <v>326</v>
      </c>
      <c r="G1456">
        <v>550</v>
      </c>
      <c r="H1456">
        <v>4</v>
      </c>
      <c r="I1456">
        <v>24.94</v>
      </c>
      <c r="J1456">
        <v>99.78</v>
      </c>
      <c r="K1456" t="s">
        <v>568</v>
      </c>
      <c r="L1456" t="s">
        <v>1056</v>
      </c>
      <c r="N1456" t="s">
        <v>228</v>
      </c>
      <c r="Q1456">
        <v>2</v>
      </c>
      <c r="R1456" s="24">
        <v>46032</v>
      </c>
      <c r="T1456" t="s">
        <v>38</v>
      </c>
      <c r="V1456" t="s">
        <v>921</v>
      </c>
      <c r="X1456" t="s">
        <v>81</v>
      </c>
      <c r="Z1456" t="s">
        <v>924</v>
      </c>
      <c r="AA1456" t="s">
        <v>39</v>
      </c>
      <c r="AC1456" t="s">
        <v>1057</v>
      </c>
    </row>
    <row r="1457" spans="1:29" hidden="1" x14ac:dyDescent="0.25">
      <c r="A1457">
        <v>432</v>
      </c>
      <c r="B1457" t="s">
        <v>607</v>
      </c>
      <c r="C1457" t="s">
        <v>77</v>
      </c>
      <c r="D1457" t="s">
        <v>592</v>
      </c>
      <c r="E1457">
        <v>20</v>
      </c>
      <c r="F1457">
        <v>326</v>
      </c>
      <c r="G1457">
        <v>550</v>
      </c>
      <c r="H1457">
        <v>4</v>
      </c>
      <c r="I1457">
        <v>28.15</v>
      </c>
      <c r="J1457">
        <v>112.6</v>
      </c>
      <c r="K1457" t="s">
        <v>568</v>
      </c>
      <c r="L1457" t="s">
        <v>1056</v>
      </c>
      <c r="Q1457">
        <v>2</v>
      </c>
      <c r="R1457" s="24">
        <v>46032</v>
      </c>
      <c r="T1457" t="s">
        <v>38</v>
      </c>
      <c r="V1457" t="s">
        <v>921</v>
      </c>
      <c r="W1457" t="s">
        <v>81</v>
      </c>
      <c r="Z1457" t="s">
        <v>924</v>
      </c>
      <c r="AA1457" t="s">
        <v>39</v>
      </c>
      <c r="AC1457" t="s">
        <v>1057</v>
      </c>
    </row>
    <row r="1458" spans="1:29" hidden="1" x14ac:dyDescent="0.25">
      <c r="A1458">
        <v>433</v>
      </c>
      <c r="B1458" t="s">
        <v>608</v>
      </c>
      <c r="C1458" t="s">
        <v>77</v>
      </c>
      <c r="D1458" t="s">
        <v>609</v>
      </c>
      <c r="E1458">
        <v>20</v>
      </c>
      <c r="F1458">
        <v>348</v>
      </c>
      <c r="G1458">
        <v>350</v>
      </c>
      <c r="H1458">
        <v>2</v>
      </c>
      <c r="I1458">
        <v>14.42</v>
      </c>
      <c r="J1458">
        <v>28.83</v>
      </c>
      <c r="K1458" t="s">
        <v>568</v>
      </c>
      <c r="L1458" t="s">
        <v>1056</v>
      </c>
      <c r="N1458" t="s">
        <v>228</v>
      </c>
      <c r="Q1458">
        <v>2</v>
      </c>
      <c r="R1458" s="24">
        <v>46032</v>
      </c>
      <c r="T1458" t="s">
        <v>38</v>
      </c>
      <c r="V1458" t="s">
        <v>921</v>
      </c>
      <c r="X1458" t="s">
        <v>81</v>
      </c>
      <c r="Z1458" t="s">
        <v>924</v>
      </c>
      <c r="AA1458" t="s">
        <v>39</v>
      </c>
      <c r="AC1458" t="s">
        <v>1057</v>
      </c>
    </row>
    <row r="1459" spans="1:29" hidden="1" x14ac:dyDescent="0.25">
      <c r="A1459">
        <v>434</v>
      </c>
      <c r="B1459" t="s">
        <v>610</v>
      </c>
      <c r="C1459" t="s">
        <v>77</v>
      </c>
      <c r="D1459" t="s">
        <v>567</v>
      </c>
      <c r="E1459">
        <v>20</v>
      </c>
      <c r="F1459">
        <v>240</v>
      </c>
      <c r="G1459">
        <v>250</v>
      </c>
      <c r="H1459">
        <v>12</v>
      </c>
      <c r="I1459">
        <v>6.68</v>
      </c>
      <c r="J1459">
        <v>80.11</v>
      </c>
      <c r="K1459" t="s">
        <v>568</v>
      </c>
      <c r="L1459" t="s">
        <v>1056</v>
      </c>
      <c r="N1459" t="s">
        <v>228</v>
      </c>
      <c r="Q1459">
        <v>2</v>
      </c>
      <c r="R1459" s="24">
        <v>46032</v>
      </c>
      <c r="T1459" t="s">
        <v>38</v>
      </c>
      <c r="V1459" t="s">
        <v>921</v>
      </c>
      <c r="X1459" t="s">
        <v>81</v>
      </c>
      <c r="Z1459" t="s">
        <v>924</v>
      </c>
      <c r="AA1459" t="s">
        <v>39</v>
      </c>
      <c r="AC1459" t="s">
        <v>1057</v>
      </c>
    </row>
    <row r="1460" spans="1:29" hidden="1" x14ac:dyDescent="0.25">
      <c r="A1460">
        <v>435</v>
      </c>
      <c r="B1460" t="s">
        <v>611</v>
      </c>
      <c r="C1460" t="s">
        <v>77</v>
      </c>
      <c r="D1460" t="s">
        <v>609</v>
      </c>
      <c r="E1460">
        <v>20</v>
      </c>
      <c r="F1460">
        <v>348</v>
      </c>
      <c r="G1460">
        <v>350</v>
      </c>
      <c r="H1460">
        <v>4</v>
      </c>
      <c r="I1460">
        <v>14.41</v>
      </c>
      <c r="J1460">
        <v>57.65</v>
      </c>
      <c r="K1460" t="s">
        <v>568</v>
      </c>
      <c r="L1460" t="s">
        <v>1056</v>
      </c>
      <c r="N1460" t="s">
        <v>228</v>
      </c>
      <c r="Q1460">
        <v>2</v>
      </c>
      <c r="R1460" s="24">
        <v>46032</v>
      </c>
      <c r="T1460" t="s">
        <v>38</v>
      </c>
      <c r="V1460" t="s">
        <v>921</v>
      </c>
      <c r="X1460" t="s">
        <v>81</v>
      </c>
      <c r="Z1460" t="s">
        <v>924</v>
      </c>
      <c r="AA1460" t="s">
        <v>39</v>
      </c>
      <c r="AC1460" t="s">
        <v>1057</v>
      </c>
    </row>
    <row r="1461" spans="1:29" hidden="1" x14ac:dyDescent="0.25">
      <c r="A1461">
        <v>436</v>
      </c>
      <c r="B1461" t="s">
        <v>612</v>
      </c>
      <c r="C1461" t="s">
        <v>77</v>
      </c>
      <c r="D1461" t="s">
        <v>567</v>
      </c>
      <c r="E1461">
        <v>20</v>
      </c>
      <c r="F1461">
        <v>240</v>
      </c>
      <c r="G1461">
        <v>250</v>
      </c>
      <c r="H1461">
        <v>16</v>
      </c>
      <c r="I1461">
        <v>6.68</v>
      </c>
      <c r="J1461">
        <v>106.81</v>
      </c>
      <c r="K1461" t="s">
        <v>568</v>
      </c>
      <c r="L1461" t="s">
        <v>1056</v>
      </c>
      <c r="N1461" t="s">
        <v>228</v>
      </c>
      <c r="Q1461">
        <v>2</v>
      </c>
      <c r="R1461" s="24">
        <v>46032</v>
      </c>
      <c r="T1461" t="s">
        <v>38</v>
      </c>
      <c r="V1461" t="s">
        <v>921</v>
      </c>
      <c r="X1461" t="s">
        <v>81</v>
      </c>
      <c r="Z1461" t="s">
        <v>924</v>
      </c>
      <c r="AA1461" t="s">
        <v>39</v>
      </c>
      <c r="AC1461" t="s">
        <v>1057</v>
      </c>
    </row>
    <row r="1462" spans="1:29" hidden="1" x14ac:dyDescent="0.25">
      <c r="A1462">
        <v>437</v>
      </c>
      <c r="B1462" t="s">
        <v>613</v>
      </c>
      <c r="C1462" t="s">
        <v>77</v>
      </c>
      <c r="D1462" t="s">
        <v>609</v>
      </c>
      <c r="E1462">
        <v>20</v>
      </c>
      <c r="F1462">
        <v>348</v>
      </c>
      <c r="G1462">
        <v>350</v>
      </c>
      <c r="H1462">
        <v>2</v>
      </c>
      <c r="I1462">
        <v>14.42</v>
      </c>
      <c r="J1462">
        <v>28.83</v>
      </c>
      <c r="K1462" t="s">
        <v>568</v>
      </c>
      <c r="L1462" t="s">
        <v>1056</v>
      </c>
      <c r="N1462" t="s">
        <v>228</v>
      </c>
      <c r="Q1462">
        <v>2</v>
      </c>
      <c r="R1462" s="24">
        <v>46032</v>
      </c>
      <c r="T1462" t="s">
        <v>38</v>
      </c>
      <c r="V1462" t="s">
        <v>921</v>
      </c>
      <c r="X1462" t="s">
        <v>81</v>
      </c>
      <c r="Z1462" t="s">
        <v>924</v>
      </c>
      <c r="AA1462" t="s">
        <v>39</v>
      </c>
      <c r="AC1462" t="s">
        <v>1057</v>
      </c>
    </row>
    <row r="1463" spans="1:29" hidden="1" x14ac:dyDescent="0.25">
      <c r="A1463">
        <v>438</v>
      </c>
      <c r="B1463" t="s">
        <v>614</v>
      </c>
      <c r="C1463" t="s">
        <v>77</v>
      </c>
      <c r="D1463" t="s">
        <v>567</v>
      </c>
      <c r="E1463">
        <v>20</v>
      </c>
      <c r="F1463">
        <v>240</v>
      </c>
      <c r="G1463">
        <v>250</v>
      </c>
      <c r="H1463">
        <v>12</v>
      </c>
      <c r="I1463">
        <v>6.68</v>
      </c>
      <c r="J1463">
        <v>80.11</v>
      </c>
      <c r="K1463" t="s">
        <v>568</v>
      </c>
      <c r="L1463" t="s">
        <v>1056</v>
      </c>
      <c r="N1463" t="s">
        <v>228</v>
      </c>
      <c r="Q1463">
        <v>2</v>
      </c>
      <c r="R1463" s="24">
        <v>46032</v>
      </c>
      <c r="T1463" t="s">
        <v>38</v>
      </c>
      <c r="V1463" t="s">
        <v>921</v>
      </c>
      <c r="X1463" t="s">
        <v>81</v>
      </c>
      <c r="Z1463" t="s">
        <v>924</v>
      </c>
      <c r="AA1463" t="s">
        <v>39</v>
      </c>
      <c r="AC1463" t="s">
        <v>1057</v>
      </c>
    </row>
    <row r="1464" spans="1:29" hidden="1" x14ac:dyDescent="0.25">
      <c r="A1464">
        <v>439</v>
      </c>
      <c r="B1464" t="s">
        <v>615</v>
      </c>
      <c r="C1464" t="s">
        <v>77</v>
      </c>
      <c r="D1464" t="s">
        <v>567</v>
      </c>
      <c r="E1464">
        <v>20</v>
      </c>
      <c r="F1464">
        <v>240</v>
      </c>
      <c r="G1464">
        <v>250</v>
      </c>
      <c r="H1464">
        <v>8</v>
      </c>
      <c r="I1464">
        <v>6.68</v>
      </c>
      <c r="J1464">
        <v>53.41</v>
      </c>
      <c r="K1464" t="s">
        <v>568</v>
      </c>
      <c r="L1464" t="s">
        <v>1056</v>
      </c>
      <c r="N1464" t="s">
        <v>228</v>
      </c>
      <c r="Q1464">
        <v>2</v>
      </c>
      <c r="R1464" s="24">
        <v>46032</v>
      </c>
      <c r="T1464" t="s">
        <v>38</v>
      </c>
      <c r="V1464" t="s">
        <v>921</v>
      </c>
      <c r="X1464" t="s">
        <v>81</v>
      </c>
      <c r="Z1464" t="s">
        <v>924</v>
      </c>
      <c r="AA1464" t="s">
        <v>39</v>
      </c>
      <c r="AC1464" t="s">
        <v>1057</v>
      </c>
    </row>
    <row r="1465" spans="1:29" hidden="1" x14ac:dyDescent="0.25">
      <c r="A1465">
        <v>440</v>
      </c>
      <c r="B1465" t="s">
        <v>616</v>
      </c>
      <c r="C1465" t="s">
        <v>77</v>
      </c>
      <c r="D1465" t="s">
        <v>617</v>
      </c>
      <c r="E1465">
        <v>20</v>
      </c>
      <c r="F1465">
        <v>140</v>
      </c>
      <c r="G1465">
        <v>200</v>
      </c>
      <c r="H1465">
        <v>12</v>
      </c>
      <c r="I1465">
        <v>3.95</v>
      </c>
      <c r="J1465">
        <v>47.36</v>
      </c>
      <c r="K1465" t="s">
        <v>568</v>
      </c>
      <c r="L1465" t="s">
        <v>1056</v>
      </c>
      <c r="N1465" t="s">
        <v>228</v>
      </c>
      <c r="Q1465">
        <v>2</v>
      </c>
      <c r="R1465" s="24">
        <v>46032</v>
      </c>
      <c r="T1465" t="s">
        <v>38</v>
      </c>
      <c r="V1465" t="s">
        <v>921</v>
      </c>
      <c r="X1465" t="s">
        <v>81</v>
      </c>
      <c r="Z1465" t="s">
        <v>924</v>
      </c>
      <c r="AA1465" t="s">
        <v>39</v>
      </c>
      <c r="AC1465" t="s">
        <v>1057</v>
      </c>
    </row>
    <row r="1466" spans="1:29" hidden="1" x14ac:dyDescent="0.25">
      <c r="A1466">
        <v>441</v>
      </c>
      <c r="B1466" t="s">
        <v>618</v>
      </c>
      <c r="C1466" t="s">
        <v>77</v>
      </c>
      <c r="D1466" t="s">
        <v>617</v>
      </c>
      <c r="E1466">
        <v>20</v>
      </c>
      <c r="F1466">
        <v>140</v>
      </c>
      <c r="G1466">
        <v>200</v>
      </c>
      <c r="H1466">
        <v>8</v>
      </c>
      <c r="I1466">
        <v>3.95</v>
      </c>
      <c r="J1466">
        <v>31.57</v>
      </c>
      <c r="K1466" t="s">
        <v>568</v>
      </c>
      <c r="L1466" t="s">
        <v>1056</v>
      </c>
      <c r="N1466" t="s">
        <v>228</v>
      </c>
      <c r="Q1466">
        <v>2</v>
      </c>
      <c r="R1466" s="24">
        <v>46032</v>
      </c>
      <c r="T1466" t="s">
        <v>38</v>
      </c>
      <c r="V1466" t="s">
        <v>921</v>
      </c>
      <c r="X1466" t="s">
        <v>81</v>
      </c>
      <c r="Z1466" t="s">
        <v>924</v>
      </c>
      <c r="AA1466" t="s">
        <v>39</v>
      </c>
      <c r="AC1466" t="s">
        <v>1057</v>
      </c>
    </row>
    <row r="1467" spans="1:29" hidden="1" x14ac:dyDescent="0.25">
      <c r="A1467">
        <v>442</v>
      </c>
      <c r="B1467" t="s">
        <v>619</v>
      </c>
      <c r="C1467" t="s">
        <v>77</v>
      </c>
      <c r="D1467" t="s">
        <v>617</v>
      </c>
      <c r="E1467">
        <v>20</v>
      </c>
      <c r="F1467">
        <v>140</v>
      </c>
      <c r="G1467">
        <v>200</v>
      </c>
      <c r="H1467">
        <v>8</v>
      </c>
      <c r="I1467">
        <v>3.95</v>
      </c>
      <c r="J1467">
        <v>31.57</v>
      </c>
      <c r="K1467" t="s">
        <v>568</v>
      </c>
      <c r="L1467" t="s">
        <v>1056</v>
      </c>
      <c r="N1467" t="s">
        <v>228</v>
      </c>
      <c r="Q1467">
        <v>2</v>
      </c>
      <c r="R1467" s="24">
        <v>46032</v>
      </c>
      <c r="T1467" t="s">
        <v>38</v>
      </c>
      <c r="V1467" t="s">
        <v>921</v>
      </c>
      <c r="X1467" t="s">
        <v>81</v>
      </c>
      <c r="Z1467" t="s">
        <v>924</v>
      </c>
      <c r="AA1467" t="s">
        <v>39</v>
      </c>
      <c r="AC1467" t="s">
        <v>1057</v>
      </c>
    </row>
    <row r="1468" spans="1:29" hidden="1" x14ac:dyDescent="0.25">
      <c r="A1468">
        <v>443</v>
      </c>
      <c r="B1468" t="s">
        <v>620</v>
      </c>
      <c r="C1468" t="s">
        <v>77</v>
      </c>
      <c r="D1468" t="s">
        <v>617</v>
      </c>
      <c r="E1468">
        <v>20</v>
      </c>
      <c r="F1468">
        <v>140</v>
      </c>
      <c r="G1468">
        <v>200</v>
      </c>
      <c r="H1468">
        <v>8</v>
      </c>
      <c r="I1468">
        <v>3.95</v>
      </c>
      <c r="J1468">
        <v>31.57</v>
      </c>
      <c r="K1468" t="s">
        <v>568</v>
      </c>
      <c r="L1468" t="s">
        <v>1056</v>
      </c>
      <c r="N1468" t="s">
        <v>228</v>
      </c>
      <c r="Q1468">
        <v>2</v>
      </c>
      <c r="R1468" s="24">
        <v>46032</v>
      </c>
      <c r="T1468" t="s">
        <v>38</v>
      </c>
      <c r="V1468" t="s">
        <v>921</v>
      </c>
      <c r="X1468" t="s">
        <v>81</v>
      </c>
      <c r="Z1468" t="s">
        <v>924</v>
      </c>
      <c r="AA1468" t="s">
        <v>39</v>
      </c>
      <c r="AC1468" t="s">
        <v>1057</v>
      </c>
    </row>
    <row r="1469" spans="1:29" hidden="1" x14ac:dyDescent="0.25">
      <c r="A1469">
        <v>444</v>
      </c>
      <c r="B1469" t="s">
        <v>621</v>
      </c>
      <c r="C1469" t="s">
        <v>77</v>
      </c>
      <c r="D1469" t="s">
        <v>617</v>
      </c>
      <c r="E1469">
        <v>20</v>
      </c>
      <c r="F1469">
        <v>140</v>
      </c>
      <c r="G1469">
        <v>200</v>
      </c>
      <c r="H1469">
        <v>8</v>
      </c>
      <c r="I1469">
        <v>3.95</v>
      </c>
      <c r="J1469">
        <v>31.57</v>
      </c>
      <c r="K1469" t="s">
        <v>568</v>
      </c>
      <c r="L1469" t="s">
        <v>1056</v>
      </c>
      <c r="N1469" t="s">
        <v>228</v>
      </c>
      <c r="Q1469">
        <v>2</v>
      </c>
      <c r="R1469" s="24">
        <v>46032</v>
      </c>
      <c r="T1469" t="s">
        <v>38</v>
      </c>
      <c r="V1469" t="s">
        <v>921</v>
      </c>
      <c r="X1469" t="s">
        <v>81</v>
      </c>
      <c r="Z1469" t="s">
        <v>924</v>
      </c>
      <c r="AA1469" t="s">
        <v>39</v>
      </c>
      <c r="AC1469" t="s">
        <v>1057</v>
      </c>
    </row>
    <row r="1470" spans="1:29" hidden="1" x14ac:dyDescent="0.25">
      <c r="A1470">
        <v>445</v>
      </c>
      <c r="B1470" t="s">
        <v>622</v>
      </c>
      <c r="C1470" t="s">
        <v>77</v>
      </c>
      <c r="D1470" t="s">
        <v>617</v>
      </c>
      <c r="E1470">
        <v>20</v>
      </c>
      <c r="F1470">
        <v>140</v>
      </c>
      <c r="G1470">
        <v>200</v>
      </c>
      <c r="H1470">
        <v>8</v>
      </c>
      <c r="I1470">
        <v>3.95</v>
      </c>
      <c r="J1470">
        <v>31.57</v>
      </c>
      <c r="K1470" t="s">
        <v>568</v>
      </c>
      <c r="L1470" t="s">
        <v>1056</v>
      </c>
      <c r="N1470" t="s">
        <v>228</v>
      </c>
      <c r="Q1470">
        <v>2</v>
      </c>
      <c r="R1470" s="24">
        <v>46032</v>
      </c>
      <c r="T1470" t="s">
        <v>38</v>
      </c>
      <c r="V1470" t="s">
        <v>921</v>
      </c>
      <c r="X1470" t="s">
        <v>81</v>
      </c>
      <c r="Z1470" t="s">
        <v>924</v>
      </c>
      <c r="AA1470" t="s">
        <v>39</v>
      </c>
      <c r="AC1470" t="s">
        <v>1057</v>
      </c>
    </row>
    <row r="1471" spans="1:29" hidden="1" x14ac:dyDescent="0.25">
      <c r="A1471">
        <v>446</v>
      </c>
      <c r="B1471" t="s">
        <v>623</v>
      </c>
      <c r="C1471" t="s">
        <v>77</v>
      </c>
      <c r="D1471" t="s">
        <v>617</v>
      </c>
      <c r="E1471">
        <v>20</v>
      </c>
      <c r="F1471">
        <v>140</v>
      </c>
      <c r="G1471">
        <v>200</v>
      </c>
      <c r="H1471">
        <v>8</v>
      </c>
      <c r="I1471">
        <v>3.95</v>
      </c>
      <c r="J1471">
        <v>31.57</v>
      </c>
      <c r="K1471" t="s">
        <v>568</v>
      </c>
      <c r="L1471" t="s">
        <v>1056</v>
      </c>
      <c r="N1471" t="s">
        <v>228</v>
      </c>
      <c r="Q1471">
        <v>2</v>
      </c>
      <c r="R1471" s="24">
        <v>46032</v>
      </c>
      <c r="T1471" t="s">
        <v>38</v>
      </c>
      <c r="V1471" t="s">
        <v>921</v>
      </c>
      <c r="X1471" t="s">
        <v>81</v>
      </c>
      <c r="Z1471" t="s">
        <v>924</v>
      </c>
      <c r="AA1471" t="s">
        <v>39</v>
      </c>
      <c r="AC1471" t="s">
        <v>1057</v>
      </c>
    </row>
    <row r="1472" spans="1:29" hidden="1" x14ac:dyDescent="0.25">
      <c r="A1472">
        <v>447</v>
      </c>
      <c r="B1472" t="s">
        <v>624</v>
      </c>
      <c r="C1472" t="s">
        <v>77</v>
      </c>
      <c r="D1472" t="s">
        <v>617</v>
      </c>
      <c r="E1472">
        <v>20</v>
      </c>
      <c r="F1472">
        <v>140</v>
      </c>
      <c r="G1472">
        <v>200</v>
      </c>
      <c r="H1472">
        <v>8</v>
      </c>
      <c r="I1472">
        <v>3.95</v>
      </c>
      <c r="J1472">
        <v>31.57</v>
      </c>
      <c r="K1472" t="s">
        <v>568</v>
      </c>
      <c r="L1472" t="s">
        <v>1056</v>
      </c>
      <c r="N1472" t="s">
        <v>228</v>
      </c>
      <c r="Q1472">
        <v>2</v>
      </c>
      <c r="R1472" s="24">
        <v>46032</v>
      </c>
      <c r="T1472" t="s">
        <v>38</v>
      </c>
      <c r="V1472" t="s">
        <v>921</v>
      </c>
      <c r="X1472" t="s">
        <v>81</v>
      </c>
      <c r="Z1472" t="s">
        <v>924</v>
      </c>
      <c r="AA1472" t="s">
        <v>39</v>
      </c>
      <c r="AC1472" t="s">
        <v>1057</v>
      </c>
    </row>
    <row r="1473" spans="1:29" hidden="1" x14ac:dyDescent="0.25">
      <c r="A1473">
        <v>448</v>
      </c>
      <c r="B1473" t="s">
        <v>625</v>
      </c>
      <c r="C1473" t="s">
        <v>77</v>
      </c>
      <c r="D1473" t="s">
        <v>617</v>
      </c>
      <c r="E1473">
        <v>20</v>
      </c>
      <c r="F1473">
        <v>140</v>
      </c>
      <c r="G1473">
        <v>200</v>
      </c>
      <c r="H1473">
        <v>8</v>
      </c>
      <c r="I1473">
        <v>3.95</v>
      </c>
      <c r="J1473">
        <v>31.57</v>
      </c>
      <c r="K1473" t="s">
        <v>568</v>
      </c>
      <c r="L1473" t="s">
        <v>1056</v>
      </c>
      <c r="N1473" t="s">
        <v>228</v>
      </c>
      <c r="Q1473">
        <v>2</v>
      </c>
      <c r="R1473" s="24">
        <v>46032</v>
      </c>
      <c r="T1473" t="s">
        <v>38</v>
      </c>
      <c r="V1473" t="s">
        <v>921</v>
      </c>
      <c r="X1473" t="s">
        <v>81</v>
      </c>
      <c r="Z1473" t="s">
        <v>924</v>
      </c>
      <c r="AA1473" t="s">
        <v>39</v>
      </c>
      <c r="AC1473" t="s">
        <v>1057</v>
      </c>
    </row>
    <row r="1474" spans="1:29" hidden="1" x14ac:dyDescent="0.25">
      <c r="A1474">
        <v>449</v>
      </c>
      <c r="B1474" t="s">
        <v>626</v>
      </c>
      <c r="C1474" t="s">
        <v>77</v>
      </c>
      <c r="D1474" t="s">
        <v>617</v>
      </c>
      <c r="E1474">
        <v>20</v>
      </c>
      <c r="F1474">
        <v>140</v>
      </c>
      <c r="G1474">
        <v>200</v>
      </c>
      <c r="H1474">
        <v>6</v>
      </c>
      <c r="I1474">
        <v>3.95</v>
      </c>
      <c r="J1474">
        <v>23.68</v>
      </c>
      <c r="K1474" t="s">
        <v>568</v>
      </c>
      <c r="L1474" t="s">
        <v>1056</v>
      </c>
      <c r="N1474" t="s">
        <v>228</v>
      </c>
      <c r="Q1474">
        <v>2</v>
      </c>
      <c r="R1474" s="24">
        <v>46032</v>
      </c>
      <c r="T1474" t="s">
        <v>38</v>
      </c>
      <c r="V1474" t="s">
        <v>921</v>
      </c>
      <c r="X1474" t="s">
        <v>81</v>
      </c>
      <c r="Z1474" t="s">
        <v>924</v>
      </c>
      <c r="AA1474" t="s">
        <v>39</v>
      </c>
      <c r="AC1474" t="s">
        <v>1057</v>
      </c>
    </row>
    <row r="1475" spans="1:29" hidden="1" x14ac:dyDescent="0.25">
      <c r="A1475">
        <v>450</v>
      </c>
      <c r="B1475" t="s">
        <v>571</v>
      </c>
      <c r="C1475" t="s">
        <v>77</v>
      </c>
      <c r="D1475" t="s">
        <v>572</v>
      </c>
      <c r="E1475">
        <v>20</v>
      </c>
      <c r="F1475">
        <v>400</v>
      </c>
      <c r="G1475">
        <v>780</v>
      </c>
      <c r="H1475">
        <v>1</v>
      </c>
      <c r="I1475">
        <v>48.61</v>
      </c>
      <c r="J1475">
        <v>48.61</v>
      </c>
      <c r="K1475" t="s">
        <v>1060</v>
      </c>
      <c r="L1475" t="s">
        <v>1061</v>
      </c>
      <c r="N1475" t="s">
        <v>228</v>
      </c>
      <c r="Q1475">
        <v>2</v>
      </c>
      <c r="R1475" s="24">
        <v>46032</v>
      </c>
      <c r="T1475" t="s">
        <v>38</v>
      </c>
      <c r="V1475" t="s">
        <v>921</v>
      </c>
      <c r="X1475" t="s">
        <v>81</v>
      </c>
      <c r="Z1475" t="s">
        <v>924</v>
      </c>
      <c r="AA1475" t="s">
        <v>1062</v>
      </c>
      <c r="AC1475" t="s">
        <v>1063</v>
      </c>
    </row>
    <row r="1476" spans="1:29" hidden="1" x14ac:dyDescent="0.25">
      <c r="A1476">
        <v>451</v>
      </c>
      <c r="B1476" t="s">
        <v>577</v>
      </c>
      <c r="C1476" t="s">
        <v>77</v>
      </c>
      <c r="D1476" t="s">
        <v>578</v>
      </c>
      <c r="E1476">
        <v>20</v>
      </c>
      <c r="F1476">
        <v>175</v>
      </c>
      <c r="G1476">
        <v>180</v>
      </c>
      <c r="H1476">
        <v>2</v>
      </c>
      <c r="I1476">
        <v>4.58</v>
      </c>
      <c r="J1476">
        <v>9.15</v>
      </c>
      <c r="K1476" t="s">
        <v>1060</v>
      </c>
      <c r="L1476" t="s">
        <v>1061</v>
      </c>
      <c r="N1476" t="s">
        <v>228</v>
      </c>
      <c r="Q1476">
        <v>2</v>
      </c>
      <c r="R1476" s="24">
        <v>46032</v>
      </c>
      <c r="T1476" t="s">
        <v>38</v>
      </c>
      <c r="V1476" t="s">
        <v>921</v>
      </c>
      <c r="X1476" t="s">
        <v>81</v>
      </c>
      <c r="Z1476" t="s">
        <v>924</v>
      </c>
      <c r="AA1476" t="s">
        <v>1062</v>
      </c>
      <c r="AC1476" t="s">
        <v>1063</v>
      </c>
    </row>
    <row r="1477" spans="1:29" hidden="1" x14ac:dyDescent="0.25">
      <c r="A1477">
        <v>452</v>
      </c>
      <c r="B1477" t="s">
        <v>602</v>
      </c>
      <c r="C1477" t="s">
        <v>77</v>
      </c>
      <c r="D1477" t="s">
        <v>580</v>
      </c>
      <c r="E1477">
        <v>20</v>
      </c>
      <c r="F1477">
        <v>180</v>
      </c>
      <c r="G1477">
        <v>300</v>
      </c>
      <c r="H1477">
        <v>1</v>
      </c>
      <c r="I1477">
        <v>8.48</v>
      </c>
      <c r="J1477">
        <v>8.48</v>
      </c>
      <c r="K1477" t="s">
        <v>1060</v>
      </c>
      <c r="L1477" t="s">
        <v>1061</v>
      </c>
      <c r="Q1477">
        <v>2</v>
      </c>
      <c r="R1477" s="24">
        <v>46032</v>
      </c>
      <c r="T1477" t="s">
        <v>38</v>
      </c>
      <c r="V1477" t="s">
        <v>921</v>
      </c>
      <c r="W1477" t="s">
        <v>81</v>
      </c>
      <c r="Z1477" t="s">
        <v>924</v>
      </c>
      <c r="AA1477" t="s">
        <v>1062</v>
      </c>
      <c r="AC1477" t="s">
        <v>1063</v>
      </c>
    </row>
    <row r="1478" spans="1:29" hidden="1" x14ac:dyDescent="0.25">
      <c r="A1478">
        <v>453</v>
      </c>
      <c r="B1478" t="s">
        <v>626</v>
      </c>
      <c r="C1478" t="s">
        <v>77</v>
      </c>
      <c r="D1478" t="s">
        <v>617</v>
      </c>
      <c r="E1478">
        <v>20</v>
      </c>
      <c r="F1478">
        <v>140</v>
      </c>
      <c r="G1478">
        <v>200</v>
      </c>
      <c r="H1478">
        <v>6</v>
      </c>
      <c r="I1478">
        <v>3.95</v>
      </c>
      <c r="J1478">
        <v>23.68</v>
      </c>
      <c r="K1478" t="s">
        <v>1060</v>
      </c>
      <c r="L1478" t="s">
        <v>1061</v>
      </c>
      <c r="N1478" t="s">
        <v>228</v>
      </c>
      <c r="Q1478">
        <v>2</v>
      </c>
      <c r="R1478" s="24">
        <v>46032</v>
      </c>
      <c r="T1478" t="s">
        <v>38</v>
      </c>
      <c r="V1478" t="s">
        <v>921</v>
      </c>
      <c r="X1478" t="s">
        <v>81</v>
      </c>
      <c r="Z1478" t="s">
        <v>924</v>
      </c>
      <c r="AA1478" t="s">
        <v>1062</v>
      </c>
      <c r="AC1478" t="s">
        <v>1063</v>
      </c>
    </row>
    <row r="1479" spans="1:29" hidden="1" x14ac:dyDescent="0.25">
      <c r="A1479">
        <v>454</v>
      </c>
      <c r="B1479" t="s">
        <v>663</v>
      </c>
      <c r="C1479" t="s">
        <v>77</v>
      </c>
      <c r="D1479" t="s">
        <v>664</v>
      </c>
      <c r="E1479">
        <v>25</v>
      </c>
      <c r="F1479">
        <v>250</v>
      </c>
      <c r="G1479">
        <v>300</v>
      </c>
      <c r="H1479">
        <v>4</v>
      </c>
      <c r="I1479">
        <v>13.65</v>
      </c>
      <c r="J1479">
        <v>54.6</v>
      </c>
      <c r="K1479" t="s">
        <v>1064</v>
      </c>
      <c r="L1479" t="s">
        <v>1065</v>
      </c>
      <c r="N1479" t="s">
        <v>228</v>
      </c>
      <c r="Q1479">
        <v>2</v>
      </c>
      <c r="R1479" s="24">
        <v>46032</v>
      </c>
      <c r="T1479" t="s">
        <v>38</v>
      </c>
      <c r="V1479" t="s">
        <v>921</v>
      </c>
      <c r="X1479" t="s">
        <v>81</v>
      </c>
      <c r="Z1479" t="s">
        <v>924</v>
      </c>
      <c r="AA1479" t="s">
        <v>1066</v>
      </c>
      <c r="AC1479" t="s">
        <v>1067</v>
      </c>
    </row>
    <row r="1480" spans="1:29" hidden="1" x14ac:dyDescent="0.25">
      <c r="A1480">
        <v>455</v>
      </c>
      <c r="B1480" t="s">
        <v>667</v>
      </c>
      <c r="C1480" t="s">
        <v>77</v>
      </c>
      <c r="D1480" t="s">
        <v>668</v>
      </c>
      <c r="E1480">
        <v>25</v>
      </c>
      <c r="F1480">
        <v>240</v>
      </c>
      <c r="G1480">
        <v>300</v>
      </c>
      <c r="H1480">
        <v>3</v>
      </c>
      <c r="I1480">
        <v>12.88</v>
      </c>
      <c r="J1480">
        <v>38.64</v>
      </c>
      <c r="K1480" t="s">
        <v>1064</v>
      </c>
      <c r="L1480" t="s">
        <v>1065</v>
      </c>
      <c r="N1480" t="s">
        <v>228</v>
      </c>
      <c r="Q1480">
        <v>2</v>
      </c>
      <c r="R1480" s="24">
        <v>46032</v>
      </c>
      <c r="T1480" t="s">
        <v>38</v>
      </c>
      <c r="V1480" t="s">
        <v>921</v>
      </c>
      <c r="X1480" t="s">
        <v>81</v>
      </c>
      <c r="Z1480" t="s">
        <v>924</v>
      </c>
      <c r="AA1480" t="s">
        <v>1066</v>
      </c>
      <c r="AC1480" t="s">
        <v>1067</v>
      </c>
    </row>
    <row r="1481" spans="1:29" hidden="1" x14ac:dyDescent="0.25">
      <c r="A1481">
        <v>456</v>
      </c>
      <c r="B1481" t="s">
        <v>1068</v>
      </c>
      <c r="C1481" t="s">
        <v>77</v>
      </c>
      <c r="D1481" t="s">
        <v>635</v>
      </c>
      <c r="E1481">
        <v>25</v>
      </c>
      <c r="F1481">
        <v>120</v>
      </c>
      <c r="G1481">
        <v>240</v>
      </c>
      <c r="H1481">
        <v>6</v>
      </c>
      <c r="I1481">
        <v>5.27</v>
      </c>
      <c r="J1481">
        <v>31.6</v>
      </c>
      <c r="K1481" t="s">
        <v>1064</v>
      </c>
      <c r="L1481" t="s">
        <v>1065</v>
      </c>
      <c r="N1481" t="s">
        <v>228</v>
      </c>
      <c r="Q1481">
        <v>2</v>
      </c>
      <c r="R1481" s="24">
        <v>46032</v>
      </c>
      <c r="T1481" t="s">
        <v>38</v>
      </c>
      <c r="V1481" t="s">
        <v>921</v>
      </c>
      <c r="X1481" t="s">
        <v>81</v>
      </c>
      <c r="Z1481" t="s">
        <v>924</v>
      </c>
      <c r="AA1481" t="s">
        <v>1066</v>
      </c>
      <c r="AC1481" t="s">
        <v>1067</v>
      </c>
    </row>
    <row r="1482" spans="1:29" hidden="1" x14ac:dyDescent="0.25">
      <c r="A1482">
        <v>457</v>
      </c>
      <c r="B1482" t="s">
        <v>652</v>
      </c>
      <c r="C1482" t="s">
        <v>77</v>
      </c>
      <c r="D1482" t="s">
        <v>640</v>
      </c>
      <c r="E1482">
        <v>25</v>
      </c>
      <c r="F1482">
        <v>443</v>
      </c>
      <c r="G1482">
        <v>525</v>
      </c>
      <c r="H1482">
        <v>2</v>
      </c>
      <c r="I1482">
        <v>41.64</v>
      </c>
      <c r="J1482">
        <v>83.27</v>
      </c>
      <c r="K1482" t="s">
        <v>1064</v>
      </c>
      <c r="L1482" t="s">
        <v>1065</v>
      </c>
      <c r="N1482" t="s">
        <v>228</v>
      </c>
      <c r="Q1482">
        <v>2</v>
      </c>
      <c r="R1482" s="24">
        <v>46032</v>
      </c>
      <c r="T1482" t="s">
        <v>38</v>
      </c>
      <c r="V1482" t="s">
        <v>921</v>
      </c>
      <c r="X1482" t="s">
        <v>81</v>
      </c>
      <c r="Z1482" t="s">
        <v>924</v>
      </c>
      <c r="AA1482" t="s">
        <v>1066</v>
      </c>
      <c r="AC1482" t="s">
        <v>1067</v>
      </c>
    </row>
    <row r="1483" spans="1:29" hidden="1" x14ac:dyDescent="0.25">
      <c r="A1483">
        <v>458</v>
      </c>
      <c r="B1483" t="s">
        <v>647</v>
      </c>
      <c r="C1483" t="s">
        <v>77</v>
      </c>
      <c r="D1483" t="s">
        <v>640</v>
      </c>
      <c r="E1483">
        <v>25</v>
      </c>
      <c r="F1483">
        <v>443</v>
      </c>
      <c r="G1483">
        <v>525</v>
      </c>
      <c r="H1483">
        <v>2</v>
      </c>
      <c r="I1483">
        <v>45.64</v>
      </c>
      <c r="J1483">
        <v>91.29</v>
      </c>
      <c r="K1483" t="s">
        <v>1064</v>
      </c>
      <c r="L1483" t="s">
        <v>1065</v>
      </c>
      <c r="Q1483">
        <v>2</v>
      </c>
      <c r="R1483" s="24">
        <v>46032</v>
      </c>
      <c r="T1483" t="s">
        <v>38</v>
      </c>
      <c r="V1483" t="s">
        <v>921</v>
      </c>
      <c r="W1483" t="s">
        <v>81</v>
      </c>
      <c r="Z1483" t="s">
        <v>924</v>
      </c>
      <c r="AA1483" t="s">
        <v>1066</v>
      </c>
      <c r="AC1483" t="s">
        <v>1067</v>
      </c>
    </row>
    <row r="1484" spans="1:29" hidden="1" x14ac:dyDescent="0.25">
      <c r="A1484">
        <v>459</v>
      </c>
      <c r="B1484" t="s">
        <v>650</v>
      </c>
      <c r="C1484" t="s">
        <v>77</v>
      </c>
      <c r="D1484" t="s">
        <v>651</v>
      </c>
      <c r="E1484">
        <v>25</v>
      </c>
      <c r="F1484">
        <v>200</v>
      </c>
      <c r="G1484">
        <v>200</v>
      </c>
      <c r="H1484">
        <v>2</v>
      </c>
      <c r="I1484">
        <v>7.85</v>
      </c>
      <c r="J1484">
        <v>15.7</v>
      </c>
      <c r="K1484" t="s">
        <v>1064</v>
      </c>
      <c r="L1484" t="s">
        <v>1065</v>
      </c>
      <c r="Q1484">
        <v>2</v>
      </c>
      <c r="R1484" s="24">
        <v>46032</v>
      </c>
      <c r="T1484" t="s">
        <v>38</v>
      </c>
      <c r="V1484" t="s">
        <v>921</v>
      </c>
      <c r="W1484" t="s">
        <v>81</v>
      </c>
      <c r="Z1484" t="s">
        <v>924</v>
      </c>
      <c r="AA1484" t="s">
        <v>1066</v>
      </c>
      <c r="AC1484" t="s">
        <v>1067</v>
      </c>
    </row>
    <row r="1485" spans="1:29" hidden="1" x14ac:dyDescent="0.25">
      <c r="A1485">
        <v>460</v>
      </c>
      <c r="B1485" t="s">
        <v>649</v>
      </c>
      <c r="C1485" t="s">
        <v>77</v>
      </c>
      <c r="D1485" t="s">
        <v>643</v>
      </c>
      <c r="E1485">
        <v>25</v>
      </c>
      <c r="F1485">
        <v>443</v>
      </c>
      <c r="G1485">
        <v>550</v>
      </c>
      <c r="H1485">
        <v>2</v>
      </c>
      <c r="I1485">
        <v>43.81</v>
      </c>
      <c r="J1485">
        <v>87.62</v>
      </c>
      <c r="K1485" t="s">
        <v>1064</v>
      </c>
      <c r="L1485" t="s">
        <v>1065</v>
      </c>
      <c r="N1485" t="s">
        <v>228</v>
      </c>
      <c r="Q1485">
        <v>2</v>
      </c>
      <c r="R1485" s="24">
        <v>46032</v>
      </c>
      <c r="T1485" t="s">
        <v>38</v>
      </c>
      <c r="V1485" t="s">
        <v>921</v>
      </c>
      <c r="X1485" t="s">
        <v>81</v>
      </c>
      <c r="Z1485" t="s">
        <v>924</v>
      </c>
      <c r="AA1485" t="s">
        <v>1066</v>
      </c>
      <c r="AC1485" t="s">
        <v>1067</v>
      </c>
    </row>
    <row r="1486" spans="1:29" hidden="1" x14ac:dyDescent="0.25">
      <c r="A1486">
        <v>461</v>
      </c>
      <c r="B1486" t="s">
        <v>642</v>
      </c>
      <c r="C1486" t="s">
        <v>77</v>
      </c>
      <c r="D1486" t="s">
        <v>643</v>
      </c>
      <c r="E1486">
        <v>25</v>
      </c>
      <c r="F1486">
        <v>443</v>
      </c>
      <c r="G1486">
        <v>550</v>
      </c>
      <c r="H1486">
        <v>2</v>
      </c>
      <c r="I1486">
        <v>47.82</v>
      </c>
      <c r="J1486">
        <v>95.63</v>
      </c>
      <c r="K1486" t="s">
        <v>1064</v>
      </c>
      <c r="L1486" t="s">
        <v>1065</v>
      </c>
      <c r="Q1486">
        <v>2</v>
      </c>
      <c r="R1486" s="24">
        <v>46032</v>
      </c>
      <c r="T1486" t="s">
        <v>38</v>
      </c>
      <c r="V1486" t="s">
        <v>921</v>
      </c>
      <c r="W1486" t="s">
        <v>81</v>
      </c>
      <c r="Z1486" t="s">
        <v>924</v>
      </c>
      <c r="AA1486" t="s">
        <v>1066</v>
      </c>
      <c r="AC1486" t="s">
        <v>1067</v>
      </c>
    </row>
    <row r="1487" spans="1:29" hidden="1" x14ac:dyDescent="0.25">
      <c r="A1487">
        <v>462</v>
      </c>
      <c r="B1487" t="s">
        <v>653</v>
      </c>
      <c r="C1487" t="s">
        <v>77</v>
      </c>
      <c r="D1487" t="s">
        <v>640</v>
      </c>
      <c r="E1487">
        <v>25</v>
      </c>
      <c r="F1487">
        <v>443</v>
      </c>
      <c r="G1487">
        <v>525</v>
      </c>
      <c r="H1487">
        <v>2</v>
      </c>
      <c r="I1487">
        <v>41.64</v>
      </c>
      <c r="J1487">
        <v>83.27</v>
      </c>
      <c r="K1487" t="s">
        <v>1064</v>
      </c>
      <c r="L1487" t="s">
        <v>1065</v>
      </c>
      <c r="N1487" t="s">
        <v>228</v>
      </c>
      <c r="Q1487">
        <v>2</v>
      </c>
      <c r="R1487" s="24">
        <v>46032</v>
      </c>
      <c r="T1487" t="s">
        <v>38</v>
      </c>
      <c r="V1487" t="s">
        <v>921</v>
      </c>
      <c r="X1487" t="s">
        <v>81</v>
      </c>
      <c r="Z1487" t="s">
        <v>924</v>
      </c>
      <c r="AA1487" t="s">
        <v>1066</v>
      </c>
      <c r="AC1487" t="s">
        <v>1067</v>
      </c>
    </row>
    <row r="1488" spans="1:29" hidden="1" x14ac:dyDescent="0.25">
      <c r="A1488">
        <v>463</v>
      </c>
      <c r="B1488" t="s">
        <v>639</v>
      </c>
      <c r="C1488" t="s">
        <v>77</v>
      </c>
      <c r="D1488" t="s">
        <v>640</v>
      </c>
      <c r="E1488">
        <v>25</v>
      </c>
      <c r="F1488">
        <v>443</v>
      </c>
      <c r="G1488">
        <v>525</v>
      </c>
      <c r="H1488">
        <v>2</v>
      </c>
      <c r="I1488">
        <v>45.64</v>
      </c>
      <c r="J1488">
        <v>91.29</v>
      </c>
      <c r="K1488" t="s">
        <v>1064</v>
      </c>
      <c r="L1488" t="s">
        <v>1065</v>
      </c>
      <c r="Q1488">
        <v>2</v>
      </c>
      <c r="R1488" s="24">
        <v>46032</v>
      </c>
      <c r="T1488" t="s">
        <v>38</v>
      </c>
      <c r="V1488" t="s">
        <v>921</v>
      </c>
      <c r="W1488" t="s">
        <v>81</v>
      </c>
      <c r="Z1488" t="s">
        <v>924</v>
      </c>
      <c r="AA1488" t="s">
        <v>1066</v>
      </c>
      <c r="AC1488" t="s">
        <v>1067</v>
      </c>
    </row>
    <row r="1489" spans="1:29" hidden="1" x14ac:dyDescent="0.25">
      <c r="A1489">
        <v>464</v>
      </c>
      <c r="B1489" t="s">
        <v>644</v>
      </c>
      <c r="C1489" t="s">
        <v>77</v>
      </c>
      <c r="D1489" t="s">
        <v>643</v>
      </c>
      <c r="E1489">
        <v>25</v>
      </c>
      <c r="F1489">
        <v>443</v>
      </c>
      <c r="G1489">
        <v>550</v>
      </c>
      <c r="H1489">
        <v>2</v>
      </c>
      <c r="I1489">
        <v>43.81</v>
      </c>
      <c r="J1489">
        <v>87.62</v>
      </c>
      <c r="K1489" t="s">
        <v>1064</v>
      </c>
      <c r="L1489" t="s">
        <v>1065</v>
      </c>
      <c r="N1489" t="s">
        <v>228</v>
      </c>
      <c r="Q1489">
        <v>2</v>
      </c>
      <c r="R1489" s="24">
        <v>46032</v>
      </c>
      <c r="T1489" t="s">
        <v>38</v>
      </c>
      <c r="V1489" t="s">
        <v>921</v>
      </c>
      <c r="X1489" t="s">
        <v>81</v>
      </c>
      <c r="Z1489" t="s">
        <v>924</v>
      </c>
      <c r="AA1489" t="s">
        <v>1066</v>
      </c>
      <c r="AC1489" t="s">
        <v>1067</v>
      </c>
    </row>
    <row r="1490" spans="1:29" hidden="1" x14ac:dyDescent="0.25">
      <c r="A1490">
        <v>465</v>
      </c>
      <c r="B1490" t="s">
        <v>645</v>
      </c>
      <c r="C1490" t="s">
        <v>77</v>
      </c>
      <c r="D1490" t="s">
        <v>643</v>
      </c>
      <c r="E1490">
        <v>25</v>
      </c>
      <c r="F1490">
        <v>443</v>
      </c>
      <c r="G1490">
        <v>550</v>
      </c>
      <c r="H1490">
        <v>2</v>
      </c>
      <c r="I1490">
        <v>47.82</v>
      </c>
      <c r="J1490">
        <v>95.63</v>
      </c>
      <c r="K1490" t="s">
        <v>1064</v>
      </c>
      <c r="L1490" t="s">
        <v>1065</v>
      </c>
      <c r="Q1490">
        <v>2</v>
      </c>
      <c r="R1490" s="24">
        <v>46032</v>
      </c>
      <c r="T1490" t="s">
        <v>38</v>
      </c>
      <c r="V1490" t="s">
        <v>921</v>
      </c>
      <c r="W1490" t="s">
        <v>81</v>
      </c>
      <c r="Z1490" t="s">
        <v>924</v>
      </c>
      <c r="AA1490" t="s">
        <v>1066</v>
      </c>
      <c r="AC1490" t="s">
        <v>1067</v>
      </c>
    </row>
    <row r="1491" spans="1:29" hidden="1" x14ac:dyDescent="0.25">
      <c r="A1491">
        <v>466</v>
      </c>
      <c r="B1491" t="s">
        <v>646</v>
      </c>
      <c r="C1491" t="s">
        <v>77</v>
      </c>
      <c r="D1491" t="s">
        <v>1069</v>
      </c>
      <c r="E1491">
        <v>25</v>
      </c>
      <c r="F1491">
        <v>501</v>
      </c>
      <c r="G1491">
        <v>744</v>
      </c>
      <c r="H1491">
        <v>2</v>
      </c>
      <c r="I1491">
        <v>45.45</v>
      </c>
      <c r="J1491">
        <v>90.9</v>
      </c>
      <c r="K1491" t="s">
        <v>1064</v>
      </c>
      <c r="L1491" t="s">
        <v>1065</v>
      </c>
      <c r="N1491" t="s">
        <v>228</v>
      </c>
      <c r="Q1491">
        <v>2</v>
      </c>
      <c r="R1491" s="24">
        <v>46032</v>
      </c>
      <c r="T1491" t="s">
        <v>38</v>
      </c>
      <c r="V1491" t="s">
        <v>921</v>
      </c>
      <c r="X1491" t="s">
        <v>81</v>
      </c>
      <c r="Z1491" t="s">
        <v>924</v>
      </c>
      <c r="AA1491" t="s">
        <v>1066</v>
      </c>
      <c r="AC1491" t="s">
        <v>1067</v>
      </c>
    </row>
    <row r="1492" spans="1:29" hidden="1" x14ac:dyDescent="0.25">
      <c r="A1492">
        <v>467</v>
      </c>
      <c r="B1492" t="s">
        <v>648</v>
      </c>
      <c r="C1492" t="s">
        <v>77</v>
      </c>
      <c r="D1492" t="s">
        <v>633</v>
      </c>
      <c r="E1492">
        <v>25</v>
      </c>
      <c r="F1492">
        <v>500</v>
      </c>
      <c r="G1492">
        <v>550</v>
      </c>
      <c r="H1492">
        <v>1</v>
      </c>
      <c r="I1492">
        <v>52.99</v>
      </c>
      <c r="J1492">
        <v>52.99</v>
      </c>
      <c r="K1492" t="s">
        <v>1064</v>
      </c>
      <c r="L1492" t="s">
        <v>1065</v>
      </c>
      <c r="Q1492">
        <v>2</v>
      </c>
      <c r="R1492" s="24">
        <v>46032</v>
      </c>
      <c r="T1492" t="s">
        <v>38</v>
      </c>
      <c r="V1492" t="s">
        <v>921</v>
      </c>
      <c r="W1492" t="s">
        <v>81</v>
      </c>
      <c r="Z1492" t="s">
        <v>924</v>
      </c>
      <c r="AA1492" t="s">
        <v>1066</v>
      </c>
      <c r="AC1492" t="s">
        <v>1067</v>
      </c>
    </row>
    <row r="1493" spans="1:29" hidden="1" x14ac:dyDescent="0.25">
      <c r="A1493">
        <v>468</v>
      </c>
      <c r="B1493" t="s">
        <v>638</v>
      </c>
      <c r="C1493" t="s">
        <v>77</v>
      </c>
      <c r="D1493" t="s">
        <v>1069</v>
      </c>
      <c r="E1493">
        <v>25</v>
      </c>
      <c r="F1493">
        <v>501</v>
      </c>
      <c r="G1493">
        <v>744</v>
      </c>
      <c r="H1493">
        <v>4</v>
      </c>
      <c r="I1493">
        <v>45.45</v>
      </c>
      <c r="J1493">
        <v>181.8</v>
      </c>
      <c r="K1493" t="s">
        <v>1064</v>
      </c>
      <c r="L1493" t="s">
        <v>1065</v>
      </c>
      <c r="N1493" t="s">
        <v>228</v>
      </c>
      <c r="Q1493">
        <v>2</v>
      </c>
      <c r="R1493" s="24">
        <v>46032</v>
      </c>
      <c r="T1493" t="s">
        <v>38</v>
      </c>
      <c r="V1493" t="s">
        <v>921</v>
      </c>
      <c r="X1493" t="s">
        <v>81</v>
      </c>
      <c r="Z1493" t="s">
        <v>924</v>
      </c>
      <c r="AA1493" t="s">
        <v>1066</v>
      </c>
      <c r="AC1493" t="s">
        <v>1067</v>
      </c>
    </row>
    <row r="1494" spans="1:29" hidden="1" x14ac:dyDescent="0.25">
      <c r="A1494">
        <v>469</v>
      </c>
      <c r="B1494" t="s">
        <v>636</v>
      </c>
      <c r="C1494" t="s">
        <v>77</v>
      </c>
      <c r="D1494" t="s">
        <v>633</v>
      </c>
      <c r="E1494">
        <v>25</v>
      </c>
      <c r="F1494">
        <v>500</v>
      </c>
      <c r="G1494">
        <v>550</v>
      </c>
      <c r="H1494">
        <v>2</v>
      </c>
      <c r="I1494">
        <v>52.99</v>
      </c>
      <c r="J1494">
        <v>105.98</v>
      </c>
      <c r="K1494" t="s">
        <v>1064</v>
      </c>
      <c r="L1494" t="s">
        <v>1065</v>
      </c>
      <c r="Q1494">
        <v>2</v>
      </c>
      <c r="R1494" s="24">
        <v>46032</v>
      </c>
      <c r="T1494" t="s">
        <v>38</v>
      </c>
      <c r="V1494" t="s">
        <v>921</v>
      </c>
      <c r="W1494" t="s">
        <v>81</v>
      </c>
      <c r="Z1494" t="s">
        <v>924</v>
      </c>
      <c r="AA1494" t="s">
        <v>1066</v>
      </c>
      <c r="AC1494" t="s">
        <v>1067</v>
      </c>
    </row>
    <row r="1495" spans="1:29" hidden="1" x14ac:dyDescent="0.25">
      <c r="A1495">
        <v>470</v>
      </c>
      <c r="B1495" t="s">
        <v>641</v>
      </c>
      <c r="C1495" t="s">
        <v>77</v>
      </c>
      <c r="D1495" t="s">
        <v>1069</v>
      </c>
      <c r="E1495">
        <v>25</v>
      </c>
      <c r="F1495">
        <v>501</v>
      </c>
      <c r="G1495">
        <v>744</v>
      </c>
      <c r="H1495">
        <v>2</v>
      </c>
      <c r="I1495">
        <v>45.45</v>
      </c>
      <c r="J1495">
        <v>90.9</v>
      </c>
      <c r="K1495" t="s">
        <v>1064</v>
      </c>
      <c r="L1495" t="s">
        <v>1065</v>
      </c>
      <c r="N1495" t="s">
        <v>228</v>
      </c>
      <c r="Q1495">
        <v>2</v>
      </c>
      <c r="R1495" s="24">
        <v>46032</v>
      </c>
      <c r="T1495" t="s">
        <v>38</v>
      </c>
      <c r="V1495" t="s">
        <v>921</v>
      </c>
      <c r="X1495" t="s">
        <v>81</v>
      </c>
      <c r="Z1495" t="s">
        <v>924</v>
      </c>
      <c r="AA1495" t="s">
        <v>1066</v>
      </c>
      <c r="AC1495" t="s">
        <v>1067</v>
      </c>
    </row>
    <row r="1496" spans="1:29" hidden="1" x14ac:dyDescent="0.25">
      <c r="A1496">
        <v>471</v>
      </c>
      <c r="B1496" t="s">
        <v>632</v>
      </c>
      <c r="C1496" t="s">
        <v>77</v>
      </c>
      <c r="D1496" t="s">
        <v>633</v>
      </c>
      <c r="E1496">
        <v>25</v>
      </c>
      <c r="F1496">
        <v>500</v>
      </c>
      <c r="G1496">
        <v>550</v>
      </c>
      <c r="H1496">
        <v>1</v>
      </c>
      <c r="I1496">
        <v>52.99</v>
      </c>
      <c r="J1496">
        <v>52.99</v>
      </c>
      <c r="K1496" t="s">
        <v>1064</v>
      </c>
      <c r="L1496" t="s">
        <v>1065</v>
      </c>
      <c r="Q1496">
        <v>2</v>
      </c>
      <c r="R1496" s="24">
        <v>46032</v>
      </c>
      <c r="T1496" t="s">
        <v>38</v>
      </c>
      <c r="V1496" t="s">
        <v>921</v>
      </c>
      <c r="W1496" t="s">
        <v>81</v>
      </c>
      <c r="Z1496" t="s">
        <v>924</v>
      </c>
      <c r="AA1496" t="s">
        <v>1066</v>
      </c>
      <c r="AC1496" t="s">
        <v>1067</v>
      </c>
    </row>
    <row r="1497" spans="1:29" hidden="1" x14ac:dyDescent="0.25">
      <c r="A1497">
        <v>472</v>
      </c>
      <c r="B1497" t="s">
        <v>627</v>
      </c>
      <c r="C1497" t="s">
        <v>77</v>
      </c>
      <c r="D1497" t="s">
        <v>1069</v>
      </c>
      <c r="E1497">
        <v>25</v>
      </c>
      <c r="F1497">
        <v>501</v>
      </c>
      <c r="G1497">
        <v>744</v>
      </c>
      <c r="H1497">
        <v>4</v>
      </c>
      <c r="I1497">
        <v>45.45</v>
      </c>
      <c r="J1497">
        <v>181.8</v>
      </c>
      <c r="K1497" t="s">
        <v>1064</v>
      </c>
      <c r="L1497" t="s">
        <v>1065</v>
      </c>
      <c r="N1497" t="s">
        <v>228</v>
      </c>
      <c r="Q1497">
        <v>2</v>
      </c>
      <c r="R1497" s="24">
        <v>46032</v>
      </c>
      <c r="T1497" t="s">
        <v>38</v>
      </c>
      <c r="V1497" t="s">
        <v>921</v>
      </c>
      <c r="X1497" t="s">
        <v>81</v>
      </c>
      <c r="Z1497" t="s">
        <v>924</v>
      </c>
      <c r="AA1497" t="s">
        <v>1066</v>
      </c>
      <c r="AC1497" t="s">
        <v>1067</v>
      </c>
    </row>
    <row r="1498" spans="1:29" hidden="1" x14ac:dyDescent="0.25">
      <c r="A1498">
        <v>473</v>
      </c>
      <c r="B1498" t="s">
        <v>663</v>
      </c>
      <c r="C1498" t="s">
        <v>77</v>
      </c>
      <c r="D1498" t="s">
        <v>664</v>
      </c>
      <c r="E1498">
        <v>25</v>
      </c>
      <c r="F1498">
        <v>250</v>
      </c>
      <c r="G1498">
        <v>300</v>
      </c>
      <c r="H1498">
        <v>4</v>
      </c>
      <c r="I1498">
        <v>13.65</v>
      </c>
      <c r="J1498">
        <v>54.6</v>
      </c>
      <c r="K1498" t="s">
        <v>629</v>
      </c>
      <c r="L1498" t="s">
        <v>1070</v>
      </c>
      <c r="N1498" t="s">
        <v>228</v>
      </c>
      <c r="Q1498">
        <v>2</v>
      </c>
      <c r="R1498" s="24">
        <v>46032</v>
      </c>
      <c r="T1498" t="s">
        <v>38</v>
      </c>
      <c r="V1498" t="s">
        <v>921</v>
      </c>
      <c r="X1498" t="s">
        <v>81</v>
      </c>
      <c r="Z1498" t="s">
        <v>924</v>
      </c>
      <c r="AA1498" t="s">
        <v>39</v>
      </c>
      <c r="AC1498" t="s">
        <v>1071</v>
      </c>
    </row>
    <row r="1499" spans="1:29" hidden="1" x14ac:dyDescent="0.25">
      <c r="A1499">
        <v>474</v>
      </c>
      <c r="B1499" t="s">
        <v>669</v>
      </c>
      <c r="C1499" t="s">
        <v>77</v>
      </c>
      <c r="D1499" t="s">
        <v>668</v>
      </c>
      <c r="E1499">
        <v>25</v>
      </c>
      <c r="F1499">
        <v>240</v>
      </c>
      <c r="G1499">
        <v>300</v>
      </c>
      <c r="H1499">
        <v>8</v>
      </c>
      <c r="I1499">
        <v>13.74</v>
      </c>
      <c r="J1499">
        <v>109.96</v>
      </c>
      <c r="K1499" t="s">
        <v>629</v>
      </c>
      <c r="L1499" t="s">
        <v>1070</v>
      </c>
      <c r="N1499" t="s">
        <v>228</v>
      </c>
      <c r="Q1499">
        <v>2</v>
      </c>
      <c r="R1499" s="24">
        <v>46032</v>
      </c>
      <c r="T1499" t="s">
        <v>38</v>
      </c>
      <c r="V1499" t="s">
        <v>921</v>
      </c>
      <c r="X1499" t="s">
        <v>81</v>
      </c>
      <c r="Z1499" t="s">
        <v>924</v>
      </c>
      <c r="AA1499" t="s">
        <v>39</v>
      </c>
      <c r="AC1499" t="s">
        <v>1071</v>
      </c>
    </row>
    <row r="1500" spans="1:29" hidden="1" x14ac:dyDescent="0.25">
      <c r="A1500">
        <v>475</v>
      </c>
      <c r="B1500" t="s">
        <v>667</v>
      </c>
      <c r="C1500" t="s">
        <v>77</v>
      </c>
      <c r="D1500" t="s">
        <v>668</v>
      </c>
      <c r="E1500">
        <v>25</v>
      </c>
      <c r="F1500">
        <v>240</v>
      </c>
      <c r="G1500">
        <v>300</v>
      </c>
      <c r="H1500">
        <v>5</v>
      </c>
      <c r="I1500">
        <v>12.88</v>
      </c>
      <c r="J1500">
        <v>64.41</v>
      </c>
      <c r="K1500" t="s">
        <v>629</v>
      </c>
      <c r="L1500" t="s">
        <v>1070</v>
      </c>
      <c r="N1500" t="s">
        <v>228</v>
      </c>
      <c r="Q1500">
        <v>2</v>
      </c>
      <c r="R1500" s="24">
        <v>46032</v>
      </c>
      <c r="T1500" t="s">
        <v>38</v>
      </c>
      <c r="V1500" t="s">
        <v>921</v>
      </c>
      <c r="X1500" t="s">
        <v>81</v>
      </c>
      <c r="Z1500" t="s">
        <v>924</v>
      </c>
      <c r="AA1500" t="s">
        <v>39</v>
      </c>
      <c r="AC1500" t="s">
        <v>1071</v>
      </c>
    </row>
    <row r="1501" spans="1:29" hidden="1" x14ac:dyDescent="0.25">
      <c r="A1501">
        <v>476</v>
      </c>
      <c r="B1501" t="s">
        <v>1068</v>
      </c>
      <c r="C1501" t="s">
        <v>77</v>
      </c>
      <c r="D1501" t="s">
        <v>635</v>
      </c>
      <c r="E1501">
        <v>25</v>
      </c>
      <c r="F1501">
        <v>120</v>
      </c>
      <c r="G1501">
        <v>240</v>
      </c>
      <c r="H1501">
        <v>2</v>
      </c>
      <c r="I1501">
        <v>5.26</v>
      </c>
      <c r="J1501">
        <v>10.53</v>
      </c>
      <c r="K1501" t="s">
        <v>629</v>
      </c>
      <c r="L1501" t="s">
        <v>1070</v>
      </c>
      <c r="N1501" t="s">
        <v>228</v>
      </c>
      <c r="Q1501">
        <v>2</v>
      </c>
      <c r="R1501" s="24">
        <v>46032</v>
      </c>
      <c r="T1501" t="s">
        <v>38</v>
      </c>
      <c r="V1501" t="s">
        <v>921</v>
      </c>
      <c r="X1501" t="s">
        <v>81</v>
      </c>
      <c r="Z1501" t="s">
        <v>924</v>
      </c>
      <c r="AA1501" t="s">
        <v>39</v>
      </c>
      <c r="AC1501" t="s">
        <v>1071</v>
      </c>
    </row>
    <row r="1502" spans="1:29" hidden="1" x14ac:dyDescent="0.25">
      <c r="A1502">
        <v>477</v>
      </c>
      <c r="B1502" t="s">
        <v>672</v>
      </c>
      <c r="C1502" t="s">
        <v>77</v>
      </c>
      <c r="D1502" t="s">
        <v>668</v>
      </c>
      <c r="E1502">
        <v>25</v>
      </c>
      <c r="F1502">
        <v>240</v>
      </c>
      <c r="G1502">
        <v>300</v>
      </c>
      <c r="H1502">
        <v>4</v>
      </c>
      <c r="I1502">
        <v>13.74</v>
      </c>
      <c r="J1502">
        <v>54.98</v>
      </c>
      <c r="K1502" t="s">
        <v>629</v>
      </c>
      <c r="L1502" t="s">
        <v>1070</v>
      </c>
      <c r="N1502" t="s">
        <v>228</v>
      </c>
      <c r="Q1502">
        <v>2</v>
      </c>
      <c r="R1502" s="24">
        <v>46032</v>
      </c>
      <c r="T1502" t="s">
        <v>38</v>
      </c>
      <c r="V1502" t="s">
        <v>921</v>
      </c>
      <c r="X1502" t="s">
        <v>81</v>
      </c>
      <c r="Z1502" t="s">
        <v>924</v>
      </c>
      <c r="AA1502" t="s">
        <v>39</v>
      </c>
      <c r="AC1502" t="s">
        <v>1071</v>
      </c>
    </row>
    <row r="1503" spans="1:29" hidden="1" x14ac:dyDescent="0.25">
      <c r="A1503">
        <v>478</v>
      </c>
      <c r="B1503" t="s">
        <v>670</v>
      </c>
      <c r="C1503" t="s">
        <v>77</v>
      </c>
      <c r="D1503" t="s">
        <v>668</v>
      </c>
      <c r="E1503">
        <v>25</v>
      </c>
      <c r="F1503">
        <v>240</v>
      </c>
      <c r="G1503">
        <v>300</v>
      </c>
      <c r="H1503">
        <v>4</v>
      </c>
      <c r="I1503">
        <v>12.88</v>
      </c>
      <c r="J1503">
        <v>51.53</v>
      </c>
      <c r="K1503" t="s">
        <v>629</v>
      </c>
      <c r="L1503" t="s">
        <v>1070</v>
      </c>
      <c r="N1503" t="s">
        <v>228</v>
      </c>
      <c r="Q1503">
        <v>2</v>
      </c>
      <c r="R1503" s="24">
        <v>46032</v>
      </c>
      <c r="T1503" t="s">
        <v>38</v>
      </c>
      <c r="V1503" t="s">
        <v>921</v>
      </c>
      <c r="X1503" t="s">
        <v>81</v>
      </c>
      <c r="Z1503" t="s">
        <v>924</v>
      </c>
      <c r="AA1503" t="s">
        <v>39</v>
      </c>
      <c r="AC1503" t="s">
        <v>1071</v>
      </c>
    </row>
    <row r="1504" spans="1:29" hidden="1" x14ac:dyDescent="0.25">
      <c r="A1504">
        <v>479</v>
      </c>
      <c r="B1504" t="s">
        <v>1072</v>
      </c>
      <c r="C1504" t="s">
        <v>77</v>
      </c>
      <c r="D1504" t="s">
        <v>635</v>
      </c>
      <c r="E1504">
        <v>25</v>
      </c>
      <c r="F1504">
        <v>120</v>
      </c>
      <c r="G1504">
        <v>240</v>
      </c>
      <c r="H1504">
        <v>4</v>
      </c>
      <c r="I1504">
        <v>5.27</v>
      </c>
      <c r="J1504">
        <v>21.07</v>
      </c>
      <c r="K1504" t="s">
        <v>629</v>
      </c>
      <c r="L1504" t="s">
        <v>1070</v>
      </c>
      <c r="N1504" t="s">
        <v>228</v>
      </c>
      <c r="Q1504">
        <v>2</v>
      </c>
      <c r="R1504" s="24">
        <v>46032</v>
      </c>
      <c r="T1504" t="s">
        <v>38</v>
      </c>
      <c r="V1504" t="s">
        <v>921</v>
      </c>
      <c r="X1504" t="s">
        <v>81</v>
      </c>
      <c r="Z1504" t="s">
        <v>924</v>
      </c>
      <c r="AA1504" t="s">
        <v>39</v>
      </c>
      <c r="AC1504" t="s">
        <v>1071</v>
      </c>
    </row>
    <row r="1505" spans="1:29" hidden="1" x14ac:dyDescent="0.25">
      <c r="A1505">
        <v>480</v>
      </c>
      <c r="B1505" t="s">
        <v>654</v>
      </c>
      <c r="C1505" t="s">
        <v>77</v>
      </c>
      <c r="D1505" t="s">
        <v>651</v>
      </c>
      <c r="E1505">
        <v>25</v>
      </c>
      <c r="F1505">
        <v>200</v>
      </c>
      <c r="G1505">
        <v>200</v>
      </c>
      <c r="H1505">
        <v>2</v>
      </c>
      <c r="I1505">
        <v>7.85</v>
      </c>
      <c r="J1505">
        <v>15.7</v>
      </c>
      <c r="K1505" t="s">
        <v>629</v>
      </c>
      <c r="L1505" t="s">
        <v>1070</v>
      </c>
      <c r="Q1505">
        <v>2</v>
      </c>
      <c r="R1505" s="24">
        <v>46032</v>
      </c>
      <c r="T1505" t="s">
        <v>38</v>
      </c>
      <c r="V1505" t="s">
        <v>921</v>
      </c>
      <c r="W1505" t="s">
        <v>81</v>
      </c>
      <c r="Z1505" t="s">
        <v>924</v>
      </c>
      <c r="AA1505" t="s">
        <v>39</v>
      </c>
      <c r="AC1505" t="s">
        <v>1071</v>
      </c>
    </row>
    <row r="1506" spans="1:29" hidden="1" x14ac:dyDescent="0.25">
      <c r="A1506">
        <v>481</v>
      </c>
      <c r="B1506" t="s">
        <v>656</v>
      </c>
      <c r="C1506" t="s">
        <v>77</v>
      </c>
      <c r="D1506" t="s">
        <v>657</v>
      </c>
      <c r="E1506">
        <v>25</v>
      </c>
      <c r="F1506">
        <v>443</v>
      </c>
      <c r="G1506">
        <v>500</v>
      </c>
      <c r="H1506">
        <v>2</v>
      </c>
      <c r="I1506">
        <v>43.47</v>
      </c>
      <c r="J1506">
        <v>86.94</v>
      </c>
      <c r="K1506" t="s">
        <v>629</v>
      </c>
      <c r="L1506" t="s">
        <v>1070</v>
      </c>
      <c r="Q1506">
        <v>2</v>
      </c>
      <c r="R1506" s="24">
        <v>46032</v>
      </c>
      <c r="T1506" t="s">
        <v>38</v>
      </c>
      <c r="V1506" t="s">
        <v>921</v>
      </c>
      <c r="W1506" t="s">
        <v>81</v>
      </c>
      <c r="Z1506" t="s">
        <v>924</v>
      </c>
      <c r="AA1506" t="s">
        <v>39</v>
      </c>
      <c r="AC1506" t="s">
        <v>1071</v>
      </c>
    </row>
    <row r="1507" spans="1:29" hidden="1" x14ac:dyDescent="0.25">
      <c r="A1507">
        <v>482</v>
      </c>
      <c r="B1507" t="s">
        <v>655</v>
      </c>
      <c r="C1507" t="s">
        <v>77</v>
      </c>
      <c r="D1507" t="s">
        <v>651</v>
      </c>
      <c r="E1507">
        <v>25</v>
      </c>
      <c r="F1507">
        <v>200</v>
      </c>
      <c r="G1507">
        <v>200</v>
      </c>
      <c r="H1507">
        <v>2</v>
      </c>
      <c r="I1507">
        <v>7.85</v>
      </c>
      <c r="J1507">
        <v>15.7</v>
      </c>
      <c r="K1507" t="s">
        <v>629</v>
      </c>
      <c r="L1507" t="s">
        <v>1070</v>
      </c>
      <c r="Q1507">
        <v>2</v>
      </c>
      <c r="R1507" s="24">
        <v>46032</v>
      </c>
      <c r="T1507" t="s">
        <v>38</v>
      </c>
      <c r="V1507" t="s">
        <v>921</v>
      </c>
      <c r="W1507" t="s">
        <v>81</v>
      </c>
      <c r="Z1507" t="s">
        <v>924</v>
      </c>
      <c r="AA1507" t="s">
        <v>39</v>
      </c>
      <c r="AC1507" t="s">
        <v>1071</v>
      </c>
    </row>
    <row r="1508" spans="1:29" hidden="1" x14ac:dyDescent="0.25">
      <c r="A1508">
        <v>483</v>
      </c>
      <c r="B1508" t="s">
        <v>671</v>
      </c>
      <c r="C1508" t="s">
        <v>77</v>
      </c>
      <c r="D1508" t="s">
        <v>651</v>
      </c>
      <c r="E1508">
        <v>25</v>
      </c>
      <c r="F1508">
        <v>200</v>
      </c>
      <c r="G1508">
        <v>200</v>
      </c>
      <c r="H1508">
        <v>2</v>
      </c>
      <c r="I1508">
        <v>7.85</v>
      </c>
      <c r="J1508">
        <v>15.7</v>
      </c>
      <c r="K1508" t="s">
        <v>629</v>
      </c>
      <c r="L1508" t="s">
        <v>1070</v>
      </c>
      <c r="Q1508">
        <v>2</v>
      </c>
      <c r="R1508" s="24">
        <v>46032</v>
      </c>
      <c r="T1508" t="s">
        <v>38</v>
      </c>
      <c r="V1508" t="s">
        <v>921</v>
      </c>
      <c r="W1508" t="s">
        <v>81</v>
      </c>
      <c r="Z1508" t="s">
        <v>924</v>
      </c>
      <c r="AA1508" t="s">
        <v>39</v>
      </c>
      <c r="AC1508" t="s">
        <v>1071</v>
      </c>
    </row>
    <row r="1509" spans="1:29" hidden="1" x14ac:dyDescent="0.25">
      <c r="A1509">
        <v>484</v>
      </c>
      <c r="B1509" t="s">
        <v>658</v>
      </c>
      <c r="C1509" t="s">
        <v>77</v>
      </c>
      <c r="D1509" t="s">
        <v>657</v>
      </c>
      <c r="E1509">
        <v>25</v>
      </c>
      <c r="F1509">
        <v>443</v>
      </c>
      <c r="G1509">
        <v>500</v>
      </c>
      <c r="H1509">
        <v>2</v>
      </c>
      <c r="I1509">
        <v>43.47</v>
      </c>
      <c r="J1509">
        <v>86.94</v>
      </c>
      <c r="K1509" t="s">
        <v>629</v>
      </c>
      <c r="L1509" t="s">
        <v>1070</v>
      </c>
      <c r="Q1509">
        <v>2</v>
      </c>
      <c r="R1509" s="24">
        <v>46032</v>
      </c>
      <c r="T1509" t="s">
        <v>38</v>
      </c>
      <c r="V1509" t="s">
        <v>921</v>
      </c>
      <c r="W1509" t="s">
        <v>81</v>
      </c>
      <c r="Z1509" t="s">
        <v>924</v>
      </c>
      <c r="AA1509" t="s">
        <v>39</v>
      </c>
      <c r="AC1509" t="s">
        <v>1071</v>
      </c>
    </row>
    <row r="1510" spans="1:29" hidden="1" x14ac:dyDescent="0.25">
      <c r="A1510">
        <v>485</v>
      </c>
      <c r="B1510" t="s">
        <v>665</v>
      </c>
      <c r="C1510" t="s">
        <v>77</v>
      </c>
      <c r="D1510" t="s">
        <v>660</v>
      </c>
      <c r="E1510">
        <v>25</v>
      </c>
      <c r="F1510">
        <v>375</v>
      </c>
      <c r="G1510">
        <v>500</v>
      </c>
      <c r="H1510">
        <v>1</v>
      </c>
      <c r="I1510">
        <v>35.82</v>
      </c>
      <c r="J1510">
        <v>35.82</v>
      </c>
      <c r="K1510" t="s">
        <v>629</v>
      </c>
      <c r="L1510" t="s">
        <v>1070</v>
      </c>
      <c r="Q1510">
        <v>2</v>
      </c>
      <c r="R1510" s="24">
        <v>46032</v>
      </c>
      <c r="T1510" t="s">
        <v>38</v>
      </c>
      <c r="V1510" t="s">
        <v>921</v>
      </c>
      <c r="W1510" t="s">
        <v>81</v>
      </c>
      <c r="Z1510" t="s">
        <v>924</v>
      </c>
      <c r="AA1510" t="s">
        <v>39</v>
      </c>
      <c r="AC1510" t="s">
        <v>1071</v>
      </c>
    </row>
    <row r="1511" spans="1:29" hidden="1" x14ac:dyDescent="0.25">
      <c r="A1511">
        <v>486</v>
      </c>
      <c r="B1511" t="s">
        <v>662</v>
      </c>
      <c r="C1511" t="s">
        <v>77</v>
      </c>
      <c r="D1511" t="s">
        <v>660</v>
      </c>
      <c r="E1511">
        <v>25</v>
      </c>
      <c r="F1511">
        <v>375</v>
      </c>
      <c r="G1511">
        <v>500</v>
      </c>
      <c r="H1511">
        <v>2</v>
      </c>
      <c r="I1511">
        <v>35.82</v>
      </c>
      <c r="J1511">
        <v>71.63</v>
      </c>
      <c r="K1511" t="s">
        <v>629</v>
      </c>
      <c r="L1511" t="s">
        <v>1070</v>
      </c>
      <c r="Q1511">
        <v>2</v>
      </c>
      <c r="R1511" s="24">
        <v>46032</v>
      </c>
      <c r="T1511" t="s">
        <v>38</v>
      </c>
      <c r="V1511" t="s">
        <v>921</v>
      </c>
      <c r="W1511" t="s">
        <v>81</v>
      </c>
      <c r="Z1511" t="s">
        <v>924</v>
      </c>
      <c r="AA1511" t="s">
        <v>39</v>
      </c>
      <c r="AC1511" t="s">
        <v>1071</v>
      </c>
    </row>
    <row r="1512" spans="1:29" hidden="1" x14ac:dyDescent="0.25">
      <c r="A1512">
        <v>487</v>
      </c>
      <c r="B1512" t="s">
        <v>661</v>
      </c>
      <c r="C1512" t="s">
        <v>77</v>
      </c>
      <c r="D1512" t="s">
        <v>660</v>
      </c>
      <c r="E1512">
        <v>25</v>
      </c>
      <c r="F1512">
        <v>375</v>
      </c>
      <c r="G1512">
        <v>500</v>
      </c>
      <c r="H1512">
        <v>1</v>
      </c>
      <c r="I1512">
        <v>35.82</v>
      </c>
      <c r="J1512">
        <v>35.82</v>
      </c>
      <c r="K1512" t="s">
        <v>629</v>
      </c>
      <c r="L1512" t="s">
        <v>1070</v>
      </c>
      <c r="Q1512">
        <v>2</v>
      </c>
      <c r="R1512" s="24">
        <v>46032</v>
      </c>
      <c r="T1512" t="s">
        <v>38</v>
      </c>
      <c r="V1512" t="s">
        <v>921</v>
      </c>
      <c r="W1512" t="s">
        <v>81</v>
      </c>
      <c r="Z1512" t="s">
        <v>924</v>
      </c>
      <c r="AA1512" t="s">
        <v>39</v>
      </c>
      <c r="AC1512" t="s">
        <v>1071</v>
      </c>
    </row>
    <row r="1513" spans="1:29" hidden="1" x14ac:dyDescent="0.25">
      <c r="A1513">
        <v>488</v>
      </c>
      <c r="B1513" t="s">
        <v>666</v>
      </c>
      <c r="C1513" t="s">
        <v>77</v>
      </c>
      <c r="D1513" t="s">
        <v>664</v>
      </c>
      <c r="E1513">
        <v>25</v>
      </c>
      <c r="F1513">
        <v>250</v>
      </c>
      <c r="G1513">
        <v>300</v>
      </c>
      <c r="H1513">
        <v>8</v>
      </c>
      <c r="I1513">
        <v>13.16</v>
      </c>
      <c r="J1513">
        <v>105.25</v>
      </c>
      <c r="K1513" t="s">
        <v>629</v>
      </c>
      <c r="L1513" t="s">
        <v>1070</v>
      </c>
      <c r="N1513" t="s">
        <v>228</v>
      </c>
      <c r="Q1513">
        <v>2</v>
      </c>
      <c r="R1513" s="24">
        <v>46032</v>
      </c>
      <c r="T1513" t="s">
        <v>38</v>
      </c>
      <c r="V1513" t="s">
        <v>921</v>
      </c>
      <c r="X1513" t="s">
        <v>81</v>
      </c>
      <c r="Z1513" t="s">
        <v>924</v>
      </c>
      <c r="AA1513" t="s">
        <v>39</v>
      </c>
      <c r="AC1513" t="s">
        <v>1071</v>
      </c>
    </row>
    <row r="1514" spans="1:29" hidden="1" x14ac:dyDescent="0.25">
      <c r="A1514">
        <v>489</v>
      </c>
      <c r="B1514" t="s">
        <v>659</v>
      </c>
      <c r="C1514" t="s">
        <v>77</v>
      </c>
      <c r="D1514" t="s">
        <v>660</v>
      </c>
      <c r="E1514">
        <v>25</v>
      </c>
      <c r="F1514">
        <v>375</v>
      </c>
      <c r="G1514">
        <v>500</v>
      </c>
      <c r="H1514">
        <v>2</v>
      </c>
      <c r="I1514">
        <v>35.82</v>
      </c>
      <c r="J1514">
        <v>71.63</v>
      </c>
      <c r="K1514" t="s">
        <v>629</v>
      </c>
      <c r="L1514" t="s">
        <v>1070</v>
      </c>
      <c r="Q1514">
        <v>2</v>
      </c>
      <c r="R1514" s="24">
        <v>46032</v>
      </c>
      <c r="T1514" t="s">
        <v>38</v>
      </c>
      <c r="V1514" t="s">
        <v>921</v>
      </c>
      <c r="W1514" t="s">
        <v>81</v>
      </c>
      <c r="Z1514" t="s">
        <v>924</v>
      </c>
      <c r="AA1514" t="s">
        <v>39</v>
      </c>
      <c r="AC1514" t="s">
        <v>1071</v>
      </c>
    </row>
    <row r="1515" spans="1:29" hidden="1" x14ac:dyDescent="0.25">
      <c r="A1515">
        <v>490</v>
      </c>
      <c r="B1515" t="s">
        <v>673</v>
      </c>
      <c r="C1515" t="s">
        <v>77</v>
      </c>
      <c r="D1515" t="s">
        <v>674</v>
      </c>
      <c r="E1515">
        <v>30</v>
      </c>
      <c r="F1515">
        <v>390</v>
      </c>
      <c r="G1515">
        <v>670</v>
      </c>
      <c r="H1515">
        <v>2</v>
      </c>
      <c r="I1515">
        <v>55.65</v>
      </c>
      <c r="J1515">
        <v>111.3</v>
      </c>
      <c r="K1515" t="s">
        <v>1073</v>
      </c>
      <c r="L1515" t="s">
        <v>1074</v>
      </c>
      <c r="N1515" t="s">
        <v>228</v>
      </c>
      <c r="Q1515">
        <v>2</v>
      </c>
      <c r="R1515" s="24">
        <v>46032</v>
      </c>
      <c r="T1515" t="s">
        <v>38</v>
      </c>
      <c r="V1515" t="s">
        <v>921</v>
      </c>
      <c r="X1515" t="s">
        <v>81</v>
      </c>
      <c r="Z1515" t="s">
        <v>924</v>
      </c>
      <c r="AA1515" t="s">
        <v>1075</v>
      </c>
      <c r="AC1515" t="s">
        <v>1076</v>
      </c>
    </row>
    <row r="1516" spans="1:29" hidden="1" x14ac:dyDescent="0.25">
      <c r="A1516">
        <v>491</v>
      </c>
      <c r="B1516" t="s">
        <v>678</v>
      </c>
      <c r="C1516" t="s">
        <v>77</v>
      </c>
      <c r="D1516" t="s">
        <v>679</v>
      </c>
      <c r="E1516">
        <v>30</v>
      </c>
      <c r="F1516">
        <v>290</v>
      </c>
      <c r="G1516">
        <v>670</v>
      </c>
      <c r="H1516">
        <v>4</v>
      </c>
      <c r="I1516">
        <v>41.82</v>
      </c>
      <c r="J1516">
        <v>167.26</v>
      </c>
      <c r="K1516" t="s">
        <v>1073</v>
      </c>
      <c r="L1516" t="s">
        <v>1074</v>
      </c>
      <c r="N1516" t="s">
        <v>228</v>
      </c>
      <c r="Q1516">
        <v>2</v>
      </c>
      <c r="R1516" s="24">
        <v>46032</v>
      </c>
      <c r="T1516" t="s">
        <v>38</v>
      </c>
      <c r="V1516" t="s">
        <v>921</v>
      </c>
      <c r="X1516" t="s">
        <v>81</v>
      </c>
      <c r="Z1516" t="s">
        <v>924</v>
      </c>
      <c r="AA1516" t="s">
        <v>1075</v>
      </c>
      <c r="AC1516" t="s">
        <v>1076</v>
      </c>
    </row>
    <row r="1517" spans="1:29" hidden="1" x14ac:dyDescent="0.25">
      <c r="A1517">
        <v>492</v>
      </c>
      <c r="B1517" t="s">
        <v>680</v>
      </c>
      <c r="C1517" t="s">
        <v>77</v>
      </c>
      <c r="D1517" t="s">
        <v>674</v>
      </c>
      <c r="E1517">
        <v>30</v>
      </c>
      <c r="F1517">
        <v>390</v>
      </c>
      <c r="G1517">
        <v>670</v>
      </c>
      <c r="H1517">
        <v>2</v>
      </c>
      <c r="I1517">
        <v>55.65</v>
      </c>
      <c r="J1517">
        <v>111.3</v>
      </c>
      <c r="K1517" t="s">
        <v>1073</v>
      </c>
      <c r="L1517" t="s">
        <v>1074</v>
      </c>
      <c r="N1517" t="s">
        <v>228</v>
      </c>
      <c r="Q1517">
        <v>2</v>
      </c>
      <c r="R1517" s="24">
        <v>46032</v>
      </c>
      <c r="T1517" t="s">
        <v>38</v>
      </c>
      <c r="V1517" t="s">
        <v>921</v>
      </c>
      <c r="X1517" t="s">
        <v>81</v>
      </c>
      <c r="Z1517" t="s">
        <v>924</v>
      </c>
      <c r="AA1517" t="s">
        <v>1075</v>
      </c>
      <c r="AC1517" t="s">
        <v>1076</v>
      </c>
    </row>
    <row r="1518" spans="1:29" hidden="1" x14ac:dyDescent="0.25">
      <c r="A1518">
        <v>493</v>
      </c>
      <c r="B1518" t="s">
        <v>681</v>
      </c>
      <c r="C1518" t="s">
        <v>77</v>
      </c>
      <c r="D1518" t="s">
        <v>679</v>
      </c>
      <c r="E1518">
        <v>30</v>
      </c>
      <c r="F1518">
        <v>290</v>
      </c>
      <c r="G1518">
        <v>670</v>
      </c>
      <c r="H1518">
        <v>4</v>
      </c>
      <c r="I1518">
        <v>41.82</v>
      </c>
      <c r="J1518">
        <v>167.26</v>
      </c>
      <c r="K1518" t="s">
        <v>1073</v>
      </c>
      <c r="L1518" t="s">
        <v>1074</v>
      </c>
      <c r="N1518" t="s">
        <v>228</v>
      </c>
      <c r="Q1518">
        <v>2</v>
      </c>
      <c r="R1518" s="24">
        <v>46032</v>
      </c>
      <c r="T1518" t="s">
        <v>38</v>
      </c>
      <c r="V1518" t="s">
        <v>921</v>
      </c>
      <c r="X1518" t="s">
        <v>81</v>
      </c>
      <c r="Z1518" t="s">
        <v>924</v>
      </c>
      <c r="AA1518" t="s">
        <v>1075</v>
      </c>
      <c r="AC1518" t="s">
        <v>1076</v>
      </c>
    </row>
    <row r="1519" spans="1:29" hidden="1" x14ac:dyDescent="0.25">
      <c r="A1519">
        <v>494</v>
      </c>
      <c r="B1519" t="s">
        <v>682</v>
      </c>
      <c r="C1519" t="s">
        <v>77</v>
      </c>
      <c r="D1519" t="s">
        <v>674</v>
      </c>
      <c r="E1519">
        <v>30</v>
      </c>
      <c r="F1519">
        <v>390</v>
      </c>
      <c r="G1519">
        <v>670</v>
      </c>
      <c r="H1519">
        <v>2</v>
      </c>
      <c r="I1519">
        <v>55.65</v>
      </c>
      <c r="J1519">
        <v>111.3</v>
      </c>
      <c r="K1519" t="s">
        <v>1073</v>
      </c>
      <c r="L1519" t="s">
        <v>1074</v>
      </c>
      <c r="N1519" t="s">
        <v>228</v>
      </c>
      <c r="Q1519">
        <v>2</v>
      </c>
      <c r="R1519" s="24">
        <v>46032</v>
      </c>
      <c r="T1519" t="s">
        <v>38</v>
      </c>
      <c r="V1519" t="s">
        <v>921</v>
      </c>
      <c r="X1519" t="s">
        <v>81</v>
      </c>
      <c r="Z1519" t="s">
        <v>924</v>
      </c>
      <c r="AA1519" t="s">
        <v>1075</v>
      </c>
      <c r="AC1519" t="s">
        <v>1076</v>
      </c>
    </row>
    <row r="1520" spans="1:29" hidden="1" x14ac:dyDescent="0.25">
      <c r="A1520">
        <v>495</v>
      </c>
      <c r="B1520" t="s">
        <v>683</v>
      </c>
      <c r="C1520" t="s">
        <v>77</v>
      </c>
      <c r="D1520" t="s">
        <v>679</v>
      </c>
      <c r="E1520">
        <v>30</v>
      </c>
      <c r="F1520">
        <v>290</v>
      </c>
      <c r="G1520">
        <v>670</v>
      </c>
      <c r="H1520">
        <v>4</v>
      </c>
      <c r="I1520">
        <v>41.82</v>
      </c>
      <c r="J1520">
        <v>167.26</v>
      </c>
      <c r="K1520" t="s">
        <v>1073</v>
      </c>
      <c r="L1520" t="s">
        <v>1074</v>
      </c>
      <c r="N1520" t="s">
        <v>228</v>
      </c>
      <c r="Q1520">
        <v>2</v>
      </c>
      <c r="R1520" s="24">
        <v>46032</v>
      </c>
      <c r="T1520" t="s">
        <v>38</v>
      </c>
      <c r="V1520" t="s">
        <v>921</v>
      </c>
      <c r="X1520" t="s">
        <v>81</v>
      </c>
      <c r="Z1520" t="s">
        <v>924</v>
      </c>
      <c r="AA1520" t="s">
        <v>1075</v>
      </c>
      <c r="AC1520" t="s">
        <v>1076</v>
      </c>
    </row>
    <row r="1521" spans="1:29" hidden="1" x14ac:dyDescent="0.25">
      <c r="A1521">
        <v>496</v>
      </c>
      <c r="B1521" t="s">
        <v>684</v>
      </c>
      <c r="C1521" t="s">
        <v>77</v>
      </c>
      <c r="D1521" t="s">
        <v>674</v>
      </c>
      <c r="E1521">
        <v>30</v>
      </c>
      <c r="F1521">
        <v>390</v>
      </c>
      <c r="G1521">
        <v>670</v>
      </c>
      <c r="H1521">
        <v>2</v>
      </c>
      <c r="I1521">
        <v>55.65</v>
      </c>
      <c r="J1521">
        <v>111.3</v>
      </c>
      <c r="K1521" t="s">
        <v>1073</v>
      </c>
      <c r="L1521" t="s">
        <v>1074</v>
      </c>
      <c r="N1521" t="s">
        <v>228</v>
      </c>
      <c r="Q1521">
        <v>2</v>
      </c>
      <c r="R1521" s="24">
        <v>46032</v>
      </c>
      <c r="T1521" t="s">
        <v>38</v>
      </c>
      <c r="V1521" t="s">
        <v>921</v>
      </c>
      <c r="X1521" t="s">
        <v>81</v>
      </c>
      <c r="Z1521" t="s">
        <v>924</v>
      </c>
      <c r="AA1521" t="s">
        <v>1075</v>
      </c>
      <c r="AC1521" t="s">
        <v>1076</v>
      </c>
    </row>
    <row r="1522" spans="1:29" hidden="1" x14ac:dyDescent="0.25">
      <c r="A1522">
        <v>497</v>
      </c>
      <c r="B1522" t="s">
        <v>685</v>
      </c>
      <c r="C1522" t="s">
        <v>77</v>
      </c>
      <c r="D1522" t="s">
        <v>679</v>
      </c>
      <c r="E1522">
        <v>30</v>
      </c>
      <c r="F1522">
        <v>290</v>
      </c>
      <c r="G1522">
        <v>670</v>
      </c>
      <c r="H1522">
        <v>4</v>
      </c>
      <c r="I1522">
        <v>41.82</v>
      </c>
      <c r="J1522">
        <v>167.26</v>
      </c>
      <c r="K1522" t="s">
        <v>1073</v>
      </c>
      <c r="L1522" t="s">
        <v>1074</v>
      </c>
      <c r="N1522" t="s">
        <v>228</v>
      </c>
      <c r="Q1522">
        <v>2</v>
      </c>
      <c r="R1522" s="24">
        <v>46032</v>
      </c>
      <c r="T1522" t="s">
        <v>38</v>
      </c>
      <c r="V1522" t="s">
        <v>921</v>
      </c>
      <c r="X1522" t="s">
        <v>81</v>
      </c>
      <c r="Z1522" t="s">
        <v>924</v>
      </c>
      <c r="AA1522" t="s">
        <v>1075</v>
      </c>
      <c r="AC1522" t="s">
        <v>1076</v>
      </c>
    </row>
    <row r="1523" spans="1:29" hidden="1" x14ac:dyDescent="0.25">
      <c r="A1523">
        <v>498</v>
      </c>
      <c r="B1523" t="s">
        <v>688</v>
      </c>
      <c r="C1523" t="s">
        <v>77</v>
      </c>
      <c r="D1523" t="s">
        <v>689</v>
      </c>
      <c r="E1523">
        <v>30</v>
      </c>
      <c r="F1523">
        <v>260</v>
      </c>
      <c r="G1523">
        <v>400</v>
      </c>
      <c r="H1523">
        <v>2</v>
      </c>
      <c r="I1523">
        <v>16.329999999999998</v>
      </c>
      <c r="J1523">
        <v>32.659999999999997</v>
      </c>
      <c r="K1523" t="s">
        <v>1073</v>
      </c>
      <c r="L1523" t="s">
        <v>1074</v>
      </c>
      <c r="N1523" t="s">
        <v>228</v>
      </c>
      <c r="Q1523">
        <v>2</v>
      </c>
      <c r="R1523" s="24">
        <v>46032</v>
      </c>
      <c r="T1523" t="s">
        <v>38</v>
      </c>
      <c r="V1523" t="s">
        <v>921</v>
      </c>
      <c r="X1523" t="s">
        <v>81</v>
      </c>
      <c r="Z1523" t="s">
        <v>924</v>
      </c>
      <c r="AA1523" t="s">
        <v>1075</v>
      </c>
      <c r="AC1523" t="s">
        <v>1076</v>
      </c>
    </row>
    <row r="1524" spans="1:29" hidden="1" x14ac:dyDescent="0.25">
      <c r="A1524">
        <v>499</v>
      </c>
      <c r="B1524" t="s">
        <v>690</v>
      </c>
      <c r="C1524" t="s">
        <v>77</v>
      </c>
      <c r="D1524" t="s">
        <v>691</v>
      </c>
      <c r="E1524">
        <v>30</v>
      </c>
      <c r="F1524">
        <v>69</v>
      </c>
      <c r="G1524">
        <v>100</v>
      </c>
      <c r="H1524">
        <v>2</v>
      </c>
      <c r="I1524">
        <v>1.62</v>
      </c>
      <c r="J1524">
        <v>3.25</v>
      </c>
      <c r="K1524" t="s">
        <v>1073</v>
      </c>
      <c r="L1524" t="s">
        <v>1074</v>
      </c>
      <c r="Q1524">
        <v>2</v>
      </c>
      <c r="R1524" s="24">
        <v>46032</v>
      </c>
      <c r="T1524" t="s">
        <v>38</v>
      </c>
      <c r="V1524" t="s">
        <v>921</v>
      </c>
      <c r="W1524" t="s">
        <v>81</v>
      </c>
      <c r="Z1524" t="s">
        <v>924</v>
      </c>
      <c r="AA1524" t="s">
        <v>1075</v>
      </c>
      <c r="AC1524" t="s">
        <v>1076</v>
      </c>
    </row>
    <row r="1525" spans="1:29" hidden="1" x14ac:dyDescent="0.25">
      <c r="A1525">
        <v>500</v>
      </c>
      <c r="B1525" t="s">
        <v>693</v>
      </c>
      <c r="C1525" t="s">
        <v>77</v>
      </c>
      <c r="D1525" t="s">
        <v>691</v>
      </c>
      <c r="E1525">
        <v>30</v>
      </c>
      <c r="F1525">
        <v>69</v>
      </c>
      <c r="G1525">
        <v>100</v>
      </c>
      <c r="H1525">
        <v>4</v>
      </c>
      <c r="I1525">
        <v>1.62</v>
      </c>
      <c r="J1525">
        <v>6.5</v>
      </c>
      <c r="K1525" t="s">
        <v>1073</v>
      </c>
      <c r="L1525" t="s">
        <v>1074</v>
      </c>
      <c r="Q1525">
        <v>2</v>
      </c>
      <c r="R1525" s="24">
        <v>46032</v>
      </c>
      <c r="T1525" t="s">
        <v>38</v>
      </c>
      <c r="V1525" t="s">
        <v>921</v>
      </c>
      <c r="W1525" t="s">
        <v>81</v>
      </c>
      <c r="Z1525" t="s">
        <v>924</v>
      </c>
      <c r="AA1525" t="s">
        <v>1075</v>
      </c>
      <c r="AC1525" t="s">
        <v>1076</v>
      </c>
    </row>
    <row r="1526" spans="1:29" hidden="1" x14ac:dyDescent="0.25">
      <c r="A1526">
        <v>501</v>
      </c>
      <c r="B1526" t="s">
        <v>695</v>
      </c>
      <c r="C1526" t="s">
        <v>77</v>
      </c>
      <c r="D1526" t="s">
        <v>689</v>
      </c>
      <c r="E1526">
        <v>30</v>
      </c>
      <c r="F1526">
        <v>260</v>
      </c>
      <c r="G1526">
        <v>400</v>
      </c>
      <c r="H1526">
        <v>2</v>
      </c>
      <c r="I1526">
        <v>16.329999999999998</v>
      </c>
      <c r="J1526">
        <v>32.659999999999997</v>
      </c>
      <c r="K1526" t="s">
        <v>1073</v>
      </c>
      <c r="L1526" t="s">
        <v>1074</v>
      </c>
      <c r="N1526" t="s">
        <v>228</v>
      </c>
      <c r="Q1526">
        <v>2</v>
      </c>
      <c r="R1526" s="24">
        <v>46032</v>
      </c>
      <c r="T1526" t="s">
        <v>38</v>
      </c>
      <c r="V1526" t="s">
        <v>921</v>
      </c>
      <c r="X1526" t="s">
        <v>81</v>
      </c>
      <c r="Z1526" t="s">
        <v>924</v>
      </c>
      <c r="AA1526" t="s">
        <v>1075</v>
      </c>
      <c r="AC1526" t="s">
        <v>1076</v>
      </c>
    </row>
    <row r="1527" spans="1:29" hidden="1" x14ac:dyDescent="0.25">
      <c r="A1527">
        <v>502</v>
      </c>
      <c r="B1527" t="s">
        <v>696</v>
      </c>
      <c r="C1527" t="s">
        <v>77</v>
      </c>
      <c r="D1527" t="s">
        <v>691</v>
      </c>
      <c r="E1527">
        <v>30</v>
      </c>
      <c r="F1527">
        <v>69</v>
      </c>
      <c r="G1527">
        <v>100</v>
      </c>
      <c r="H1527">
        <v>2</v>
      </c>
      <c r="I1527">
        <v>1.62</v>
      </c>
      <c r="J1527">
        <v>3.25</v>
      </c>
      <c r="K1527" t="s">
        <v>1073</v>
      </c>
      <c r="L1527" t="s">
        <v>1074</v>
      </c>
      <c r="Q1527">
        <v>2</v>
      </c>
      <c r="R1527" s="24">
        <v>46032</v>
      </c>
      <c r="T1527" t="s">
        <v>38</v>
      </c>
      <c r="V1527" t="s">
        <v>921</v>
      </c>
      <c r="W1527" t="s">
        <v>81</v>
      </c>
      <c r="Z1527" t="s">
        <v>924</v>
      </c>
      <c r="AA1527" t="s">
        <v>1075</v>
      </c>
      <c r="AC1527" t="s">
        <v>1076</v>
      </c>
    </row>
    <row r="1528" spans="1:29" hidden="1" x14ac:dyDescent="0.25">
      <c r="A1528">
        <v>503</v>
      </c>
      <c r="B1528" t="s">
        <v>697</v>
      </c>
      <c r="C1528" t="s">
        <v>77</v>
      </c>
      <c r="D1528" t="s">
        <v>698</v>
      </c>
      <c r="E1528">
        <v>30</v>
      </c>
      <c r="F1528">
        <v>275</v>
      </c>
      <c r="G1528">
        <v>300</v>
      </c>
      <c r="H1528">
        <v>4</v>
      </c>
      <c r="I1528">
        <v>14.01</v>
      </c>
      <c r="J1528">
        <v>56.03</v>
      </c>
      <c r="K1528" t="s">
        <v>1073</v>
      </c>
      <c r="L1528" t="s">
        <v>1074</v>
      </c>
      <c r="N1528" t="s">
        <v>228</v>
      </c>
      <c r="Q1528">
        <v>2</v>
      </c>
      <c r="R1528" s="24">
        <v>46032</v>
      </c>
      <c r="T1528" t="s">
        <v>38</v>
      </c>
      <c r="V1528" t="s">
        <v>921</v>
      </c>
      <c r="X1528" t="s">
        <v>81</v>
      </c>
      <c r="Z1528" t="s">
        <v>924</v>
      </c>
      <c r="AA1528" t="s">
        <v>1075</v>
      </c>
      <c r="AC1528" t="s">
        <v>1076</v>
      </c>
    </row>
    <row r="1529" spans="1:29" hidden="1" x14ac:dyDescent="0.25">
      <c r="A1529">
        <v>504</v>
      </c>
      <c r="B1529" t="s">
        <v>686</v>
      </c>
      <c r="C1529" t="s">
        <v>77</v>
      </c>
      <c r="D1529" t="s">
        <v>687</v>
      </c>
      <c r="E1529">
        <v>30</v>
      </c>
      <c r="F1529">
        <v>315</v>
      </c>
      <c r="G1529">
        <v>460</v>
      </c>
      <c r="H1529">
        <v>2</v>
      </c>
      <c r="I1529">
        <v>22.86</v>
      </c>
      <c r="J1529">
        <v>45.73</v>
      </c>
      <c r="K1529" t="s">
        <v>1073</v>
      </c>
      <c r="L1529" t="s">
        <v>1074</v>
      </c>
      <c r="N1529" t="s">
        <v>228</v>
      </c>
      <c r="Q1529">
        <v>2</v>
      </c>
      <c r="R1529" s="24">
        <v>46032</v>
      </c>
      <c r="T1529" t="s">
        <v>38</v>
      </c>
      <c r="V1529" t="s">
        <v>921</v>
      </c>
      <c r="X1529" t="s">
        <v>81</v>
      </c>
      <c r="Z1529" t="s">
        <v>924</v>
      </c>
      <c r="AA1529" t="s">
        <v>1075</v>
      </c>
      <c r="AC1529" t="s">
        <v>1076</v>
      </c>
    </row>
    <row r="1530" spans="1:29" hidden="1" x14ac:dyDescent="0.25">
      <c r="A1530">
        <v>505</v>
      </c>
      <c r="B1530" t="s">
        <v>692</v>
      </c>
      <c r="C1530" t="s">
        <v>77</v>
      </c>
      <c r="D1530" t="s">
        <v>687</v>
      </c>
      <c r="E1530">
        <v>30</v>
      </c>
      <c r="F1530">
        <v>315</v>
      </c>
      <c r="G1530">
        <v>460</v>
      </c>
      <c r="H1530">
        <v>4</v>
      </c>
      <c r="I1530">
        <v>22.86</v>
      </c>
      <c r="J1530">
        <v>91.45</v>
      </c>
      <c r="K1530" t="s">
        <v>1073</v>
      </c>
      <c r="L1530" t="s">
        <v>1074</v>
      </c>
      <c r="N1530" t="s">
        <v>228</v>
      </c>
      <c r="Q1530">
        <v>2</v>
      </c>
      <c r="R1530" s="24">
        <v>46032</v>
      </c>
      <c r="T1530" t="s">
        <v>38</v>
      </c>
      <c r="V1530" t="s">
        <v>921</v>
      </c>
      <c r="X1530" t="s">
        <v>81</v>
      </c>
      <c r="Z1530" t="s">
        <v>924</v>
      </c>
      <c r="AA1530" t="s">
        <v>1075</v>
      </c>
      <c r="AC1530" t="s">
        <v>1076</v>
      </c>
    </row>
    <row r="1531" spans="1:29" hidden="1" x14ac:dyDescent="0.25">
      <c r="A1531">
        <v>506</v>
      </c>
      <c r="B1531" t="s">
        <v>694</v>
      </c>
      <c r="C1531" t="s">
        <v>77</v>
      </c>
      <c r="D1531" t="s">
        <v>687</v>
      </c>
      <c r="E1531">
        <v>30</v>
      </c>
      <c r="F1531">
        <v>315</v>
      </c>
      <c r="G1531">
        <v>460</v>
      </c>
      <c r="H1531">
        <v>2</v>
      </c>
      <c r="I1531">
        <v>22.86</v>
      </c>
      <c r="J1531">
        <v>45.73</v>
      </c>
      <c r="K1531" t="s">
        <v>1073</v>
      </c>
      <c r="L1531" t="s">
        <v>1074</v>
      </c>
      <c r="N1531" t="s">
        <v>228</v>
      </c>
      <c r="Q1531">
        <v>2</v>
      </c>
      <c r="R1531" s="24">
        <v>46032</v>
      </c>
      <c r="T1531" t="s">
        <v>38</v>
      </c>
      <c r="V1531" t="s">
        <v>921</v>
      </c>
      <c r="X1531" t="s">
        <v>81</v>
      </c>
      <c r="Z1531" t="s">
        <v>924</v>
      </c>
      <c r="AA1531" t="s">
        <v>1075</v>
      </c>
      <c r="AC1531" t="s">
        <v>1076</v>
      </c>
    </row>
    <row r="1532" spans="1:29" hidden="1" x14ac:dyDescent="0.25">
      <c r="A1532">
        <v>507</v>
      </c>
      <c r="B1532" t="s">
        <v>699</v>
      </c>
      <c r="C1532" t="s">
        <v>700</v>
      </c>
      <c r="D1532" t="s">
        <v>701</v>
      </c>
      <c r="E1532">
        <v>60</v>
      </c>
      <c r="F1532">
        <v>70</v>
      </c>
      <c r="G1532">
        <v>8980</v>
      </c>
      <c r="H1532">
        <v>1</v>
      </c>
      <c r="I1532">
        <v>296.07</v>
      </c>
      <c r="J1532">
        <v>296.07</v>
      </c>
      <c r="K1532" t="s">
        <v>1077</v>
      </c>
      <c r="L1532" t="s">
        <v>1078</v>
      </c>
      <c r="O1532" t="s">
        <v>81</v>
      </c>
      <c r="Q1532">
        <v>2</v>
      </c>
      <c r="R1532" s="24">
        <v>46032</v>
      </c>
      <c r="T1532" t="s">
        <v>38</v>
      </c>
      <c r="V1532" t="s">
        <v>921</v>
      </c>
      <c r="W1532" t="s">
        <v>81</v>
      </c>
      <c r="Z1532" t="s">
        <v>924</v>
      </c>
      <c r="AA1532" t="s">
        <v>1079</v>
      </c>
      <c r="AC1532" t="s">
        <v>1080</v>
      </c>
    </row>
    <row r="1533" spans="1:29" hidden="1" x14ac:dyDescent="0.25">
      <c r="A1533">
        <v>508</v>
      </c>
      <c r="B1533" t="s">
        <v>706</v>
      </c>
      <c r="C1533" t="s">
        <v>700</v>
      </c>
      <c r="D1533" t="s">
        <v>707</v>
      </c>
      <c r="E1533">
        <v>60</v>
      </c>
      <c r="F1533">
        <v>70</v>
      </c>
      <c r="G1533">
        <v>11303</v>
      </c>
      <c r="H1533">
        <v>1</v>
      </c>
      <c r="I1533">
        <v>372.66</v>
      </c>
      <c r="J1533">
        <v>372.66</v>
      </c>
      <c r="K1533" t="s">
        <v>1077</v>
      </c>
      <c r="L1533" t="s">
        <v>1078</v>
      </c>
      <c r="O1533" t="s">
        <v>81</v>
      </c>
      <c r="Q1533">
        <v>2</v>
      </c>
      <c r="R1533" s="24">
        <v>46032</v>
      </c>
      <c r="T1533" t="s">
        <v>38</v>
      </c>
      <c r="V1533" t="s">
        <v>921</v>
      </c>
      <c r="W1533" t="s">
        <v>81</v>
      </c>
      <c r="Z1533" t="s">
        <v>924</v>
      </c>
      <c r="AA1533" t="s">
        <v>1079</v>
      </c>
      <c r="AC1533" t="s">
        <v>1080</v>
      </c>
    </row>
    <row r="1534" spans="1:29" hidden="1" x14ac:dyDescent="0.25">
      <c r="A1534">
        <v>509</v>
      </c>
      <c r="B1534" t="s">
        <v>712</v>
      </c>
      <c r="C1534" t="s">
        <v>700</v>
      </c>
      <c r="D1534" t="s">
        <v>701</v>
      </c>
      <c r="E1534">
        <v>60</v>
      </c>
      <c r="F1534">
        <v>70</v>
      </c>
      <c r="G1534">
        <v>8980</v>
      </c>
      <c r="H1534">
        <v>1</v>
      </c>
      <c r="I1534">
        <v>296.07</v>
      </c>
      <c r="J1534">
        <v>296.07</v>
      </c>
      <c r="K1534" t="s">
        <v>1077</v>
      </c>
      <c r="L1534" t="s">
        <v>1078</v>
      </c>
      <c r="O1534" t="s">
        <v>81</v>
      </c>
      <c r="Q1534">
        <v>2</v>
      </c>
      <c r="R1534" s="24">
        <v>46032</v>
      </c>
      <c r="T1534" t="s">
        <v>38</v>
      </c>
      <c r="V1534" t="s">
        <v>921</v>
      </c>
      <c r="W1534" t="s">
        <v>81</v>
      </c>
      <c r="Z1534" t="s">
        <v>924</v>
      </c>
      <c r="AA1534" t="s">
        <v>1079</v>
      </c>
      <c r="AC1534" t="s">
        <v>1080</v>
      </c>
    </row>
    <row r="1535" spans="1:29" hidden="1" x14ac:dyDescent="0.25">
      <c r="A1535">
        <v>510</v>
      </c>
      <c r="B1535" t="s">
        <v>713</v>
      </c>
      <c r="C1535" t="s">
        <v>700</v>
      </c>
      <c r="D1535" t="s">
        <v>707</v>
      </c>
      <c r="E1535">
        <v>60</v>
      </c>
      <c r="F1535">
        <v>70</v>
      </c>
      <c r="G1535">
        <v>11303</v>
      </c>
      <c r="H1535">
        <v>1</v>
      </c>
      <c r="I1535">
        <v>372.66</v>
      </c>
      <c r="J1535">
        <v>372.66</v>
      </c>
      <c r="K1535" t="s">
        <v>1077</v>
      </c>
      <c r="L1535" t="s">
        <v>1078</v>
      </c>
      <c r="O1535" t="s">
        <v>81</v>
      </c>
      <c r="Q1535">
        <v>2</v>
      </c>
      <c r="R1535" s="24">
        <v>46032</v>
      </c>
      <c r="T1535" t="s">
        <v>38</v>
      </c>
      <c r="V1535" t="s">
        <v>921</v>
      </c>
      <c r="W1535" t="s">
        <v>81</v>
      </c>
      <c r="Z1535" t="s">
        <v>924</v>
      </c>
      <c r="AA1535" t="s">
        <v>1079</v>
      </c>
      <c r="AC1535" t="s">
        <v>1080</v>
      </c>
    </row>
    <row r="1536" spans="1:29" hidden="1" x14ac:dyDescent="0.25">
      <c r="A1536">
        <v>511</v>
      </c>
      <c r="B1536" t="s">
        <v>708</v>
      </c>
      <c r="C1536" t="s">
        <v>700</v>
      </c>
      <c r="D1536" t="s">
        <v>709</v>
      </c>
      <c r="E1536">
        <v>60</v>
      </c>
      <c r="F1536">
        <v>68</v>
      </c>
      <c r="G1536">
        <v>12000</v>
      </c>
      <c r="H1536">
        <v>1</v>
      </c>
      <c r="I1536">
        <v>339.12</v>
      </c>
      <c r="J1536">
        <v>339.12</v>
      </c>
      <c r="K1536" t="s">
        <v>1081</v>
      </c>
      <c r="L1536" t="s">
        <v>1082</v>
      </c>
      <c r="O1536" t="s">
        <v>81</v>
      </c>
      <c r="Q1536">
        <v>2</v>
      </c>
      <c r="R1536" s="24">
        <v>46032</v>
      </c>
      <c r="T1536" t="s">
        <v>38</v>
      </c>
      <c r="V1536" t="s">
        <v>921</v>
      </c>
      <c r="W1536" t="s">
        <v>81</v>
      </c>
      <c r="Z1536" t="s">
        <v>924</v>
      </c>
      <c r="AA1536" t="s">
        <v>1083</v>
      </c>
      <c r="AC1536" t="s">
        <v>1084</v>
      </c>
    </row>
    <row r="1537" spans="1:29" hidden="1" x14ac:dyDescent="0.25">
      <c r="A1537">
        <v>512</v>
      </c>
      <c r="B1537" t="s">
        <v>710</v>
      </c>
      <c r="C1537" t="s">
        <v>700</v>
      </c>
      <c r="D1537" t="s">
        <v>711</v>
      </c>
      <c r="E1537">
        <v>60</v>
      </c>
      <c r="F1537">
        <v>63</v>
      </c>
      <c r="G1537">
        <v>7588</v>
      </c>
      <c r="H1537">
        <v>1</v>
      </c>
      <c r="I1537">
        <v>214.44</v>
      </c>
      <c r="J1537">
        <v>214.44</v>
      </c>
      <c r="K1537" t="s">
        <v>1081</v>
      </c>
      <c r="L1537" t="s">
        <v>1082</v>
      </c>
      <c r="O1537" t="s">
        <v>81</v>
      </c>
      <c r="Q1537">
        <v>2</v>
      </c>
      <c r="R1537" s="24">
        <v>46032</v>
      </c>
      <c r="T1537" t="s">
        <v>38</v>
      </c>
      <c r="V1537" t="s">
        <v>921</v>
      </c>
      <c r="W1537" t="s">
        <v>81</v>
      </c>
      <c r="Z1537" t="s">
        <v>924</v>
      </c>
      <c r="AA1537" t="s">
        <v>1083</v>
      </c>
      <c r="AC1537" t="s">
        <v>1084</v>
      </c>
    </row>
    <row r="1538" spans="1:29" hidden="1" x14ac:dyDescent="0.25">
      <c r="A1538">
        <v>513</v>
      </c>
      <c r="B1538" t="s">
        <v>714</v>
      </c>
      <c r="C1538" t="s">
        <v>700</v>
      </c>
      <c r="D1538" t="s">
        <v>715</v>
      </c>
      <c r="E1538">
        <v>60</v>
      </c>
      <c r="F1538">
        <v>70</v>
      </c>
      <c r="G1538">
        <v>12000</v>
      </c>
      <c r="H1538">
        <v>1</v>
      </c>
      <c r="I1538">
        <v>395.64</v>
      </c>
      <c r="J1538">
        <v>395.64</v>
      </c>
      <c r="K1538" t="s">
        <v>1081</v>
      </c>
      <c r="L1538" t="s">
        <v>1082</v>
      </c>
      <c r="O1538" t="s">
        <v>81</v>
      </c>
      <c r="Q1538">
        <v>2</v>
      </c>
      <c r="R1538" s="24">
        <v>46032</v>
      </c>
      <c r="T1538" t="s">
        <v>38</v>
      </c>
      <c r="V1538" t="s">
        <v>921</v>
      </c>
      <c r="W1538" t="s">
        <v>81</v>
      </c>
      <c r="Z1538" t="s">
        <v>924</v>
      </c>
      <c r="AA1538" t="s">
        <v>1083</v>
      </c>
      <c r="AC1538" t="s">
        <v>1084</v>
      </c>
    </row>
    <row r="1539" spans="1:29" hidden="1" x14ac:dyDescent="0.25">
      <c r="A1539">
        <v>514</v>
      </c>
      <c r="B1539" t="s">
        <v>716</v>
      </c>
      <c r="C1539" t="s">
        <v>700</v>
      </c>
      <c r="D1539" t="s">
        <v>717</v>
      </c>
      <c r="E1539">
        <v>60</v>
      </c>
      <c r="F1539">
        <v>70</v>
      </c>
      <c r="G1539">
        <v>7587</v>
      </c>
      <c r="H1539">
        <v>1</v>
      </c>
      <c r="I1539">
        <v>250.16</v>
      </c>
      <c r="J1539">
        <v>250.16</v>
      </c>
      <c r="K1539" t="s">
        <v>1081</v>
      </c>
      <c r="L1539" t="s">
        <v>1082</v>
      </c>
      <c r="O1539" t="s">
        <v>81</v>
      </c>
      <c r="Q1539">
        <v>2</v>
      </c>
      <c r="R1539" s="24">
        <v>46032</v>
      </c>
      <c r="T1539" t="s">
        <v>38</v>
      </c>
      <c r="V1539" t="s">
        <v>921</v>
      </c>
      <c r="W1539" t="s">
        <v>81</v>
      </c>
      <c r="Z1539" t="s">
        <v>924</v>
      </c>
      <c r="AA1539" t="s">
        <v>1083</v>
      </c>
      <c r="AC1539" t="s">
        <v>1084</v>
      </c>
    </row>
    <row r="1540" spans="1:29" hidden="1" x14ac:dyDescent="0.25">
      <c r="A1540">
        <v>1</v>
      </c>
      <c r="B1540" t="s">
        <v>32</v>
      </c>
      <c r="C1540" t="s">
        <v>33</v>
      </c>
      <c r="D1540" t="s">
        <v>34</v>
      </c>
      <c r="E1540">
        <v>2</v>
      </c>
      <c r="F1540">
        <v>1200</v>
      </c>
      <c r="G1540">
        <v>1800</v>
      </c>
      <c r="H1540">
        <v>1</v>
      </c>
      <c r="I1540">
        <v>33.909999999999997</v>
      </c>
      <c r="J1540">
        <v>33.909999999999997</v>
      </c>
      <c r="K1540" t="s">
        <v>35</v>
      </c>
      <c r="L1540" t="s">
        <v>1134</v>
      </c>
      <c r="Q1540">
        <v>3</v>
      </c>
      <c r="R1540" t="s">
        <v>1135</v>
      </c>
      <c r="T1540" t="s">
        <v>38</v>
      </c>
      <c r="V1540" t="s">
        <v>921</v>
      </c>
      <c r="Z1540" t="s">
        <v>1136</v>
      </c>
      <c r="AA1540" t="s">
        <v>39</v>
      </c>
      <c r="AC1540" t="s">
        <v>1137</v>
      </c>
    </row>
    <row r="1541" spans="1:29" hidden="1" x14ac:dyDescent="0.25">
      <c r="A1541">
        <v>2</v>
      </c>
      <c r="B1541" t="s">
        <v>41</v>
      </c>
      <c r="C1541" t="s">
        <v>33</v>
      </c>
      <c r="D1541" t="s">
        <v>34</v>
      </c>
      <c r="E1541">
        <v>2</v>
      </c>
      <c r="F1541">
        <v>1200</v>
      </c>
      <c r="G1541">
        <v>1800</v>
      </c>
      <c r="H1541">
        <v>1</v>
      </c>
      <c r="I1541">
        <v>33.909999999999997</v>
      </c>
      <c r="J1541">
        <v>33.909999999999997</v>
      </c>
      <c r="K1541" t="s">
        <v>35</v>
      </c>
      <c r="L1541" t="s">
        <v>1134</v>
      </c>
      <c r="Q1541">
        <v>3</v>
      </c>
      <c r="R1541" t="s">
        <v>1135</v>
      </c>
      <c r="T1541" t="s">
        <v>38</v>
      </c>
      <c r="V1541" t="s">
        <v>921</v>
      </c>
      <c r="Z1541" t="s">
        <v>1136</v>
      </c>
      <c r="AA1541" t="s">
        <v>39</v>
      </c>
      <c r="AC1541" t="s">
        <v>1137</v>
      </c>
    </row>
    <row r="1542" spans="1:29" hidden="1" x14ac:dyDescent="0.25">
      <c r="A1542">
        <v>3</v>
      </c>
      <c r="B1542" t="s">
        <v>42</v>
      </c>
      <c r="C1542" t="s">
        <v>33</v>
      </c>
      <c r="D1542" t="s">
        <v>35</v>
      </c>
      <c r="E1542">
        <v>2</v>
      </c>
      <c r="F1542">
        <v>1300</v>
      </c>
      <c r="G1542">
        <v>4000</v>
      </c>
      <c r="H1542">
        <v>1</v>
      </c>
      <c r="I1542">
        <v>81.64</v>
      </c>
      <c r="J1542">
        <v>81.64</v>
      </c>
      <c r="K1542" t="s">
        <v>35</v>
      </c>
      <c r="L1542" t="s">
        <v>1138</v>
      </c>
      <c r="Q1542">
        <v>3</v>
      </c>
      <c r="R1542" t="s">
        <v>1135</v>
      </c>
      <c r="T1542" t="s">
        <v>38</v>
      </c>
      <c r="V1542" t="s">
        <v>921</v>
      </c>
      <c r="Z1542" t="s">
        <v>1136</v>
      </c>
      <c r="AA1542" t="s">
        <v>39</v>
      </c>
      <c r="AC1542" t="s">
        <v>1139</v>
      </c>
    </row>
    <row r="1543" spans="1:29" hidden="1" x14ac:dyDescent="0.25">
      <c r="A1543">
        <v>4</v>
      </c>
      <c r="B1543" t="s">
        <v>45</v>
      </c>
      <c r="C1543" t="s">
        <v>33</v>
      </c>
      <c r="D1543" t="s">
        <v>35</v>
      </c>
      <c r="E1543">
        <v>2</v>
      </c>
      <c r="F1543">
        <v>1300</v>
      </c>
      <c r="G1543">
        <v>4000</v>
      </c>
      <c r="H1543">
        <v>1</v>
      </c>
      <c r="I1543">
        <v>81.64</v>
      </c>
      <c r="J1543">
        <v>81.64</v>
      </c>
      <c r="K1543" t="s">
        <v>35</v>
      </c>
      <c r="L1543" t="s">
        <v>1140</v>
      </c>
      <c r="Q1543">
        <v>3</v>
      </c>
      <c r="R1543" t="s">
        <v>1135</v>
      </c>
      <c r="T1543" t="s">
        <v>38</v>
      </c>
      <c r="V1543" t="s">
        <v>921</v>
      </c>
      <c r="Z1543" t="s">
        <v>1136</v>
      </c>
      <c r="AA1543" t="s">
        <v>39</v>
      </c>
      <c r="AC1543" t="s">
        <v>1141</v>
      </c>
    </row>
    <row r="1544" spans="1:29" hidden="1" x14ac:dyDescent="0.25">
      <c r="A1544">
        <v>5</v>
      </c>
      <c r="B1544" t="s">
        <v>48</v>
      </c>
      <c r="C1544" t="s">
        <v>33</v>
      </c>
      <c r="D1544" t="s">
        <v>49</v>
      </c>
      <c r="E1544">
        <v>2</v>
      </c>
      <c r="F1544">
        <v>1060</v>
      </c>
      <c r="G1544">
        <v>4000</v>
      </c>
      <c r="H1544">
        <v>1</v>
      </c>
      <c r="I1544">
        <v>66.569999999999993</v>
      </c>
      <c r="J1544">
        <v>66.569999999999993</v>
      </c>
      <c r="K1544" t="s">
        <v>35</v>
      </c>
      <c r="L1544" t="s">
        <v>1142</v>
      </c>
      <c r="Q1544">
        <v>3</v>
      </c>
      <c r="R1544" t="s">
        <v>1135</v>
      </c>
      <c r="T1544" t="s">
        <v>38</v>
      </c>
      <c r="V1544" t="s">
        <v>921</v>
      </c>
      <c r="Z1544" t="s">
        <v>1136</v>
      </c>
      <c r="AA1544" t="s">
        <v>39</v>
      </c>
      <c r="AC1544" t="s">
        <v>1143</v>
      </c>
    </row>
    <row r="1545" spans="1:29" hidden="1" x14ac:dyDescent="0.25">
      <c r="A1545">
        <v>6</v>
      </c>
      <c r="B1545" t="s">
        <v>52</v>
      </c>
      <c r="C1545" t="s">
        <v>33</v>
      </c>
      <c r="D1545" t="s">
        <v>49</v>
      </c>
      <c r="E1545">
        <v>2</v>
      </c>
      <c r="F1545">
        <v>1060</v>
      </c>
      <c r="G1545">
        <v>4000</v>
      </c>
      <c r="H1545">
        <v>1</v>
      </c>
      <c r="I1545">
        <v>66.569999999999993</v>
      </c>
      <c r="J1545">
        <v>66.569999999999993</v>
      </c>
      <c r="K1545" t="s">
        <v>35</v>
      </c>
      <c r="L1545" t="s">
        <v>1144</v>
      </c>
      <c r="Q1545">
        <v>3</v>
      </c>
      <c r="R1545" t="s">
        <v>1135</v>
      </c>
      <c r="T1545" t="s">
        <v>38</v>
      </c>
      <c r="V1545" t="s">
        <v>921</v>
      </c>
      <c r="Z1545" t="s">
        <v>1136</v>
      </c>
      <c r="AA1545" t="s">
        <v>39</v>
      </c>
      <c r="AC1545" t="s">
        <v>1145</v>
      </c>
    </row>
    <row r="1546" spans="1:29" hidden="1" x14ac:dyDescent="0.25">
      <c r="A1546">
        <v>7</v>
      </c>
      <c r="B1546" t="s">
        <v>55</v>
      </c>
      <c r="C1546" t="s">
        <v>33</v>
      </c>
      <c r="D1546" t="s">
        <v>49</v>
      </c>
      <c r="E1546">
        <v>2</v>
      </c>
      <c r="F1546">
        <v>1060</v>
      </c>
      <c r="G1546">
        <v>4000</v>
      </c>
      <c r="H1546">
        <v>1</v>
      </c>
      <c r="I1546">
        <v>66.569999999999993</v>
      </c>
      <c r="J1546">
        <v>66.569999999999993</v>
      </c>
      <c r="K1546" t="s">
        <v>35</v>
      </c>
      <c r="L1546" t="s">
        <v>1146</v>
      </c>
      <c r="Q1546">
        <v>3</v>
      </c>
      <c r="R1546" t="s">
        <v>1135</v>
      </c>
      <c r="T1546" t="s">
        <v>38</v>
      </c>
      <c r="V1546" t="s">
        <v>921</v>
      </c>
      <c r="Z1546" t="s">
        <v>1136</v>
      </c>
      <c r="AA1546" t="s">
        <v>39</v>
      </c>
      <c r="AC1546" t="s">
        <v>1147</v>
      </c>
    </row>
    <row r="1547" spans="1:29" hidden="1" x14ac:dyDescent="0.25">
      <c r="A1547">
        <v>8</v>
      </c>
      <c r="B1547" t="s">
        <v>58</v>
      </c>
      <c r="C1547" t="s">
        <v>33</v>
      </c>
      <c r="D1547" t="s">
        <v>49</v>
      </c>
      <c r="E1547">
        <v>2</v>
      </c>
      <c r="F1547">
        <v>1060</v>
      </c>
      <c r="G1547">
        <v>4000</v>
      </c>
      <c r="H1547">
        <v>1</v>
      </c>
      <c r="I1547">
        <v>66.569999999999993</v>
      </c>
      <c r="J1547">
        <v>66.569999999999993</v>
      </c>
      <c r="K1547" t="s">
        <v>35</v>
      </c>
      <c r="L1547" t="s">
        <v>1148</v>
      </c>
      <c r="Q1547">
        <v>3</v>
      </c>
      <c r="R1547" t="s">
        <v>1135</v>
      </c>
      <c r="T1547" t="s">
        <v>38</v>
      </c>
      <c r="V1547" t="s">
        <v>921</v>
      </c>
      <c r="Z1547" t="s">
        <v>1136</v>
      </c>
      <c r="AA1547" t="s">
        <v>39</v>
      </c>
      <c r="AC1547" t="s">
        <v>1149</v>
      </c>
    </row>
    <row r="1548" spans="1:29" hidden="1" x14ac:dyDescent="0.25">
      <c r="A1548">
        <v>9</v>
      </c>
      <c r="B1548" t="s">
        <v>61</v>
      </c>
      <c r="C1548" t="s">
        <v>33</v>
      </c>
      <c r="D1548" t="s">
        <v>62</v>
      </c>
      <c r="E1548">
        <v>2</v>
      </c>
      <c r="F1548">
        <v>500</v>
      </c>
      <c r="G1548">
        <v>4000</v>
      </c>
      <c r="H1548">
        <v>1</v>
      </c>
      <c r="I1548">
        <v>31.4</v>
      </c>
      <c r="J1548">
        <v>31.4</v>
      </c>
      <c r="K1548" t="s">
        <v>35</v>
      </c>
      <c r="L1548" t="s">
        <v>1150</v>
      </c>
      <c r="Q1548">
        <v>3</v>
      </c>
      <c r="R1548" t="s">
        <v>1135</v>
      </c>
      <c r="T1548" t="s">
        <v>38</v>
      </c>
      <c r="V1548" t="s">
        <v>921</v>
      </c>
      <c r="Z1548" t="s">
        <v>1136</v>
      </c>
      <c r="AA1548" t="s">
        <v>39</v>
      </c>
      <c r="AC1548" t="s">
        <v>1151</v>
      </c>
    </row>
    <row r="1549" spans="1:29" hidden="1" x14ac:dyDescent="0.25">
      <c r="A1549">
        <v>10</v>
      </c>
      <c r="B1549" t="s">
        <v>65</v>
      </c>
      <c r="C1549" t="s">
        <v>33</v>
      </c>
      <c r="D1549" t="s">
        <v>62</v>
      </c>
      <c r="E1549">
        <v>2</v>
      </c>
      <c r="F1549">
        <v>500</v>
      </c>
      <c r="G1549">
        <v>4000</v>
      </c>
      <c r="H1549">
        <v>1</v>
      </c>
      <c r="I1549">
        <v>31.4</v>
      </c>
      <c r="J1549">
        <v>31.4</v>
      </c>
      <c r="K1549" t="s">
        <v>35</v>
      </c>
      <c r="L1549" t="s">
        <v>1150</v>
      </c>
      <c r="Q1549">
        <v>3</v>
      </c>
      <c r="R1549" t="s">
        <v>1135</v>
      </c>
      <c r="T1549" t="s">
        <v>38</v>
      </c>
      <c r="V1549" t="s">
        <v>921</v>
      </c>
      <c r="Z1549" t="s">
        <v>1136</v>
      </c>
      <c r="AA1549" t="s">
        <v>39</v>
      </c>
      <c r="AC1549" t="s">
        <v>1151</v>
      </c>
    </row>
    <row r="1550" spans="1:29" hidden="1" x14ac:dyDescent="0.25">
      <c r="A1550">
        <v>11</v>
      </c>
      <c r="B1550" t="s">
        <v>66</v>
      </c>
      <c r="C1550" t="s">
        <v>33</v>
      </c>
      <c r="D1550" t="s">
        <v>67</v>
      </c>
      <c r="E1550">
        <v>2</v>
      </c>
      <c r="F1550">
        <v>1060</v>
      </c>
      <c r="G1550">
        <v>1200</v>
      </c>
      <c r="H1550">
        <v>1</v>
      </c>
      <c r="I1550">
        <v>19.97</v>
      </c>
      <c r="J1550">
        <v>19.97</v>
      </c>
      <c r="K1550" t="s">
        <v>35</v>
      </c>
      <c r="L1550" t="s">
        <v>1152</v>
      </c>
      <c r="Q1550">
        <v>3</v>
      </c>
      <c r="R1550" t="s">
        <v>1135</v>
      </c>
      <c r="T1550" t="s">
        <v>38</v>
      </c>
      <c r="V1550" t="s">
        <v>921</v>
      </c>
      <c r="Z1550" t="s">
        <v>1136</v>
      </c>
      <c r="AA1550" t="s">
        <v>1153</v>
      </c>
      <c r="AC1550" t="s">
        <v>1154</v>
      </c>
    </row>
    <row r="1551" spans="1:29" hidden="1" x14ac:dyDescent="0.25">
      <c r="A1551">
        <v>12</v>
      </c>
      <c r="B1551" t="s">
        <v>1155</v>
      </c>
      <c r="C1551" t="s">
        <v>33</v>
      </c>
      <c r="D1551" t="s">
        <v>1156</v>
      </c>
      <c r="E1551">
        <v>2</v>
      </c>
      <c r="F1551">
        <v>300</v>
      </c>
      <c r="G1551">
        <v>450</v>
      </c>
      <c r="H1551">
        <v>1</v>
      </c>
      <c r="I1551">
        <v>2.12</v>
      </c>
      <c r="J1551">
        <v>2.12</v>
      </c>
      <c r="K1551" t="s">
        <v>35</v>
      </c>
      <c r="L1551" t="s">
        <v>1152</v>
      </c>
      <c r="Q1551">
        <v>3</v>
      </c>
      <c r="R1551" t="s">
        <v>1135</v>
      </c>
      <c r="T1551" t="s">
        <v>38</v>
      </c>
      <c r="V1551" t="s">
        <v>921</v>
      </c>
      <c r="Z1551" t="s">
        <v>1136</v>
      </c>
      <c r="AA1551" t="s">
        <v>1153</v>
      </c>
      <c r="AC1551" t="s">
        <v>1154</v>
      </c>
    </row>
    <row r="1552" spans="1:29" hidden="1" x14ac:dyDescent="0.25">
      <c r="A1552">
        <v>13</v>
      </c>
      <c r="B1552" t="s">
        <v>70</v>
      </c>
      <c r="C1552" t="s">
        <v>33</v>
      </c>
      <c r="D1552" t="s">
        <v>71</v>
      </c>
      <c r="E1552">
        <v>2</v>
      </c>
      <c r="F1552">
        <v>500</v>
      </c>
      <c r="G1552">
        <v>1800</v>
      </c>
      <c r="H1552">
        <v>1</v>
      </c>
      <c r="I1552">
        <v>14.13</v>
      </c>
      <c r="J1552">
        <v>14.13</v>
      </c>
      <c r="K1552" t="s">
        <v>35</v>
      </c>
      <c r="L1552" t="s">
        <v>1157</v>
      </c>
      <c r="Q1552">
        <v>3</v>
      </c>
      <c r="R1552" t="s">
        <v>1135</v>
      </c>
      <c r="T1552" t="s">
        <v>38</v>
      </c>
      <c r="V1552" t="s">
        <v>921</v>
      </c>
      <c r="Z1552" t="s">
        <v>1136</v>
      </c>
      <c r="AA1552" t="s">
        <v>39</v>
      </c>
      <c r="AC1552" t="s">
        <v>1158</v>
      </c>
    </row>
    <row r="1553" spans="1:29" hidden="1" x14ac:dyDescent="0.25">
      <c r="A1553">
        <v>14</v>
      </c>
      <c r="B1553" t="s">
        <v>74</v>
      </c>
      <c r="C1553" t="s">
        <v>33</v>
      </c>
      <c r="D1553" t="s">
        <v>67</v>
      </c>
      <c r="E1553">
        <v>2</v>
      </c>
      <c r="F1553">
        <v>1060</v>
      </c>
      <c r="G1553">
        <v>1200</v>
      </c>
      <c r="H1553">
        <v>1</v>
      </c>
      <c r="I1553">
        <v>19.97</v>
      </c>
      <c r="J1553">
        <v>19.97</v>
      </c>
      <c r="K1553" t="s">
        <v>35</v>
      </c>
      <c r="L1553" t="s">
        <v>1157</v>
      </c>
      <c r="Q1553">
        <v>3</v>
      </c>
      <c r="R1553" t="s">
        <v>1135</v>
      </c>
      <c r="T1553" t="s">
        <v>38</v>
      </c>
      <c r="V1553" t="s">
        <v>921</v>
      </c>
      <c r="Z1553" t="s">
        <v>1136</v>
      </c>
      <c r="AA1553" t="s">
        <v>39</v>
      </c>
      <c r="AC1553" t="s">
        <v>1158</v>
      </c>
    </row>
    <row r="1554" spans="1:29" hidden="1" x14ac:dyDescent="0.25">
      <c r="A1554">
        <v>15</v>
      </c>
      <c r="B1554" t="s">
        <v>75</v>
      </c>
      <c r="C1554" t="s">
        <v>33</v>
      </c>
      <c r="D1554" t="s">
        <v>71</v>
      </c>
      <c r="E1554">
        <v>2</v>
      </c>
      <c r="F1554">
        <v>500</v>
      </c>
      <c r="G1554">
        <v>1800</v>
      </c>
      <c r="H1554">
        <v>1</v>
      </c>
      <c r="I1554">
        <v>14.13</v>
      </c>
      <c r="J1554">
        <v>14.13</v>
      </c>
      <c r="K1554" t="s">
        <v>35</v>
      </c>
      <c r="L1554" t="s">
        <v>1157</v>
      </c>
      <c r="Q1554">
        <v>3</v>
      </c>
      <c r="R1554" t="s">
        <v>1135</v>
      </c>
      <c r="T1554" t="s">
        <v>38</v>
      </c>
      <c r="V1554" t="s">
        <v>921</v>
      </c>
      <c r="Z1554" t="s">
        <v>1136</v>
      </c>
      <c r="AA1554" t="s">
        <v>39</v>
      </c>
      <c r="AC1554" t="s">
        <v>1158</v>
      </c>
    </row>
    <row r="1555" spans="1:29" hidden="1" x14ac:dyDescent="0.25">
      <c r="A1555">
        <v>16</v>
      </c>
      <c r="B1555" t="s">
        <v>76</v>
      </c>
      <c r="C1555" t="s">
        <v>77</v>
      </c>
      <c r="D1555" t="s">
        <v>78</v>
      </c>
      <c r="E1555">
        <v>5</v>
      </c>
      <c r="F1555">
        <v>63</v>
      </c>
      <c r="G1555">
        <v>186</v>
      </c>
      <c r="H1555">
        <v>20</v>
      </c>
      <c r="I1555">
        <v>0.46</v>
      </c>
      <c r="J1555">
        <v>9.1199999999999992</v>
      </c>
      <c r="K1555" t="s">
        <v>1159</v>
      </c>
      <c r="L1555" t="s">
        <v>1160</v>
      </c>
      <c r="Q1555">
        <v>3</v>
      </c>
      <c r="R1555" t="s">
        <v>1135</v>
      </c>
      <c r="T1555" t="s">
        <v>38</v>
      </c>
      <c r="V1555" t="s">
        <v>921</v>
      </c>
      <c r="W1555" t="s">
        <v>81</v>
      </c>
      <c r="Z1555" t="s">
        <v>1136</v>
      </c>
      <c r="AA1555" t="s">
        <v>1161</v>
      </c>
      <c r="AC1555" t="s">
        <v>1162</v>
      </c>
    </row>
    <row r="1556" spans="1:29" hidden="1" x14ac:dyDescent="0.25">
      <c r="A1556">
        <v>17</v>
      </c>
      <c r="B1556" t="s">
        <v>85</v>
      </c>
      <c r="C1556" t="s">
        <v>77</v>
      </c>
      <c r="D1556" t="s">
        <v>78</v>
      </c>
      <c r="E1556">
        <v>5</v>
      </c>
      <c r="F1556">
        <v>63</v>
      </c>
      <c r="G1556">
        <v>186</v>
      </c>
      <c r="H1556">
        <v>28</v>
      </c>
      <c r="I1556">
        <v>0.46</v>
      </c>
      <c r="J1556">
        <v>12.77</v>
      </c>
      <c r="K1556" t="s">
        <v>1159</v>
      </c>
      <c r="L1556" t="s">
        <v>1160</v>
      </c>
      <c r="Q1556">
        <v>3</v>
      </c>
      <c r="R1556" t="s">
        <v>1135</v>
      </c>
      <c r="T1556" t="s">
        <v>38</v>
      </c>
      <c r="V1556" t="s">
        <v>921</v>
      </c>
      <c r="W1556" t="s">
        <v>81</v>
      </c>
      <c r="Z1556" t="s">
        <v>1136</v>
      </c>
      <c r="AA1556" t="s">
        <v>1161</v>
      </c>
      <c r="AC1556" t="s">
        <v>1162</v>
      </c>
    </row>
    <row r="1557" spans="1:29" hidden="1" x14ac:dyDescent="0.25">
      <c r="A1557">
        <v>18</v>
      </c>
      <c r="B1557" t="s">
        <v>86</v>
      </c>
      <c r="C1557" t="s">
        <v>77</v>
      </c>
      <c r="D1557" t="s">
        <v>84</v>
      </c>
      <c r="E1557">
        <v>5</v>
      </c>
      <c r="F1557">
        <v>43</v>
      </c>
      <c r="G1557">
        <v>86</v>
      </c>
      <c r="H1557">
        <v>37</v>
      </c>
      <c r="I1557">
        <v>0.14000000000000001</v>
      </c>
      <c r="J1557">
        <v>5.23</v>
      </c>
      <c r="K1557" t="s">
        <v>1159</v>
      </c>
      <c r="L1557" t="s">
        <v>1160</v>
      </c>
      <c r="Q1557">
        <v>3</v>
      </c>
      <c r="R1557" t="s">
        <v>1135</v>
      </c>
      <c r="T1557" t="s">
        <v>38</v>
      </c>
      <c r="V1557" t="s">
        <v>921</v>
      </c>
      <c r="W1557" t="s">
        <v>81</v>
      </c>
      <c r="Z1557" t="s">
        <v>1136</v>
      </c>
      <c r="AA1557" t="s">
        <v>1161</v>
      </c>
      <c r="AC1557" t="s">
        <v>1162</v>
      </c>
    </row>
    <row r="1558" spans="1:29" hidden="1" x14ac:dyDescent="0.25">
      <c r="A1558">
        <v>19</v>
      </c>
      <c r="B1558" t="s">
        <v>87</v>
      </c>
      <c r="C1558" t="s">
        <v>77</v>
      </c>
      <c r="D1558" t="s">
        <v>78</v>
      </c>
      <c r="E1558">
        <v>5</v>
      </c>
      <c r="F1558">
        <v>63</v>
      </c>
      <c r="G1558">
        <v>186</v>
      </c>
      <c r="H1558">
        <v>42</v>
      </c>
      <c r="I1558">
        <v>0.46</v>
      </c>
      <c r="J1558">
        <v>19.149999999999999</v>
      </c>
      <c r="K1558" t="s">
        <v>1159</v>
      </c>
      <c r="L1558" t="s">
        <v>1160</v>
      </c>
      <c r="Q1558">
        <v>3</v>
      </c>
      <c r="R1558" t="s">
        <v>1135</v>
      </c>
      <c r="T1558" t="s">
        <v>38</v>
      </c>
      <c r="V1558" t="s">
        <v>921</v>
      </c>
      <c r="W1558" t="s">
        <v>81</v>
      </c>
      <c r="Z1558" t="s">
        <v>1136</v>
      </c>
      <c r="AA1558" t="s">
        <v>1161</v>
      </c>
      <c r="AC1558" t="s">
        <v>1162</v>
      </c>
    </row>
    <row r="1559" spans="1:29" hidden="1" x14ac:dyDescent="0.25">
      <c r="A1559">
        <v>20</v>
      </c>
      <c r="B1559" t="s">
        <v>88</v>
      </c>
      <c r="C1559" t="s">
        <v>77</v>
      </c>
      <c r="D1559" t="s">
        <v>84</v>
      </c>
      <c r="E1559">
        <v>5</v>
      </c>
      <c r="F1559">
        <v>43</v>
      </c>
      <c r="G1559">
        <v>86</v>
      </c>
      <c r="H1559">
        <v>176</v>
      </c>
      <c r="I1559">
        <v>0.14000000000000001</v>
      </c>
      <c r="J1559">
        <v>24.85</v>
      </c>
      <c r="K1559" t="s">
        <v>1159</v>
      </c>
      <c r="L1559" t="s">
        <v>1160</v>
      </c>
      <c r="Q1559">
        <v>3</v>
      </c>
      <c r="R1559" t="s">
        <v>1135</v>
      </c>
      <c r="T1559" t="s">
        <v>38</v>
      </c>
      <c r="V1559" t="s">
        <v>921</v>
      </c>
      <c r="W1559" t="s">
        <v>81</v>
      </c>
      <c r="Z1559" t="s">
        <v>1136</v>
      </c>
      <c r="AA1559" t="s">
        <v>1161</v>
      </c>
      <c r="AC1559" t="s">
        <v>1162</v>
      </c>
    </row>
    <row r="1560" spans="1:29" hidden="1" x14ac:dyDescent="0.25">
      <c r="A1560">
        <v>21</v>
      </c>
      <c r="B1560" t="s">
        <v>89</v>
      </c>
      <c r="C1560" t="s">
        <v>77</v>
      </c>
      <c r="D1560" t="s">
        <v>78</v>
      </c>
      <c r="E1560">
        <v>5</v>
      </c>
      <c r="F1560">
        <v>63</v>
      </c>
      <c r="G1560">
        <v>186</v>
      </c>
      <c r="H1560">
        <v>26</v>
      </c>
      <c r="I1560">
        <v>0.46</v>
      </c>
      <c r="J1560">
        <v>11.86</v>
      </c>
      <c r="K1560" t="s">
        <v>1159</v>
      </c>
      <c r="L1560" t="s">
        <v>1160</v>
      </c>
      <c r="Q1560">
        <v>3</v>
      </c>
      <c r="R1560" t="s">
        <v>1135</v>
      </c>
      <c r="T1560" t="s">
        <v>38</v>
      </c>
      <c r="V1560" t="s">
        <v>921</v>
      </c>
      <c r="W1560" t="s">
        <v>81</v>
      </c>
      <c r="Z1560" t="s">
        <v>1136</v>
      </c>
      <c r="AA1560" t="s">
        <v>1161</v>
      </c>
      <c r="AC1560" t="s">
        <v>1162</v>
      </c>
    </row>
    <row r="1561" spans="1:29" hidden="1" x14ac:dyDescent="0.25">
      <c r="A1561">
        <v>22</v>
      </c>
      <c r="B1561" t="s">
        <v>90</v>
      </c>
      <c r="C1561" t="s">
        <v>77</v>
      </c>
      <c r="D1561" t="s">
        <v>84</v>
      </c>
      <c r="E1561">
        <v>5</v>
      </c>
      <c r="F1561">
        <v>43</v>
      </c>
      <c r="G1561">
        <v>86</v>
      </c>
      <c r="H1561">
        <v>112</v>
      </c>
      <c r="I1561">
        <v>0.14000000000000001</v>
      </c>
      <c r="J1561">
        <v>15.82</v>
      </c>
      <c r="K1561" t="s">
        <v>1159</v>
      </c>
      <c r="L1561" t="s">
        <v>1160</v>
      </c>
      <c r="Q1561">
        <v>3</v>
      </c>
      <c r="R1561" t="s">
        <v>1135</v>
      </c>
      <c r="T1561" t="s">
        <v>38</v>
      </c>
      <c r="V1561" t="s">
        <v>921</v>
      </c>
      <c r="W1561" t="s">
        <v>81</v>
      </c>
      <c r="Z1561" t="s">
        <v>1136</v>
      </c>
      <c r="AA1561" t="s">
        <v>1161</v>
      </c>
      <c r="AC1561" t="s">
        <v>1162</v>
      </c>
    </row>
    <row r="1562" spans="1:29" hidden="1" x14ac:dyDescent="0.25">
      <c r="A1562">
        <v>23</v>
      </c>
      <c r="B1562" t="s">
        <v>91</v>
      </c>
      <c r="C1562" t="s">
        <v>77</v>
      </c>
      <c r="D1562" t="s">
        <v>78</v>
      </c>
      <c r="E1562">
        <v>5</v>
      </c>
      <c r="F1562">
        <v>63</v>
      </c>
      <c r="G1562">
        <v>186</v>
      </c>
      <c r="H1562">
        <v>28</v>
      </c>
      <c r="I1562">
        <v>0.46</v>
      </c>
      <c r="J1562">
        <v>12.77</v>
      </c>
      <c r="K1562" t="s">
        <v>1159</v>
      </c>
      <c r="L1562" t="s">
        <v>1160</v>
      </c>
      <c r="Q1562">
        <v>3</v>
      </c>
      <c r="R1562" t="s">
        <v>1135</v>
      </c>
      <c r="T1562" t="s">
        <v>38</v>
      </c>
      <c r="V1562" t="s">
        <v>921</v>
      </c>
      <c r="W1562" t="s">
        <v>81</v>
      </c>
      <c r="Z1562" t="s">
        <v>1136</v>
      </c>
      <c r="AA1562" t="s">
        <v>1161</v>
      </c>
      <c r="AC1562" t="s">
        <v>1162</v>
      </c>
    </row>
    <row r="1563" spans="1:29" hidden="1" x14ac:dyDescent="0.25">
      <c r="A1563">
        <v>24</v>
      </c>
      <c r="B1563" t="s">
        <v>92</v>
      </c>
      <c r="C1563" t="s">
        <v>77</v>
      </c>
      <c r="D1563" t="s">
        <v>84</v>
      </c>
      <c r="E1563">
        <v>5</v>
      </c>
      <c r="F1563">
        <v>43</v>
      </c>
      <c r="G1563">
        <v>86</v>
      </c>
      <c r="H1563">
        <v>120</v>
      </c>
      <c r="I1563">
        <v>0.14000000000000001</v>
      </c>
      <c r="J1563">
        <v>16.95</v>
      </c>
      <c r="K1563" t="s">
        <v>1159</v>
      </c>
      <c r="L1563" t="s">
        <v>1160</v>
      </c>
      <c r="Q1563">
        <v>3</v>
      </c>
      <c r="R1563" t="s">
        <v>1135</v>
      </c>
      <c r="T1563" t="s">
        <v>38</v>
      </c>
      <c r="V1563" t="s">
        <v>921</v>
      </c>
      <c r="W1563" t="s">
        <v>81</v>
      </c>
      <c r="Z1563" t="s">
        <v>1136</v>
      </c>
      <c r="AA1563" t="s">
        <v>1161</v>
      </c>
      <c r="AC1563" t="s">
        <v>1162</v>
      </c>
    </row>
    <row r="1564" spans="1:29" hidden="1" x14ac:dyDescent="0.25">
      <c r="A1564">
        <v>25</v>
      </c>
      <c r="B1564" t="s">
        <v>93</v>
      </c>
      <c r="C1564" t="s">
        <v>77</v>
      </c>
      <c r="D1564" t="s">
        <v>78</v>
      </c>
      <c r="E1564">
        <v>5</v>
      </c>
      <c r="F1564">
        <v>63</v>
      </c>
      <c r="G1564">
        <v>186</v>
      </c>
      <c r="H1564">
        <v>42</v>
      </c>
      <c r="I1564">
        <v>0.46</v>
      </c>
      <c r="J1564">
        <v>19.149999999999999</v>
      </c>
      <c r="K1564" t="s">
        <v>1159</v>
      </c>
      <c r="L1564" t="s">
        <v>1160</v>
      </c>
      <c r="Q1564">
        <v>3</v>
      </c>
      <c r="R1564" t="s">
        <v>1135</v>
      </c>
      <c r="T1564" t="s">
        <v>38</v>
      </c>
      <c r="V1564" t="s">
        <v>921</v>
      </c>
      <c r="W1564" t="s">
        <v>81</v>
      </c>
      <c r="Z1564" t="s">
        <v>1136</v>
      </c>
      <c r="AA1564" t="s">
        <v>1161</v>
      </c>
      <c r="AC1564" t="s">
        <v>1162</v>
      </c>
    </row>
    <row r="1565" spans="1:29" hidden="1" x14ac:dyDescent="0.25">
      <c r="A1565">
        <v>26</v>
      </c>
      <c r="B1565" t="s">
        <v>94</v>
      </c>
      <c r="C1565" t="s">
        <v>77</v>
      </c>
      <c r="D1565" t="s">
        <v>84</v>
      </c>
      <c r="E1565">
        <v>5</v>
      </c>
      <c r="F1565">
        <v>43</v>
      </c>
      <c r="G1565">
        <v>86</v>
      </c>
      <c r="H1565">
        <v>176</v>
      </c>
      <c r="I1565">
        <v>0.14000000000000001</v>
      </c>
      <c r="J1565">
        <v>24.85</v>
      </c>
      <c r="K1565" t="s">
        <v>1159</v>
      </c>
      <c r="L1565" t="s">
        <v>1160</v>
      </c>
      <c r="Q1565">
        <v>3</v>
      </c>
      <c r="R1565" t="s">
        <v>1135</v>
      </c>
      <c r="T1565" t="s">
        <v>38</v>
      </c>
      <c r="V1565" t="s">
        <v>921</v>
      </c>
      <c r="W1565" t="s">
        <v>81</v>
      </c>
      <c r="Z1565" t="s">
        <v>1136</v>
      </c>
      <c r="AA1565" t="s">
        <v>1161</v>
      </c>
      <c r="AC1565" t="s">
        <v>1162</v>
      </c>
    </row>
    <row r="1566" spans="1:29" hidden="1" x14ac:dyDescent="0.25">
      <c r="A1566">
        <v>27</v>
      </c>
      <c r="B1566" t="s">
        <v>76</v>
      </c>
      <c r="C1566" t="s">
        <v>77</v>
      </c>
      <c r="D1566" t="s">
        <v>78</v>
      </c>
      <c r="E1566">
        <v>5</v>
      </c>
      <c r="F1566">
        <v>63</v>
      </c>
      <c r="G1566">
        <v>186</v>
      </c>
      <c r="H1566">
        <v>6</v>
      </c>
      <c r="I1566">
        <v>0.46</v>
      </c>
      <c r="J1566">
        <v>2.74</v>
      </c>
      <c r="K1566" t="s">
        <v>79</v>
      </c>
      <c r="L1566" t="s">
        <v>1163</v>
      </c>
      <c r="Q1566">
        <v>3</v>
      </c>
      <c r="R1566" t="s">
        <v>1135</v>
      </c>
      <c r="T1566" t="s">
        <v>38</v>
      </c>
      <c r="V1566" t="s">
        <v>921</v>
      </c>
      <c r="W1566" t="s">
        <v>81</v>
      </c>
      <c r="Z1566" t="s">
        <v>1136</v>
      </c>
      <c r="AA1566" t="s">
        <v>39</v>
      </c>
      <c r="AC1566" t="s">
        <v>1164</v>
      </c>
    </row>
    <row r="1567" spans="1:29" hidden="1" x14ac:dyDescent="0.25">
      <c r="A1567">
        <v>28</v>
      </c>
      <c r="B1567" t="s">
        <v>83</v>
      </c>
      <c r="C1567" t="s">
        <v>77</v>
      </c>
      <c r="D1567" t="s">
        <v>84</v>
      </c>
      <c r="E1567">
        <v>5</v>
      </c>
      <c r="F1567">
        <v>43</v>
      </c>
      <c r="G1567">
        <v>86</v>
      </c>
      <c r="H1567">
        <v>112</v>
      </c>
      <c r="I1567">
        <v>0.14000000000000001</v>
      </c>
      <c r="J1567">
        <v>15.82</v>
      </c>
      <c r="K1567" t="s">
        <v>79</v>
      </c>
      <c r="L1567" t="s">
        <v>1163</v>
      </c>
      <c r="Q1567">
        <v>3</v>
      </c>
      <c r="R1567" t="s">
        <v>1135</v>
      </c>
      <c r="T1567" t="s">
        <v>38</v>
      </c>
      <c r="V1567" t="s">
        <v>921</v>
      </c>
      <c r="W1567" t="s">
        <v>81</v>
      </c>
      <c r="Z1567" t="s">
        <v>1136</v>
      </c>
      <c r="AA1567" t="s">
        <v>39</v>
      </c>
      <c r="AC1567" t="s">
        <v>1164</v>
      </c>
    </row>
    <row r="1568" spans="1:29" hidden="1" x14ac:dyDescent="0.25">
      <c r="A1568">
        <v>29</v>
      </c>
      <c r="B1568" t="s">
        <v>86</v>
      </c>
      <c r="C1568" t="s">
        <v>77</v>
      </c>
      <c r="D1568" t="s">
        <v>84</v>
      </c>
      <c r="E1568">
        <v>5</v>
      </c>
      <c r="F1568">
        <v>43</v>
      </c>
      <c r="G1568">
        <v>86</v>
      </c>
      <c r="H1568">
        <v>83</v>
      </c>
      <c r="I1568">
        <v>0.14000000000000001</v>
      </c>
      <c r="J1568">
        <v>11.72</v>
      </c>
      <c r="K1568" t="s">
        <v>79</v>
      </c>
      <c r="L1568" t="s">
        <v>1163</v>
      </c>
      <c r="Q1568">
        <v>3</v>
      </c>
      <c r="R1568" t="s">
        <v>1135</v>
      </c>
      <c r="T1568" t="s">
        <v>38</v>
      </c>
      <c r="V1568" t="s">
        <v>921</v>
      </c>
      <c r="W1568" t="s">
        <v>81</v>
      </c>
      <c r="Z1568" t="s">
        <v>1136</v>
      </c>
      <c r="AA1568" t="s">
        <v>39</v>
      </c>
      <c r="AC1568" t="s">
        <v>1164</v>
      </c>
    </row>
    <row r="1569" spans="1:29" hidden="1" x14ac:dyDescent="0.25">
      <c r="A1569">
        <v>30</v>
      </c>
      <c r="B1569" t="s">
        <v>1165</v>
      </c>
      <c r="C1569" t="s">
        <v>77</v>
      </c>
      <c r="D1569" t="s">
        <v>1166</v>
      </c>
      <c r="E1569">
        <v>5</v>
      </c>
      <c r="F1569">
        <v>300</v>
      </c>
      <c r="G1569">
        <v>450</v>
      </c>
      <c r="H1569">
        <v>1</v>
      </c>
      <c r="I1569">
        <v>5.3</v>
      </c>
      <c r="J1569">
        <v>5.3</v>
      </c>
      <c r="K1569" t="s">
        <v>79</v>
      </c>
      <c r="L1569" t="s">
        <v>1163</v>
      </c>
      <c r="Q1569">
        <v>3</v>
      </c>
      <c r="R1569" t="s">
        <v>1135</v>
      </c>
      <c r="T1569" t="s">
        <v>38</v>
      </c>
      <c r="V1569" t="s">
        <v>921</v>
      </c>
      <c r="Z1569" t="s">
        <v>1136</v>
      </c>
      <c r="AA1569" t="s">
        <v>39</v>
      </c>
      <c r="AC1569" t="s">
        <v>1164</v>
      </c>
    </row>
    <row r="1570" spans="1:29" hidden="1" x14ac:dyDescent="0.25">
      <c r="A1570">
        <v>31</v>
      </c>
      <c r="B1570" t="s">
        <v>95</v>
      </c>
      <c r="C1570" t="s">
        <v>77</v>
      </c>
      <c r="D1570" t="s">
        <v>96</v>
      </c>
      <c r="E1570">
        <v>6</v>
      </c>
      <c r="F1570">
        <v>328</v>
      </c>
      <c r="G1570">
        <v>1752</v>
      </c>
      <c r="H1570">
        <v>1</v>
      </c>
      <c r="I1570">
        <v>25.59</v>
      </c>
      <c r="J1570">
        <v>25.59</v>
      </c>
      <c r="K1570" t="s">
        <v>97</v>
      </c>
      <c r="L1570" t="s">
        <v>1167</v>
      </c>
      <c r="O1570" t="s">
        <v>81</v>
      </c>
      <c r="P1570" t="s">
        <v>81</v>
      </c>
      <c r="Q1570">
        <v>3</v>
      </c>
      <c r="R1570" t="s">
        <v>1135</v>
      </c>
      <c r="T1570" t="s">
        <v>38</v>
      </c>
      <c r="V1570" t="s">
        <v>921</v>
      </c>
      <c r="Z1570" t="s">
        <v>1136</v>
      </c>
      <c r="AA1570" t="s">
        <v>39</v>
      </c>
      <c r="AC1570" t="s">
        <v>1168</v>
      </c>
    </row>
    <row r="1571" spans="1:29" hidden="1" x14ac:dyDescent="0.25">
      <c r="A1571">
        <v>32</v>
      </c>
      <c r="B1571" t="s">
        <v>100</v>
      </c>
      <c r="C1571" t="s">
        <v>77</v>
      </c>
      <c r="D1571" t="s">
        <v>96</v>
      </c>
      <c r="E1571">
        <v>6</v>
      </c>
      <c r="F1571">
        <v>328</v>
      </c>
      <c r="G1571">
        <v>1752</v>
      </c>
      <c r="H1571">
        <v>1</v>
      </c>
      <c r="I1571">
        <v>25.59</v>
      </c>
      <c r="J1571">
        <v>25.59</v>
      </c>
      <c r="K1571" t="s">
        <v>97</v>
      </c>
      <c r="L1571" t="s">
        <v>1167</v>
      </c>
      <c r="O1571" t="s">
        <v>81</v>
      </c>
      <c r="P1571" t="s">
        <v>81</v>
      </c>
      <c r="Q1571">
        <v>3</v>
      </c>
      <c r="R1571" t="s">
        <v>1135</v>
      </c>
      <c r="T1571" t="s">
        <v>38</v>
      </c>
      <c r="V1571" t="s">
        <v>921</v>
      </c>
      <c r="Z1571" t="s">
        <v>1136</v>
      </c>
      <c r="AA1571" t="s">
        <v>39</v>
      </c>
      <c r="AC1571" t="s">
        <v>1168</v>
      </c>
    </row>
    <row r="1572" spans="1:29" hidden="1" x14ac:dyDescent="0.25">
      <c r="A1572">
        <v>33</v>
      </c>
      <c r="B1572" t="s">
        <v>101</v>
      </c>
      <c r="C1572" t="s">
        <v>77</v>
      </c>
      <c r="D1572" t="s">
        <v>96</v>
      </c>
      <c r="E1572">
        <v>6</v>
      </c>
      <c r="F1572">
        <v>328</v>
      </c>
      <c r="G1572">
        <v>1752</v>
      </c>
      <c r="H1572">
        <v>3</v>
      </c>
      <c r="I1572">
        <v>25.6</v>
      </c>
      <c r="J1572">
        <v>76.790000000000006</v>
      </c>
      <c r="K1572" t="s">
        <v>97</v>
      </c>
      <c r="L1572" t="s">
        <v>1167</v>
      </c>
      <c r="O1572" t="s">
        <v>81</v>
      </c>
      <c r="P1572" t="s">
        <v>81</v>
      </c>
      <c r="Q1572">
        <v>3</v>
      </c>
      <c r="R1572" t="s">
        <v>1135</v>
      </c>
      <c r="T1572" t="s">
        <v>38</v>
      </c>
      <c r="V1572" t="s">
        <v>921</v>
      </c>
      <c r="Z1572" t="s">
        <v>1136</v>
      </c>
      <c r="AA1572" t="s">
        <v>39</v>
      </c>
      <c r="AC1572" t="s">
        <v>1168</v>
      </c>
    </row>
    <row r="1573" spans="1:29" hidden="1" x14ac:dyDescent="0.25">
      <c r="A1573">
        <v>34</v>
      </c>
      <c r="B1573" t="s">
        <v>102</v>
      </c>
      <c r="C1573" t="s">
        <v>77</v>
      </c>
      <c r="D1573" t="s">
        <v>103</v>
      </c>
      <c r="E1573">
        <v>6</v>
      </c>
      <c r="F1573">
        <v>328</v>
      </c>
      <c r="G1573">
        <v>1753</v>
      </c>
      <c r="H1573">
        <v>3</v>
      </c>
      <c r="I1573">
        <v>25.61</v>
      </c>
      <c r="J1573">
        <v>76.83</v>
      </c>
      <c r="K1573" t="s">
        <v>97</v>
      </c>
      <c r="L1573" t="s">
        <v>1167</v>
      </c>
      <c r="O1573" t="s">
        <v>81</v>
      </c>
      <c r="P1573" t="s">
        <v>81</v>
      </c>
      <c r="Q1573">
        <v>3</v>
      </c>
      <c r="R1573" t="s">
        <v>1135</v>
      </c>
      <c r="T1573" t="s">
        <v>38</v>
      </c>
      <c r="V1573" t="s">
        <v>921</v>
      </c>
      <c r="Z1573" t="s">
        <v>1136</v>
      </c>
      <c r="AA1573" t="s">
        <v>39</v>
      </c>
      <c r="AC1573" t="s">
        <v>1168</v>
      </c>
    </row>
    <row r="1574" spans="1:29" hidden="1" x14ac:dyDescent="0.25">
      <c r="A1574">
        <v>35</v>
      </c>
      <c r="B1574" t="s">
        <v>104</v>
      </c>
      <c r="C1574" t="s">
        <v>77</v>
      </c>
      <c r="D1574" t="s">
        <v>96</v>
      </c>
      <c r="E1574">
        <v>6</v>
      </c>
      <c r="F1574">
        <v>328</v>
      </c>
      <c r="G1574">
        <v>1752</v>
      </c>
      <c r="H1574">
        <v>2</v>
      </c>
      <c r="I1574">
        <v>25.59</v>
      </c>
      <c r="J1574">
        <v>51.18</v>
      </c>
      <c r="K1574" t="s">
        <v>97</v>
      </c>
      <c r="L1574" t="s">
        <v>1167</v>
      </c>
      <c r="O1574" t="s">
        <v>81</v>
      </c>
      <c r="P1574" t="s">
        <v>81</v>
      </c>
      <c r="Q1574">
        <v>3</v>
      </c>
      <c r="R1574" t="s">
        <v>1135</v>
      </c>
      <c r="T1574" t="s">
        <v>38</v>
      </c>
      <c r="V1574" t="s">
        <v>921</v>
      </c>
      <c r="Z1574" t="s">
        <v>1136</v>
      </c>
      <c r="AA1574" t="s">
        <v>39</v>
      </c>
      <c r="AC1574" t="s">
        <v>1168</v>
      </c>
    </row>
    <row r="1575" spans="1:29" hidden="1" x14ac:dyDescent="0.25">
      <c r="A1575">
        <v>36</v>
      </c>
      <c r="B1575" t="s">
        <v>105</v>
      </c>
      <c r="C1575" t="s">
        <v>77</v>
      </c>
      <c r="D1575" t="s">
        <v>96</v>
      </c>
      <c r="E1575">
        <v>6</v>
      </c>
      <c r="F1575">
        <v>328</v>
      </c>
      <c r="G1575">
        <v>1752</v>
      </c>
      <c r="H1575">
        <v>1</v>
      </c>
      <c r="I1575">
        <v>25.59</v>
      </c>
      <c r="J1575">
        <v>25.59</v>
      </c>
      <c r="K1575" t="s">
        <v>97</v>
      </c>
      <c r="L1575" t="s">
        <v>1167</v>
      </c>
      <c r="O1575" t="s">
        <v>81</v>
      </c>
      <c r="P1575" t="s">
        <v>81</v>
      </c>
      <c r="Q1575">
        <v>3</v>
      </c>
      <c r="R1575" t="s">
        <v>1135</v>
      </c>
      <c r="T1575" t="s">
        <v>38</v>
      </c>
      <c r="V1575" t="s">
        <v>921</v>
      </c>
      <c r="Z1575" t="s">
        <v>1136</v>
      </c>
      <c r="AA1575" t="s">
        <v>39</v>
      </c>
      <c r="AC1575" t="s">
        <v>1168</v>
      </c>
    </row>
    <row r="1576" spans="1:29" hidden="1" x14ac:dyDescent="0.25">
      <c r="A1576">
        <v>37</v>
      </c>
      <c r="B1576" t="s">
        <v>106</v>
      </c>
      <c r="C1576" t="s">
        <v>77</v>
      </c>
      <c r="D1576" t="s">
        <v>96</v>
      </c>
      <c r="E1576">
        <v>6</v>
      </c>
      <c r="F1576">
        <v>328</v>
      </c>
      <c r="G1576">
        <v>1752</v>
      </c>
      <c r="H1576">
        <v>1</v>
      </c>
      <c r="I1576">
        <v>25.59</v>
      </c>
      <c r="J1576">
        <v>25.59</v>
      </c>
      <c r="K1576" t="s">
        <v>97</v>
      </c>
      <c r="L1576" t="s">
        <v>1167</v>
      </c>
      <c r="O1576" t="s">
        <v>81</v>
      </c>
      <c r="P1576" t="s">
        <v>81</v>
      </c>
      <c r="Q1576">
        <v>3</v>
      </c>
      <c r="R1576" t="s">
        <v>1135</v>
      </c>
      <c r="T1576" t="s">
        <v>38</v>
      </c>
      <c r="V1576" t="s">
        <v>921</v>
      </c>
      <c r="Z1576" t="s">
        <v>1136</v>
      </c>
      <c r="AA1576" t="s">
        <v>39</v>
      </c>
      <c r="AC1576" t="s">
        <v>1168</v>
      </c>
    </row>
    <row r="1577" spans="1:29" hidden="1" x14ac:dyDescent="0.25">
      <c r="A1577">
        <v>38</v>
      </c>
      <c r="B1577" t="s">
        <v>107</v>
      </c>
      <c r="C1577" t="s">
        <v>77</v>
      </c>
      <c r="D1577" t="s">
        <v>96</v>
      </c>
      <c r="E1577">
        <v>6</v>
      </c>
      <c r="F1577">
        <v>328</v>
      </c>
      <c r="G1577">
        <v>1752</v>
      </c>
      <c r="H1577">
        <v>3</v>
      </c>
      <c r="I1577">
        <v>25.6</v>
      </c>
      <c r="J1577">
        <v>76.790000000000006</v>
      </c>
      <c r="K1577" t="s">
        <v>97</v>
      </c>
      <c r="L1577" t="s">
        <v>1167</v>
      </c>
      <c r="O1577" t="s">
        <v>81</v>
      </c>
      <c r="P1577" t="s">
        <v>81</v>
      </c>
      <c r="Q1577">
        <v>3</v>
      </c>
      <c r="R1577" t="s">
        <v>1135</v>
      </c>
      <c r="T1577" t="s">
        <v>38</v>
      </c>
      <c r="V1577" t="s">
        <v>921</v>
      </c>
      <c r="Z1577" t="s">
        <v>1136</v>
      </c>
      <c r="AA1577" t="s">
        <v>39</v>
      </c>
      <c r="AC1577" t="s">
        <v>1168</v>
      </c>
    </row>
    <row r="1578" spans="1:29" hidden="1" x14ac:dyDescent="0.25">
      <c r="A1578">
        <v>39</v>
      </c>
      <c r="B1578" t="s">
        <v>108</v>
      </c>
      <c r="C1578" t="s">
        <v>77</v>
      </c>
      <c r="D1578" t="s">
        <v>103</v>
      </c>
      <c r="E1578">
        <v>6</v>
      </c>
      <c r="F1578">
        <v>328</v>
      </c>
      <c r="G1578">
        <v>1753</v>
      </c>
      <c r="H1578">
        <v>3</v>
      </c>
      <c r="I1578">
        <v>25.61</v>
      </c>
      <c r="J1578">
        <v>76.83</v>
      </c>
      <c r="K1578" t="s">
        <v>97</v>
      </c>
      <c r="L1578" t="s">
        <v>1167</v>
      </c>
      <c r="O1578" t="s">
        <v>81</v>
      </c>
      <c r="P1578" t="s">
        <v>81</v>
      </c>
      <c r="Q1578">
        <v>3</v>
      </c>
      <c r="R1578" t="s">
        <v>1135</v>
      </c>
      <c r="T1578" t="s">
        <v>38</v>
      </c>
      <c r="V1578" t="s">
        <v>921</v>
      </c>
      <c r="Z1578" t="s">
        <v>1136</v>
      </c>
      <c r="AA1578" t="s">
        <v>39</v>
      </c>
      <c r="AC1578" t="s">
        <v>1168</v>
      </c>
    </row>
    <row r="1579" spans="1:29" hidden="1" x14ac:dyDescent="0.25">
      <c r="A1579">
        <v>40</v>
      </c>
      <c r="B1579" t="s">
        <v>109</v>
      </c>
      <c r="C1579" t="s">
        <v>77</v>
      </c>
      <c r="D1579" t="s">
        <v>96</v>
      </c>
      <c r="E1579">
        <v>6</v>
      </c>
      <c r="F1579">
        <v>328</v>
      </c>
      <c r="G1579">
        <v>1752</v>
      </c>
      <c r="H1579">
        <v>2</v>
      </c>
      <c r="I1579">
        <v>25.59</v>
      </c>
      <c r="J1579">
        <v>51.18</v>
      </c>
      <c r="K1579" t="s">
        <v>97</v>
      </c>
      <c r="L1579" t="s">
        <v>1167</v>
      </c>
      <c r="O1579" t="s">
        <v>81</v>
      </c>
      <c r="P1579" t="s">
        <v>81</v>
      </c>
      <c r="Q1579">
        <v>3</v>
      </c>
      <c r="R1579" t="s">
        <v>1135</v>
      </c>
      <c r="T1579" t="s">
        <v>38</v>
      </c>
      <c r="V1579" t="s">
        <v>921</v>
      </c>
      <c r="Z1579" t="s">
        <v>1136</v>
      </c>
      <c r="AA1579" t="s">
        <v>39</v>
      </c>
      <c r="AC1579" t="s">
        <v>1168</v>
      </c>
    </row>
    <row r="1580" spans="1:29" hidden="1" x14ac:dyDescent="0.25">
      <c r="A1580">
        <v>41</v>
      </c>
      <c r="B1580" t="s">
        <v>110</v>
      </c>
      <c r="C1580" t="s">
        <v>77</v>
      </c>
      <c r="D1580" t="s">
        <v>111</v>
      </c>
      <c r="E1580">
        <v>6</v>
      </c>
      <c r="F1580">
        <v>328</v>
      </c>
      <c r="G1580">
        <v>1672</v>
      </c>
      <c r="H1580">
        <v>2</v>
      </c>
      <c r="I1580">
        <v>24.46</v>
      </c>
      <c r="J1580">
        <v>48.91</v>
      </c>
      <c r="K1580" t="s">
        <v>97</v>
      </c>
      <c r="L1580" t="s">
        <v>1167</v>
      </c>
      <c r="O1580" t="s">
        <v>81</v>
      </c>
      <c r="P1580" t="s">
        <v>81</v>
      </c>
      <c r="Q1580">
        <v>3</v>
      </c>
      <c r="R1580" t="s">
        <v>1135</v>
      </c>
      <c r="T1580" t="s">
        <v>38</v>
      </c>
      <c r="V1580" t="s">
        <v>921</v>
      </c>
      <c r="Z1580" t="s">
        <v>1136</v>
      </c>
      <c r="AA1580" t="s">
        <v>39</v>
      </c>
      <c r="AC1580" t="s">
        <v>1168</v>
      </c>
    </row>
    <row r="1581" spans="1:29" hidden="1" x14ac:dyDescent="0.25">
      <c r="A1581">
        <v>42</v>
      </c>
      <c r="B1581" t="s">
        <v>112</v>
      </c>
      <c r="C1581" t="s">
        <v>77</v>
      </c>
      <c r="D1581" t="s">
        <v>113</v>
      </c>
      <c r="E1581">
        <v>6</v>
      </c>
      <c r="F1581">
        <v>328</v>
      </c>
      <c r="G1581">
        <v>1718</v>
      </c>
      <c r="H1581">
        <v>1</v>
      </c>
      <c r="I1581">
        <v>25.11</v>
      </c>
      <c r="J1581">
        <v>25.11</v>
      </c>
      <c r="K1581" t="s">
        <v>97</v>
      </c>
      <c r="L1581" t="s">
        <v>1167</v>
      </c>
      <c r="O1581" t="s">
        <v>81</v>
      </c>
      <c r="P1581" t="s">
        <v>81</v>
      </c>
      <c r="Q1581">
        <v>3</v>
      </c>
      <c r="R1581" t="s">
        <v>1135</v>
      </c>
      <c r="T1581" t="s">
        <v>38</v>
      </c>
      <c r="V1581" t="s">
        <v>921</v>
      </c>
      <c r="Z1581" t="s">
        <v>1136</v>
      </c>
      <c r="AA1581" t="s">
        <v>39</v>
      </c>
      <c r="AC1581" t="s">
        <v>1168</v>
      </c>
    </row>
    <row r="1582" spans="1:29" hidden="1" x14ac:dyDescent="0.25">
      <c r="A1582">
        <v>43</v>
      </c>
      <c r="B1582" t="s">
        <v>114</v>
      </c>
      <c r="C1582" t="s">
        <v>77</v>
      </c>
      <c r="D1582" t="s">
        <v>115</v>
      </c>
      <c r="E1582">
        <v>6</v>
      </c>
      <c r="F1582">
        <v>328</v>
      </c>
      <c r="G1582">
        <v>1729</v>
      </c>
      <c r="H1582">
        <v>5</v>
      </c>
      <c r="I1582">
        <v>25.27</v>
      </c>
      <c r="J1582">
        <v>126.35</v>
      </c>
      <c r="K1582" t="s">
        <v>97</v>
      </c>
      <c r="L1582" t="s">
        <v>1167</v>
      </c>
      <c r="O1582" t="s">
        <v>81</v>
      </c>
      <c r="P1582" t="s">
        <v>81</v>
      </c>
      <c r="Q1582">
        <v>3</v>
      </c>
      <c r="R1582" t="s">
        <v>1135</v>
      </c>
      <c r="T1582" t="s">
        <v>38</v>
      </c>
      <c r="V1582" t="s">
        <v>921</v>
      </c>
      <c r="Z1582" t="s">
        <v>1136</v>
      </c>
      <c r="AA1582" t="s">
        <v>39</v>
      </c>
      <c r="AC1582" t="s">
        <v>1168</v>
      </c>
    </row>
    <row r="1583" spans="1:29" hidden="1" x14ac:dyDescent="0.25">
      <c r="A1583">
        <v>44</v>
      </c>
      <c r="B1583" t="s">
        <v>116</v>
      </c>
      <c r="C1583" t="s">
        <v>77</v>
      </c>
      <c r="D1583" t="s">
        <v>117</v>
      </c>
      <c r="E1583">
        <v>6</v>
      </c>
      <c r="F1583">
        <v>298</v>
      </c>
      <c r="G1583">
        <v>378</v>
      </c>
      <c r="H1583">
        <v>1</v>
      </c>
      <c r="I1583">
        <v>5.27</v>
      </c>
      <c r="J1583">
        <v>5.27</v>
      </c>
      <c r="K1583" t="s">
        <v>97</v>
      </c>
      <c r="L1583" t="s">
        <v>1167</v>
      </c>
      <c r="Q1583">
        <v>3</v>
      </c>
      <c r="R1583" t="s">
        <v>1135</v>
      </c>
      <c r="T1583" t="s">
        <v>38</v>
      </c>
      <c r="V1583" t="s">
        <v>921</v>
      </c>
      <c r="W1583" t="s">
        <v>81</v>
      </c>
      <c r="Z1583" t="s">
        <v>1136</v>
      </c>
      <c r="AA1583" t="s">
        <v>39</v>
      </c>
      <c r="AC1583" t="s">
        <v>1168</v>
      </c>
    </row>
    <row r="1584" spans="1:29" hidden="1" x14ac:dyDescent="0.25">
      <c r="A1584">
        <v>45</v>
      </c>
      <c r="B1584" t="s">
        <v>1169</v>
      </c>
      <c r="C1584" t="s">
        <v>77</v>
      </c>
      <c r="D1584" t="s">
        <v>1170</v>
      </c>
      <c r="E1584">
        <v>6</v>
      </c>
      <c r="F1584">
        <v>300</v>
      </c>
      <c r="G1584">
        <v>450</v>
      </c>
      <c r="H1584">
        <v>1</v>
      </c>
      <c r="I1584">
        <v>6.36</v>
      </c>
      <c r="J1584">
        <v>6.36</v>
      </c>
      <c r="K1584" t="s">
        <v>97</v>
      </c>
      <c r="L1584" t="s">
        <v>1167</v>
      </c>
      <c r="Q1584">
        <v>3</v>
      </c>
      <c r="R1584" t="s">
        <v>1135</v>
      </c>
      <c r="T1584" t="s">
        <v>38</v>
      </c>
      <c r="V1584" t="s">
        <v>921</v>
      </c>
      <c r="Z1584" t="s">
        <v>1136</v>
      </c>
      <c r="AA1584" t="s">
        <v>39</v>
      </c>
      <c r="AC1584" t="s">
        <v>1168</v>
      </c>
    </row>
    <row r="1585" spans="1:29" hidden="1" x14ac:dyDescent="0.25">
      <c r="A1585">
        <v>46</v>
      </c>
      <c r="B1585" t="s">
        <v>118</v>
      </c>
      <c r="C1585" t="s">
        <v>77</v>
      </c>
      <c r="D1585" t="s">
        <v>115</v>
      </c>
      <c r="E1585">
        <v>6</v>
      </c>
      <c r="F1585">
        <v>328</v>
      </c>
      <c r="G1585">
        <v>1729</v>
      </c>
      <c r="H1585">
        <v>13</v>
      </c>
      <c r="I1585">
        <v>25.27</v>
      </c>
      <c r="J1585">
        <v>328.51</v>
      </c>
      <c r="K1585" t="s">
        <v>97</v>
      </c>
      <c r="L1585" t="s">
        <v>1171</v>
      </c>
      <c r="O1585" t="s">
        <v>81</v>
      </c>
      <c r="P1585" t="s">
        <v>81</v>
      </c>
      <c r="Q1585">
        <v>3</v>
      </c>
      <c r="R1585" t="s">
        <v>1135</v>
      </c>
      <c r="T1585" t="s">
        <v>38</v>
      </c>
      <c r="V1585" t="s">
        <v>921</v>
      </c>
      <c r="Z1585" t="s">
        <v>1136</v>
      </c>
      <c r="AA1585" t="s">
        <v>39</v>
      </c>
      <c r="AC1585" t="s">
        <v>1172</v>
      </c>
    </row>
    <row r="1586" spans="1:29" hidden="1" x14ac:dyDescent="0.25">
      <c r="A1586">
        <v>47</v>
      </c>
      <c r="B1586" t="s">
        <v>114</v>
      </c>
      <c r="C1586" t="s">
        <v>77</v>
      </c>
      <c r="D1586" t="s">
        <v>115</v>
      </c>
      <c r="E1586">
        <v>6</v>
      </c>
      <c r="F1586">
        <v>328</v>
      </c>
      <c r="G1586">
        <v>1729</v>
      </c>
      <c r="H1586">
        <v>15</v>
      </c>
      <c r="I1586">
        <v>25.27</v>
      </c>
      <c r="J1586">
        <v>379.05</v>
      </c>
      <c r="K1586" t="s">
        <v>97</v>
      </c>
      <c r="L1586" t="s">
        <v>1171</v>
      </c>
      <c r="O1586" t="s">
        <v>81</v>
      </c>
      <c r="P1586" t="s">
        <v>81</v>
      </c>
      <c r="Q1586">
        <v>3</v>
      </c>
      <c r="R1586" t="s">
        <v>1135</v>
      </c>
      <c r="T1586" t="s">
        <v>38</v>
      </c>
      <c r="V1586" t="s">
        <v>921</v>
      </c>
      <c r="Z1586" t="s">
        <v>1136</v>
      </c>
      <c r="AA1586" t="s">
        <v>39</v>
      </c>
      <c r="AC1586" t="s">
        <v>1172</v>
      </c>
    </row>
    <row r="1587" spans="1:29" hidden="1" x14ac:dyDescent="0.25">
      <c r="A1587">
        <v>48</v>
      </c>
      <c r="B1587" t="s">
        <v>121</v>
      </c>
      <c r="C1587" t="s">
        <v>77</v>
      </c>
      <c r="D1587" t="s">
        <v>122</v>
      </c>
      <c r="E1587">
        <v>6</v>
      </c>
      <c r="F1587">
        <v>328</v>
      </c>
      <c r="G1587">
        <v>934</v>
      </c>
      <c r="H1587">
        <v>1</v>
      </c>
      <c r="I1587">
        <v>14.43</v>
      </c>
      <c r="J1587">
        <v>14.43</v>
      </c>
      <c r="K1587" t="s">
        <v>97</v>
      </c>
      <c r="L1587" t="s">
        <v>1171</v>
      </c>
      <c r="O1587" t="s">
        <v>81</v>
      </c>
      <c r="Q1587">
        <v>3</v>
      </c>
      <c r="R1587" t="s">
        <v>1135</v>
      </c>
      <c r="T1587" t="s">
        <v>38</v>
      </c>
      <c r="V1587" t="s">
        <v>921</v>
      </c>
      <c r="Z1587" t="s">
        <v>1136</v>
      </c>
      <c r="AA1587" t="s">
        <v>39</v>
      </c>
      <c r="AC1587" t="s">
        <v>1172</v>
      </c>
    </row>
    <row r="1588" spans="1:29" hidden="1" x14ac:dyDescent="0.25">
      <c r="A1588">
        <v>49</v>
      </c>
      <c r="B1588" t="s">
        <v>123</v>
      </c>
      <c r="C1588" t="s">
        <v>77</v>
      </c>
      <c r="D1588" t="s">
        <v>117</v>
      </c>
      <c r="E1588">
        <v>6</v>
      </c>
      <c r="F1588">
        <v>298</v>
      </c>
      <c r="G1588">
        <v>378</v>
      </c>
      <c r="H1588">
        <v>1</v>
      </c>
      <c r="I1588">
        <v>5.27</v>
      </c>
      <c r="J1588">
        <v>5.27</v>
      </c>
      <c r="K1588" t="s">
        <v>97</v>
      </c>
      <c r="L1588" t="s">
        <v>1171</v>
      </c>
      <c r="Q1588">
        <v>3</v>
      </c>
      <c r="R1588" t="s">
        <v>1135</v>
      </c>
      <c r="T1588" t="s">
        <v>38</v>
      </c>
      <c r="V1588" t="s">
        <v>921</v>
      </c>
      <c r="W1588" t="s">
        <v>81</v>
      </c>
      <c r="Z1588" t="s">
        <v>1136</v>
      </c>
      <c r="AA1588" t="s">
        <v>39</v>
      </c>
      <c r="AC1588" t="s">
        <v>1172</v>
      </c>
    </row>
    <row r="1589" spans="1:29" hidden="1" x14ac:dyDescent="0.25">
      <c r="A1589">
        <v>50</v>
      </c>
      <c r="B1589" t="s">
        <v>124</v>
      </c>
      <c r="C1589" t="s">
        <v>77</v>
      </c>
      <c r="D1589" t="s">
        <v>111</v>
      </c>
      <c r="E1589">
        <v>6</v>
      </c>
      <c r="F1589">
        <v>328</v>
      </c>
      <c r="G1589">
        <v>1672</v>
      </c>
      <c r="H1589">
        <v>2</v>
      </c>
      <c r="I1589">
        <v>24.46</v>
      </c>
      <c r="J1589">
        <v>48.91</v>
      </c>
      <c r="K1589" t="s">
        <v>97</v>
      </c>
      <c r="L1589" t="s">
        <v>1173</v>
      </c>
      <c r="O1589" t="s">
        <v>81</v>
      </c>
      <c r="P1589" t="s">
        <v>81</v>
      </c>
      <c r="Q1589">
        <v>3</v>
      </c>
      <c r="R1589" t="s">
        <v>1135</v>
      </c>
      <c r="T1589" t="s">
        <v>38</v>
      </c>
      <c r="V1589" t="s">
        <v>921</v>
      </c>
      <c r="Z1589" t="s">
        <v>1136</v>
      </c>
      <c r="AA1589" t="s">
        <v>39</v>
      </c>
      <c r="AC1589" t="s">
        <v>1174</v>
      </c>
    </row>
    <row r="1590" spans="1:29" hidden="1" x14ac:dyDescent="0.25">
      <c r="A1590">
        <v>51</v>
      </c>
      <c r="B1590" t="s">
        <v>127</v>
      </c>
      <c r="C1590" t="s">
        <v>77</v>
      </c>
      <c r="D1590" t="s">
        <v>113</v>
      </c>
      <c r="E1590">
        <v>6</v>
      </c>
      <c r="F1590">
        <v>328</v>
      </c>
      <c r="G1590">
        <v>1718</v>
      </c>
      <c r="H1590">
        <v>8</v>
      </c>
      <c r="I1590">
        <v>25.11</v>
      </c>
      <c r="J1590">
        <v>200.91</v>
      </c>
      <c r="K1590" t="s">
        <v>97</v>
      </c>
      <c r="L1590" t="s">
        <v>1173</v>
      </c>
      <c r="O1590" t="s">
        <v>81</v>
      </c>
      <c r="P1590" t="s">
        <v>81</v>
      </c>
      <c r="Q1590">
        <v>3</v>
      </c>
      <c r="R1590" t="s">
        <v>1135</v>
      </c>
      <c r="T1590" t="s">
        <v>38</v>
      </c>
      <c r="V1590" t="s">
        <v>921</v>
      </c>
      <c r="Z1590" t="s">
        <v>1136</v>
      </c>
      <c r="AA1590" t="s">
        <v>39</v>
      </c>
      <c r="AC1590" t="s">
        <v>1174</v>
      </c>
    </row>
    <row r="1591" spans="1:29" hidden="1" x14ac:dyDescent="0.25">
      <c r="A1591">
        <v>52</v>
      </c>
      <c r="B1591" t="s">
        <v>118</v>
      </c>
      <c r="C1591" t="s">
        <v>77</v>
      </c>
      <c r="D1591" t="s">
        <v>115</v>
      </c>
      <c r="E1591">
        <v>6</v>
      </c>
      <c r="F1591">
        <v>328</v>
      </c>
      <c r="G1591">
        <v>1729</v>
      </c>
      <c r="H1591">
        <v>7</v>
      </c>
      <c r="I1591">
        <v>25.27</v>
      </c>
      <c r="J1591">
        <v>176.89</v>
      </c>
      <c r="K1591" t="s">
        <v>97</v>
      </c>
      <c r="L1591" t="s">
        <v>1173</v>
      </c>
      <c r="O1591" t="s">
        <v>81</v>
      </c>
      <c r="P1591" t="s">
        <v>81</v>
      </c>
      <c r="Q1591">
        <v>3</v>
      </c>
      <c r="R1591" t="s">
        <v>1135</v>
      </c>
      <c r="T1591" t="s">
        <v>38</v>
      </c>
      <c r="V1591" t="s">
        <v>921</v>
      </c>
      <c r="Z1591" t="s">
        <v>1136</v>
      </c>
      <c r="AA1591" t="s">
        <v>39</v>
      </c>
      <c r="AC1591" t="s">
        <v>1174</v>
      </c>
    </row>
    <row r="1592" spans="1:29" hidden="1" x14ac:dyDescent="0.25">
      <c r="A1592">
        <v>53</v>
      </c>
      <c r="B1592" t="s">
        <v>112</v>
      </c>
      <c r="C1592" t="s">
        <v>77</v>
      </c>
      <c r="D1592" t="s">
        <v>113</v>
      </c>
      <c r="E1592">
        <v>6</v>
      </c>
      <c r="F1592">
        <v>328</v>
      </c>
      <c r="G1592">
        <v>1718</v>
      </c>
      <c r="H1592">
        <v>7</v>
      </c>
      <c r="I1592">
        <v>25.11</v>
      </c>
      <c r="J1592">
        <v>175.79</v>
      </c>
      <c r="K1592" t="s">
        <v>97</v>
      </c>
      <c r="L1592" t="s">
        <v>1173</v>
      </c>
      <c r="O1592" t="s">
        <v>81</v>
      </c>
      <c r="P1592" t="s">
        <v>81</v>
      </c>
      <c r="Q1592">
        <v>3</v>
      </c>
      <c r="R1592" t="s">
        <v>1135</v>
      </c>
      <c r="T1592" t="s">
        <v>38</v>
      </c>
      <c r="V1592" t="s">
        <v>921</v>
      </c>
      <c r="Z1592" t="s">
        <v>1136</v>
      </c>
      <c r="AA1592" t="s">
        <v>39</v>
      </c>
      <c r="AC1592" t="s">
        <v>1174</v>
      </c>
    </row>
    <row r="1593" spans="1:29" hidden="1" x14ac:dyDescent="0.25">
      <c r="A1593">
        <v>54</v>
      </c>
      <c r="B1593" t="s">
        <v>121</v>
      </c>
      <c r="C1593" t="s">
        <v>77</v>
      </c>
      <c r="D1593" t="s">
        <v>122</v>
      </c>
      <c r="E1593">
        <v>6</v>
      </c>
      <c r="F1593">
        <v>328</v>
      </c>
      <c r="G1593">
        <v>934</v>
      </c>
      <c r="H1593">
        <v>8</v>
      </c>
      <c r="I1593">
        <v>14.43</v>
      </c>
      <c r="J1593">
        <v>115.43</v>
      </c>
      <c r="K1593" t="s">
        <v>97</v>
      </c>
      <c r="L1593" t="s">
        <v>1173</v>
      </c>
      <c r="O1593" t="s">
        <v>81</v>
      </c>
      <c r="Q1593">
        <v>3</v>
      </c>
      <c r="R1593" t="s">
        <v>1135</v>
      </c>
      <c r="T1593" t="s">
        <v>38</v>
      </c>
      <c r="V1593" t="s">
        <v>921</v>
      </c>
      <c r="Z1593" t="s">
        <v>1136</v>
      </c>
      <c r="AA1593" t="s">
        <v>39</v>
      </c>
      <c r="AC1593" t="s">
        <v>1174</v>
      </c>
    </row>
    <row r="1594" spans="1:29" hidden="1" x14ac:dyDescent="0.25">
      <c r="A1594">
        <v>55</v>
      </c>
      <c r="B1594" t="s">
        <v>116</v>
      </c>
      <c r="C1594" t="s">
        <v>77</v>
      </c>
      <c r="D1594" t="s">
        <v>117</v>
      </c>
      <c r="E1594">
        <v>6</v>
      </c>
      <c r="F1594">
        <v>298</v>
      </c>
      <c r="G1594">
        <v>378</v>
      </c>
      <c r="H1594">
        <v>1</v>
      </c>
      <c r="I1594">
        <v>5.27</v>
      </c>
      <c r="J1594">
        <v>5.27</v>
      </c>
      <c r="K1594" t="s">
        <v>97</v>
      </c>
      <c r="L1594" t="s">
        <v>1173</v>
      </c>
      <c r="Q1594">
        <v>3</v>
      </c>
      <c r="R1594" t="s">
        <v>1135</v>
      </c>
      <c r="T1594" t="s">
        <v>38</v>
      </c>
      <c r="V1594" t="s">
        <v>921</v>
      </c>
      <c r="W1594" t="s">
        <v>81</v>
      </c>
      <c r="Z1594" t="s">
        <v>1136</v>
      </c>
      <c r="AA1594" t="s">
        <v>39</v>
      </c>
      <c r="AC1594" t="s">
        <v>1174</v>
      </c>
    </row>
    <row r="1595" spans="1:29" hidden="1" x14ac:dyDescent="0.25">
      <c r="A1595">
        <v>56</v>
      </c>
      <c r="B1595" t="s">
        <v>128</v>
      </c>
      <c r="C1595" t="s">
        <v>77</v>
      </c>
      <c r="D1595" t="s">
        <v>129</v>
      </c>
      <c r="E1595">
        <v>6</v>
      </c>
      <c r="F1595">
        <v>188</v>
      </c>
      <c r="G1595">
        <v>2493</v>
      </c>
      <c r="H1595">
        <v>4</v>
      </c>
      <c r="I1595">
        <v>21.71</v>
      </c>
      <c r="J1595">
        <v>86.83</v>
      </c>
      <c r="K1595" t="s">
        <v>97</v>
      </c>
      <c r="L1595" t="s">
        <v>1175</v>
      </c>
      <c r="O1595" t="s">
        <v>81</v>
      </c>
      <c r="P1595" t="s">
        <v>81</v>
      </c>
      <c r="Q1595">
        <v>3</v>
      </c>
      <c r="R1595" t="s">
        <v>1135</v>
      </c>
      <c r="T1595" t="s">
        <v>38</v>
      </c>
      <c r="V1595" t="s">
        <v>921</v>
      </c>
      <c r="Z1595" t="s">
        <v>1136</v>
      </c>
      <c r="AA1595" t="s">
        <v>39</v>
      </c>
      <c r="AC1595" t="s">
        <v>1176</v>
      </c>
    </row>
    <row r="1596" spans="1:29" hidden="1" x14ac:dyDescent="0.25">
      <c r="A1596">
        <v>57</v>
      </c>
      <c r="B1596" t="s">
        <v>132</v>
      </c>
      <c r="C1596" t="s">
        <v>77</v>
      </c>
      <c r="D1596" t="s">
        <v>133</v>
      </c>
      <c r="E1596">
        <v>6</v>
      </c>
      <c r="F1596">
        <v>188</v>
      </c>
      <c r="G1596">
        <v>2494</v>
      </c>
      <c r="H1596">
        <v>4</v>
      </c>
      <c r="I1596">
        <v>21.71</v>
      </c>
      <c r="J1596">
        <v>86.84</v>
      </c>
      <c r="K1596" t="s">
        <v>97</v>
      </c>
      <c r="L1596" t="s">
        <v>1175</v>
      </c>
      <c r="O1596" t="s">
        <v>81</v>
      </c>
      <c r="P1596" t="s">
        <v>81</v>
      </c>
      <c r="Q1596">
        <v>3</v>
      </c>
      <c r="R1596" t="s">
        <v>1135</v>
      </c>
      <c r="T1596" t="s">
        <v>38</v>
      </c>
      <c r="V1596" t="s">
        <v>921</v>
      </c>
      <c r="Z1596" t="s">
        <v>1136</v>
      </c>
      <c r="AA1596" t="s">
        <v>39</v>
      </c>
      <c r="AC1596" t="s">
        <v>1176</v>
      </c>
    </row>
    <row r="1597" spans="1:29" hidden="1" x14ac:dyDescent="0.25">
      <c r="A1597">
        <v>58</v>
      </c>
      <c r="B1597" t="s">
        <v>134</v>
      </c>
      <c r="C1597" t="s">
        <v>77</v>
      </c>
      <c r="D1597" t="s">
        <v>135</v>
      </c>
      <c r="E1597">
        <v>6</v>
      </c>
      <c r="F1597">
        <v>188</v>
      </c>
      <c r="G1597">
        <v>2491</v>
      </c>
      <c r="H1597">
        <v>12</v>
      </c>
      <c r="I1597">
        <v>21.69</v>
      </c>
      <c r="J1597">
        <v>260.32</v>
      </c>
      <c r="K1597" t="s">
        <v>97</v>
      </c>
      <c r="L1597" t="s">
        <v>1175</v>
      </c>
      <c r="O1597" t="s">
        <v>81</v>
      </c>
      <c r="P1597" t="s">
        <v>81</v>
      </c>
      <c r="Q1597">
        <v>3</v>
      </c>
      <c r="R1597" t="s">
        <v>1135</v>
      </c>
      <c r="T1597" t="s">
        <v>38</v>
      </c>
      <c r="V1597" t="s">
        <v>921</v>
      </c>
      <c r="Z1597" t="s">
        <v>1136</v>
      </c>
      <c r="AA1597" t="s">
        <v>39</v>
      </c>
      <c r="AC1597" t="s">
        <v>1176</v>
      </c>
    </row>
    <row r="1598" spans="1:29" hidden="1" x14ac:dyDescent="0.25">
      <c r="A1598">
        <v>59</v>
      </c>
      <c r="B1598" t="s">
        <v>136</v>
      </c>
      <c r="C1598" t="s">
        <v>77</v>
      </c>
      <c r="D1598" t="s">
        <v>129</v>
      </c>
      <c r="E1598">
        <v>6</v>
      </c>
      <c r="F1598">
        <v>188</v>
      </c>
      <c r="G1598">
        <v>2493</v>
      </c>
      <c r="H1598">
        <v>4</v>
      </c>
      <c r="I1598">
        <v>21.71</v>
      </c>
      <c r="J1598">
        <v>86.83</v>
      </c>
      <c r="K1598" t="s">
        <v>97</v>
      </c>
      <c r="L1598" t="s">
        <v>1175</v>
      </c>
      <c r="O1598" t="s">
        <v>81</v>
      </c>
      <c r="P1598" t="s">
        <v>81</v>
      </c>
      <c r="Q1598">
        <v>3</v>
      </c>
      <c r="R1598" t="s">
        <v>1135</v>
      </c>
      <c r="T1598" t="s">
        <v>38</v>
      </c>
      <c r="V1598" t="s">
        <v>921</v>
      </c>
      <c r="Z1598" t="s">
        <v>1136</v>
      </c>
      <c r="AA1598" t="s">
        <v>39</v>
      </c>
      <c r="AC1598" t="s">
        <v>1176</v>
      </c>
    </row>
    <row r="1599" spans="1:29" hidden="1" x14ac:dyDescent="0.25">
      <c r="A1599">
        <v>60</v>
      </c>
      <c r="B1599" t="s">
        <v>137</v>
      </c>
      <c r="C1599" t="s">
        <v>77</v>
      </c>
      <c r="D1599" t="s">
        <v>133</v>
      </c>
      <c r="E1599">
        <v>6</v>
      </c>
      <c r="F1599">
        <v>188</v>
      </c>
      <c r="G1599">
        <v>2494</v>
      </c>
      <c r="H1599">
        <v>4</v>
      </c>
      <c r="I1599">
        <v>21.71</v>
      </c>
      <c r="J1599">
        <v>86.84</v>
      </c>
      <c r="K1599" t="s">
        <v>97</v>
      </c>
      <c r="L1599" t="s">
        <v>1175</v>
      </c>
      <c r="O1599" t="s">
        <v>81</v>
      </c>
      <c r="P1599" t="s">
        <v>81</v>
      </c>
      <c r="Q1599">
        <v>3</v>
      </c>
      <c r="R1599" t="s">
        <v>1135</v>
      </c>
      <c r="T1599" t="s">
        <v>38</v>
      </c>
      <c r="V1599" t="s">
        <v>921</v>
      </c>
      <c r="Z1599" t="s">
        <v>1136</v>
      </c>
      <c r="AA1599" t="s">
        <v>39</v>
      </c>
      <c r="AC1599" t="s">
        <v>1176</v>
      </c>
    </row>
    <row r="1600" spans="1:29" hidden="1" x14ac:dyDescent="0.25">
      <c r="A1600">
        <v>61</v>
      </c>
      <c r="B1600" t="s">
        <v>138</v>
      </c>
      <c r="C1600" t="s">
        <v>77</v>
      </c>
      <c r="D1600" t="s">
        <v>122</v>
      </c>
      <c r="E1600">
        <v>6</v>
      </c>
      <c r="F1600">
        <v>328</v>
      </c>
      <c r="G1600">
        <v>934</v>
      </c>
      <c r="H1600">
        <v>4</v>
      </c>
      <c r="I1600">
        <v>14.43</v>
      </c>
      <c r="J1600">
        <v>57.72</v>
      </c>
      <c r="K1600" t="s">
        <v>97</v>
      </c>
      <c r="L1600" t="s">
        <v>1175</v>
      </c>
      <c r="O1600" t="s">
        <v>81</v>
      </c>
      <c r="Q1600">
        <v>3</v>
      </c>
      <c r="R1600" t="s">
        <v>1135</v>
      </c>
      <c r="T1600" t="s">
        <v>38</v>
      </c>
      <c r="V1600" t="s">
        <v>921</v>
      </c>
      <c r="Z1600" t="s">
        <v>1136</v>
      </c>
      <c r="AA1600" t="s">
        <v>39</v>
      </c>
      <c r="AC1600" t="s">
        <v>1176</v>
      </c>
    </row>
    <row r="1601" spans="1:29" hidden="1" x14ac:dyDescent="0.25">
      <c r="A1601">
        <v>62</v>
      </c>
      <c r="B1601" t="s">
        <v>139</v>
      </c>
      <c r="C1601" t="s">
        <v>77</v>
      </c>
      <c r="D1601" t="s">
        <v>122</v>
      </c>
      <c r="E1601">
        <v>6</v>
      </c>
      <c r="F1601">
        <v>328</v>
      </c>
      <c r="G1601">
        <v>934</v>
      </c>
      <c r="H1601">
        <v>4</v>
      </c>
      <c r="I1601">
        <v>14.43</v>
      </c>
      <c r="J1601">
        <v>57.72</v>
      </c>
      <c r="K1601" t="s">
        <v>97</v>
      </c>
      <c r="L1601" t="s">
        <v>1175</v>
      </c>
      <c r="O1601" t="s">
        <v>81</v>
      </c>
      <c r="Q1601">
        <v>3</v>
      </c>
      <c r="R1601" t="s">
        <v>1135</v>
      </c>
      <c r="T1601" t="s">
        <v>38</v>
      </c>
      <c r="V1601" t="s">
        <v>921</v>
      </c>
      <c r="Z1601" t="s">
        <v>1136</v>
      </c>
      <c r="AA1601" t="s">
        <v>39</v>
      </c>
      <c r="AC1601" t="s">
        <v>1176</v>
      </c>
    </row>
    <row r="1602" spans="1:29" hidden="1" x14ac:dyDescent="0.25">
      <c r="A1602">
        <v>63</v>
      </c>
      <c r="B1602" t="s">
        <v>140</v>
      </c>
      <c r="C1602" t="s">
        <v>77</v>
      </c>
      <c r="D1602" t="s">
        <v>135</v>
      </c>
      <c r="E1602">
        <v>6</v>
      </c>
      <c r="F1602">
        <v>188</v>
      </c>
      <c r="G1602">
        <v>2491</v>
      </c>
      <c r="H1602">
        <v>18</v>
      </c>
      <c r="I1602">
        <v>21.69</v>
      </c>
      <c r="J1602">
        <v>390.49</v>
      </c>
      <c r="K1602" t="s">
        <v>97</v>
      </c>
      <c r="L1602" t="s">
        <v>1177</v>
      </c>
      <c r="O1602" t="s">
        <v>81</v>
      </c>
      <c r="P1602" t="s">
        <v>81</v>
      </c>
      <c r="Q1602">
        <v>3</v>
      </c>
      <c r="R1602" t="s">
        <v>1135</v>
      </c>
      <c r="T1602" t="s">
        <v>38</v>
      </c>
      <c r="V1602" t="s">
        <v>921</v>
      </c>
      <c r="Z1602" t="s">
        <v>1136</v>
      </c>
      <c r="AA1602" t="s">
        <v>39</v>
      </c>
      <c r="AC1602" t="s">
        <v>1178</v>
      </c>
    </row>
    <row r="1603" spans="1:29" hidden="1" x14ac:dyDescent="0.25">
      <c r="A1603">
        <v>64</v>
      </c>
      <c r="B1603" t="s">
        <v>134</v>
      </c>
      <c r="C1603" t="s">
        <v>77</v>
      </c>
      <c r="D1603" t="s">
        <v>135</v>
      </c>
      <c r="E1603">
        <v>6</v>
      </c>
      <c r="F1603">
        <v>188</v>
      </c>
      <c r="G1603">
        <v>2491</v>
      </c>
      <c r="H1603">
        <v>6</v>
      </c>
      <c r="I1603">
        <v>21.69</v>
      </c>
      <c r="J1603">
        <v>130.16</v>
      </c>
      <c r="K1603" t="s">
        <v>97</v>
      </c>
      <c r="L1603" t="s">
        <v>1177</v>
      </c>
      <c r="O1603" t="s">
        <v>81</v>
      </c>
      <c r="P1603" t="s">
        <v>81</v>
      </c>
      <c r="Q1603">
        <v>3</v>
      </c>
      <c r="R1603" t="s">
        <v>1135</v>
      </c>
      <c r="T1603" t="s">
        <v>38</v>
      </c>
      <c r="V1603" t="s">
        <v>921</v>
      </c>
      <c r="Z1603" t="s">
        <v>1136</v>
      </c>
      <c r="AA1603" t="s">
        <v>39</v>
      </c>
      <c r="AC1603" t="s">
        <v>1178</v>
      </c>
    </row>
    <row r="1604" spans="1:29" hidden="1" x14ac:dyDescent="0.25">
      <c r="A1604">
        <v>65</v>
      </c>
      <c r="B1604" t="s">
        <v>143</v>
      </c>
      <c r="C1604" t="s">
        <v>77</v>
      </c>
      <c r="D1604" t="s">
        <v>135</v>
      </c>
      <c r="E1604">
        <v>6</v>
      </c>
      <c r="F1604">
        <v>188</v>
      </c>
      <c r="G1604">
        <v>2491</v>
      </c>
      <c r="H1604">
        <v>4</v>
      </c>
      <c r="I1604">
        <v>21.69</v>
      </c>
      <c r="J1604">
        <v>86.77</v>
      </c>
      <c r="K1604" t="s">
        <v>97</v>
      </c>
      <c r="L1604" t="s">
        <v>1177</v>
      </c>
      <c r="O1604" t="s">
        <v>81</v>
      </c>
      <c r="P1604" t="s">
        <v>81</v>
      </c>
      <c r="Q1604">
        <v>3</v>
      </c>
      <c r="R1604" t="s">
        <v>1135</v>
      </c>
      <c r="T1604" t="s">
        <v>38</v>
      </c>
      <c r="V1604" t="s">
        <v>921</v>
      </c>
      <c r="Z1604" t="s">
        <v>1136</v>
      </c>
      <c r="AA1604" t="s">
        <v>39</v>
      </c>
      <c r="AC1604" t="s">
        <v>1178</v>
      </c>
    </row>
    <row r="1605" spans="1:29" hidden="1" x14ac:dyDescent="0.25">
      <c r="A1605">
        <v>66</v>
      </c>
      <c r="B1605" t="s">
        <v>144</v>
      </c>
      <c r="C1605" t="s">
        <v>77</v>
      </c>
      <c r="D1605" t="s">
        <v>122</v>
      </c>
      <c r="E1605">
        <v>6</v>
      </c>
      <c r="F1605">
        <v>328</v>
      </c>
      <c r="G1605">
        <v>934</v>
      </c>
      <c r="H1605">
        <v>5</v>
      </c>
      <c r="I1605">
        <v>14.43</v>
      </c>
      <c r="J1605">
        <v>72.150000000000006</v>
      </c>
      <c r="K1605" t="s">
        <v>97</v>
      </c>
      <c r="L1605" t="s">
        <v>1177</v>
      </c>
      <c r="O1605" t="s">
        <v>81</v>
      </c>
      <c r="Q1605">
        <v>3</v>
      </c>
      <c r="R1605" t="s">
        <v>1135</v>
      </c>
      <c r="T1605" t="s">
        <v>38</v>
      </c>
      <c r="V1605" t="s">
        <v>921</v>
      </c>
      <c r="Z1605" t="s">
        <v>1136</v>
      </c>
      <c r="AA1605" t="s">
        <v>39</v>
      </c>
      <c r="AC1605" t="s">
        <v>1178</v>
      </c>
    </row>
    <row r="1606" spans="1:29" hidden="1" x14ac:dyDescent="0.25">
      <c r="A1606">
        <v>67</v>
      </c>
      <c r="B1606" t="s">
        <v>138</v>
      </c>
      <c r="C1606" t="s">
        <v>77</v>
      </c>
      <c r="D1606" t="s">
        <v>122</v>
      </c>
      <c r="E1606">
        <v>6</v>
      </c>
      <c r="F1606">
        <v>328</v>
      </c>
      <c r="G1606">
        <v>934</v>
      </c>
      <c r="H1606">
        <v>3</v>
      </c>
      <c r="I1606">
        <v>14.43</v>
      </c>
      <c r="J1606">
        <v>43.29</v>
      </c>
      <c r="K1606" t="s">
        <v>97</v>
      </c>
      <c r="L1606" t="s">
        <v>1177</v>
      </c>
      <c r="O1606" t="s">
        <v>81</v>
      </c>
      <c r="Q1606">
        <v>3</v>
      </c>
      <c r="R1606" t="s">
        <v>1135</v>
      </c>
      <c r="T1606" t="s">
        <v>38</v>
      </c>
      <c r="V1606" t="s">
        <v>921</v>
      </c>
      <c r="Z1606" t="s">
        <v>1136</v>
      </c>
      <c r="AA1606" t="s">
        <v>39</v>
      </c>
      <c r="AC1606" t="s">
        <v>1178</v>
      </c>
    </row>
    <row r="1607" spans="1:29" hidden="1" x14ac:dyDescent="0.25">
      <c r="A1607">
        <v>68</v>
      </c>
      <c r="B1607" t="s">
        <v>145</v>
      </c>
      <c r="C1607" t="s">
        <v>77</v>
      </c>
      <c r="D1607" t="s">
        <v>135</v>
      </c>
      <c r="E1607">
        <v>6</v>
      </c>
      <c r="F1607">
        <v>188</v>
      </c>
      <c r="G1607">
        <v>2491</v>
      </c>
      <c r="H1607">
        <v>14</v>
      </c>
      <c r="I1607">
        <v>21.69</v>
      </c>
      <c r="J1607">
        <v>303.7</v>
      </c>
      <c r="K1607" t="s">
        <v>97</v>
      </c>
      <c r="L1607" t="s">
        <v>1179</v>
      </c>
      <c r="O1607" t="s">
        <v>81</v>
      </c>
      <c r="P1607" t="s">
        <v>81</v>
      </c>
      <c r="Q1607">
        <v>3</v>
      </c>
      <c r="R1607" t="s">
        <v>1135</v>
      </c>
      <c r="T1607" t="s">
        <v>38</v>
      </c>
      <c r="V1607" t="s">
        <v>921</v>
      </c>
      <c r="Z1607" t="s">
        <v>1136</v>
      </c>
      <c r="AA1607" t="s">
        <v>39</v>
      </c>
      <c r="AC1607" t="s">
        <v>1180</v>
      </c>
    </row>
    <row r="1608" spans="1:29" hidden="1" x14ac:dyDescent="0.25">
      <c r="A1608">
        <v>69</v>
      </c>
      <c r="B1608" t="s">
        <v>148</v>
      </c>
      <c r="C1608" t="s">
        <v>77</v>
      </c>
      <c r="D1608" t="s">
        <v>122</v>
      </c>
      <c r="E1608">
        <v>6</v>
      </c>
      <c r="F1608">
        <v>328</v>
      </c>
      <c r="G1608">
        <v>934</v>
      </c>
      <c r="H1608">
        <v>4</v>
      </c>
      <c r="I1608">
        <v>14.43</v>
      </c>
      <c r="J1608">
        <v>57.72</v>
      </c>
      <c r="K1608" t="s">
        <v>97</v>
      </c>
      <c r="L1608" t="s">
        <v>1179</v>
      </c>
      <c r="O1608" t="s">
        <v>81</v>
      </c>
      <c r="Q1608">
        <v>3</v>
      </c>
      <c r="R1608" t="s">
        <v>1135</v>
      </c>
      <c r="T1608" t="s">
        <v>38</v>
      </c>
      <c r="V1608" t="s">
        <v>921</v>
      </c>
      <c r="Z1608" t="s">
        <v>1136</v>
      </c>
      <c r="AA1608" t="s">
        <v>39</v>
      </c>
      <c r="AC1608" t="s">
        <v>1180</v>
      </c>
    </row>
    <row r="1609" spans="1:29" hidden="1" x14ac:dyDescent="0.25">
      <c r="A1609">
        <v>70</v>
      </c>
      <c r="B1609" t="s">
        <v>143</v>
      </c>
      <c r="C1609" t="s">
        <v>77</v>
      </c>
      <c r="D1609" t="s">
        <v>135</v>
      </c>
      <c r="E1609">
        <v>6</v>
      </c>
      <c r="F1609">
        <v>188</v>
      </c>
      <c r="G1609">
        <v>2491</v>
      </c>
      <c r="H1609">
        <v>14</v>
      </c>
      <c r="I1609">
        <v>21.69</v>
      </c>
      <c r="J1609">
        <v>303.7</v>
      </c>
      <c r="K1609" t="s">
        <v>97</v>
      </c>
      <c r="L1609" t="s">
        <v>1179</v>
      </c>
      <c r="O1609" t="s">
        <v>81</v>
      </c>
      <c r="P1609" t="s">
        <v>81</v>
      </c>
      <c r="Q1609">
        <v>3</v>
      </c>
      <c r="R1609" t="s">
        <v>1135</v>
      </c>
      <c r="T1609" t="s">
        <v>38</v>
      </c>
      <c r="V1609" t="s">
        <v>921</v>
      </c>
      <c r="Z1609" t="s">
        <v>1136</v>
      </c>
      <c r="AA1609" t="s">
        <v>39</v>
      </c>
      <c r="AC1609" t="s">
        <v>1180</v>
      </c>
    </row>
    <row r="1610" spans="1:29" hidden="1" x14ac:dyDescent="0.25">
      <c r="A1610">
        <v>71</v>
      </c>
      <c r="B1610" t="s">
        <v>149</v>
      </c>
      <c r="C1610" t="s">
        <v>77</v>
      </c>
      <c r="D1610" t="s">
        <v>122</v>
      </c>
      <c r="E1610">
        <v>6</v>
      </c>
      <c r="F1610">
        <v>328</v>
      </c>
      <c r="G1610">
        <v>934</v>
      </c>
      <c r="H1610">
        <v>3</v>
      </c>
      <c r="I1610">
        <v>14.43</v>
      </c>
      <c r="J1610">
        <v>43.29</v>
      </c>
      <c r="K1610" t="s">
        <v>97</v>
      </c>
      <c r="L1610" t="s">
        <v>1179</v>
      </c>
      <c r="O1610" t="s">
        <v>81</v>
      </c>
      <c r="Q1610">
        <v>3</v>
      </c>
      <c r="R1610" t="s">
        <v>1135</v>
      </c>
      <c r="T1610" t="s">
        <v>38</v>
      </c>
      <c r="V1610" t="s">
        <v>921</v>
      </c>
      <c r="Z1610" t="s">
        <v>1136</v>
      </c>
      <c r="AA1610" t="s">
        <v>39</v>
      </c>
      <c r="AC1610" t="s">
        <v>1180</v>
      </c>
    </row>
    <row r="1611" spans="1:29" hidden="1" x14ac:dyDescent="0.25">
      <c r="A1611">
        <v>72</v>
      </c>
      <c r="B1611" t="s">
        <v>144</v>
      </c>
      <c r="C1611" t="s">
        <v>77</v>
      </c>
      <c r="D1611" t="s">
        <v>122</v>
      </c>
      <c r="E1611">
        <v>6</v>
      </c>
      <c r="F1611">
        <v>328</v>
      </c>
      <c r="G1611">
        <v>934</v>
      </c>
      <c r="H1611">
        <v>1</v>
      </c>
      <c r="I1611">
        <v>14.43</v>
      </c>
      <c r="J1611">
        <v>14.43</v>
      </c>
      <c r="K1611" t="s">
        <v>97</v>
      </c>
      <c r="L1611" t="s">
        <v>1179</v>
      </c>
      <c r="O1611" t="s">
        <v>81</v>
      </c>
      <c r="Q1611">
        <v>3</v>
      </c>
      <c r="R1611" t="s">
        <v>1135</v>
      </c>
      <c r="T1611" t="s">
        <v>38</v>
      </c>
      <c r="V1611" t="s">
        <v>921</v>
      </c>
      <c r="Z1611" t="s">
        <v>1136</v>
      </c>
      <c r="AA1611" t="s">
        <v>39</v>
      </c>
      <c r="AC1611" t="s">
        <v>1180</v>
      </c>
    </row>
    <row r="1612" spans="1:29" hidden="1" x14ac:dyDescent="0.25">
      <c r="A1612">
        <v>73</v>
      </c>
      <c r="B1612" t="s">
        <v>145</v>
      </c>
      <c r="C1612" t="s">
        <v>77</v>
      </c>
      <c r="D1612" t="s">
        <v>135</v>
      </c>
      <c r="E1612">
        <v>6</v>
      </c>
      <c r="F1612">
        <v>188</v>
      </c>
      <c r="G1612">
        <v>2491</v>
      </c>
      <c r="H1612">
        <v>4</v>
      </c>
      <c r="I1612">
        <v>21.69</v>
      </c>
      <c r="J1612">
        <v>86.77</v>
      </c>
      <c r="K1612" t="s">
        <v>97</v>
      </c>
      <c r="L1612" t="s">
        <v>1181</v>
      </c>
      <c r="O1612" t="s">
        <v>81</v>
      </c>
      <c r="P1612" t="s">
        <v>81</v>
      </c>
      <c r="Q1612">
        <v>3</v>
      </c>
      <c r="R1612" t="s">
        <v>1135</v>
      </c>
      <c r="T1612" t="s">
        <v>38</v>
      </c>
      <c r="V1612" t="s">
        <v>921</v>
      </c>
      <c r="Z1612" t="s">
        <v>1136</v>
      </c>
      <c r="AA1612" t="s">
        <v>39</v>
      </c>
      <c r="AC1612" t="s">
        <v>1182</v>
      </c>
    </row>
    <row r="1613" spans="1:29" hidden="1" x14ac:dyDescent="0.25">
      <c r="A1613">
        <v>74</v>
      </c>
      <c r="B1613" t="s">
        <v>152</v>
      </c>
      <c r="C1613" t="s">
        <v>77</v>
      </c>
      <c r="D1613" t="s">
        <v>135</v>
      </c>
      <c r="E1613">
        <v>6</v>
      </c>
      <c r="F1613">
        <v>188</v>
      </c>
      <c r="G1613">
        <v>2491</v>
      </c>
      <c r="H1613">
        <v>6</v>
      </c>
      <c r="I1613">
        <v>21.69</v>
      </c>
      <c r="J1613">
        <v>130.12</v>
      </c>
      <c r="K1613" t="s">
        <v>97</v>
      </c>
      <c r="L1613" t="s">
        <v>1181</v>
      </c>
      <c r="O1613" t="s">
        <v>81</v>
      </c>
      <c r="P1613" t="s">
        <v>81</v>
      </c>
      <c r="Q1613">
        <v>3</v>
      </c>
      <c r="R1613" t="s">
        <v>1135</v>
      </c>
      <c r="T1613" t="s">
        <v>38</v>
      </c>
      <c r="V1613" t="s">
        <v>921</v>
      </c>
      <c r="Z1613" t="s">
        <v>1136</v>
      </c>
      <c r="AA1613" t="s">
        <v>39</v>
      </c>
      <c r="AC1613" t="s">
        <v>1182</v>
      </c>
    </row>
    <row r="1614" spans="1:29" hidden="1" x14ac:dyDescent="0.25">
      <c r="A1614">
        <v>75</v>
      </c>
      <c r="B1614" t="s">
        <v>153</v>
      </c>
      <c r="C1614" t="s">
        <v>77</v>
      </c>
      <c r="D1614" t="s">
        <v>135</v>
      </c>
      <c r="E1614">
        <v>6</v>
      </c>
      <c r="F1614">
        <v>188</v>
      </c>
      <c r="G1614">
        <v>2491</v>
      </c>
      <c r="H1614">
        <v>18</v>
      </c>
      <c r="I1614">
        <v>21.69</v>
      </c>
      <c r="J1614">
        <v>390.36</v>
      </c>
      <c r="K1614" t="s">
        <v>97</v>
      </c>
      <c r="L1614" t="s">
        <v>1181</v>
      </c>
      <c r="O1614" t="s">
        <v>81</v>
      </c>
      <c r="P1614" t="s">
        <v>81</v>
      </c>
      <c r="Q1614">
        <v>3</v>
      </c>
      <c r="R1614" t="s">
        <v>1135</v>
      </c>
      <c r="T1614" t="s">
        <v>38</v>
      </c>
      <c r="V1614" t="s">
        <v>921</v>
      </c>
      <c r="Z1614" t="s">
        <v>1136</v>
      </c>
      <c r="AA1614" t="s">
        <v>39</v>
      </c>
      <c r="AC1614" t="s">
        <v>1182</v>
      </c>
    </row>
    <row r="1615" spans="1:29" hidden="1" x14ac:dyDescent="0.25">
      <c r="A1615">
        <v>76</v>
      </c>
      <c r="B1615" t="s">
        <v>154</v>
      </c>
      <c r="C1615" t="s">
        <v>77</v>
      </c>
      <c r="D1615" t="s">
        <v>122</v>
      </c>
      <c r="E1615">
        <v>6</v>
      </c>
      <c r="F1615">
        <v>328</v>
      </c>
      <c r="G1615">
        <v>934</v>
      </c>
      <c r="H1615">
        <v>3</v>
      </c>
      <c r="I1615">
        <v>14.43</v>
      </c>
      <c r="J1615">
        <v>43.29</v>
      </c>
      <c r="K1615" t="s">
        <v>97</v>
      </c>
      <c r="L1615" t="s">
        <v>1181</v>
      </c>
      <c r="O1615" t="s">
        <v>81</v>
      </c>
      <c r="Q1615">
        <v>3</v>
      </c>
      <c r="R1615" t="s">
        <v>1135</v>
      </c>
      <c r="T1615" t="s">
        <v>38</v>
      </c>
      <c r="V1615" t="s">
        <v>921</v>
      </c>
      <c r="Z1615" t="s">
        <v>1136</v>
      </c>
      <c r="AA1615" t="s">
        <v>39</v>
      </c>
      <c r="AC1615" t="s">
        <v>1182</v>
      </c>
    </row>
    <row r="1616" spans="1:29" hidden="1" x14ac:dyDescent="0.25">
      <c r="A1616">
        <v>77</v>
      </c>
      <c r="B1616" t="s">
        <v>139</v>
      </c>
      <c r="C1616" t="s">
        <v>77</v>
      </c>
      <c r="D1616" t="s">
        <v>122</v>
      </c>
      <c r="E1616">
        <v>6</v>
      </c>
      <c r="F1616">
        <v>328</v>
      </c>
      <c r="G1616">
        <v>934</v>
      </c>
      <c r="H1616">
        <v>5</v>
      </c>
      <c r="I1616">
        <v>14.43</v>
      </c>
      <c r="J1616">
        <v>72.150000000000006</v>
      </c>
      <c r="K1616" t="s">
        <v>97</v>
      </c>
      <c r="L1616" t="s">
        <v>1181</v>
      </c>
      <c r="O1616" t="s">
        <v>81</v>
      </c>
      <c r="Q1616">
        <v>3</v>
      </c>
      <c r="R1616" t="s">
        <v>1135</v>
      </c>
      <c r="T1616" t="s">
        <v>38</v>
      </c>
      <c r="V1616" t="s">
        <v>921</v>
      </c>
      <c r="Z1616" t="s">
        <v>1136</v>
      </c>
      <c r="AA1616" t="s">
        <v>39</v>
      </c>
      <c r="AC1616" t="s">
        <v>1182</v>
      </c>
    </row>
    <row r="1617" spans="1:29" hidden="1" x14ac:dyDescent="0.25">
      <c r="A1617">
        <v>78</v>
      </c>
      <c r="B1617" t="s">
        <v>152</v>
      </c>
      <c r="C1617" t="s">
        <v>77</v>
      </c>
      <c r="D1617" t="s">
        <v>135</v>
      </c>
      <c r="E1617">
        <v>6</v>
      </c>
      <c r="F1617">
        <v>188</v>
      </c>
      <c r="G1617">
        <v>2491</v>
      </c>
      <c r="H1617">
        <v>12</v>
      </c>
      <c r="I1617">
        <v>21.69</v>
      </c>
      <c r="J1617">
        <v>260.24</v>
      </c>
      <c r="K1617" t="s">
        <v>97</v>
      </c>
      <c r="L1617" t="s">
        <v>1183</v>
      </c>
      <c r="O1617" t="s">
        <v>81</v>
      </c>
      <c r="P1617" t="s">
        <v>81</v>
      </c>
      <c r="Q1617">
        <v>3</v>
      </c>
      <c r="R1617" t="s">
        <v>1135</v>
      </c>
      <c r="T1617" t="s">
        <v>38</v>
      </c>
      <c r="V1617" t="s">
        <v>921</v>
      </c>
      <c r="Z1617" t="s">
        <v>1136</v>
      </c>
      <c r="AA1617" t="s">
        <v>39</v>
      </c>
      <c r="AC1617" t="s">
        <v>1184</v>
      </c>
    </row>
    <row r="1618" spans="1:29" hidden="1" x14ac:dyDescent="0.25">
      <c r="A1618">
        <v>79</v>
      </c>
      <c r="B1618" t="s">
        <v>148</v>
      </c>
      <c r="C1618" t="s">
        <v>77</v>
      </c>
      <c r="D1618" t="s">
        <v>122</v>
      </c>
      <c r="E1618">
        <v>6</v>
      </c>
      <c r="F1618">
        <v>328</v>
      </c>
      <c r="G1618">
        <v>934</v>
      </c>
      <c r="H1618">
        <v>1</v>
      </c>
      <c r="I1618">
        <v>14.43</v>
      </c>
      <c r="J1618">
        <v>14.43</v>
      </c>
      <c r="K1618" t="s">
        <v>97</v>
      </c>
      <c r="L1618" t="s">
        <v>1183</v>
      </c>
      <c r="O1618" t="s">
        <v>81</v>
      </c>
      <c r="Q1618">
        <v>3</v>
      </c>
      <c r="R1618" t="s">
        <v>1135</v>
      </c>
      <c r="T1618" t="s">
        <v>38</v>
      </c>
      <c r="V1618" t="s">
        <v>921</v>
      </c>
      <c r="Z1618" t="s">
        <v>1136</v>
      </c>
      <c r="AA1618" t="s">
        <v>39</v>
      </c>
      <c r="AC1618" t="s">
        <v>1184</v>
      </c>
    </row>
    <row r="1619" spans="1:29" hidden="1" x14ac:dyDescent="0.25">
      <c r="A1619">
        <v>80</v>
      </c>
      <c r="B1619" t="s">
        <v>149</v>
      </c>
      <c r="C1619" t="s">
        <v>77</v>
      </c>
      <c r="D1619" t="s">
        <v>122</v>
      </c>
      <c r="E1619">
        <v>6</v>
      </c>
      <c r="F1619">
        <v>328</v>
      </c>
      <c r="G1619">
        <v>934</v>
      </c>
      <c r="H1619">
        <v>3</v>
      </c>
      <c r="I1619">
        <v>14.43</v>
      </c>
      <c r="J1619">
        <v>43.29</v>
      </c>
      <c r="K1619" t="s">
        <v>97</v>
      </c>
      <c r="L1619" t="s">
        <v>1183</v>
      </c>
      <c r="O1619" t="s">
        <v>81</v>
      </c>
      <c r="Q1619">
        <v>3</v>
      </c>
      <c r="R1619" t="s">
        <v>1135</v>
      </c>
      <c r="T1619" t="s">
        <v>38</v>
      </c>
      <c r="V1619" t="s">
        <v>921</v>
      </c>
      <c r="Z1619" t="s">
        <v>1136</v>
      </c>
      <c r="AA1619" t="s">
        <v>39</v>
      </c>
      <c r="AC1619" t="s">
        <v>1184</v>
      </c>
    </row>
    <row r="1620" spans="1:29" hidden="1" x14ac:dyDescent="0.25">
      <c r="A1620">
        <v>81</v>
      </c>
      <c r="B1620" t="s">
        <v>157</v>
      </c>
      <c r="C1620" t="s">
        <v>77</v>
      </c>
      <c r="D1620" t="s">
        <v>135</v>
      </c>
      <c r="E1620">
        <v>6</v>
      </c>
      <c r="F1620">
        <v>188</v>
      </c>
      <c r="G1620">
        <v>2491</v>
      </c>
      <c r="H1620">
        <v>16</v>
      </c>
      <c r="I1620">
        <v>21.69</v>
      </c>
      <c r="J1620">
        <v>346.99</v>
      </c>
      <c r="K1620" t="s">
        <v>97</v>
      </c>
      <c r="L1620" t="s">
        <v>1183</v>
      </c>
      <c r="O1620" t="s">
        <v>81</v>
      </c>
      <c r="P1620" t="s">
        <v>81</v>
      </c>
      <c r="Q1620">
        <v>3</v>
      </c>
      <c r="R1620" t="s">
        <v>1135</v>
      </c>
      <c r="T1620" t="s">
        <v>38</v>
      </c>
      <c r="V1620" t="s">
        <v>921</v>
      </c>
      <c r="Z1620" t="s">
        <v>1136</v>
      </c>
      <c r="AA1620" t="s">
        <v>39</v>
      </c>
      <c r="AC1620" t="s">
        <v>1184</v>
      </c>
    </row>
    <row r="1621" spans="1:29" hidden="1" x14ac:dyDescent="0.25">
      <c r="A1621">
        <v>82</v>
      </c>
      <c r="B1621" t="s">
        <v>154</v>
      </c>
      <c r="C1621" t="s">
        <v>77</v>
      </c>
      <c r="D1621" t="s">
        <v>122</v>
      </c>
      <c r="E1621">
        <v>6</v>
      </c>
      <c r="F1621">
        <v>328</v>
      </c>
      <c r="G1621">
        <v>934</v>
      </c>
      <c r="H1621">
        <v>4</v>
      </c>
      <c r="I1621">
        <v>14.43</v>
      </c>
      <c r="J1621">
        <v>57.72</v>
      </c>
      <c r="K1621" t="s">
        <v>97</v>
      </c>
      <c r="L1621" t="s">
        <v>1183</v>
      </c>
      <c r="O1621" t="s">
        <v>81</v>
      </c>
      <c r="Q1621">
        <v>3</v>
      </c>
      <c r="R1621" t="s">
        <v>1135</v>
      </c>
      <c r="T1621" t="s">
        <v>38</v>
      </c>
      <c r="V1621" t="s">
        <v>921</v>
      </c>
      <c r="Z1621" t="s">
        <v>1136</v>
      </c>
      <c r="AA1621" t="s">
        <v>39</v>
      </c>
      <c r="AC1621" t="s">
        <v>1184</v>
      </c>
    </row>
    <row r="1622" spans="1:29" hidden="1" x14ac:dyDescent="0.25">
      <c r="A1622">
        <v>83</v>
      </c>
      <c r="B1622" t="s">
        <v>158</v>
      </c>
      <c r="C1622" t="s">
        <v>77</v>
      </c>
      <c r="D1622" t="s">
        <v>159</v>
      </c>
      <c r="E1622">
        <v>6</v>
      </c>
      <c r="F1622">
        <v>328</v>
      </c>
      <c r="G1622">
        <v>894</v>
      </c>
      <c r="H1622">
        <v>2</v>
      </c>
      <c r="I1622">
        <v>13.81</v>
      </c>
      <c r="J1622">
        <v>27.62</v>
      </c>
      <c r="K1622" t="s">
        <v>97</v>
      </c>
      <c r="L1622" t="s">
        <v>1185</v>
      </c>
      <c r="O1622" t="s">
        <v>81</v>
      </c>
      <c r="Q1622">
        <v>3</v>
      </c>
      <c r="R1622" t="s">
        <v>1135</v>
      </c>
      <c r="T1622" t="s">
        <v>38</v>
      </c>
      <c r="V1622" t="s">
        <v>921</v>
      </c>
      <c r="Z1622" t="s">
        <v>1136</v>
      </c>
      <c r="AA1622" t="s">
        <v>39</v>
      </c>
      <c r="AC1622" t="s">
        <v>1186</v>
      </c>
    </row>
    <row r="1623" spans="1:29" hidden="1" x14ac:dyDescent="0.25">
      <c r="A1623">
        <v>84</v>
      </c>
      <c r="B1623" t="s">
        <v>162</v>
      </c>
      <c r="C1623" t="s">
        <v>77</v>
      </c>
      <c r="D1623" t="s">
        <v>135</v>
      </c>
      <c r="E1623">
        <v>6</v>
      </c>
      <c r="F1623">
        <v>188</v>
      </c>
      <c r="G1623">
        <v>2491</v>
      </c>
      <c r="H1623">
        <v>18</v>
      </c>
      <c r="I1623">
        <v>21.69</v>
      </c>
      <c r="J1623">
        <v>390.36</v>
      </c>
      <c r="K1623" t="s">
        <v>97</v>
      </c>
      <c r="L1623" t="s">
        <v>1185</v>
      </c>
      <c r="O1623" t="s">
        <v>81</v>
      </c>
      <c r="P1623" t="s">
        <v>81</v>
      </c>
      <c r="Q1623">
        <v>3</v>
      </c>
      <c r="R1623" t="s">
        <v>1135</v>
      </c>
      <c r="T1623" t="s">
        <v>38</v>
      </c>
      <c r="V1623" t="s">
        <v>921</v>
      </c>
      <c r="Z1623" t="s">
        <v>1136</v>
      </c>
      <c r="AA1623" t="s">
        <v>39</v>
      </c>
      <c r="AC1623" t="s">
        <v>1186</v>
      </c>
    </row>
    <row r="1624" spans="1:29" hidden="1" x14ac:dyDescent="0.25">
      <c r="A1624">
        <v>85</v>
      </c>
      <c r="B1624" t="s">
        <v>163</v>
      </c>
      <c r="C1624" t="s">
        <v>77</v>
      </c>
      <c r="D1624" t="s">
        <v>159</v>
      </c>
      <c r="E1624">
        <v>6</v>
      </c>
      <c r="F1624">
        <v>328</v>
      </c>
      <c r="G1624">
        <v>894</v>
      </c>
      <c r="H1624">
        <v>2</v>
      </c>
      <c r="I1624">
        <v>13.81</v>
      </c>
      <c r="J1624">
        <v>27.62</v>
      </c>
      <c r="K1624" t="s">
        <v>97</v>
      </c>
      <c r="L1624" t="s">
        <v>1185</v>
      </c>
      <c r="O1624" t="s">
        <v>81</v>
      </c>
      <c r="Q1624">
        <v>3</v>
      </c>
      <c r="R1624" t="s">
        <v>1135</v>
      </c>
      <c r="T1624" t="s">
        <v>38</v>
      </c>
      <c r="V1624" t="s">
        <v>921</v>
      </c>
      <c r="Z1624" t="s">
        <v>1136</v>
      </c>
      <c r="AA1624" t="s">
        <v>39</v>
      </c>
      <c r="AC1624" t="s">
        <v>1186</v>
      </c>
    </row>
    <row r="1625" spans="1:29" hidden="1" x14ac:dyDescent="0.25">
      <c r="A1625">
        <v>86</v>
      </c>
      <c r="B1625" t="s">
        <v>164</v>
      </c>
      <c r="C1625" t="s">
        <v>77</v>
      </c>
      <c r="D1625" t="s">
        <v>159</v>
      </c>
      <c r="E1625">
        <v>6</v>
      </c>
      <c r="F1625">
        <v>328</v>
      </c>
      <c r="G1625">
        <v>894</v>
      </c>
      <c r="H1625">
        <v>1</v>
      </c>
      <c r="I1625">
        <v>13.81</v>
      </c>
      <c r="J1625">
        <v>13.81</v>
      </c>
      <c r="K1625" t="s">
        <v>97</v>
      </c>
      <c r="L1625" t="s">
        <v>1185</v>
      </c>
      <c r="O1625" t="s">
        <v>81</v>
      </c>
      <c r="Q1625">
        <v>3</v>
      </c>
      <c r="R1625" t="s">
        <v>1135</v>
      </c>
      <c r="T1625" t="s">
        <v>38</v>
      </c>
      <c r="V1625" t="s">
        <v>921</v>
      </c>
      <c r="Z1625" t="s">
        <v>1136</v>
      </c>
      <c r="AA1625" t="s">
        <v>39</v>
      </c>
      <c r="AC1625" t="s">
        <v>1186</v>
      </c>
    </row>
    <row r="1626" spans="1:29" hidden="1" x14ac:dyDescent="0.25">
      <c r="A1626">
        <v>87</v>
      </c>
      <c r="B1626" t="s">
        <v>165</v>
      </c>
      <c r="C1626" t="s">
        <v>77</v>
      </c>
      <c r="D1626" t="s">
        <v>159</v>
      </c>
      <c r="E1626">
        <v>6</v>
      </c>
      <c r="F1626">
        <v>328</v>
      </c>
      <c r="G1626">
        <v>894</v>
      </c>
      <c r="H1626">
        <v>2</v>
      </c>
      <c r="I1626">
        <v>13.81</v>
      </c>
      <c r="J1626">
        <v>27.62</v>
      </c>
      <c r="K1626" t="s">
        <v>97</v>
      </c>
      <c r="L1626" t="s">
        <v>1185</v>
      </c>
      <c r="O1626" t="s">
        <v>81</v>
      </c>
      <c r="Q1626">
        <v>3</v>
      </c>
      <c r="R1626" t="s">
        <v>1135</v>
      </c>
      <c r="T1626" t="s">
        <v>38</v>
      </c>
      <c r="V1626" t="s">
        <v>921</v>
      </c>
      <c r="Z1626" t="s">
        <v>1136</v>
      </c>
      <c r="AA1626" t="s">
        <v>39</v>
      </c>
      <c r="AC1626" t="s">
        <v>1186</v>
      </c>
    </row>
    <row r="1627" spans="1:29" hidden="1" x14ac:dyDescent="0.25">
      <c r="A1627">
        <v>88</v>
      </c>
      <c r="B1627" t="s">
        <v>157</v>
      </c>
      <c r="C1627" t="s">
        <v>77</v>
      </c>
      <c r="D1627" t="s">
        <v>135</v>
      </c>
      <c r="E1627">
        <v>6</v>
      </c>
      <c r="F1627">
        <v>188</v>
      </c>
      <c r="G1627">
        <v>2491</v>
      </c>
      <c r="H1627">
        <v>2</v>
      </c>
      <c r="I1627">
        <v>21.68</v>
      </c>
      <c r="J1627">
        <v>43.37</v>
      </c>
      <c r="K1627" t="s">
        <v>97</v>
      </c>
      <c r="L1627" t="s">
        <v>1185</v>
      </c>
      <c r="O1627" t="s">
        <v>81</v>
      </c>
      <c r="P1627" t="s">
        <v>81</v>
      </c>
      <c r="Q1627">
        <v>3</v>
      </c>
      <c r="R1627" t="s">
        <v>1135</v>
      </c>
      <c r="T1627" t="s">
        <v>38</v>
      </c>
      <c r="V1627" t="s">
        <v>921</v>
      </c>
      <c r="Z1627" t="s">
        <v>1136</v>
      </c>
      <c r="AA1627" t="s">
        <v>39</v>
      </c>
      <c r="AC1627" t="s">
        <v>1186</v>
      </c>
    </row>
    <row r="1628" spans="1:29" hidden="1" x14ac:dyDescent="0.25">
      <c r="A1628">
        <v>89</v>
      </c>
      <c r="B1628" t="s">
        <v>166</v>
      </c>
      <c r="C1628" t="s">
        <v>77</v>
      </c>
      <c r="D1628" t="s">
        <v>167</v>
      </c>
      <c r="E1628">
        <v>6</v>
      </c>
      <c r="F1628">
        <v>188</v>
      </c>
      <c r="G1628">
        <v>2483</v>
      </c>
      <c r="H1628">
        <v>8</v>
      </c>
      <c r="I1628">
        <v>21.62</v>
      </c>
      <c r="J1628">
        <v>172.99</v>
      </c>
      <c r="K1628" t="s">
        <v>97</v>
      </c>
      <c r="L1628" t="s">
        <v>1185</v>
      </c>
      <c r="O1628" t="s">
        <v>81</v>
      </c>
      <c r="P1628" t="s">
        <v>81</v>
      </c>
      <c r="Q1628">
        <v>3</v>
      </c>
      <c r="R1628" t="s">
        <v>1135</v>
      </c>
      <c r="T1628" t="s">
        <v>38</v>
      </c>
      <c r="V1628" t="s">
        <v>921</v>
      </c>
      <c r="Z1628" t="s">
        <v>1136</v>
      </c>
      <c r="AA1628" t="s">
        <v>39</v>
      </c>
      <c r="AC1628" t="s">
        <v>1186</v>
      </c>
    </row>
    <row r="1629" spans="1:29" hidden="1" x14ac:dyDescent="0.25">
      <c r="A1629">
        <v>90</v>
      </c>
      <c r="B1629" t="s">
        <v>168</v>
      </c>
      <c r="C1629" t="s">
        <v>77</v>
      </c>
      <c r="D1629" t="s">
        <v>159</v>
      </c>
      <c r="E1629">
        <v>6</v>
      </c>
      <c r="F1629">
        <v>328</v>
      </c>
      <c r="G1629">
        <v>894</v>
      </c>
      <c r="H1629">
        <v>2</v>
      </c>
      <c r="I1629">
        <v>13.81</v>
      </c>
      <c r="J1629">
        <v>27.62</v>
      </c>
      <c r="K1629" t="s">
        <v>97</v>
      </c>
      <c r="L1629" t="s">
        <v>1185</v>
      </c>
      <c r="O1629" t="s">
        <v>81</v>
      </c>
      <c r="Q1629">
        <v>3</v>
      </c>
      <c r="R1629" t="s">
        <v>1135</v>
      </c>
      <c r="T1629" t="s">
        <v>38</v>
      </c>
      <c r="V1629" t="s">
        <v>921</v>
      </c>
      <c r="Z1629" t="s">
        <v>1136</v>
      </c>
      <c r="AA1629" t="s">
        <v>39</v>
      </c>
      <c r="AC1629" t="s">
        <v>1186</v>
      </c>
    </row>
    <row r="1630" spans="1:29" hidden="1" x14ac:dyDescent="0.25">
      <c r="A1630">
        <v>91</v>
      </c>
      <c r="B1630" t="s">
        <v>116</v>
      </c>
      <c r="C1630" t="s">
        <v>77</v>
      </c>
      <c r="D1630" t="s">
        <v>117</v>
      </c>
      <c r="E1630">
        <v>6</v>
      </c>
      <c r="F1630">
        <v>298</v>
      </c>
      <c r="G1630">
        <v>378</v>
      </c>
      <c r="H1630">
        <v>1</v>
      </c>
      <c r="I1630">
        <v>5.27</v>
      </c>
      <c r="J1630">
        <v>5.27</v>
      </c>
      <c r="K1630" t="s">
        <v>97</v>
      </c>
      <c r="L1630" t="s">
        <v>1185</v>
      </c>
      <c r="Q1630">
        <v>3</v>
      </c>
      <c r="R1630" t="s">
        <v>1135</v>
      </c>
      <c r="T1630" t="s">
        <v>38</v>
      </c>
      <c r="V1630" t="s">
        <v>921</v>
      </c>
      <c r="W1630" t="s">
        <v>81</v>
      </c>
      <c r="Z1630" t="s">
        <v>1136</v>
      </c>
      <c r="AA1630" t="s">
        <v>39</v>
      </c>
      <c r="AC1630" t="s">
        <v>1186</v>
      </c>
    </row>
    <row r="1631" spans="1:29" hidden="1" x14ac:dyDescent="0.25">
      <c r="A1631">
        <v>92</v>
      </c>
      <c r="B1631" t="s">
        <v>166</v>
      </c>
      <c r="C1631" t="s">
        <v>77</v>
      </c>
      <c r="D1631" t="s">
        <v>167</v>
      </c>
      <c r="E1631">
        <v>6</v>
      </c>
      <c r="F1631">
        <v>188</v>
      </c>
      <c r="G1631">
        <v>2483</v>
      </c>
      <c r="H1631">
        <v>28</v>
      </c>
      <c r="I1631">
        <v>21.62</v>
      </c>
      <c r="J1631">
        <v>605.47</v>
      </c>
      <c r="K1631" t="s">
        <v>97</v>
      </c>
      <c r="L1631" t="s">
        <v>1187</v>
      </c>
      <c r="O1631" t="s">
        <v>81</v>
      </c>
      <c r="P1631" t="s">
        <v>81</v>
      </c>
      <c r="Q1631">
        <v>3</v>
      </c>
      <c r="R1631" t="s">
        <v>1135</v>
      </c>
      <c r="T1631" t="s">
        <v>38</v>
      </c>
      <c r="V1631" t="s">
        <v>921</v>
      </c>
      <c r="Z1631" t="s">
        <v>1136</v>
      </c>
      <c r="AA1631" t="s">
        <v>39</v>
      </c>
      <c r="AC1631" t="s">
        <v>1188</v>
      </c>
    </row>
    <row r="1632" spans="1:29" hidden="1" x14ac:dyDescent="0.25">
      <c r="A1632">
        <v>93</v>
      </c>
      <c r="B1632" t="s">
        <v>116</v>
      </c>
      <c r="C1632" t="s">
        <v>77</v>
      </c>
      <c r="D1632" t="s">
        <v>117</v>
      </c>
      <c r="E1632">
        <v>6</v>
      </c>
      <c r="F1632">
        <v>298</v>
      </c>
      <c r="G1632">
        <v>378</v>
      </c>
      <c r="H1632">
        <v>5</v>
      </c>
      <c r="I1632">
        <v>5.27</v>
      </c>
      <c r="J1632">
        <v>26.34</v>
      </c>
      <c r="K1632" t="s">
        <v>97</v>
      </c>
      <c r="L1632" t="s">
        <v>1187</v>
      </c>
      <c r="Q1632">
        <v>3</v>
      </c>
      <c r="R1632" t="s">
        <v>1135</v>
      </c>
      <c r="T1632" t="s">
        <v>38</v>
      </c>
      <c r="V1632" t="s">
        <v>921</v>
      </c>
      <c r="W1632" t="s">
        <v>81</v>
      </c>
      <c r="Z1632" t="s">
        <v>1136</v>
      </c>
      <c r="AA1632" t="s">
        <v>39</v>
      </c>
      <c r="AC1632" t="s">
        <v>1188</v>
      </c>
    </row>
    <row r="1633" spans="1:29" hidden="1" x14ac:dyDescent="0.25">
      <c r="A1633">
        <v>94</v>
      </c>
      <c r="B1633" t="s">
        <v>123</v>
      </c>
      <c r="C1633" t="s">
        <v>77</v>
      </c>
      <c r="D1633" t="s">
        <v>117</v>
      </c>
      <c r="E1633">
        <v>6</v>
      </c>
      <c r="F1633">
        <v>298</v>
      </c>
      <c r="G1633">
        <v>378</v>
      </c>
      <c r="H1633">
        <v>7</v>
      </c>
      <c r="I1633">
        <v>5.27</v>
      </c>
      <c r="J1633">
        <v>36.869999999999997</v>
      </c>
      <c r="K1633" t="s">
        <v>97</v>
      </c>
      <c r="L1633" t="s">
        <v>1187</v>
      </c>
      <c r="Q1633">
        <v>3</v>
      </c>
      <c r="R1633" t="s">
        <v>1135</v>
      </c>
      <c r="T1633" t="s">
        <v>38</v>
      </c>
      <c r="V1633" t="s">
        <v>921</v>
      </c>
      <c r="W1633" t="s">
        <v>81</v>
      </c>
      <c r="Z1633" t="s">
        <v>1136</v>
      </c>
      <c r="AA1633" t="s">
        <v>39</v>
      </c>
      <c r="AC1633" t="s">
        <v>1188</v>
      </c>
    </row>
    <row r="1634" spans="1:29" hidden="1" x14ac:dyDescent="0.25">
      <c r="A1634">
        <v>95</v>
      </c>
      <c r="B1634" t="s">
        <v>171</v>
      </c>
      <c r="C1634" t="s">
        <v>77</v>
      </c>
      <c r="D1634" t="s">
        <v>117</v>
      </c>
      <c r="E1634">
        <v>6</v>
      </c>
      <c r="F1634">
        <v>298</v>
      </c>
      <c r="G1634">
        <v>378</v>
      </c>
      <c r="H1634">
        <v>14</v>
      </c>
      <c r="I1634">
        <v>5.27</v>
      </c>
      <c r="J1634">
        <v>73.75</v>
      </c>
      <c r="K1634" t="s">
        <v>97</v>
      </c>
      <c r="L1634" t="s">
        <v>1187</v>
      </c>
      <c r="Q1634">
        <v>3</v>
      </c>
      <c r="R1634" t="s">
        <v>1135</v>
      </c>
      <c r="T1634" t="s">
        <v>38</v>
      </c>
      <c r="V1634" t="s">
        <v>921</v>
      </c>
      <c r="W1634" t="s">
        <v>81</v>
      </c>
      <c r="Z1634" t="s">
        <v>1136</v>
      </c>
      <c r="AA1634" t="s">
        <v>39</v>
      </c>
      <c r="AC1634" t="s">
        <v>1188</v>
      </c>
    </row>
    <row r="1635" spans="1:29" hidden="1" x14ac:dyDescent="0.25">
      <c r="A1635">
        <v>96</v>
      </c>
      <c r="B1635" t="s">
        <v>172</v>
      </c>
      <c r="C1635" t="s">
        <v>77</v>
      </c>
      <c r="D1635" t="s">
        <v>167</v>
      </c>
      <c r="E1635">
        <v>6</v>
      </c>
      <c r="F1635">
        <v>188</v>
      </c>
      <c r="G1635">
        <v>2483</v>
      </c>
      <c r="H1635">
        <v>24</v>
      </c>
      <c r="I1635">
        <v>21.62</v>
      </c>
      <c r="J1635">
        <v>518.97</v>
      </c>
      <c r="K1635" t="s">
        <v>97</v>
      </c>
      <c r="L1635" t="s">
        <v>1189</v>
      </c>
      <c r="O1635" t="s">
        <v>81</v>
      </c>
      <c r="P1635" t="s">
        <v>81</v>
      </c>
      <c r="Q1635">
        <v>3</v>
      </c>
      <c r="R1635" t="s">
        <v>1135</v>
      </c>
      <c r="T1635" t="s">
        <v>38</v>
      </c>
      <c r="V1635" t="s">
        <v>921</v>
      </c>
      <c r="Z1635" t="s">
        <v>1136</v>
      </c>
      <c r="AA1635" t="s">
        <v>39</v>
      </c>
      <c r="AC1635" t="s">
        <v>1190</v>
      </c>
    </row>
    <row r="1636" spans="1:29" hidden="1" x14ac:dyDescent="0.25">
      <c r="A1636">
        <v>97</v>
      </c>
      <c r="B1636" t="s">
        <v>166</v>
      </c>
      <c r="C1636" t="s">
        <v>77</v>
      </c>
      <c r="D1636" t="s">
        <v>167</v>
      </c>
      <c r="E1636">
        <v>6</v>
      </c>
      <c r="F1636">
        <v>188</v>
      </c>
      <c r="G1636">
        <v>2483</v>
      </c>
      <c r="H1636">
        <v>4</v>
      </c>
      <c r="I1636">
        <v>21.62</v>
      </c>
      <c r="J1636">
        <v>86.5</v>
      </c>
      <c r="K1636" t="s">
        <v>97</v>
      </c>
      <c r="L1636" t="s">
        <v>1189</v>
      </c>
      <c r="O1636" t="s">
        <v>81</v>
      </c>
      <c r="P1636" t="s">
        <v>81</v>
      </c>
      <c r="Q1636">
        <v>3</v>
      </c>
      <c r="R1636" t="s">
        <v>1135</v>
      </c>
      <c r="T1636" t="s">
        <v>38</v>
      </c>
      <c r="V1636" t="s">
        <v>921</v>
      </c>
      <c r="Z1636" t="s">
        <v>1136</v>
      </c>
      <c r="AA1636" t="s">
        <v>39</v>
      </c>
      <c r="AC1636" t="s">
        <v>1190</v>
      </c>
    </row>
    <row r="1637" spans="1:29" hidden="1" x14ac:dyDescent="0.25">
      <c r="A1637">
        <v>98</v>
      </c>
      <c r="B1637" t="s">
        <v>116</v>
      </c>
      <c r="C1637" t="s">
        <v>77</v>
      </c>
      <c r="D1637" t="s">
        <v>117</v>
      </c>
      <c r="E1637">
        <v>6</v>
      </c>
      <c r="F1637">
        <v>298</v>
      </c>
      <c r="G1637">
        <v>378</v>
      </c>
      <c r="H1637">
        <v>6</v>
      </c>
      <c r="I1637">
        <v>5.27</v>
      </c>
      <c r="J1637">
        <v>31.61</v>
      </c>
      <c r="K1637" t="s">
        <v>97</v>
      </c>
      <c r="L1637" t="s">
        <v>1189</v>
      </c>
      <c r="Q1637">
        <v>3</v>
      </c>
      <c r="R1637" t="s">
        <v>1135</v>
      </c>
      <c r="T1637" t="s">
        <v>38</v>
      </c>
      <c r="V1637" t="s">
        <v>921</v>
      </c>
      <c r="W1637" t="s">
        <v>81</v>
      </c>
      <c r="Z1637" t="s">
        <v>1136</v>
      </c>
      <c r="AA1637" t="s">
        <v>39</v>
      </c>
      <c r="AC1637" t="s">
        <v>1190</v>
      </c>
    </row>
    <row r="1638" spans="1:29" hidden="1" x14ac:dyDescent="0.25">
      <c r="A1638">
        <v>99</v>
      </c>
      <c r="B1638" t="s">
        <v>123</v>
      </c>
      <c r="C1638" t="s">
        <v>77</v>
      </c>
      <c r="D1638" t="s">
        <v>117</v>
      </c>
      <c r="E1638">
        <v>6</v>
      </c>
      <c r="F1638">
        <v>298</v>
      </c>
      <c r="G1638">
        <v>378</v>
      </c>
      <c r="H1638">
        <v>20</v>
      </c>
      <c r="I1638">
        <v>5.27</v>
      </c>
      <c r="J1638">
        <v>105.36</v>
      </c>
      <c r="K1638" t="s">
        <v>97</v>
      </c>
      <c r="L1638" t="s">
        <v>1189</v>
      </c>
      <c r="Q1638">
        <v>3</v>
      </c>
      <c r="R1638" t="s">
        <v>1135</v>
      </c>
      <c r="T1638" t="s">
        <v>38</v>
      </c>
      <c r="V1638" t="s">
        <v>921</v>
      </c>
      <c r="W1638" t="s">
        <v>81</v>
      </c>
      <c r="Z1638" t="s">
        <v>1136</v>
      </c>
      <c r="AA1638" t="s">
        <v>39</v>
      </c>
      <c r="AC1638" t="s">
        <v>1190</v>
      </c>
    </row>
    <row r="1639" spans="1:29" hidden="1" x14ac:dyDescent="0.25">
      <c r="A1639">
        <v>100</v>
      </c>
      <c r="B1639" t="s">
        <v>175</v>
      </c>
      <c r="C1639" t="s">
        <v>77</v>
      </c>
      <c r="D1639" t="s">
        <v>122</v>
      </c>
      <c r="E1639">
        <v>6</v>
      </c>
      <c r="F1639">
        <v>328</v>
      </c>
      <c r="G1639">
        <v>934</v>
      </c>
      <c r="H1639">
        <v>2</v>
      </c>
      <c r="I1639">
        <v>14.43</v>
      </c>
      <c r="J1639">
        <v>28.86</v>
      </c>
      <c r="K1639" t="s">
        <v>97</v>
      </c>
      <c r="L1639" t="s">
        <v>1191</v>
      </c>
      <c r="O1639" t="s">
        <v>81</v>
      </c>
      <c r="Q1639">
        <v>3</v>
      </c>
      <c r="R1639" t="s">
        <v>1135</v>
      </c>
      <c r="T1639" t="s">
        <v>38</v>
      </c>
      <c r="V1639" t="s">
        <v>921</v>
      </c>
      <c r="Z1639" t="s">
        <v>1136</v>
      </c>
      <c r="AA1639" t="s">
        <v>39</v>
      </c>
      <c r="AC1639" t="s">
        <v>1192</v>
      </c>
    </row>
    <row r="1640" spans="1:29" hidden="1" x14ac:dyDescent="0.25">
      <c r="A1640">
        <v>101</v>
      </c>
      <c r="B1640" t="s">
        <v>178</v>
      </c>
      <c r="C1640" t="s">
        <v>77</v>
      </c>
      <c r="D1640" t="s">
        <v>122</v>
      </c>
      <c r="E1640">
        <v>6</v>
      </c>
      <c r="F1640">
        <v>328</v>
      </c>
      <c r="G1640">
        <v>934</v>
      </c>
      <c r="H1640">
        <v>4</v>
      </c>
      <c r="I1640">
        <v>14.43</v>
      </c>
      <c r="J1640">
        <v>57.72</v>
      </c>
      <c r="K1640" t="s">
        <v>97</v>
      </c>
      <c r="L1640" t="s">
        <v>1191</v>
      </c>
      <c r="O1640" t="s">
        <v>81</v>
      </c>
      <c r="Q1640">
        <v>3</v>
      </c>
      <c r="R1640" t="s">
        <v>1135</v>
      </c>
      <c r="T1640" t="s">
        <v>38</v>
      </c>
      <c r="V1640" t="s">
        <v>921</v>
      </c>
      <c r="Z1640" t="s">
        <v>1136</v>
      </c>
      <c r="AA1640" t="s">
        <v>39</v>
      </c>
      <c r="AC1640" t="s">
        <v>1192</v>
      </c>
    </row>
    <row r="1641" spans="1:29" hidden="1" x14ac:dyDescent="0.25">
      <c r="A1641">
        <v>102</v>
      </c>
      <c r="B1641" t="s">
        <v>179</v>
      </c>
      <c r="C1641" t="s">
        <v>77</v>
      </c>
      <c r="D1641" t="s">
        <v>122</v>
      </c>
      <c r="E1641">
        <v>6</v>
      </c>
      <c r="F1641">
        <v>328</v>
      </c>
      <c r="G1641">
        <v>934</v>
      </c>
      <c r="H1641">
        <v>2</v>
      </c>
      <c r="I1641">
        <v>14.43</v>
      </c>
      <c r="J1641">
        <v>28.86</v>
      </c>
      <c r="K1641" t="s">
        <v>97</v>
      </c>
      <c r="L1641" t="s">
        <v>1191</v>
      </c>
      <c r="O1641" t="s">
        <v>81</v>
      </c>
      <c r="Q1641">
        <v>3</v>
      </c>
      <c r="R1641" t="s">
        <v>1135</v>
      </c>
      <c r="T1641" t="s">
        <v>38</v>
      </c>
      <c r="V1641" t="s">
        <v>921</v>
      </c>
      <c r="Z1641" t="s">
        <v>1136</v>
      </c>
      <c r="AA1641" t="s">
        <v>39</v>
      </c>
      <c r="AC1641" t="s">
        <v>1192</v>
      </c>
    </row>
    <row r="1642" spans="1:29" hidden="1" x14ac:dyDescent="0.25">
      <c r="A1642">
        <v>103</v>
      </c>
      <c r="B1642" t="s">
        <v>172</v>
      </c>
      <c r="C1642" t="s">
        <v>77</v>
      </c>
      <c r="D1642" t="s">
        <v>167</v>
      </c>
      <c r="E1642">
        <v>6</v>
      </c>
      <c r="F1642">
        <v>188</v>
      </c>
      <c r="G1642">
        <v>2483</v>
      </c>
      <c r="H1642">
        <v>16</v>
      </c>
      <c r="I1642">
        <v>21.62</v>
      </c>
      <c r="J1642">
        <v>345.98</v>
      </c>
      <c r="K1642" t="s">
        <v>97</v>
      </c>
      <c r="L1642" t="s">
        <v>1191</v>
      </c>
      <c r="O1642" t="s">
        <v>81</v>
      </c>
      <c r="P1642" t="s">
        <v>81</v>
      </c>
      <c r="Q1642">
        <v>3</v>
      </c>
      <c r="R1642" t="s">
        <v>1135</v>
      </c>
      <c r="T1642" t="s">
        <v>38</v>
      </c>
      <c r="V1642" t="s">
        <v>921</v>
      </c>
      <c r="Z1642" t="s">
        <v>1136</v>
      </c>
      <c r="AA1642" t="s">
        <v>39</v>
      </c>
      <c r="AC1642" t="s">
        <v>1192</v>
      </c>
    </row>
    <row r="1643" spans="1:29" hidden="1" x14ac:dyDescent="0.25">
      <c r="A1643">
        <v>104</v>
      </c>
      <c r="B1643" t="s">
        <v>180</v>
      </c>
      <c r="C1643" t="s">
        <v>77</v>
      </c>
      <c r="D1643" t="s">
        <v>167</v>
      </c>
      <c r="E1643">
        <v>6</v>
      </c>
      <c r="F1643">
        <v>188</v>
      </c>
      <c r="G1643">
        <v>2483</v>
      </c>
      <c r="H1643">
        <v>12</v>
      </c>
      <c r="I1643">
        <v>21.62</v>
      </c>
      <c r="J1643">
        <v>259.49</v>
      </c>
      <c r="K1643" t="s">
        <v>97</v>
      </c>
      <c r="L1643" t="s">
        <v>1191</v>
      </c>
      <c r="O1643" t="s">
        <v>81</v>
      </c>
      <c r="P1643" t="s">
        <v>81</v>
      </c>
      <c r="Q1643">
        <v>3</v>
      </c>
      <c r="R1643" t="s">
        <v>1135</v>
      </c>
      <c r="T1643" t="s">
        <v>38</v>
      </c>
      <c r="V1643" t="s">
        <v>921</v>
      </c>
      <c r="Z1643" t="s">
        <v>1136</v>
      </c>
      <c r="AA1643" t="s">
        <v>39</v>
      </c>
      <c r="AC1643" t="s">
        <v>1192</v>
      </c>
    </row>
    <row r="1644" spans="1:29" hidden="1" x14ac:dyDescent="0.25">
      <c r="A1644">
        <v>105</v>
      </c>
      <c r="B1644" t="s">
        <v>175</v>
      </c>
      <c r="C1644" t="s">
        <v>77</v>
      </c>
      <c r="D1644" t="s">
        <v>122</v>
      </c>
      <c r="E1644">
        <v>6</v>
      </c>
      <c r="F1644">
        <v>328</v>
      </c>
      <c r="G1644">
        <v>934</v>
      </c>
      <c r="H1644">
        <v>2</v>
      </c>
      <c r="I1644">
        <v>14.43</v>
      </c>
      <c r="J1644">
        <v>28.86</v>
      </c>
      <c r="K1644" t="s">
        <v>97</v>
      </c>
      <c r="L1644" t="s">
        <v>1193</v>
      </c>
      <c r="O1644" t="s">
        <v>81</v>
      </c>
      <c r="Q1644">
        <v>3</v>
      </c>
      <c r="R1644" t="s">
        <v>1135</v>
      </c>
      <c r="T1644" t="s">
        <v>38</v>
      </c>
      <c r="V1644" t="s">
        <v>921</v>
      </c>
      <c r="Z1644" t="s">
        <v>1136</v>
      </c>
      <c r="AA1644" t="s">
        <v>39</v>
      </c>
      <c r="AC1644" t="s">
        <v>1194</v>
      </c>
    </row>
    <row r="1645" spans="1:29" hidden="1" x14ac:dyDescent="0.25">
      <c r="A1645">
        <v>106</v>
      </c>
      <c r="B1645" t="s">
        <v>178</v>
      </c>
      <c r="C1645" t="s">
        <v>77</v>
      </c>
      <c r="D1645" t="s">
        <v>122</v>
      </c>
      <c r="E1645">
        <v>6</v>
      </c>
      <c r="F1645">
        <v>328</v>
      </c>
      <c r="G1645">
        <v>934</v>
      </c>
      <c r="H1645">
        <v>1</v>
      </c>
      <c r="I1645">
        <v>14.43</v>
      </c>
      <c r="J1645">
        <v>14.43</v>
      </c>
      <c r="K1645" t="s">
        <v>97</v>
      </c>
      <c r="L1645" t="s">
        <v>1193</v>
      </c>
      <c r="O1645" t="s">
        <v>81</v>
      </c>
      <c r="Q1645">
        <v>3</v>
      </c>
      <c r="R1645" t="s">
        <v>1135</v>
      </c>
      <c r="T1645" t="s">
        <v>38</v>
      </c>
      <c r="V1645" t="s">
        <v>921</v>
      </c>
      <c r="Z1645" t="s">
        <v>1136</v>
      </c>
      <c r="AA1645" t="s">
        <v>39</v>
      </c>
      <c r="AC1645" t="s">
        <v>1194</v>
      </c>
    </row>
    <row r="1646" spans="1:29" hidden="1" x14ac:dyDescent="0.25">
      <c r="A1646">
        <v>107</v>
      </c>
      <c r="B1646" t="s">
        <v>179</v>
      </c>
      <c r="C1646" t="s">
        <v>77</v>
      </c>
      <c r="D1646" t="s">
        <v>122</v>
      </c>
      <c r="E1646">
        <v>6</v>
      </c>
      <c r="F1646">
        <v>328</v>
      </c>
      <c r="G1646">
        <v>934</v>
      </c>
      <c r="H1646">
        <v>5</v>
      </c>
      <c r="I1646">
        <v>14.43</v>
      </c>
      <c r="J1646">
        <v>72.150000000000006</v>
      </c>
      <c r="K1646" t="s">
        <v>97</v>
      </c>
      <c r="L1646" t="s">
        <v>1193</v>
      </c>
      <c r="O1646" t="s">
        <v>81</v>
      </c>
      <c r="Q1646">
        <v>3</v>
      </c>
      <c r="R1646" t="s">
        <v>1135</v>
      </c>
      <c r="T1646" t="s">
        <v>38</v>
      </c>
      <c r="V1646" t="s">
        <v>921</v>
      </c>
      <c r="Z1646" t="s">
        <v>1136</v>
      </c>
      <c r="AA1646" t="s">
        <v>39</v>
      </c>
      <c r="AC1646" t="s">
        <v>1194</v>
      </c>
    </row>
    <row r="1647" spans="1:29" hidden="1" x14ac:dyDescent="0.25">
      <c r="A1647">
        <v>108</v>
      </c>
      <c r="B1647" t="s">
        <v>180</v>
      </c>
      <c r="C1647" t="s">
        <v>77</v>
      </c>
      <c r="D1647" t="s">
        <v>167</v>
      </c>
      <c r="E1647">
        <v>6</v>
      </c>
      <c r="F1647">
        <v>188</v>
      </c>
      <c r="G1647">
        <v>2483</v>
      </c>
      <c r="H1647">
        <v>28</v>
      </c>
      <c r="I1647">
        <v>21.62</v>
      </c>
      <c r="J1647">
        <v>605.47</v>
      </c>
      <c r="K1647" t="s">
        <v>97</v>
      </c>
      <c r="L1647" t="s">
        <v>1193</v>
      </c>
      <c r="O1647" t="s">
        <v>81</v>
      </c>
      <c r="P1647" t="s">
        <v>81</v>
      </c>
      <c r="Q1647">
        <v>3</v>
      </c>
      <c r="R1647" t="s">
        <v>1135</v>
      </c>
      <c r="T1647" t="s">
        <v>38</v>
      </c>
      <c r="V1647" t="s">
        <v>921</v>
      </c>
      <c r="Z1647" t="s">
        <v>1136</v>
      </c>
      <c r="AA1647" t="s">
        <v>39</v>
      </c>
      <c r="AC1647" t="s">
        <v>1194</v>
      </c>
    </row>
    <row r="1648" spans="1:29" hidden="1" x14ac:dyDescent="0.25">
      <c r="A1648">
        <v>109</v>
      </c>
      <c r="B1648" t="s">
        <v>175</v>
      </c>
      <c r="C1648" t="s">
        <v>77</v>
      </c>
      <c r="D1648" t="s">
        <v>122</v>
      </c>
      <c r="E1648">
        <v>6</v>
      </c>
      <c r="F1648">
        <v>328</v>
      </c>
      <c r="G1648">
        <v>934</v>
      </c>
      <c r="H1648">
        <v>2</v>
      </c>
      <c r="I1648">
        <v>14.43</v>
      </c>
      <c r="J1648">
        <v>28.86</v>
      </c>
      <c r="K1648" t="s">
        <v>97</v>
      </c>
      <c r="L1648" t="s">
        <v>1195</v>
      </c>
      <c r="O1648" t="s">
        <v>81</v>
      </c>
      <c r="Q1648">
        <v>3</v>
      </c>
      <c r="R1648" t="s">
        <v>1135</v>
      </c>
      <c r="T1648" t="s">
        <v>38</v>
      </c>
      <c r="V1648" t="s">
        <v>921</v>
      </c>
      <c r="Z1648" t="s">
        <v>1136</v>
      </c>
      <c r="AA1648" t="s">
        <v>39</v>
      </c>
      <c r="AC1648" t="s">
        <v>1196</v>
      </c>
    </row>
    <row r="1649" spans="1:29" hidden="1" x14ac:dyDescent="0.25">
      <c r="A1649">
        <v>110</v>
      </c>
      <c r="B1649" t="s">
        <v>178</v>
      </c>
      <c r="C1649" t="s">
        <v>77</v>
      </c>
      <c r="D1649" t="s">
        <v>122</v>
      </c>
      <c r="E1649">
        <v>6</v>
      </c>
      <c r="F1649">
        <v>328</v>
      </c>
      <c r="G1649">
        <v>934</v>
      </c>
      <c r="H1649">
        <v>1</v>
      </c>
      <c r="I1649">
        <v>14.43</v>
      </c>
      <c r="J1649">
        <v>14.43</v>
      </c>
      <c r="K1649" t="s">
        <v>97</v>
      </c>
      <c r="L1649" t="s">
        <v>1195</v>
      </c>
      <c r="O1649" t="s">
        <v>81</v>
      </c>
      <c r="Q1649">
        <v>3</v>
      </c>
      <c r="R1649" t="s">
        <v>1135</v>
      </c>
      <c r="T1649" t="s">
        <v>38</v>
      </c>
      <c r="V1649" t="s">
        <v>921</v>
      </c>
      <c r="Z1649" t="s">
        <v>1136</v>
      </c>
      <c r="AA1649" t="s">
        <v>39</v>
      </c>
      <c r="AC1649" t="s">
        <v>1196</v>
      </c>
    </row>
    <row r="1650" spans="1:29" hidden="1" x14ac:dyDescent="0.25">
      <c r="A1650">
        <v>111</v>
      </c>
      <c r="B1650" t="s">
        <v>179</v>
      </c>
      <c r="C1650" t="s">
        <v>77</v>
      </c>
      <c r="D1650" t="s">
        <v>122</v>
      </c>
      <c r="E1650">
        <v>6</v>
      </c>
      <c r="F1650">
        <v>328</v>
      </c>
      <c r="G1650">
        <v>934</v>
      </c>
      <c r="H1650">
        <v>1</v>
      </c>
      <c r="I1650">
        <v>14.43</v>
      </c>
      <c r="J1650">
        <v>14.43</v>
      </c>
      <c r="K1650" t="s">
        <v>97</v>
      </c>
      <c r="L1650" t="s">
        <v>1195</v>
      </c>
      <c r="O1650" t="s">
        <v>81</v>
      </c>
      <c r="Q1650">
        <v>3</v>
      </c>
      <c r="R1650" t="s">
        <v>1135</v>
      </c>
      <c r="T1650" t="s">
        <v>38</v>
      </c>
      <c r="V1650" t="s">
        <v>921</v>
      </c>
      <c r="Z1650" t="s">
        <v>1136</v>
      </c>
      <c r="AA1650" t="s">
        <v>39</v>
      </c>
      <c r="AC1650" t="s">
        <v>1196</v>
      </c>
    </row>
    <row r="1651" spans="1:29" hidden="1" x14ac:dyDescent="0.25">
      <c r="A1651">
        <v>112</v>
      </c>
      <c r="B1651" t="s">
        <v>185</v>
      </c>
      <c r="C1651" t="s">
        <v>77</v>
      </c>
      <c r="D1651" t="s">
        <v>167</v>
      </c>
      <c r="E1651">
        <v>6</v>
      </c>
      <c r="F1651">
        <v>188</v>
      </c>
      <c r="G1651">
        <v>2483</v>
      </c>
      <c r="H1651">
        <v>28</v>
      </c>
      <c r="I1651">
        <v>21.62</v>
      </c>
      <c r="J1651">
        <v>605.47</v>
      </c>
      <c r="K1651" t="s">
        <v>97</v>
      </c>
      <c r="L1651" t="s">
        <v>1195</v>
      </c>
      <c r="O1651" t="s">
        <v>81</v>
      </c>
      <c r="P1651" t="s">
        <v>81</v>
      </c>
      <c r="Q1651">
        <v>3</v>
      </c>
      <c r="R1651" t="s">
        <v>1135</v>
      </c>
      <c r="T1651" t="s">
        <v>38</v>
      </c>
      <c r="V1651" t="s">
        <v>921</v>
      </c>
      <c r="Z1651" t="s">
        <v>1136</v>
      </c>
      <c r="AA1651" t="s">
        <v>39</v>
      </c>
      <c r="AC1651" t="s">
        <v>1196</v>
      </c>
    </row>
    <row r="1652" spans="1:29" hidden="1" x14ac:dyDescent="0.25">
      <c r="A1652">
        <v>113</v>
      </c>
      <c r="B1652" t="s">
        <v>138</v>
      </c>
      <c r="C1652" t="s">
        <v>77</v>
      </c>
      <c r="D1652" t="s">
        <v>122</v>
      </c>
      <c r="E1652">
        <v>6</v>
      </c>
      <c r="F1652">
        <v>328</v>
      </c>
      <c r="G1652">
        <v>934</v>
      </c>
      <c r="H1652">
        <v>2</v>
      </c>
      <c r="I1652">
        <v>14.43</v>
      </c>
      <c r="J1652">
        <v>28.86</v>
      </c>
      <c r="K1652" t="s">
        <v>97</v>
      </c>
      <c r="L1652" t="s">
        <v>1195</v>
      </c>
      <c r="O1652" t="s">
        <v>81</v>
      </c>
      <c r="Q1652">
        <v>3</v>
      </c>
      <c r="R1652" t="s">
        <v>1135</v>
      </c>
      <c r="T1652" t="s">
        <v>38</v>
      </c>
      <c r="V1652" t="s">
        <v>921</v>
      </c>
      <c r="Z1652" t="s">
        <v>1136</v>
      </c>
      <c r="AA1652" t="s">
        <v>39</v>
      </c>
      <c r="AC1652" t="s">
        <v>1196</v>
      </c>
    </row>
    <row r="1653" spans="1:29" hidden="1" x14ac:dyDescent="0.25">
      <c r="A1653">
        <v>114</v>
      </c>
      <c r="B1653" t="s">
        <v>154</v>
      </c>
      <c r="C1653" t="s">
        <v>77</v>
      </c>
      <c r="D1653" t="s">
        <v>122</v>
      </c>
      <c r="E1653">
        <v>6</v>
      </c>
      <c r="F1653">
        <v>328</v>
      </c>
      <c r="G1653">
        <v>934</v>
      </c>
      <c r="H1653">
        <v>2</v>
      </c>
      <c r="I1653">
        <v>14.43</v>
      </c>
      <c r="J1653">
        <v>28.86</v>
      </c>
      <c r="K1653" t="s">
        <v>97</v>
      </c>
      <c r="L1653" t="s">
        <v>1195</v>
      </c>
      <c r="O1653" t="s">
        <v>81</v>
      </c>
      <c r="Q1653">
        <v>3</v>
      </c>
      <c r="R1653" t="s">
        <v>1135</v>
      </c>
      <c r="T1653" t="s">
        <v>38</v>
      </c>
      <c r="V1653" t="s">
        <v>921</v>
      </c>
      <c r="Z1653" t="s">
        <v>1136</v>
      </c>
      <c r="AA1653" t="s">
        <v>39</v>
      </c>
      <c r="AC1653" t="s">
        <v>1196</v>
      </c>
    </row>
    <row r="1654" spans="1:29" hidden="1" x14ac:dyDescent="0.25">
      <c r="A1654">
        <v>115</v>
      </c>
      <c r="B1654" t="s">
        <v>186</v>
      </c>
      <c r="C1654" t="s">
        <v>77</v>
      </c>
      <c r="D1654" t="s">
        <v>159</v>
      </c>
      <c r="E1654">
        <v>6</v>
      </c>
      <c r="F1654">
        <v>328</v>
      </c>
      <c r="G1654">
        <v>894</v>
      </c>
      <c r="H1654">
        <v>2</v>
      </c>
      <c r="I1654">
        <v>13.81</v>
      </c>
      <c r="J1654">
        <v>27.62</v>
      </c>
      <c r="K1654" t="s">
        <v>97</v>
      </c>
      <c r="L1654" t="s">
        <v>1197</v>
      </c>
      <c r="O1654" t="s">
        <v>81</v>
      </c>
      <c r="Q1654">
        <v>3</v>
      </c>
      <c r="R1654" t="s">
        <v>1135</v>
      </c>
      <c r="T1654" t="s">
        <v>38</v>
      </c>
      <c r="V1654" t="s">
        <v>921</v>
      </c>
      <c r="Z1654" t="s">
        <v>1136</v>
      </c>
      <c r="AA1654" t="s">
        <v>39</v>
      </c>
      <c r="AC1654" t="s">
        <v>1198</v>
      </c>
    </row>
    <row r="1655" spans="1:29" hidden="1" x14ac:dyDescent="0.25">
      <c r="A1655">
        <v>116</v>
      </c>
      <c r="B1655" t="s">
        <v>189</v>
      </c>
      <c r="C1655" t="s">
        <v>77</v>
      </c>
      <c r="D1655" t="s">
        <v>190</v>
      </c>
      <c r="E1655">
        <v>6</v>
      </c>
      <c r="F1655">
        <v>188</v>
      </c>
      <c r="G1655">
        <v>2481</v>
      </c>
      <c r="H1655">
        <v>2</v>
      </c>
      <c r="I1655">
        <v>21.61</v>
      </c>
      <c r="J1655">
        <v>43.22</v>
      </c>
      <c r="K1655" t="s">
        <v>97</v>
      </c>
      <c r="L1655" t="s">
        <v>1197</v>
      </c>
      <c r="O1655" t="s">
        <v>81</v>
      </c>
      <c r="P1655" t="s">
        <v>81</v>
      </c>
      <c r="Q1655">
        <v>3</v>
      </c>
      <c r="R1655" t="s">
        <v>1135</v>
      </c>
      <c r="T1655" t="s">
        <v>38</v>
      </c>
      <c r="V1655" t="s">
        <v>921</v>
      </c>
      <c r="Z1655" t="s">
        <v>1136</v>
      </c>
      <c r="AA1655" t="s">
        <v>39</v>
      </c>
      <c r="AC1655" t="s">
        <v>1198</v>
      </c>
    </row>
    <row r="1656" spans="1:29" hidden="1" x14ac:dyDescent="0.25">
      <c r="A1656">
        <v>117</v>
      </c>
      <c r="B1656" t="s">
        <v>191</v>
      </c>
      <c r="C1656" t="s">
        <v>77</v>
      </c>
      <c r="D1656" t="s">
        <v>190</v>
      </c>
      <c r="E1656">
        <v>6</v>
      </c>
      <c r="F1656">
        <v>188</v>
      </c>
      <c r="G1656">
        <v>2481</v>
      </c>
      <c r="H1656">
        <v>2</v>
      </c>
      <c r="I1656">
        <v>21.61</v>
      </c>
      <c r="J1656">
        <v>43.22</v>
      </c>
      <c r="K1656" t="s">
        <v>97</v>
      </c>
      <c r="L1656" t="s">
        <v>1197</v>
      </c>
      <c r="O1656" t="s">
        <v>81</v>
      </c>
      <c r="P1656" t="s">
        <v>81</v>
      </c>
      <c r="Q1656">
        <v>3</v>
      </c>
      <c r="R1656" t="s">
        <v>1135</v>
      </c>
      <c r="T1656" t="s">
        <v>38</v>
      </c>
      <c r="V1656" t="s">
        <v>921</v>
      </c>
      <c r="Z1656" t="s">
        <v>1136</v>
      </c>
      <c r="AA1656" t="s">
        <v>39</v>
      </c>
      <c r="AC1656" t="s">
        <v>1198</v>
      </c>
    </row>
    <row r="1657" spans="1:29" hidden="1" x14ac:dyDescent="0.25">
      <c r="A1657">
        <v>118</v>
      </c>
      <c r="B1657" t="s">
        <v>192</v>
      </c>
      <c r="C1657" t="s">
        <v>77</v>
      </c>
      <c r="D1657" t="s">
        <v>193</v>
      </c>
      <c r="E1657">
        <v>6</v>
      </c>
      <c r="F1657">
        <v>188</v>
      </c>
      <c r="G1657">
        <v>2480</v>
      </c>
      <c r="H1657">
        <v>2</v>
      </c>
      <c r="I1657">
        <v>21.6</v>
      </c>
      <c r="J1657">
        <v>43.2</v>
      </c>
      <c r="K1657" t="s">
        <v>97</v>
      </c>
      <c r="L1657" t="s">
        <v>1197</v>
      </c>
      <c r="O1657" t="s">
        <v>81</v>
      </c>
      <c r="P1657" t="s">
        <v>81</v>
      </c>
      <c r="Q1657">
        <v>3</v>
      </c>
      <c r="R1657" t="s">
        <v>1135</v>
      </c>
      <c r="T1657" t="s">
        <v>38</v>
      </c>
      <c r="V1657" t="s">
        <v>921</v>
      </c>
      <c r="Z1657" t="s">
        <v>1136</v>
      </c>
      <c r="AA1657" t="s">
        <v>39</v>
      </c>
      <c r="AC1657" t="s">
        <v>1198</v>
      </c>
    </row>
    <row r="1658" spans="1:29" hidden="1" x14ac:dyDescent="0.25">
      <c r="A1658">
        <v>119</v>
      </c>
      <c r="B1658" t="s">
        <v>194</v>
      </c>
      <c r="C1658" t="s">
        <v>77</v>
      </c>
      <c r="D1658" t="s">
        <v>193</v>
      </c>
      <c r="E1658">
        <v>6</v>
      </c>
      <c r="F1658">
        <v>188</v>
      </c>
      <c r="G1658">
        <v>2480</v>
      </c>
      <c r="H1658">
        <v>2</v>
      </c>
      <c r="I1658">
        <v>21.6</v>
      </c>
      <c r="J1658">
        <v>43.21</v>
      </c>
      <c r="K1658" t="s">
        <v>97</v>
      </c>
      <c r="L1658" t="s">
        <v>1197</v>
      </c>
      <c r="O1658" t="s">
        <v>81</v>
      </c>
      <c r="P1658" t="s">
        <v>81</v>
      </c>
      <c r="Q1658">
        <v>3</v>
      </c>
      <c r="R1658" t="s">
        <v>1135</v>
      </c>
      <c r="T1658" t="s">
        <v>38</v>
      </c>
      <c r="V1658" t="s">
        <v>921</v>
      </c>
      <c r="Z1658" t="s">
        <v>1136</v>
      </c>
      <c r="AA1658" t="s">
        <v>39</v>
      </c>
      <c r="AC1658" t="s">
        <v>1198</v>
      </c>
    </row>
    <row r="1659" spans="1:29" hidden="1" x14ac:dyDescent="0.25">
      <c r="A1659">
        <v>120</v>
      </c>
      <c r="B1659" t="s">
        <v>195</v>
      </c>
      <c r="C1659" t="s">
        <v>77</v>
      </c>
      <c r="D1659" t="s">
        <v>122</v>
      </c>
      <c r="E1659">
        <v>6</v>
      </c>
      <c r="F1659">
        <v>328</v>
      </c>
      <c r="G1659">
        <v>934</v>
      </c>
      <c r="H1659">
        <v>2</v>
      </c>
      <c r="I1659">
        <v>14.43</v>
      </c>
      <c r="J1659">
        <v>28.86</v>
      </c>
      <c r="K1659" t="s">
        <v>97</v>
      </c>
      <c r="L1659" t="s">
        <v>1197</v>
      </c>
      <c r="O1659" t="s">
        <v>81</v>
      </c>
      <c r="Q1659">
        <v>3</v>
      </c>
      <c r="R1659" t="s">
        <v>1135</v>
      </c>
      <c r="T1659" t="s">
        <v>38</v>
      </c>
      <c r="V1659" t="s">
        <v>921</v>
      </c>
      <c r="Z1659" t="s">
        <v>1136</v>
      </c>
      <c r="AA1659" t="s">
        <v>39</v>
      </c>
      <c r="AC1659" t="s">
        <v>1198</v>
      </c>
    </row>
    <row r="1660" spans="1:29" hidden="1" x14ac:dyDescent="0.25">
      <c r="A1660">
        <v>121</v>
      </c>
      <c r="B1660" t="s">
        <v>185</v>
      </c>
      <c r="C1660" t="s">
        <v>77</v>
      </c>
      <c r="D1660" t="s">
        <v>167</v>
      </c>
      <c r="E1660">
        <v>6</v>
      </c>
      <c r="F1660">
        <v>188</v>
      </c>
      <c r="G1660">
        <v>2483</v>
      </c>
      <c r="H1660">
        <v>12</v>
      </c>
      <c r="I1660">
        <v>21.62</v>
      </c>
      <c r="J1660">
        <v>259.49</v>
      </c>
      <c r="K1660" t="s">
        <v>97</v>
      </c>
      <c r="L1660" t="s">
        <v>1197</v>
      </c>
      <c r="O1660" t="s">
        <v>81</v>
      </c>
      <c r="P1660" t="s">
        <v>81</v>
      </c>
      <c r="Q1660">
        <v>3</v>
      </c>
      <c r="R1660" t="s">
        <v>1135</v>
      </c>
      <c r="T1660" t="s">
        <v>38</v>
      </c>
      <c r="V1660" t="s">
        <v>921</v>
      </c>
      <c r="Z1660" t="s">
        <v>1136</v>
      </c>
      <c r="AA1660" t="s">
        <v>39</v>
      </c>
      <c r="AC1660" t="s">
        <v>1198</v>
      </c>
    </row>
    <row r="1661" spans="1:29" hidden="1" x14ac:dyDescent="0.25">
      <c r="A1661">
        <v>122</v>
      </c>
      <c r="B1661" t="s">
        <v>164</v>
      </c>
      <c r="C1661" t="s">
        <v>77</v>
      </c>
      <c r="D1661" t="s">
        <v>159</v>
      </c>
      <c r="E1661">
        <v>6</v>
      </c>
      <c r="F1661">
        <v>328</v>
      </c>
      <c r="G1661">
        <v>894</v>
      </c>
      <c r="H1661">
        <v>1</v>
      </c>
      <c r="I1661">
        <v>13.81</v>
      </c>
      <c r="J1661">
        <v>13.81</v>
      </c>
      <c r="K1661" t="s">
        <v>97</v>
      </c>
      <c r="L1661" t="s">
        <v>1197</v>
      </c>
      <c r="O1661" t="s">
        <v>81</v>
      </c>
      <c r="Q1661">
        <v>3</v>
      </c>
      <c r="R1661" t="s">
        <v>1135</v>
      </c>
      <c r="T1661" t="s">
        <v>38</v>
      </c>
      <c r="V1661" t="s">
        <v>921</v>
      </c>
      <c r="Z1661" t="s">
        <v>1136</v>
      </c>
      <c r="AA1661" t="s">
        <v>39</v>
      </c>
      <c r="AC1661" t="s">
        <v>1198</v>
      </c>
    </row>
    <row r="1662" spans="1:29" hidden="1" x14ac:dyDescent="0.25">
      <c r="A1662">
        <v>123</v>
      </c>
      <c r="B1662" t="s">
        <v>196</v>
      </c>
      <c r="C1662" t="s">
        <v>77</v>
      </c>
      <c r="D1662" t="s">
        <v>159</v>
      </c>
      <c r="E1662">
        <v>6</v>
      </c>
      <c r="F1662">
        <v>328</v>
      </c>
      <c r="G1662">
        <v>894</v>
      </c>
      <c r="H1662">
        <v>1</v>
      </c>
      <c r="I1662">
        <v>13.81</v>
      </c>
      <c r="J1662">
        <v>13.81</v>
      </c>
      <c r="K1662" t="s">
        <v>97</v>
      </c>
      <c r="L1662" t="s">
        <v>1197</v>
      </c>
      <c r="O1662" t="s">
        <v>81</v>
      </c>
      <c r="Q1662">
        <v>3</v>
      </c>
      <c r="R1662" t="s">
        <v>1135</v>
      </c>
      <c r="T1662" t="s">
        <v>38</v>
      </c>
      <c r="V1662" t="s">
        <v>921</v>
      </c>
      <c r="Z1662" t="s">
        <v>1136</v>
      </c>
      <c r="AA1662" t="s">
        <v>39</v>
      </c>
      <c r="AC1662" t="s">
        <v>1198</v>
      </c>
    </row>
    <row r="1663" spans="1:29" hidden="1" x14ac:dyDescent="0.25">
      <c r="A1663">
        <v>124</v>
      </c>
      <c r="B1663" t="s">
        <v>197</v>
      </c>
      <c r="C1663" t="s">
        <v>77</v>
      </c>
      <c r="D1663" t="s">
        <v>190</v>
      </c>
      <c r="E1663">
        <v>6</v>
      </c>
      <c r="F1663">
        <v>188</v>
      </c>
      <c r="G1663">
        <v>2481</v>
      </c>
      <c r="H1663">
        <v>2</v>
      </c>
      <c r="I1663">
        <v>21.61</v>
      </c>
      <c r="J1663">
        <v>43.22</v>
      </c>
      <c r="K1663" t="s">
        <v>97</v>
      </c>
      <c r="L1663" t="s">
        <v>1197</v>
      </c>
      <c r="O1663" t="s">
        <v>81</v>
      </c>
      <c r="P1663" t="s">
        <v>81</v>
      </c>
      <c r="Q1663">
        <v>3</v>
      </c>
      <c r="R1663" t="s">
        <v>1135</v>
      </c>
      <c r="T1663" t="s">
        <v>38</v>
      </c>
      <c r="V1663" t="s">
        <v>921</v>
      </c>
      <c r="Z1663" t="s">
        <v>1136</v>
      </c>
      <c r="AA1663" t="s">
        <v>39</v>
      </c>
      <c r="AC1663" t="s">
        <v>1198</v>
      </c>
    </row>
    <row r="1664" spans="1:29" hidden="1" x14ac:dyDescent="0.25">
      <c r="A1664">
        <v>125</v>
      </c>
      <c r="B1664" t="s">
        <v>198</v>
      </c>
      <c r="C1664" t="s">
        <v>77</v>
      </c>
      <c r="D1664" t="s">
        <v>190</v>
      </c>
      <c r="E1664">
        <v>6</v>
      </c>
      <c r="F1664">
        <v>188</v>
      </c>
      <c r="G1664">
        <v>2481</v>
      </c>
      <c r="H1664">
        <v>2</v>
      </c>
      <c r="I1664">
        <v>21.61</v>
      </c>
      <c r="J1664">
        <v>43.22</v>
      </c>
      <c r="K1664" t="s">
        <v>97</v>
      </c>
      <c r="L1664" t="s">
        <v>1197</v>
      </c>
      <c r="O1664" t="s">
        <v>81</v>
      </c>
      <c r="P1664" t="s">
        <v>81</v>
      </c>
      <c r="Q1664">
        <v>3</v>
      </c>
      <c r="R1664" t="s">
        <v>1135</v>
      </c>
      <c r="T1664" t="s">
        <v>38</v>
      </c>
      <c r="V1664" t="s">
        <v>921</v>
      </c>
      <c r="Z1664" t="s">
        <v>1136</v>
      </c>
      <c r="AA1664" t="s">
        <v>39</v>
      </c>
      <c r="AC1664" t="s">
        <v>1198</v>
      </c>
    </row>
    <row r="1665" spans="1:29" hidden="1" x14ac:dyDescent="0.25">
      <c r="A1665">
        <v>126</v>
      </c>
      <c r="B1665" t="s">
        <v>199</v>
      </c>
      <c r="C1665" t="s">
        <v>77</v>
      </c>
      <c r="D1665" t="s">
        <v>193</v>
      </c>
      <c r="E1665">
        <v>6</v>
      </c>
      <c r="F1665">
        <v>188</v>
      </c>
      <c r="G1665">
        <v>2480</v>
      </c>
      <c r="H1665">
        <v>2</v>
      </c>
      <c r="I1665">
        <v>21.6</v>
      </c>
      <c r="J1665">
        <v>43.2</v>
      </c>
      <c r="K1665" t="s">
        <v>97</v>
      </c>
      <c r="L1665" t="s">
        <v>1197</v>
      </c>
      <c r="O1665" t="s">
        <v>81</v>
      </c>
      <c r="P1665" t="s">
        <v>81</v>
      </c>
      <c r="Q1665">
        <v>3</v>
      </c>
      <c r="R1665" t="s">
        <v>1135</v>
      </c>
      <c r="T1665" t="s">
        <v>38</v>
      </c>
      <c r="V1665" t="s">
        <v>921</v>
      </c>
      <c r="Z1665" t="s">
        <v>1136</v>
      </c>
      <c r="AA1665" t="s">
        <v>39</v>
      </c>
      <c r="AC1665" t="s">
        <v>1198</v>
      </c>
    </row>
    <row r="1666" spans="1:29" hidden="1" x14ac:dyDescent="0.25">
      <c r="A1666">
        <v>127</v>
      </c>
      <c r="B1666" t="s">
        <v>200</v>
      </c>
      <c r="C1666" t="s">
        <v>77</v>
      </c>
      <c r="D1666" t="s">
        <v>193</v>
      </c>
      <c r="E1666">
        <v>6</v>
      </c>
      <c r="F1666">
        <v>188</v>
      </c>
      <c r="G1666">
        <v>2480</v>
      </c>
      <c r="H1666">
        <v>2</v>
      </c>
      <c r="I1666">
        <v>21.6</v>
      </c>
      <c r="J1666">
        <v>43.21</v>
      </c>
      <c r="K1666" t="s">
        <v>97</v>
      </c>
      <c r="L1666" t="s">
        <v>1197</v>
      </c>
      <c r="O1666" t="s">
        <v>81</v>
      </c>
      <c r="P1666" t="s">
        <v>81</v>
      </c>
      <c r="Q1666">
        <v>3</v>
      </c>
      <c r="R1666" t="s">
        <v>1135</v>
      </c>
      <c r="T1666" t="s">
        <v>38</v>
      </c>
      <c r="V1666" t="s">
        <v>921</v>
      </c>
      <c r="Z1666" t="s">
        <v>1136</v>
      </c>
      <c r="AA1666" t="s">
        <v>39</v>
      </c>
      <c r="AC1666" t="s">
        <v>1198</v>
      </c>
    </row>
    <row r="1667" spans="1:29" hidden="1" x14ac:dyDescent="0.25">
      <c r="A1667">
        <v>128</v>
      </c>
      <c r="B1667" t="s">
        <v>201</v>
      </c>
      <c r="C1667" t="s">
        <v>77</v>
      </c>
      <c r="D1667" t="s">
        <v>159</v>
      </c>
      <c r="E1667">
        <v>6</v>
      </c>
      <c r="F1667">
        <v>328</v>
      </c>
      <c r="G1667">
        <v>894</v>
      </c>
      <c r="H1667">
        <v>2</v>
      </c>
      <c r="I1667">
        <v>13.81</v>
      </c>
      <c r="J1667">
        <v>27.62</v>
      </c>
      <c r="K1667" t="s">
        <v>97</v>
      </c>
      <c r="L1667" t="s">
        <v>1197</v>
      </c>
      <c r="O1667" t="s">
        <v>81</v>
      </c>
      <c r="Q1667">
        <v>3</v>
      </c>
      <c r="R1667" t="s">
        <v>1135</v>
      </c>
      <c r="T1667" t="s">
        <v>38</v>
      </c>
      <c r="V1667" t="s">
        <v>921</v>
      </c>
      <c r="Z1667" t="s">
        <v>1136</v>
      </c>
      <c r="AA1667" t="s">
        <v>39</v>
      </c>
      <c r="AC1667" t="s">
        <v>1198</v>
      </c>
    </row>
    <row r="1668" spans="1:29" hidden="1" x14ac:dyDescent="0.25">
      <c r="A1668">
        <v>129</v>
      </c>
      <c r="B1668" t="s">
        <v>116</v>
      </c>
      <c r="C1668" t="s">
        <v>77</v>
      </c>
      <c r="D1668" t="s">
        <v>117</v>
      </c>
      <c r="E1668">
        <v>6</v>
      </c>
      <c r="F1668">
        <v>298</v>
      </c>
      <c r="G1668">
        <v>378</v>
      </c>
      <c r="H1668">
        <v>2</v>
      </c>
      <c r="I1668">
        <v>5.27</v>
      </c>
      <c r="J1668">
        <v>10.54</v>
      </c>
      <c r="K1668" t="s">
        <v>97</v>
      </c>
      <c r="L1668" t="s">
        <v>1197</v>
      </c>
      <c r="Q1668">
        <v>3</v>
      </c>
      <c r="R1668" t="s">
        <v>1135</v>
      </c>
      <c r="T1668" t="s">
        <v>38</v>
      </c>
      <c r="V1668" t="s">
        <v>921</v>
      </c>
      <c r="W1668" t="s">
        <v>81</v>
      </c>
      <c r="Z1668" t="s">
        <v>1136</v>
      </c>
      <c r="AA1668" t="s">
        <v>39</v>
      </c>
      <c r="AC1668" t="s">
        <v>1198</v>
      </c>
    </row>
    <row r="1669" spans="1:29" hidden="1" x14ac:dyDescent="0.25">
      <c r="A1669">
        <v>130</v>
      </c>
      <c r="B1669" t="s">
        <v>202</v>
      </c>
      <c r="C1669" t="s">
        <v>77</v>
      </c>
      <c r="D1669" t="s">
        <v>203</v>
      </c>
      <c r="E1669">
        <v>6</v>
      </c>
      <c r="F1669">
        <v>188</v>
      </c>
      <c r="G1669">
        <v>2348</v>
      </c>
      <c r="H1669">
        <v>8</v>
      </c>
      <c r="I1669">
        <v>20.61</v>
      </c>
      <c r="J1669">
        <v>164.9</v>
      </c>
      <c r="K1669" t="s">
        <v>97</v>
      </c>
      <c r="L1669" t="s">
        <v>1199</v>
      </c>
      <c r="O1669" t="s">
        <v>81</v>
      </c>
      <c r="P1669" t="s">
        <v>81</v>
      </c>
      <c r="Q1669">
        <v>3</v>
      </c>
      <c r="R1669" t="s">
        <v>1135</v>
      </c>
      <c r="T1669" t="s">
        <v>38</v>
      </c>
      <c r="V1669" t="s">
        <v>921</v>
      </c>
      <c r="Z1669" t="s">
        <v>1136</v>
      </c>
      <c r="AA1669" t="s">
        <v>39</v>
      </c>
      <c r="AC1669" t="s">
        <v>1200</v>
      </c>
    </row>
    <row r="1670" spans="1:29" hidden="1" x14ac:dyDescent="0.25">
      <c r="A1670">
        <v>131</v>
      </c>
      <c r="B1670" t="s">
        <v>206</v>
      </c>
      <c r="C1670" t="s">
        <v>77</v>
      </c>
      <c r="D1670" t="s">
        <v>203</v>
      </c>
      <c r="E1670">
        <v>6</v>
      </c>
      <c r="F1670">
        <v>188</v>
      </c>
      <c r="G1670">
        <v>2348</v>
      </c>
      <c r="H1670">
        <v>2</v>
      </c>
      <c r="I1670">
        <v>20.62</v>
      </c>
      <c r="J1670">
        <v>41.23</v>
      </c>
      <c r="K1670" t="s">
        <v>97</v>
      </c>
      <c r="L1670" t="s">
        <v>1199</v>
      </c>
      <c r="O1670" t="s">
        <v>81</v>
      </c>
      <c r="P1670" t="s">
        <v>81</v>
      </c>
      <c r="Q1670">
        <v>3</v>
      </c>
      <c r="R1670" t="s">
        <v>1135</v>
      </c>
      <c r="T1670" t="s">
        <v>38</v>
      </c>
      <c r="V1670" t="s">
        <v>921</v>
      </c>
      <c r="Z1670" t="s">
        <v>1136</v>
      </c>
      <c r="AA1670" t="s">
        <v>39</v>
      </c>
      <c r="AC1670" t="s">
        <v>1200</v>
      </c>
    </row>
    <row r="1671" spans="1:29" hidden="1" x14ac:dyDescent="0.25">
      <c r="A1671">
        <v>132</v>
      </c>
      <c r="B1671" t="s">
        <v>207</v>
      </c>
      <c r="C1671" t="s">
        <v>77</v>
      </c>
      <c r="D1671" t="s">
        <v>203</v>
      </c>
      <c r="E1671">
        <v>6</v>
      </c>
      <c r="F1671">
        <v>188</v>
      </c>
      <c r="G1671">
        <v>2348</v>
      </c>
      <c r="H1671">
        <v>1</v>
      </c>
      <c r="I1671">
        <v>20.61</v>
      </c>
      <c r="J1671">
        <v>20.61</v>
      </c>
      <c r="K1671" t="s">
        <v>97</v>
      </c>
      <c r="L1671" t="s">
        <v>1199</v>
      </c>
      <c r="O1671" t="s">
        <v>81</v>
      </c>
      <c r="P1671" t="s">
        <v>81</v>
      </c>
      <c r="Q1671">
        <v>3</v>
      </c>
      <c r="R1671" t="s">
        <v>1135</v>
      </c>
      <c r="T1671" t="s">
        <v>38</v>
      </c>
      <c r="V1671" t="s">
        <v>921</v>
      </c>
      <c r="Z1671" t="s">
        <v>1136</v>
      </c>
      <c r="AA1671" t="s">
        <v>39</v>
      </c>
      <c r="AC1671" t="s">
        <v>1200</v>
      </c>
    </row>
    <row r="1672" spans="1:29" hidden="1" x14ac:dyDescent="0.25">
      <c r="A1672">
        <v>133</v>
      </c>
      <c r="B1672" t="s">
        <v>208</v>
      </c>
      <c r="C1672" t="s">
        <v>77</v>
      </c>
      <c r="D1672" t="s">
        <v>203</v>
      </c>
      <c r="E1672">
        <v>6</v>
      </c>
      <c r="F1672">
        <v>188</v>
      </c>
      <c r="G1672">
        <v>2348</v>
      </c>
      <c r="H1672">
        <v>6</v>
      </c>
      <c r="I1672">
        <v>20.61</v>
      </c>
      <c r="J1672">
        <v>123.67</v>
      </c>
      <c r="K1672" t="s">
        <v>97</v>
      </c>
      <c r="L1672" t="s">
        <v>1199</v>
      </c>
      <c r="O1672" t="s">
        <v>81</v>
      </c>
      <c r="P1672" t="s">
        <v>81</v>
      </c>
      <c r="Q1672">
        <v>3</v>
      </c>
      <c r="R1672" t="s">
        <v>1135</v>
      </c>
      <c r="T1672" t="s">
        <v>38</v>
      </c>
      <c r="V1672" t="s">
        <v>921</v>
      </c>
      <c r="Z1672" t="s">
        <v>1136</v>
      </c>
      <c r="AA1672" t="s">
        <v>39</v>
      </c>
      <c r="AC1672" t="s">
        <v>1200</v>
      </c>
    </row>
    <row r="1673" spans="1:29" hidden="1" x14ac:dyDescent="0.25">
      <c r="A1673">
        <v>134</v>
      </c>
      <c r="B1673" t="s">
        <v>209</v>
      </c>
      <c r="C1673" t="s">
        <v>77</v>
      </c>
      <c r="D1673" t="s">
        <v>203</v>
      </c>
      <c r="E1673">
        <v>6</v>
      </c>
      <c r="F1673">
        <v>188</v>
      </c>
      <c r="G1673">
        <v>2348</v>
      </c>
      <c r="H1673">
        <v>6</v>
      </c>
      <c r="I1673">
        <v>20.61</v>
      </c>
      <c r="J1673">
        <v>123.67</v>
      </c>
      <c r="K1673" t="s">
        <v>97</v>
      </c>
      <c r="L1673" t="s">
        <v>1199</v>
      </c>
      <c r="O1673" t="s">
        <v>81</v>
      </c>
      <c r="P1673" t="s">
        <v>81</v>
      </c>
      <c r="Q1673">
        <v>3</v>
      </c>
      <c r="R1673" t="s">
        <v>1135</v>
      </c>
      <c r="T1673" t="s">
        <v>38</v>
      </c>
      <c r="V1673" t="s">
        <v>921</v>
      </c>
      <c r="Z1673" t="s">
        <v>1136</v>
      </c>
      <c r="AA1673" t="s">
        <v>39</v>
      </c>
      <c r="AC1673" t="s">
        <v>1200</v>
      </c>
    </row>
    <row r="1674" spans="1:29" hidden="1" x14ac:dyDescent="0.25">
      <c r="A1674">
        <v>135</v>
      </c>
      <c r="B1674" t="s">
        <v>210</v>
      </c>
      <c r="C1674" t="s">
        <v>77</v>
      </c>
      <c r="D1674" t="s">
        <v>203</v>
      </c>
      <c r="E1674">
        <v>6</v>
      </c>
      <c r="F1674">
        <v>188</v>
      </c>
      <c r="G1674">
        <v>2348</v>
      </c>
      <c r="H1674">
        <v>8</v>
      </c>
      <c r="I1674">
        <v>20.61</v>
      </c>
      <c r="J1674">
        <v>164.9</v>
      </c>
      <c r="K1674" t="s">
        <v>97</v>
      </c>
      <c r="L1674" t="s">
        <v>1199</v>
      </c>
      <c r="O1674" t="s">
        <v>81</v>
      </c>
      <c r="P1674" t="s">
        <v>81</v>
      </c>
      <c r="Q1674">
        <v>3</v>
      </c>
      <c r="R1674" t="s">
        <v>1135</v>
      </c>
      <c r="T1674" t="s">
        <v>38</v>
      </c>
      <c r="V1674" t="s">
        <v>921</v>
      </c>
      <c r="Z1674" t="s">
        <v>1136</v>
      </c>
      <c r="AA1674" t="s">
        <v>39</v>
      </c>
      <c r="AC1674" t="s">
        <v>1200</v>
      </c>
    </row>
    <row r="1675" spans="1:29" hidden="1" x14ac:dyDescent="0.25">
      <c r="A1675">
        <v>136</v>
      </c>
      <c r="B1675" t="s">
        <v>211</v>
      </c>
      <c r="C1675" t="s">
        <v>77</v>
      </c>
      <c r="D1675" t="s">
        <v>203</v>
      </c>
      <c r="E1675">
        <v>6</v>
      </c>
      <c r="F1675">
        <v>188</v>
      </c>
      <c r="G1675">
        <v>2348</v>
      </c>
      <c r="H1675">
        <v>4</v>
      </c>
      <c r="I1675">
        <v>20.61</v>
      </c>
      <c r="J1675">
        <v>82.45</v>
      </c>
      <c r="K1675" t="s">
        <v>97</v>
      </c>
      <c r="L1675" t="s">
        <v>1199</v>
      </c>
      <c r="O1675" t="s">
        <v>81</v>
      </c>
      <c r="P1675" t="s">
        <v>81</v>
      </c>
      <c r="Q1675">
        <v>3</v>
      </c>
      <c r="R1675" t="s">
        <v>1135</v>
      </c>
      <c r="T1675" t="s">
        <v>38</v>
      </c>
      <c r="V1675" t="s">
        <v>921</v>
      </c>
      <c r="Z1675" t="s">
        <v>1136</v>
      </c>
      <c r="AA1675" t="s">
        <v>39</v>
      </c>
      <c r="AC1675" t="s">
        <v>1200</v>
      </c>
    </row>
    <row r="1676" spans="1:29" hidden="1" x14ac:dyDescent="0.25">
      <c r="A1676">
        <v>137</v>
      </c>
      <c r="B1676" t="s">
        <v>123</v>
      </c>
      <c r="C1676" t="s">
        <v>77</v>
      </c>
      <c r="D1676" t="s">
        <v>117</v>
      </c>
      <c r="E1676">
        <v>6</v>
      </c>
      <c r="F1676">
        <v>298</v>
      </c>
      <c r="G1676">
        <v>378</v>
      </c>
      <c r="H1676">
        <v>2</v>
      </c>
      <c r="I1676">
        <v>5.27</v>
      </c>
      <c r="J1676">
        <v>10.54</v>
      </c>
      <c r="K1676" t="s">
        <v>97</v>
      </c>
      <c r="L1676" t="s">
        <v>1199</v>
      </c>
      <c r="Q1676">
        <v>3</v>
      </c>
      <c r="R1676" t="s">
        <v>1135</v>
      </c>
      <c r="T1676" t="s">
        <v>38</v>
      </c>
      <c r="V1676" t="s">
        <v>921</v>
      </c>
      <c r="W1676" t="s">
        <v>81</v>
      </c>
      <c r="Z1676" t="s">
        <v>1136</v>
      </c>
      <c r="AA1676" t="s">
        <v>39</v>
      </c>
      <c r="AC1676" t="s">
        <v>1200</v>
      </c>
    </row>
    <row r="1677" spans="1:29" hidden="1" x14ac:dyDescent="0.25">
      <c r="A1677">
        <v>138</v>
      </c>
      <c r="B1677" t="s">
        <v>171</v>
      </c>
      <c r="C1677" t="s">
        <v>77</v>
      </c>
      <c r="D1677" t="s">
        <v>117</v>
      </c>
      <c r="E1677">
        <v>6</v>
      </c>
      <c r="F1677">
        <v>298</v>
      </c>
      <c r="G1677">
        <v>378</v>
      </c>
      <c r="H1677">
        <v>1</v>
      </c>
      <c r="I1677">
        <v>5.27</v>
      </c>
      <c r="J1677">
        <v>5.27</v>
      </c>
      <c r="K1677" t="s">
        <v>97</v>
      </c>
      <c r="L1677" t="s">
        <v>1199</v>
      </c>
      <c r="Q1677">
        <v>3</v>
      </c>
      <c r="R1677" t="s">
        <v>1135</v>
      </c>
      <c r="T1677" t="s">
        <v>38</v>
      </c>
      <c r="V1677" t="s">
        <v>921</v>
      </c>
      <c r="W1677" t="s">
        <v>81</v>
      </c>
      <c r="Z1677" t="s">
        <v>1136</v>
      </c>
      <c r="AA1677" t="s">
        <v>39</v>
      </c>
      <c r="AC1677" t="s">
        <v>1200</v>
      </c>
    </row>
    <row r="1678" spans="1:29" hidden="1" x14ac:dyDescent="0.25">
      <c r="A1678">
        <v>139</v>
      </c>
      <c r="B1678" t="s">
        <v>212</v>
      </c>
      <c r="C1678" t="s">
        <v>77</v>
      </c>
      <c r="D1678" t="s">
        <v>203</v>
      </c>
      <c r="E1678">
        <v>6</v>
      </c>
      <c r="F1678">
        <v>188</v>
      </c>
      <c r="G1678">
        <v>2348</v>
      </c>
      <c r="H1678">
        <v>6</v>
      </c>
      <c r="I1678">
        <v>20.61</v>
      </c>
      <c r="J1678">
        <v>123.67</v>
      </c>
      <c r="K1678" t="s">
        <v>97</v>
      </c>
      <c r="L1678" t="s">
        <v>1201</v>
      </c>
      <c r="O1678" t="s">
        <v>81</v>
      </c>
      <c r="P1678" t="s">
        <v>81</v>
      </c>
      <c r="Q1678">
        <v>3</v>
      </c>
      <c r="R1678" t="s">
        <v>1135</v>
      </c>
      <c r="T1678" t="s">
        <v>38</v>
      </c>
      <c r="V1678" t="s">
        <v>921</v>
      </c>
      <c r="Z1678" t="s">
        <v>1136</v>
      </c>
      <c r="AA1678" t="s">
        <v>39</v>
      </c>
      <c r="AC1678" t="s">
        <v>1202</v>
      </c>
    </row>
    <row r="1679" spans="1:29" hidden="1" x14ac:dyDescent="0.25">
      <c r="A1679">
        <v>140</v>
      </c>
      <c r="B1679" t="s">
        <v>215</v>
      </c>
      <c r="C1679" t="s">
        <v>77</v>
      </c>
      <c r="D1679" t="s">
        <v>203</v>
      </c>
      <c r="E1679">
        <v>6</v>
      </c>
      <c r="F1679">
        <v>188</v>
      </c>
      <c r="G1679">
        <v>2348</v>
      </c>
      <c r="H1679">
        <v>6</v>
      </c>
      <c r="I1679">
        <v>20.61</v>
      </c>
      <c r="J1679">
        <v>123.67</v>
      </c>
      <c r="K1679" t="s">
        <v>97</v>
      </c>
      <c r="L1679" t="s">
        <v>1201</v>
      </c>
      <c r="O1679" t="s">
        <v>81</v>
      </c>
      <c r="P1679" t="s">
        <v>81</v>
      </c>
      <c r="Q1679">
        <v>3</v>
      </c>
      <c r="R1679" t="s">
        <v>1135</v>
      </c>
      <c r="T1679" t="s">
        <v>38</v>
      </c>
      <c r="V1679" t="s">
        <v>921</v>
      </c>
      <c r="Z1679" t="s">
        <v>1136</v>
      </c>
      <c r="AA1679" t="s">
        <v>39</v>
      </c>
      <c r="AC1679" t="s">
        <v>1202</v>
      </c>
    </row>
    <row r="1680" spans="1:29" hidden="1" x14ac:dyDescent="0.25">
      <c r="A1680">
        <v>141</v>
      </c>
      <c r="B1680" t="s">
        <v>216</v>
      </c>
      <c r="C1680" t="s">
        <v>77</v>
      </c>
      <c r="D1680" t="s">
        <v>203</v>
      </c>
      <c r="E1680">
        <v>6</v>
      </c>
      <c r="F1680">
        <v>188</v>
      </c>
      <c r="G1680">
        <v>2348</v>
      </c>
      <c r="H1680">
        <v>8</v>
      </c>
      <c r="I1680">
        <v>20.61</v>
      </c>
      <c r="J1680">
        <v>164.9</v>
      </c>
      <c r="K1680" t="s">
        <v>97</v>
      </c>
      <c r="L1680" t="s">
        <v>1201</v>
      </c>
      <c r="O1680" t="s">
        <v>81</v>
      </c>
      <c r="P1680" t="s">
        <v>81</v>
      </c>
      <c r="Q1680">
        <v>3</v>
      </c>
      <c r="R1680" t="s">
        <v>1135</v>
      </c>
      <c r="T1680" t="s">
        <v>38</v>
      </c>
      <c r="V1680" t="s">
        <v>921</v>
      </c>
      <c r="Z1680" t="s">
        <v>1136</v>
      </c>
      <c r="AA1680" t="s">
        <v>39</v>
      </c>
      <c r="AC1680" t="s">
        <v>1202</v>
      </c>
    </row>
    <row r="1681" spans="1:29" hidden="1" x14ac:dyDescent="0.25">
      <c r="A1681">
        <v>142</v>
      </c>
      <c r="B1681" t="s">
        <v>195</v>
      </c>
      <c r="C1681" t="s">
        <v>77</v>
      </c>
      <c r="D1681" t="s">
        <v>122</v>
      </c>
      <c r="E1681">
        <v>6</v>
      </c>
      <c r="F1681">
        <v>328</v>
      </c>
      <c r="G1681">
        <v>934</v>
      </c>
      <c r="H1681">
        <v>7</v>
      </c>
      <c r="I1681">
        <v>14.43</v>
      </c>
      <c r="J1681">
        <v>101</v>
      </c>
      <c r="K1681" t="s">
        <v>97</v>
      </c>
      <c r="L1681" t="s">
        <v>1201</v>
      </c>
      <c r="O1681" t="s">
        <v>81</v>
      </c>
      <c r="Q1681">
        <v>3</v>
      </c>
      <c r="R1681" t="s">
        <v>1135</v>
      </c>
      <c r="T1681" t="s">
        <v>38</v>
      </c>
      <c r="V1681" t="s">
        <v>921</v>
      </c>
      <c r="Z1681" t="s">
        <v>1136</v>
      </c>
      <c r="AA1681" t="s">
        <v>39</v>
      </c>
      <c r="AC1681" t="s">
        <v>1202</v>
      </c>
    </row>
    <row r="1682" spans="1:29" hidden="1" x14ac:dyDescent="0.25">
      <c r="A1682">
        <v>143</v>
      </c>
      <c r="B1682" t="s">
        <v>207</v>
      </c>
      <c r="C1682" t="s">
        <v>77</v>
      </c>
      <c r="D1682" t="s">
        <v>203</v>
      </c>
      <c r="E1682">
        <v>6</v>
      </c>
      <c r="F1682">
        <v>188</v>
      </c>
      <c r="G1682">
        <v>2348</v>
      </c>
      <c r="H1682">
        <v>3</v>
      </c>
      <c r="I1682">
        <v>20.61</v>
      </c>
      <c r="J1682">
        <v>61.84</v>
      </c>
      <c r="K1682" t="s">
        <v>97</v>
      </c>
      <c r="L1682" t="s">
        <v>1201</v>
      </c>
      <c r="O1682" t="s">
        <v>81</v>
      </c>
      <c r="P1682" t="s">
        <v>81</v>
      </c>
      <c r="Q1682">
        <v>3</v>
      </c>
      <c r="R1682" t="s">
        <v>1135</v>
      </c>
      <c r="T1682" t="s">
        <v>38</v>
      </c>
      <c r="V1682" t="s">
        <v>921</v>
      </c>
      <c r="Z1682" t="s">
        <v>1136</v>
      </c>
      <c r="AA1682" t="s">
        <v>39</v>
      </c>
      <c r="AC1682" t="s">
        <v>1202</v>
      </c>
    </row>
    <row r="1683" spans="1:29" hidden="1" x14ac:dyDescent="0.25">
      <c r="A1683">
        <v>144</v>
      </c>
      <c r="B1683" t="s">
        <v>217</v>
      </c>
      <c r="C1683" t="s">
        <v>77</v>
      </c>
      <c r="D1683" t="s">
        <v>122</v>
      </c>
      <c r="E1683">
        <v>6</v>
      </c>
      <c r="F1683">
        <v>328</v>
      </c>
      <c r="G1683">
        <v>934</v>
      </c>
      <c r="H1683">
        <v>9</v>
      </c>
      <c r="I1683">
        <v>14.43</v>
      </c>
      <c r="J1683">
        <v>129.86000000000001</v>
      </c>
      <c r="K1683" t="s">
        <v>97</v>
      </c>
      <c r="L1683" t="s">
        <v>1201</v>
      </c>
      <c r="O1683" t="s">
        <v>81</v>
      </c>
      <c r="Q1683">
        <v>3</v>
      </c>
      <c r="R1683" t="s">
        <v>1135</v>
      </c>
      <c r="T1683" t="s">
        <v>38</v>
      </c>
      <c r="V1683" t="s">
        <v>921</v>
      </c>
      <c r="Z1683" t="s">
        <v>1136</v>
      </c>
      <c r="AA1683" t="s">
        <v>39</v>
      </c>
      <c r="AC1683" t="s">
        <v>1202</v>
      </c>
    </row>
    <row r="1684" spans="1:29" hidden="1" x14ac:dyDescent="0.25">
      <c r="A1684">
        <v>145</v>
      </c>
      <c r="B1684" t="s">
        <v>148</v>
      </c>
      <c r="C1684" t="s">
        <v>77</v>
      </c>
      <c r="D1684" t="s">
        <v>122</v>
      </c>
      <c r="E1684">
        <v>6</v>
      </c>
      <c r="F1684">
        <v>328</v>
      </c>
      <c r="G1684">
        <v>934</v>
      </c>
      <c r="H1684">
        <v>4</v>
      </c>
      <c r="I1684">
        <v>14.43</v>
      </c>
      <c r="J1684">
        <v>57.72</v>
      </c>
      <c r="K1684" t="s">
        <v>97</v>
      </c>
      <c r="L1684" t="s">
        <v>1201</v>
      </c>
      <c r="O1684" t="s">
        <v>81</v>
      </c>
      <c r="Q1684">
        <v>3</v>
      </c>
      <c r="R1684" t="s">
        <v>1135</v>
      </c>
      <c r="T1684" t="s">
        <v>38</v>
      </c>
      <c r="V1684" t="s">
        <v>921</v>
      </c>
      <c r="Z1684" t="s">
        <v>1136</v>
      </c>
      <c r="AA1684" t="s">
        <v>39</v>
      </c>
      <c r="AC1684" t="s">
        <v>1202</v>
      </c>
    </row>
    <row r="1685" spans="1:29" hidden="1" x14ac:dyDescent="0.25">
      <c r="A1685">
        <v>146</v>
      </c>
      <c r="B1685" t="s">
        <v>123</v>
      </c>
      <c r="C1685" t="s">
        <v>77</v>
      </c>
      <c r="D1685" t="s">
        <v>117</v>
      </c>
      <c r="E1685">
        <v>6</v>
      </c>
      <c r="F1685">
        <v>298</v>
      </c>
      <c r="G1685">
        <v>378</v>
      </c>
      <c r="H1685">
        <v>2</v>
      </c>
      <c r="I1685">
        <v>5.27</v>
      </c>
      <c r="J1685">
        <v>10.54</v>
      </c>
      <c r="K1685" t="s">
        <v>97</v>
      </c>
      <c r="L1685" t="s">
        <v>1201</v>
      </c>
      <c r="Q1685">
        <v>3</v>
      </c>
      <c r="R1685" t="s">
        <v>1135</v>
      </c>
      <c r="T1685" t="s">
        <v>38</v>
      </c>
      <c r="V1685" t="s">
        <v>921</v>
      </c>
      <c r="W1685" t="s">
        <v>81</v>
      </c>
      <c r="Z1685" t="s">
        <v>1136</v>
      </c>
      <c r="AA1685" t="s">
        <v>39</v>
      </c>
      <c r="AC1685" t="s">
        <v>1202</v>
      </c>
    </row>
    <row r="1686" spans="1:29" hidden="1" x14ac:dyDescent="0.25">
      <c r="A1686">
        <v>147</v>
      </c>
      <c r="B1686" t="s">
        <v>179</v>
      </c>
      <c r="C1686" t="s">
        <v>77</v>
      </c>
      <c r="D1686" t="s">
        <v>122</v>
      </c>
      <c r="E1686">
        <v>6</v>
      </c>
      <c r="F1686">
        <v>328</v>
      </c>
      <c r="G1686">
        <v>934</v>
      </c>
      <c r="H1686">
        <v>1</v>
      </c>
      <c r="I1686">
        <v>14.43</v>
      </c>
      <c r="J1686">
        <v>14.43</v>
      </c>
      <c r="K1686" t="s">
        <v>985</v>
      </c>
      <c r="L1686" t="s">
        <v>1203</v>
      </c>
      <c r="O1686" t="s">
        <v>81</v>
      </c>
      <c r="Q1686">
        <v>3</v>
      </c>
      <c r="R1686" t="s">
        <v>1135</v>
      </c>
      <c r="T1686" t="s">
        <v>38</v>
      </c>
      <c r="V1686" t="s">
        <v>921</v>
      </c>
      <c r="Z1686" t="s">
        <v>1136</v>
      </c>
      <c r="AA1686" t="s">
        <v>987</v>
      </c>
      <c r="AC1686" t="s">
        <v>1204</v>
      </c>
    </row>
    <row r="1687" spans="1:29" hidden="1" x14ac:dyDescent="0.25">
      <c r="A1687">
        <v>148</v>
      </c>
      <c r="B1687" t="s">
        <v>206</v>
      </c>
      <c r="C1687" t="s">
        <v>77</v>
      </c>
      <c r="D1687" t="s">
        <v>203</v>
      </c>
      <c r="E1687">
        <v>6</v>
      </c>
      <c r="F1687">
        <v>188</v>
      </c>
      <c r="G1687">
        <v>2348</v>
      </c>
      <c r="H1687">
        <v>2</v>
      </c>
      <c r="I1687">
        <v>20.62</v>
      </c>
      <c r="J1687">
        <v>41.23</v>
      </c>
      <c r="K1687" t="s">
        <v>985</v>
      </c>
      <c r="L1687" t="s">
        <v>1203</v>
      </c>
      <c r="O1687" t="s">
        <v>81</v>
      </c>
      <c r="P1687" t="s">
        <v>81</v>
      </c>
      <c r="Q1687">
        <v>3</v>
      </c>
      <c r="R1687" t="s">
        <v>1135</v>
      </c>
      <c r="T1687" t="s">
        <v>38</v>
      </c>
      <c r="V1687" t="s">
        <v>921</v>
      </c>
      <c r="Z1687" t="s">
        <v>1136</v>
      </c>
      <c r="AA1687" t="s">
        <v>987</v>
      </c>
      <c r="AC1687" t="s">
        <v>1204</v>
      </c>
    </row>
    <row r="1688" spans="1:29" hidden="1" x14ac:dyDescent="0.25">
      <c r="A1688">
        <v>149</v>
      </c>
      <c r="B1688" t="s">
        <v>196</v>
      </c>
      <c r="C1688" t="s">
        <v>77</v>
      </c>
      <c r="D1688" t="s">
        <v>159</v>
      </c>
      <c r="E1688">
        <v>6</v>
      </c>
      <c r="F1688">
        <v>328</v>
      </c>
      <c r="G1688">
        <v>894</v>
      </c>
      <c r="H1688">
        <v>1</v>
      </c>
      <c r="I1688">
        <v>13.81</v>
      </c>
      <c r="J1688">
        <v>13.81</v>
      </c>
      <c r="K1688" t="s">
        <v>985</v>
      </c>
      <c r="L1688" t="s">
        <v>1203</v>
      </c>
      <c r="O1688" t="s">
        <v>81</v>
      </c>
      <c r="Q1688">
        <v>3</v>
      </c>
      <c r="R1688" t="s">
        <v>1135</v>
      </c>
      <c r="T1688" t="s">
        <v>38</v>
      </c>
      <c r="V1688" t="s">
        <v>921</v>
      </c>
      <c r="Z1688" t="s">
        <v>1136</v>
      </c>
      <c r="AA1688" t="s">
        <v>987</v>
      </c>
      <c r="AC1688" t="s">
        <v>1204</v>
      </c>
    </row>
    <row r="1689" spans="1:29" hidden="1" x14ac:dyDescent="0.25">
      <c r="A1689">
        <v>150</v>
      </c>
      <c r="B1689" t="s">
        <v>220</v>
      </c>
      <c r="C1689" t="s">
        <v>77</v>
      </c>
      <c r="D1689" t="s">
        <v>203</v>
      </c>
      <c r="E1689">
        <v>6</v>
      </c>
      <c r="F1689">
        <v>188</v>
      </c>
      <c r="G1689">
        <v>2348</v>
      </c>
      <c r="H1689">
        <v>12</v>
      </c>
      <c r="I1689">
        <v>20.61</v>
      </c>
      <c r="J1689">
        <v>247.35</v>
      </c>
      <c r="K1689" t="s">
        <v>985</v>
      </c>
      <c r="L1689" t="s">
        <v>1203</v>
      </c>
      <c r="O1689" t="s">
        <v>81</v>
      </c>
      <c r="P1689" t="s">
        <v>81</v>
      </c>
      <c r="Q1689">
        <v>3</v>
      </c>
      <c r="R1689" t="s">
        <v>1135</v>
      </c>
      <c r="T1689" t="s">
        <v>38</v>
      </c>
      <c r="V1689" t="s">
        <v>921</v>
      </c>
      <c r="Z1689" t="s">
        <v>1136</v>
      </c>
      <c r="AA1689" t="s">
        <v>987</v>
      </c>
      <c r="AC1689" t="s">
        <v>1204</v>
      </c>
    </row>
    <row r="1690" spans="1:29" hidden="1" x14ac:dyDescent="0.25">
      <c r="A1690">
        <v>151</v>
      </c>
      <c r="B1690" t="s">
        <v>116</v>
      </c>
      <c r="C1690" t="s">
        <v>77</v>
      </c>
      <c r="D1690" t="s">
        <v>117</v>
      </c>
      <c r="E1690">
        <v>6</v>
      </c>
      <c r="F1690">
        <v>298</v>
      </c>
      <c r="G1690">
        <v>378</v>
      </c>
      <c r="H1690">
        <v>1</v>
      </c>
      <c r="I1690">
        <v>5.27</v>
      </c>
      <c r="J1690">
        <v>5.27</v>
      </c>
      <c r="K1690" t="s">
        <v>985</v>
      </c>
      <c r="L1690" t="s">
        <v>1203</v>
      </c>
      <c r="Q1690">
        <v>3</v>
      </c>
      <c r="R1690" t="s">
        <v>1135</v>
      </c>
      <c r="T1690" t="s">
        <v>38</v>
      </c>
      <c r="V1690" t="s">
        <v>921</v>
      </c>
      <c r="W1690" t="s">
        <v>81</v>
      </c>
      <c r="Z1690" t="s">
        <v>1136</v>
      </c>
      <c r="AA1690" t="s">
        <v>987</v>
      </c>
      <c r="AC1690" t="s">
        <v>1204</v>
      </c>
    </row>
    <row r="1691" spans="1:29" hidden="1" x14ac:dyDescent="0.25">
      <c r="A1691">
        <v>152</v>
      </c>
      <c r="B1691" t="s">
        <v>123</v>
      </c>
      <c r="C1691" t="s">
        <v>77</v>
      </c>
      <c r="D1691" t="s">
        <v>117</v>
      </c>
      <c r="E1691">
        <v>6</v>
      </c>
      <c r="F1691">
        <v>298</v>
      </c>
      <c r="G1691">
        <v>378</v>
      </c>
      <c r="H1691">
        <v>2</v>
      </c>
      <c r="I1691">
        <v>5.27</v>
      </c>
      <c r="J1691">
        <v>10.54</v>
      </c>
      <c r="K1691" t="s">
        <v>985</v>
      </c>
      <c r="L1691" t="s">
        <v>1203</v>
      </c>
      <c r="Q1691">
        <v>3</v>
      </c>
      <c r="R1691" t="s">
        <v>1135</v>
      </c>
      <c r="T1691" t="s">
        <v>38</v>
      </c>
      <c r="V1691" t="s">
        <v>921</v>
      </c>
      <c r="W1691" t="s">
        <v>81</v>
      </c>
      <c r="Z1691" t="s">
        <v>1136</v>
      </c>
      <c r="AA1691" t="s">
        <v>987</v>
      </c>
      <c r="AC1691" t="s">
        <v>1204</v>
      </c>
    </row>
    <row r="1692" spans="1:29" hidden="1" x14ac:dyDescent="0.25">
      <c r="A1692">
        <v>153</v>
      </c>
      <c r="B1692" t="s">
        <v>171</v>
      </c>
      <c r="C1692" t="s">
        <v>77</v>
      </c>
      <c r="D1692" t="s">
        <v>117</v>
      </c>
      <c r="E1692">
        <v>6</v>
      </c>
      <c r="F1692">
        <v>298</v>
      </c>
      <c r="G1692">
        <v>378</v>
      </c>
      <c r="H1692">
        <v>2</v>
      </c>
      <c r="I1692">
        <v>5.27</v>
      </c>
      <c r="J1692">
        <v>10.54</v>
      </c>
      <c r="K1692" t="s">
        <v>985</v>
      </c>
      <c r="L1692" t="s">
        <v>1203</v>
      </c>
      <c r="Q1692">
        <v>3</v>
      </c>
      <c r="R1692" t="s">
        <v>1135</v>
      </c>
      <c r="T1692" t="s">
        <v>38</v>
      </c>
      <c r="V1692" t="s">
        <v>921</v>
      </c>
      <c r="W1692" t="s">
        <v>81</v>
      </c>
      <c r="Z1692" t="s">
        <v>1136</v>
      </c>
      <c r="AA1692" t="s">
        <v>987</v>
      </c>
      <c r="AC1692" t="s">
        <v>1204</v>
      </c>
    </row>
    <row r="1693" spans="1:29" hidden="1" x14ac:dyDescent="0.25">
      <c r="A1693">
        <v>154</v>
      </c>
      <c r="B1693" t="s">
        <v>221</v>
      </c>
      <c r="C1693" t="s">
        <v>77</v>
      </c>
      <c r="D1693" t="s">
        <v>222</v>
      </c>
      <c r="E1693">
        <v>8</v>
      </c>
      <c r="F1693">
        <v>334</v>
      </c>
      <c r="G1693">
        <v>11992</v>
      </c>
      <c r="H1693">
        <v>4</v>
      </c>
      <c r="I1693">
        <v>245.5</v>
      </c>
      <c r="J1693">
        <v>981.99</v>
      </c>
      <c r="K1693" t="s">
        <v>223</v>
      </c>
      <c r="L1693" t="s">
        <v>1205</v>
      </c>
      <c r="Q1693">
        <v>3</v>
      </c>
      <c r="R1693" t="s">
        <v>1135</v>
      </c>
      <c r="T1693" t="s">
        <v>38</v>
      </c>
      <c r="V1693" t="s">
        <v>921</v>
      </c>
      <c r="Y1693" t="s">
        <v>81</v>
      </c>
      <c r="Z1693" t="s">
        <v>1136</v>
      </c>
      <c r="AA1693" t="s">
        <v>39</v>
      </c>
      <c r="AC1693" t="s">
        <v>1206</v>
      </c>
    </row>
    <row r="1694" spans="1:29" hidden="1" x14ac:dyDescent="0.25">
      <c r="A1694">
        <v>155</v>
      </c>
      <c r="B1694" t="s">
        <v>226</v>
      </c>
      <c r="C1694" t="s">
        <v>77</v>
      </c>
      <c r="D1694" t="s">
        <v>227</v>
      </c>
      <c r="E1694">
        <v>8</v>
      </c>
      <c r="F1694">
        <v>334</v>
      </c>
      <c r="G1694">
        <v>11998</v>
      </c>
      <c r="H1694">
        <v>1</v>
      </c>
      <c r="I1694">
        <v>244.33</v>
      </c>
      <c r="J1694">
        <v>244.33</v>
      </c>
      <c r="K1694" t="s">
        <v>223</v>
      </c>
      <c r="L1694" t="s">
        <v>1205</v>
      </c>
      <c r="N1694" t="s">
        <v>228</v>
      </c>
      <c r="Q1694">
        <v>3</v>
      </c>
      <c r="R1694" t="s">
        <v>1135</v>
      </c>
      <c r="T1694" t="s">
        <v>38</v>
      </c>
      <c r="V1694" t="s">
        <v>921</v>
      </c>
      <c r="Y1694" t="s">
        <v>81</v>
      </c>
      <c r="Z1694" t="s">
        <v>1136</v>
      </c>
      <c r="AA1694" t="s">
        <v>39</v>
      </c>
      <c r="AC1694" t="s">
        <v>1206</v>
      </c>
    </row>
    <row r="1695" spans="1:29" hidden="1" x14ac:dyDescent="0.25">
      <c r="A1695">
        <v>156</v>
      </c>
      <c r="B1695" t="s">
        <v>229</v>
      </c>
      <c r="C1695" t="s">
        <v>77</v>
      </c>
      <c r="D1695" t="s">
        <v>230</v>
      </c>
      <c r="E1695">
        <v>8</v>
      </c>
      <c r="F1695">
        <v>90</v>
      </c>
      <c r="G1695">
        <v>150</v>
      </c>
      <c r="H1695">
        <v>1</v>
      </c>
      <c r="I1695">
        <v>0.62</v>
      </c>
      <c r="J1695">
        <v>0.62</v>
      </c>
      <c r="K1695" t="s">
        <v>223</v>
      </c>
      <c r="L1695" t="s">
        <v>1205</v>
      </c>
      <c r="Q1695">
        <v>3</v>
      </c>
      <c r="R1695" t="s">
        <v>1135</v>
      </c>
      <c r="T1695" t="s">
        <v>38</v>
      </c>
      <c r="V1695" t="s">
        <v>921</v>
      </c>
      <c r="W1695" t="s">
        <v>81</v>
      </c>
      <c r="Z1695" t="s">
        <v>1136</v>
      </c>
      <c r="AA1695" t="s">
        <v>39</v>
      </c>
      <c r="AC1695" t="s">
        <v>1206</v>
      </c>
    </row>
    <row r="1696" spans="1:29" hidden="1" x14ac:dyDescent="0.25">
      <c r="A1696">
        <v>157</v>
      </c>
      <c r="B1696" t="s">
        <v>231</v>
      </c>
      <c r="C1696" t="s">
        <v>77</v>
      </c>
      <c r="D1696" t="s">
        <v>232</v>
      </c>
      <c r="E1696">
        <v>8</v>
      </c>
      <c r="F1696">
        <v>150</v>
      </c>
      <c r="G1696">
        <v>4252</v>
      </c>
      <c r="H1696">
        <v>2</v>
      </c>
      <c r="I1696">
        <v>40.06</v>
      </c>
      <c r="J1696">
        <v>80.11</v>
      </c>
      <c r="K1696" t="s">
        <v>223</v>
      </c>
      <c r="L1696" t="s">
        <v>1205</v>
      </c>
      <c r="Q1696">
        <v>3</v>
      </c>
      <c r="R1696" t="s">
        <v>1135</v>
      </c>
      <c r="T1696" t="s">
        <v>38</v>
      </c>
      <c r="V1696" t="s">
        <v>921</v>
      </c>
      <c r="Y1696" t="s">
        <v>81</v>
      </c>
      <c r="Z1696" t="s">
        <v>1136</v>
      </c>
      <c r="AA1696" t="s">
        <v>39</v>
      </c>
      <c r="AC1696" t="s">
        <v>1206</v>
      </c>
    </row>
    <row r="1697" spans="1:29" hidden="1" x14ac:dyDescent="0.25">
      <c r="A1697">
        <v>158</v>
      </c>
      <c r="B1697" t="s">
        <v>233</v>
      </c>
      <c r="C1697" t="s">
        <v>77</v>
      </c>
      <c r="D1697" t="s">
        <v>234</v>
      </c>
      <c r="E1697">
        <v>8</v>
      </c>
      <c r="F1697">
        <v>150</v>
      </c>
      <c r="G1697">
        <v>6824</v>
      </c>
      <c r="H1697">
        <v>2</v>
      </c>
      <c r="I1697">
        <v>64.28</v>
      </c>
      <c r="J1697">
        <v>128.56</v>
      </c>
      <c r="K1697" t="s">
        <v>223</v>
      </c>
      <c r="L1697" t="s">
        <v>1205</v>
      </c>
      <c r="Q1697">
        <v>3</v>
      </c>
      <c r="R1697" t="s">
        <v>1135</v>
      </c>
      <c r="T1697" t="s">
        <v>38</v>
      </c>
      <c r="V1697" t="s">
        <v>921</v>
      </c>
      <c r="Y1697" t="s">
        <v>81</v>
      </c>
      <c r="Z1697" t="s">
        <v>1136</v>
      </c>
      <c r="AA1697" t="s">
        <v>39</v>
      </c>
      <c r="AC1697" t="s">
        <v>1206</v>
      </c>
    </row>
    <row r="1698" spans="1:29" hidden="1" x14ac:dyDescent="0.25">
      <c r="A1698">
        <v>159</v>
      </c>
      <c r="B1698" t="s">
        <v>235</v>
      </c>
      <c r="C1698" t="s">
        <v>77</v>
      </c>
      <c r="D1698" t="s">
        <v>236</v>
      </c>
      <c r="E1698">
        <v>8</v>
      </c>
      <c r="F1698">
        <v>150</v>
      </c>
      <c r="G1698">
        <v>792</v>
      </c>
      <c r="H1698">
        <v>2</v>
      </c>
      <c r="I1698">
        <v>7.46</v>
      </c>
      <c r="J1698">
        <v>14.92</v>
      </c>
      <c r="K1698" t="s">
        <v>223</v>
      </c>
      <c r="L1698" t="s">
        <v>1205</v>
      </c>
      <c r="Q1698">
        <v>3</v>
      </c>
      <c r="R1698" t="s">
        <v>1135</v>
      </c>
      <c r="T1698" t="s">
        <v>38</v>
      </c>
      <c r="V1698" t="s">
        <v>921</v>
      </c>
      <c r="Y1698" t="s">
        <v>81</v>
      </c>
      <c r="Z1698" t="s">
        <v>1136</v>
      </c>
      <c r="AA1698" t="s">
        <v>39</v>
      </c>
      <c r="AC1698" t="s">
        <v>1206</v>
      </c>
    </row>
    <row r="1699" spans="1:29" hidden="1" x14ac:dyDescent="0.25">
      <c r="A1699">
        <v>160</v>
      </c>
      <c r="B1699" t="s">
        <v>237</v>
      </c>
      <c r="C1699" t="s">
        <v>77</v>
      </c>
      <c r="D1699" t="s">
        <v>238</v>
      </c>
      <c r="E1699">
        <v>8</v>
      </c>
      <c r="F1699">
        <v>148</v>
      </c>
      <c r="G1699">
        <v>441</v>
      </c>
      <c r="H1699">
        <v>1</v>
      </c>
      <c r="I1699">
        <v>4.0999999999999996</v>
      </c>
      <c r="J1699">
        <v>4.0999999999999996</v>
      </c>
      <c r="K1699" t="s">
        <v>223</v>
      </c>
      <c r="L1699" t="s">
        <v>1207</v>
      </c>
      <c r="Q1699">
        <v>3</v>
      </c>
      <c r="R1699" t="s">
        <v>1135</v>
      </c>
      <c r="T1699" t="s">
        <v>38</v>
      </c>
      <c r="V1699" t="s">
        <v>921</v>
      </c>
      <c r="W1699" t="s">
        <v>81</v>
      </c>
      <c r="Z1699" t="s">
        <v>1136</v>
      </c>
      <c r="AA1699" t="s">
        <v>39</v>
      </c>
      <c r="AC1699" t="s">
        <v>1208</v>
      </c>
    </row>
    <row r="1700" spans="1:29" hidden="1" x14ac:dyDescent="0.25">
      <c r="A1700">
        <v>161</v>
      </c>
      <c r="B1700" t="s">
        <v>241</v>
      </c>
      <c r="C1700" t="s">
        <v>77</v>
      </c>
      <c r="D1700" t="s">
        <v>242</v>
      </c>
      <c r="E1700">
        <v>8</v>
      </c>
      <c r="F1700">
        <v>156</v>
      </c>
      <c r="G1700">
        <v>465</v>
      </c>
      <c r="H1700">
        <v>1</v>
      </c>
      <c r="I1700">
        <v>4.55</v>
      </c>
      <c r="J1700">
        <v>4.55</v>
      </c>
      <c r="K1700" t="s">
        <v>223</v>
      </c>
      <c r="L1700" t="s">
        <v>1207</v>
      </c>
      <c r="Q1700">
        <v>3</v>
      </c>
      <c r="R1700" t="s">
        <v>1135</v>
      </c>
      <c r="T1700" t="s">
        <v>38</v>
      </c>
      <c r="V1700" t="s">
        <v>921</v>
      </c>
      <c r="W1700" t="s">
        <v>81</v>
      </c>
      <c r="Z1700" t="s">
        <v>1136</v>
      </c>
      <c r="AA1700" t="s">
        <v>39</v>
      </c>
      <c r="AC1700" t="s">
        <v>1208</v>
      </c>
    </row>
    <row r="1701" spans="1:29" hidden="1" x14ac:dyDescent="0.25">
      <c r="A1701">
        <v>162</v>
      </c>
      <c r="B1701" t="s">
        <v>243</v>
      </c>
      <c r="C1701" t="s">
        <v>77</v>
      </c>
      <c r="D1701" t="s">
        <v>244</v>
      </c>
      <c r="E1701">
        <v>8</v>
      </c>
      <c r="F1701">
        <v>464</v>
      </c>
      <c r="G1701">
        <v>12000</v>
      </c>
      <c r="H1701">
        <v>1</v>
      </c>
      <c r="I1701">
        <v>332.54</v>
      </c>
      <c r="J1701">
        <v>332.54</v>
      </c>
      <c r="K1701" t="s">
        <v>223</v>
      </c>
      <c r="L1701" t="s">
        <v>1207</v>
      </c>
      <c r="N1701" t="s">
        <v>228</v>
      </c>
      <c r="Q1701">
        <v>3</v>
      </c>
      <c r="R1701" t="s">
        <v>1135</v>
      </c>
      <c r="T1701" t="s">
        <v>38</v>
      </c>
      <c r="V1701" t="s">
        <v>921</v>
      </c>
      <c r="Y1701" t="s">
        <v>81</v>
      </c>
      <c r="Z1701" t="s">
        <v>1136</v>
      </c>
      <c r="AA1701" t="s">
        <v>39</v>
      </c>
      <c r="AC1701" t="s">
        <v>1208</v>
      </c>
    </row>
    <row r="1702" spans="1:29" hidden="1" x14ac:dyDescent="0.25">
      <c r="A1702">
        <v>163</v>
      </c>
      <c r="B1702" t="s">
        <v>245</v>
      </c>
      <c r="C1702" t="s">
        <v>77</v>
      </c>
      <c r="D1702" t="s">
        <v>246</v>
      </c>
      <c r="E1702">
        <v>8</v>
      </c>
      <c r="F1702">
        <v>342</v>
      </c>
      <c r="G1702">
        <v>11990</v>
      </c>
      <c r="H1702">
        <v>1</v>
      </c>
      <c r="I1702">
        <v>244.16</v>
      </c>
      <c r="J1702">
        <v>244.16</v>
      </c>
      <c r="K1702" t="s">
        <v>223</v>
      </c>
      <c r="L1702" t="s">
        <v>1207</v>
      </c>
      <c r="N1702" t="s">
        <v>228</v>
      </c>
      <c r="Q1702">
        <v>3</v>
      </c>
      <c r="R1702" t="s">
        <v>1135</v>
      </c>
      <c r="T1702" t="s">
        <v>38</v>
      </c>
      <c r="V1702" t="s">
        <v>921</v>
      </c>
      <c r="Y1702" t="s">
        <v>81</v>
      </c>
      <c r="Z1702" t="s">
        <v>1136</v>
      </c>
      <c r="AA1702" t="s">
        <v>39</v>
      </c>
      <c r="AC1702" t="s">
        <v>1208</v>
      </c>
    </row>
    <row r="1703" spans="1:29" hidden="1" x14ac:dyDescent="0.25">
      <c r="A1703">
        <v>164</v>
      </c>
      <c r="B1703" t="s">
        <v>226</v>
      </c>
      <c r="C1703" t="s">
        <v>77</v>
      </c>
      <c r="D1703" t="s">
        <v>227</v>
      </c>
      <c r="E1703">
        <v>8</v>
      </c>
      <c r="F1703">
        <v>334</v>
      </c>
      <c r="G1703">
        <v>11998</v>
      </c>
      <c r="H1703">
        <v>3</v>
      </c>
      <c r="I1703">
        <v>244.33</v>
      </c>
      <c r="J1703">
        <v>732.99</v>
      </c>
      <c r="K1703" t="s">
        <v>223</v>
      </c>
      <c r="L1703" t="s">
        <v>1207</v>
      </c>
      <c r="N1703" t="s">
        <v>228</v>
      </c>
      <c r="Q1703">
        <v>3</v>
      </c>
      <c r="R1703" t="s">
        <v>1135</v>
      </c>
      <c r="T1703" t="s">
        <v>38</v>
      </c>
      <c r="V1703" t="s">
        <v>921</v>
      </c>
      <c r="Y1703" t="s">
        <v>81</v>
      </c>
      <c r="Z1703" t="s">
        <v>1136</v>
      </c>
      <c r="AA1703" t="s">
        <v>39</v>
      </c>
      <c r="AC1703" t="s">
        <v>1208</v>
      </c>
    </row>
    <row r="1704" spans="1:29" hidden="1" x14ac:dyDescent="0.25">
      <c r="A1704">
        <v>165</v>
      </c>
      <c r="B1704" t="s">
        <v>231</v>
      </c>
      <c r="C1704" t="s">
        <v>77</v>
      </c>
      <c r="D1704" t="s">
        <v>232</v>
      </c>
      <c r="E1704">
        <v>8</v>
      </c>
      <c r="F1704">
        <v>150</v>
      </c>
      <c r="G1704">
        <v>4252</v>
      </c>
      <c r="H1704">
        <v>1</v>
      </c>
      <c r="I1704">
        <v>40.049999999999997</v>
      </c>
      <c r="J1704">
        <v>40.049999999999997</v>
      </c>
      <c r="K1704" t="s">
        <v>223</v>
      </c>
      <c r="L1704" t="s">
        <v>1207</v>
      </c>
      <c r="Q1704">
        <v>3</v>
      </c>
      <c r="R1704" t="s">
        <v>1135</v>
      </c>
      <c r="T1704" t="s">
        <v>38</v>
      </c>
      <c r="V1704" t="s">
        <v>921</v>
      </c>
      <c r="Y1704" t="s">
        <v>81</v>
      </c>
      <c r="Z1704" t="s">
        <v>1136</v>
      </c>
      <c r="AA1704" t="s">
        <v>39</v>
      </c>
      <c r="AC1704" t="s">
        <v>1208</v>
      </c>
    </row>
    <row r="1705" spans="1:29" hidden="1" x14ac:dyDescent="0.25">
      <c r="A1705">
        <v>166</v>
      </c>
      <c r="B1705" t="s">
        <v>233</v>
      </c>
      <c r="C1705" t="s">
        <v>77</v>
      </c>
      <c r="D1705" t="s">
        <v>234</v>
      </c>
      <c r="E1705">
        <v>8</v>
      </c>
      <c r="F1705">
        <v>150</v>
      </c>
      <c r="G1705">
        <v>6824</v>
      </c>
      <c r="H1705">
        <v>1</v>
      </c>
      <c r="I1705">
        <v>64.28</v>
      </c>
      <c r="J1705">
        <v>64.28</v>
      </c>
      <c r="K1705" t="s">
        <v>223</v>
      </c>
      <c r="L1705" t="s">
        <v>1207</v>
      </c>
      <c r="Q1705">
        <v>3</v>
      </c>
      <c r="R1705" t="s">
        <v>1135</v>
      </c>
      <c r="T1705" t="s">
        <v>38</v>
      </c>
      <c r="V1705" t="s">
        <v>921</v>
      </c>
      <c r="Y1705" t="s">
        <v>81</v>
      </c>
      <c r="Z1705" t="s">
        <v>1136</v>
      </c>
      <c r="AA1705" t="s">
        <v>39</v>
      </c>
      <c r="AC1705" t="s">
        <v>1208</v>
      </c>
    </row>
    <row r="1706" spans="1:29" hidden="1" x14ac:dyDescent="0.25">
      <c r="A1706">
        <v>167</v>
      </c>
      <c r="B1706" t="s">
        <v>243</v>
      </c>
      <c r="C1706" t="s">
        <v>77</v>
      </c>
      <c r="D1706" t="s">
        <v>244</v>
      </c>
      <c r="E1706">
        <v>8</v>
      </c>
      <c r="F1706">
        <v>464</v>
      </c>
      <c r="G1706">
        <v>12000</v>
      </c>
      <c r="H1706">
        <v>1</v>
      </c>
      <c r="I1706">
        <v>332.54</v>
      </c>
      <c r="J1706">
        <v>332.54</v>
      </c>
      <c r="K1706" t="s">
        <v>223</v>
      </c>
      <c r="L1706" t="s">
        <v>1209</v>
      </c>
      <c r="N1706" t="s">
        <v>228</v>
      </c>
      <c r="Q1706">
        <v>3</v>
      </c>
      <c r="R1706" t="s">
        <v>1135</v>
      </c>
      <c r="T1706" t="s">
        <v>38</v>
      </c>
      <c r="V1706" t="s">
        <v>921</v>
      </c>
      <c r="Y1706" t="s">
        <v>81</v>
      </c>
      <c r="Z1706" t="s">
        <v>1136</v>
      </c>
      <c r="AA1706" t="s">
        <v>39</v>
      </c>
      <c r="AC1706" t="s">
        <v>1210</v>
      </c>
    </row>
    <row r="1707" spans="1:29" hidden="1" x14ac:dyDescent="0.25">
      <c r="A1707">
        <v>168</v>
      </c>
      <c r="B1707" t="s">
        <v>249</v>
      </c>
      <c r="C1707" t="s">
        <v>77</v>
      </c>
      <c r="D1707" t="s">
        <v>250</v>
      </c>
      <c r="E1707">
        <v>8</v>
      </c>
      <c r="F1707">
        <v>347</v>
      </c>
      <c r="G1707">
        <v>12000</v>
      </c>
      <c r="H1707">
        <v>4</v>
      </c>
      <c r="I1707">
        <v>244.38</v>
      </c>
      <c r="J1707">
        <v>977.5</v>
      </c>
      <c r="K1707" t="s">
        <v>223</v>
      </c>
      <c r="L1707" t="s">
        <v>1209</v>
      </c>
      <c r="N1707" t="s">
        <v>228</v>
      </c>
      <c r="Q1707">
        <v>3</v>
      </c>
      <c r="R1707" t="s">
        <v>1135</v>
      </c>
      <c r="T1707" t="s">
        <v>38</v>
      </c>
      <c r="V1707" t="s">
        <v>921</v>
      </c>
      <c r="Y1707" t="s">
        <v>81</v>
      </c>
      <c r="Z1707" t="s">
        <v>1136</v>
      </c>
      <c r="AA1707" t="s">
        <v>39</v>
      </c>
      <c r="AC1707" t="s">
        <v>1210</v>
      </c>
    </row>
    <row r="1708" spans="1:29" hidden="1" x14ac:dyDescent="0.25">
      <c r="A1708">
        <v>169</v>
      </c>
      <c r="B1708" t="s">
        <v>229</v>
      </c>
      <c r="C1708" t="s">
        <v>77</v>
      </c>
      <c r="D1708" t="s">
        <v>230</v>
      </c>
      <c r="E1708">
        <v>8</v>
      </c>
      <c r="F1708">
        <v>90</v>
      </c>
      <c r="G1708">
        <v>150</v>
      </c>
      <c r="H1708">
        <v>1</v>
      </c>
      <c r="I1708">
        <v>0.62</v>
      </c>
      <c r="J1708">
        <v>0.62</v>
      </c>
      <c r="K1708" t="s">
        <v>223</v>
      </c>
      <c r="L1708" t="s">
        <v>1209</v>
      </c>
      <c r="Q1708">
        <v>3</v>
      </c>
      <c r="R1708" t="s">
        <v>1135</v>
      </c>
      <c r="T1708" t="s">
        <v>38</v>
      </c>
      <c r="V1708" t="s">
        <v>921</v>
      </c>
      <c r="W1708" t="s">
        <v>81</v>
      </c>
      <c r="Z1708" t="s">
        <v>1136</v>
      </c>
      <c r="AA1708" t="s">
        <v>39</v>
      </c>
      <c r="AC1708" t="s">
        <v>1210</v>
      </c>
    </row>
    <row r="1709" spans="1:29" hidden="1" x14ac:dyDescent="0.25">
      <c r="A1709">
        <v>170</v>
      </c>
      <c r="B1709" t="s">
        <v>231</v>
      </c>
      <c r="C1709" t="s">
        <v>77</v>
      </c>
      <c r="D1709" t="s">
        <v>232</v>
      </c>
      <c r="E1709">
        <v>8</v>
      </c>
      <c r="F1709">
        <v>150</v>
      </c>
      <c r="G1709">
        <v>4252</v>
      </c>
      <c r="H1709">
        <v>1</v>
      </c>
      <c r="I1709">
        <v>40.049999999999997</v>
      </c>
      <c r="J1709">
        <v>40.049999999999997</v>
      </c>
      <c r="K1709" t="s">
        <v>223</v>
      </c>
      <c r="L1709" t="s">
        <v>1209</v>
      </c>
      <c r="Q1709">
        <v>3</v>
      </c>
      <c r="R1709" t="s">
        <v>1135</v>
      </c>
      <c r="T1709" t="s">
        <v>38</v>
      </c>
      <c r="V1709" t="s">
        <v>921</v>
      </c>
      <c r="Y1709" t="s">
        <v>81</v>
      </c>
      <c r="Z1709" t="s">
        <v>1136</v>
      </c>
      <c r="AA1709" t="s">
        <v>39</v>
      </c>
      <c r="AC1709" t="s">
        <v>1210</v>
      </c>
    </row>
    <row r="1710" spans="1:29" hidden="1" x14ac:dyDescent="0.25">
      <c r="A1710">
        <v>171</v>
      </c>
      <c r="B1710" t="s">
        <v>233</v>
      </c>
      <c r="C1710" t="s">
        <v>77</v>
      </c>
      <c r="D1710" t="s">
        <v>234</v>
      </c>
      <c r="E1710">
        <v>8</v>
      </c>
      <c r="F1710">
        <v>150</v>
      </c>
      <c r="G1710">
        <v>6824</v>
      </c>
      <c r="H1710">
        <v>1</v>
      </c>
      <c r="I1710">
        <v>64.28</v>
      </c>
      <c r="J1710">
        <v>64.28</v>
      </c>
      <c r="K1710" t="s">
        <v>223</v>
      </c>
      <c r="L1710" t="s">
        <v>1209</v>
      </c>
      <c r="Q1710">
        <v>3</v>
      </c>
      <c r="R1710" t="s">
        <v>1135</v>
      </c>
      <c r="T1710" t="s">
        <v>38</v>
      </c>
      <c r="V1710" t="s">
        <v>921</v>
      </c>
      <c r="Y1710" t="s">
        <v>81</v>
      </c>
      <c r="Z1710" t="s">
        <v>1136</v>
      </c>
      <c r="AA1710" t="s">
        <v>39</v>
      </c>
      <c r="AC1710" t="s">
        <v>1210</v>
      </c>
    </row>
    <row r="1711" spans="1:29" hidden="1" x14ac:dyDescent="0.25">
      <c r="A1711">
        <v>172</v>
      </c>
      <c r="B1711" t="s">
        <v>235</v>
      </c>
      <c r="C1711" t="s">
        <v>77</v>
      </c>
      <c r="D1711" t="s">
        <v>236</v>
      </c>
      <c r="E1711">
        <v>8</v>
      </c>
      <c r="F1711">
        <v>150</v>
      </c>
      <c r="G1711">
        <v>792</v>
      </c>
      <c r="H1711">
        <v>1</v>
      </c>
      <c r="I1711">
        <v>7.46</v>
      </c>
      <c r="J1711">
        <v>7.46</v>
      </c>
      <c r="K1711" t="s">
        <v>223</v>
      </c>
      <c r="L1711" t="s">
        <v>1209</v>
      </c>
      <c r="Q1711">
        <v>3</v>
      </c>
      <c r="R1711" t="s">
        <v>1135</v>
      </c>
      <c r="T1711" t="s">
        <v>38</v>
      </c>
      <c r="V1711" t="s">
        <v>921</v>
      </c>
      <c r="Y1711" t="s">
        <v>81</v>
      </c>
      <c r="Z1711" t="s">
        <v>1136</v>
      </c>
      <c r="AA1711" t="s">
        <v>39</v>
      </c>
      <c r="AC1711" t="s">
        <v>1210</v>
      </c>
    </row>
    <row r="1712" spans="1:29" hidden="1" x14ac:dyDescent="0.25">
      <c r="A1712">
        <v>173</v>
      </c>
      <c r="B1712" t="s">
        <v>251</v>
      </c>
      <c r="C1712" t="s">
        <v>77</v>
      </c>
      <c r="D1712" t="s">
        <v>252</v>
      </c>
      <c r="E1712">
        <v>8</v>
      </c>
      <c r="F1712">
        <v>459</v>
      </c>
      <c r="G1712">
        <v>11977</v>
      </c>
      <c r="H1712">
        <v>1</v>
      </c>
      <c r="I1712">
        <v>331.9</v>
      </c>
      <c r="J1712">
        <v>331.9</v>
      </c>
      <c r="K1712" t="s">
        <v>223</v>
      </c>
      <c r="L1712" t="s">
        <v>1211</v>
      </c>
      <c r="N1712" t="s">
        <v>228</v>
      </c>
      <c r="Q1712">
        <v>3</v>
      </c>
      <c r="R1712" t="s">
        <v>1135</v>
      </c>
      <c r="T1712" t="s">
        <v>38</v>
      </c>
      <c r="V1712" t="s">
        <v>921</v>
      </c>
      <c r="Y1712" t="s">
        <v>81</v>
      </c>
      <c r="Z1712" t="s">
        <v>1136</v>
      </c>
      <c r="AA1712" t="s">
        <v>39</v>
      </c>
      <c r="AC1712" t="s">
        <v>1212</v>
      </c>
    </row>
    <row r="1713" spans="1:29" hidden="1" x14ac:dyDescent="0.25">
      <c r="A1713">
        <v>174</v>
      </c>
      <c r="B1713" t="s">
        <v>255</v>
      </c>
      <c r="C1713" t="s">
        <v>77</v>
      </c>
      <c r="D1713" t="s">
        <v>246</v>
      </c>
      <c r="E1713">
        <v>8</v>
      </c>
      <c r="F1713">
        <v>342</v>
      </c>
      <c r="G1713">
        <v>11990</v>
      </c>
      <c r="H1713">
        <v>3</v>
      </c>
      <c r="I1713">
        <v>244.16</v>
      </c>
      <c r="J1713">
        <v>732.47</v>
      </c>
      <c r="K1713" t="s">
        <v>223</v>
      </c>
      <c r="L1713" t="s">
        <v>1211</v>
      </c>
      <c r="N1713" t="s">
        <v>228</v>
      </c>
      <c r="Q1713">
        <v>3</v>
      </c>
      <c r="R1713" t="s">
        <v>1135</v>
      </c>
      <c r="T1713" t="s">
        <v>38</v>
      </c>
      <c r="V1713" t="s">
        <v>921</v>
      </c>
      <c r="Y1713" t="s">
        <v>81</v>
      </c>
      <c r="Z1713" t="s">
        <v>1136</v>
      </c>
      <c r="AA1713" t="s">
        <v>39</v>
      </c>
      <c r="AC1713" t="s">
        <v>1212</v>
      </c>
    </row>
    <row r="1714" spans="1:29" hidden="1" x14ac:dyDescent="0.25">
      <c r="A1714">
        <v>175</v>
      </c>
      <c r="B1714" t="s">
        <v>256</v>
      </c>
      <c r="C1714" t="s">
        <v>77</v>
      </c>
      <c r="D1714" t="s">
        <v>257</v>
      </c>
      <c r="E1714">
        <v>8</v>
      </c>
      <c r="F1714">
        <v>458</v>
      </c>
      <c r="G1714">
        <v>11977</v>
      </c>
      <c r="H1714">
        <v>1</v>
      </c>
      <c r="I1714">
        <v>331.9</v>
      </c>
      <c r="J1714">
        <v>331.9</v>
      </c>
      <c r="K1714" t="s">
        <v>223</v>
      </c>
      <c r="L1714" t="s">
        <v>1211</v>
      </c>
      <c r="N1714" t="s">
        <v>228</v>
      </c>
      <c r="Q1714">
        <v>3</v>
      </c>
      <c r="R1714" t="s">
        <v>1135</v>
      </c>
      <c r="T1714" t="s">
        <v>38</v>
      </c>
      <c r="V1714" t="s">
        <v>921</v>
      </c>
      <c r="Y1714" t="s">
        <v>81</v>
      </c>
      <c r="Z1714" t="s">
        <v>1136</v>
      </c>
      <c r="AA1714" t="s">
        <v>39</v>
      </c>
      <c r="AC1714" t="s">
        <v>1212</v>
      </c>
    </row>
    <row r="1715" spans="1:29" hidden="1" x14ac:dyDescent="0.25">
      <c r="A1715">
        <v>176</v>
      </c>
      <c r="B1715" t="s">
        <v>255</v>
      </c>
      <c r="C1715" t="s">
        <v>77</v>
      </c>
      <c r="D1715" t="s">
        <v>246</v>
      </c>
      <c r="E1715">
        <v>8</v>
      </c>
      <c r="F1715">
        <v>342</v>
      </c>
      <c r="G1715">
        <v>11990</v>
      </c>
      <c r="H1715">
        <v>1</v>
      </c>
      <c r="I1715">
        <v>244.16</v>
      </c>
      <c r="J1715">
        <v>244.16</v>
      </c>
      <c r="K1715" t="s">
        <v>223</v>
      </c>
      <c r="L1715" t="s">
        <v>1213</v>
      </c>
      <c r="N1715" t="s">
        <v>228</v>
      </c>
      <c r="Q1715">
        <v>3</v>
      </c>
      <c r="R1715" t="s">
        <v>1135</v>
      </c>
      <c r="T1715" t="s">
        <v>38</v>
      </c>
      <c r="V1715" t="s">
        <v>921</v>
      </c>
      <c r="Y1715" t="s">
        <v>81</v>
      </c>
      <c r="Z1715" t="s">
        <v>1136</v>
      </c>
      <c r="AA1715" t="s">
        <v>39</v>
      </c>
      <c r="AC1715" t="s">
        <v>1214</v>
      </c>
    </row>
    <row r="1716" spans="1:29" hidden="1" x14ac:dyDescent="0.25">
      <c r="A1716">
        <v>177</v>
      </c>
      <c r="B1716" t="s">
        <v>245</v>
      </c>
      <c r="C1716" t="s">
        <v>77</v>
      </c>
      <c r="D1716" t="s">
        <v>246</v>
      </c>
      <c r="E1716">
        <v>8</v>
      </c>
      <c r="F1716">
        <v>342</v>
      </c>
      <c r="G1716">
        <v>11990</v>
      </c>
      <c r="H1716">
        <v>2</v>
      </c>
      <c r="I1716">
        <v>244.16</v>
      </c>
      <c r="J1716">
        <v>488.31</v>
      </c>
      <c r="K1716" t="s">
        <v>223</v>
      </c>
      <c r="L1716" t="s">
        <v>1213</v>
      </c>
      <c r="N1716" t="s">
        <v>228</v>
      </c>
      <c r="Q1716">
        <v>3</v>
      </c>
      <c r="R1716" t="s">
        <v>1135</v>
      </c>
      <c r="T1716" t="s">
        <v>38</v>
      </c>
      <c r="V1716" t="s">
        <v>921</v>
      </c>
      <c r="Y1716" t="s">
        <v>81</v>
      </c>
      <c r="Z1716" t="s">
        <v>1136</v>
      </c>
      <c r="AA1716" t="s">
        <v>39</v>
      </c>
      <c r="AC1716" t="s">
        <v>1214</v>
      </c>
    </row>
    <row r="1717" spans="1:29" hidden="1" x14ac:dyDescent="0.25">
      <c r="A1717">
        <v>178</v>
      </c>
      <c r="B1717" t="s">
        <v>260</v>
      </c>
      <c r="C1717" t="s">
        <v>77</v>
      </c>
      <c r="D1717" t="s">
        <v>261</v>
      </c>
      <c r="E1717">
        <v>8</v>
      </c>
      <c r="F1717">
        <v>451</v>
      </c>
      <c r="G1717">
        <v>12000</v>
      </c>
      <c r="H1717">
        <v>2</v>
      </c>
      <c r="I1717">
        <v>332.59</v>
      </c>
      <c r="J1717">
        <v>665.18</v>
      </c>
      <c r="K1717" t="s">
        <v>223</v>
      </c>
      <c r="L1717" t="s">
        <v>1213</v>
      </c>
      <c r="N1717" t="s">
        <v>228</v>
      </c>
      <c r="Q1717">
        <v>3</v>
      </c>
      <c r="R1717" t="s">
        <v>1135</v>
      </c>
      <c r="T1717" t="s">
        <v>38</v>
      </c>
      <c r="V1717" t="s">
        <v>921</v>
      </c>
      <c r="Y1717" t="s">
        <v>81</v>
      </c>
      <c r="Z1717" t="s">
        <v>1136</v>
      </c>
      <c r="AA1717" t="s">
        <v>39</v>
      </c>
      <c r="AC1717" t="s">
        <v>1214</v>
      </c>
    </row>
    <row r="1718" spans="1:29" hidden="1" x14ac:dyDescent="0.25">
      <c r="A1718">
        <v>179</v>
      </c>
      <c r="B1718" t="s">
        <v>262</v>
      </c>
      <c r="C1718" t="s">
        <v>77</v>
      </c>
      <c r="D1718" t="s">
        <v>222</v>
      </c>
      <c r="E1718">
        <v>8</v>
      </c>
      <c r="F1718">
        <v>334</v>
      </c>
      <c r="G1718">
        <v>11992</v>
      </c>
      <c r="H1718">
        <v>4</v>
      </c>
      <c r="I1718">
        <v>245.5</v>
      </c>
      <c r="J1718">
        <v>981.99</v>
      </c>
      <c r="K1718" t="s">
        <v>223</v>
      </c>
      <c r="L1718" t="s">
        <v>1215</v>
      </c>
      <c r="Q1718">
        <v>3</v>
      </c>
      <c r="R1718" t="s">
        <v>1135</v>
      </c>
      <c r="T1718" t="s">
        <v>38</v>
      </c>
      <c r="V1718" t="s">
        <v>921</v>
      </c>
      <c r="Y1718" t="s">
        <v>81</v>
      </c>
      <c r="Z1718" t="s">
        <v>1136</v>
      </c>
      <c r="AA1718" t="s">
        <v>39</v>
      </c>
      <c r="AC1718" t="s">
        <v>1216</v>
      </c>
    </row>
    <row r="1719" spans="1:29" hidden="1" x14ac:dyDescent="0.25">
      <c r="A1719">
        <v>180</v>
      </c>
      <c r="B1719" t="s">
        <v>245</v>
      </c>
      <c r="C1719" t="s">
        <v>77</v>
      </c>
      <c r="D1719" t="s">
        <v>246</v>
      </c>
      <c r="E1719">
        <v>8</v>
      </c>
      <c r="F1719">
        <v>342</v>
      </c>
      <c r="G1719">
        <v>11990</v>
      </c>
      <c r="H1719">
        <v>1</v>
      </c>
      <c r="I1719">
        <v>244.16</v>
      </c>
      <c r="J1719">
        <v>244.16</v>
      </c>
      <c r="K1719" t="s">
        <v>223</v>
      </c>
      <c r="L1719" t="s">
        <v>1215</v>
      </c>
      <c r="N1719" t="s">
        <v>228</v>
      </c>
      <c r="Q1719">
        <v>3</v>
      </c>
      <c r="R1719" t="s">
        <v>1135</v>
      </c>
      <c r="T1719" t="s">
        <v>38</v>
      </c>
      <c r="V1719" t="s">
        <v>921</v>
      </c>
      <c r="Y1719" t="s">
        <v>81</v>
      </c>
      <c r="Z1719" t="s">
        <v>1136</v>
      </c>
      <c r="AA1719" t="s">
        <v>39</v>
      </c>
      <c r="AC1719" t="s">
        <v>1216</v>
      </c>
    </row>
    <row r="1720" spans="1:29" hidden="1" x14ac:dyDescent="0.25">
      <c r="A1720">
        <v>181</v>
      </c>
      <c r="B1720" t="s">
        <v>265</v>
      </c>
      <c r="C1720" t="s">
        <v>77</v>
      </c>
      <c r="D1720" t="s">
        <v>266</v>
      </c>
      <c r="E1720">
        <v>8</v>
      </c>
      <c r="F1720">
        <v>124</v>
      </c>
      <c r="G1720">
        <v>4252</v>
      </c>
      <c r="H1720">
        <v>2</v>
      </c>
      <c r="I1720">
        <v>33.11</v>
      </c>
      <c r="J1720">
        <v>66.22</v>
      </c>
      <c r="K1720" t="s">
        <v>223</v>
      </c>
      <c r="L1720" t="s">
        <v>1215</v>
      </c>
      <c r="Q1720">
        <v>3</v>
      </c>
      <c r="R1720" t="s">
        <v>1135</v>
      </c>
      <c r="T1720" t="s">
        <v>38</v>
      </c>
      <c r="V1720" t="s">
        <v>921</v>
      </c>
      <c r="Y1720" t="s">
        <v>81</v>
      </c>
      <c r="Z1720" t="s">
        <v>1136</v>
      </c>
      <c r="AA1720" t="s">
        <v>39</v>
      </c>
      <c r="AC1720" t="s">
        <v>1216</v>
      </c>
    </row>
    <row r="1721" spans="1:29" hidden="1" x14ac:dyDescent="0.25">
      <c r="A1721">
        <v>182</v>
      </c>
      <c r="B1721" t="s">
        <v>267</v>
      </c>
      <c r="C1721" t="s">
        <v>77</v>
      </c>
      <c r="D1721" t="s">
        <v>268</v>
      </c>
      <c r="E1721">
        <v>8</v>
      </c>
      <c r="F1721">
        <v>124</v>
      </c>
      <c r="G1721">
        <v>6824</v>
      </c>
      <c r="H1721">
        <v>2</v>
      </c>
      <c r="I1721">
        <v>53.14</v>
      </c>
      <c r="J1721">
        <v>106.28</v>
      </c>
      <c r="K1721" t="s">
        <v>223</v>
      </c>
      <c r="L1721" t="s">
        <v>1215</v>
      </c>
      <c r="Q1721">
        <v>3</v>
      </c>
      <c r="R1721" t="s">
        <v>1135</v>
      </c>
      <c r="T1721" t="s">
        <v>38</v>
      </c>
      <c r="V1721" t="s">
        <v>921</v>
      </c>
      <c r="Y1721" t="s">
        <v>81</v>
      </c>
      <c r="Z1721" t="s">
        <v>1136</v>
      </c>
      <c r="AA1721" t="s">
        <v>39</v>
      </c>
      <c r="AC1721" t="s">
        <v>1216</v>
      </c>
    </row>
    <row r="1722" spans="1:29" hidden="1" x14ac:dyDescent="0.25">
      <c r="A1722">
        <v>183</v>
      </c>
      <c r="B1722" t="s">
        <v>235</v>
      </c>
      <c r="C1722" t="s">
        <v>77</v>
      </c>
      <c r="D1722" t="s">
        <v>236</v>
      </c>
      <c r="E1722">
        <v>8</v>
      </c>
      <c r="F1722">
        <v>150</v>
      </c>
      <c r="G1722">
        <v>792</v>
      </c>
      <c r="H1722">
        <v>1</v>
      </c>
      <c r="I1722">
        <v>7.46</v>
      </c>
      <c r="J1722">
        <v>7.46</v>
      </c>
      <c r="K1722" t="s">
        <v>223</v>
      </c>
      <c r="L1722" t="s">
        <v>1215</v>
      </c>
      <c r="Q1722">
        <v>3</v>
      </c>
      <c r="R1722" t="s">
        <v>1135</v>
      </c>
      <c r="T1722" t="s">
        <v>38</v>
      </c>
      <c r="V1722" t="s">
        <v>921</v>
      </c>
      <c r="Y1722" t="s">
        <v>81</v>
      </c>
      <c r="Z1722" t="s">
        <v>1136</v>
      </c>
      <c r="AA1722" t="s">
        <v>39</v>
      </c>
      <c r="AC1722" t="s">
        <v>1216</v>
      </c>
    </row>
    <row r="1723" spans="1:29" hidden="1" x14ac:dyDescent="0.25">
      <c r="A1723">
        <v>184</v>
      </c>
      <c r="B1723" t="s">
        <v>269</v>
      </c>
      <c r="C1723" t="s">
        <v>77</v>
      </c>
      <c r="D1723" t="s">
        <v>270</v>
      </c>
      <c r="E1723">
        <v>8</v>
      </c>
      <c r="F1723">
        <v>124</v>
      </c>
      <c r="G1723">
        <v>792</v>
      </c>
      <c r="H1723">
        <v>1</v>
      </c>
      <c r="I1723">
        <v>6.17</v>
      </c>
      <c r="J1723">
        <v>6.17</v>
      </c>
      <c r="K1723" t="s">
        <v>223</v>
      </c>
      <c r="L1723" t="s">
        <v>1215</v>
      </c>
      <c r="Q1723">
        <v>3</v>
      </c>
      <c r="R1723" t="s">
        <v>1135</v>
      </c>
      <c r="T1723" t="s">
        <v>38</v>
      </c>
      <c r="V1723" t="s">
        <v>921</v>
      </c>
      <c r="Y1723" t="s">
        <v>81</v>
      </c>
      <c r="Z1723" t="s">
        <v>1136</v>
      </c>
      <c r="AA1723" t="s">
        <v>39</v>
      </c>
      <c r="AC1723" t="s">
        <v>1216</v>
      </c>
    </row>
    <row r="1724" spans="1:29" hidden="1" x14ac:dyDescent="0.25">
      <c r="A1724">
        <v>185</v>
      </c>
      <c r="B1724" t="s">
        <v>251</v>
      </c>
      <c r="C1724" t="s">
        <v>77</v>
      </c>
      <c r="D1724" t="s">
        <v>252</v>
      </c>
      <c r="E1724">
        <v>8</v>
      </c>
      <c r="F1724">
        <v>459</v>
      </c>
      <c r="G1724">
        <v>11977</v>
      </c>
      <c r="H1724">
        <v>1</v>
      </c>
      <c r="I1724">
        <v>331.9</v>
      </c>
      <c r="J1724">
        <v>331.9</v>
      </c>
      <c r="K1724" t="s">
        <v>223</v>
      </c>
      <c r="L1724" t="s">
        <v>1217</v>
      </c>
      <c r="N1724" t="s">
        <v>228</v>
      </c>
      <c r="Q1724">
        <v>3</v>
      </c>
      <c r="R1724" t="s">
        <v>1135</v>
      </c>
      <c r="T1724" t="s">
        <v>38</v>
      </c>
      <c r="V1724" t="s">
        <v>921</v>
      </c>
      <c r="Y1724" t="s">
        <v>81</v>
      </c>
      <c r="Z1724" t="s">
        <v>1136</v>
      </c>
      <c r="AA1724" t="s">
        <v>39</v>
      </c>
      <c r="AC1724" t="s">
        <v>1218</v>
      </c>
    </row>
    <row r="1725" spans="1:29" hidden="1" x14ac:dyDescent="0.25">
      <c r="A1725">
        <v>186</v>
      </c>
      <c r="B1725" t="s">
        <v>256</v>
      </c>
      <c r="C1725" t="s">
        <v>77</v>
      </c>
      <c r="D1725" t="s">
        <v>257</v>
      </c>
      <c r="E1725">
        <v>8</v>
      </c>
      <c r="F1725">
        <v>458</v>
      </c>
      <c r="G1725">
        <v>11977</v>
      </c>
      <c r="H1725">
        <v>1</v>
      </c>
      <c r="I1725">
        <v>331.9</v>
      </c>
      <c r="J1725">
        <v>331.9</v>
      </c>
      <c r="K1725" t="s">
        <v>223</v>
      </c>
      <c r="L1725" t="s">
        <v>1217</v>
      </c>
      <c r="N1725" t="s">
        <v>228</v>
      </c>
      <c r="Q1725">
        <v>3</v>
      </c>
      <c r="R1725" t="s">
        <v>1135</v>
      </c>
      <c r="T1725" t="s">
        <v>38</v>
      </c>
      <c r="V1725" t="s">
        <v>921</v>
      </c>
      <c r="Y1725" t="s">
        <v>81</v>
      </c>
      <c r="Z1725" t="s">
        <v>1136</v>
      </c>
      <c r="AA1725" t="s">
        <v>39</v>
      </c>
      <c r="AC1725" t="s">
        <v>1218</v>
      </c>
    </row>
    <row r="1726" spans="1:29" hidden="1" x14ac:dyDescent="0.25">
      <c r="A1726">
        <v>187</v>
      </c>
      <c r="B1726" t="s">
        <v>273</v>
      </c>
      <c r="C1726" t="s">
        <v>77</v>
      </c>
      <c r="D1726" t="s">
        <v>274</v>
      </c>
      <c r="E1726">
        <v>8</v>
      </c>
      <c r="F1726">
        <v>448</v>
      </c>
      <c r="G1726">
        <v>7587</v>
      </c>
      <c r="H1726">
        <v>2</v>
      </c>
      <c r="I1726">
        <v>211.05</v>
      </c>
      <c r="J1726">
        <v>422.1</v>
      </c>
      <c r="K1726" t="s">
        <v>223</v>
      </c>
      <c r="L1726" t="s">
        <v>1217</v>
      </c>
      <c r="N1726" t="s">
        <v>228</v>
      </c>
      <c r="Q1726">
        <v>3</v>
      </c>
      <c r="R1726" t="s">
        <v>1135</v>
      </c>
      <c r="T1726" t="s">
        <v>38</v>
      </c>
      <c r="V1726" t="s">
        <v>921</v>
      </c>
      <c r="Y1726" t="s">
        <v>81</v>
      </c>
      <c r="Z1726" t="s">
        <v>1136</v>
      </c>
      <c r="AA1726" t="s">
        <v>39</v>
      </c>
      <c r="AC1726" t="s">
        <v>1218</v>
      </c>
    </row>
    <row r="1727" spans="1:29" hidden="1" x14ac:dyDescent="0.25">
      <c r="A1727">
        <v>188</v>
      </c>
      <c r="B1727" t="s">
        <v>265</v>
      </c>
      <c r="C1727" t="s">
        <v>77</v>
      </c>
      <c r="D1727" t="s">
        <v>266</v>
      </c>
      <c r="E1727">
        <v>8</v>
      </c>
      <c r="F1727">
        <v>124</v>
      </c>
      <c r="G1727">
        <v>4252</v>
      </c>
      <c r="H1727">
        <v>2</v>
      </c>
      <c r="I1727">
        <v>33.11</v>
      </c>
      <c r="J1727">
        <v>66.22</v>
      </c>
      <c r="K1727" t="s">
        <v>223</v>
      </c>
      <c r="L1727" t="s">
        <v>1217</v>
      </c>
      <c r="Q1727">
        <v>3</v>
      </c>
      <c r="R1727" t="s">
        <v>1135</v>
      </c>
      <c r="T1727" t="s">
        <v>38</v>
      </c>
      <c r="V1727" t="s">
        <v>921</v>
      </c>
      <c r="Y1727" t="s">
        <v>81</v>
      </c>
      <c r="Z1727" t="s">
        <v>1136</v>
      </c>
      <c r="AA1727" t="s">
        <v>39</v>
      </c>
      <c r="AC1727" t="s">
        <v>1218</v>
      </c>
    </row>
    <row r="1728" spans="1:29" hidden="1" x14ac:dyDescent="0.25">
      <c r="A1728">
        <v>189</v>
      </c>
      <c r="B1728" t="s">
        <v>275</v>
      </c>
      <c r="C1728" t="s">
        <v>77</v>
      </c>
      <c r="D1728" t="s">
        <v>276</v>
      </c>
      <c r="E1728">
        <v>8</v>
      </c>
      <c r="F1728">
        <v>150</v>
      </c>
      <c r="G1728">
        <v>2972</v>
      </c>
      <c r="H1728">
        <v>1</v>
      </c>
      <c r="I1728">
        <v>28</v>
      </c>
      <c r="J1728">
        <v>28</v>
      </c>
      <c r="K1728" t="s">
        <v>223</v>
      </c>
      <c r="L1728" t="s">
        <v>1217</v>
      </c>
      <c r="Q1728">
        <v>3</v>
      </c>
      <c r="R1728" t="s">
        <v>1135</v>
      </c>
      <c r="T1728" t="s">
        <v>38</v>
      </c>
      <c r="V1728" t="s">
        <v>921</v>
      </c>
      <c r="Y1728" t="s">
        <v>81</v>
      </c>
      <c r="Z1728" t="s">
        <v>1136</v>
      </c>
      <c r="AA1728" t="s">
        <v>39</v>
      </c>
      <c r="AC1728" t="s">
        <v>1218</v>
      </c>
    </row>
    <row r="1729" spans="1:29" hidden="1" x14ac:dyDescent="0.25">
      <c r="A1729">
        <v>190</v>
      </c>
      <c r="B1729" t="s">
        <v>277</v>
      </c>
      <c r="C1729" t="s">
        <v>77</v>
      </c>
      <c r="D1729" t="s">
        <v>278</v>
      </c>
      <c r="E1729">
        <v>8</v>
      </c>
      <c r="F1729">
        <v>124</v>
      </c>
      <c r="G1729">
        <v>2972</v>
      </c>
      <c r="H1729">
        <v>4</v>
      </c>
      <c r="I1729">
        <v>23.14</v>
      </c>
      <c r="J1729">
        <v>92.57</v>
      </c>
      <c r="K1729" t="s">
        <v>223</v>
      </c>
      <c r="L1729" t="s">
        <v>1217</v>
      </c>
      <c r="Q1729">
        <v>3</v>
      </c>
      <c r="R1729" t="s">
        <v>1135</v>
      </c>
      <c r="T1729" t="s">
        <v>38</v>
      </c>
      <c r="V1729" t="s">
        <v>921</v>
      </c>
      <c r="Y1729" t="s">
        <v>81</v>
      </c>
      <c r="Z1729" t="s">
        <v>1136</v>
      </c>
      <c r="AA1729" t="s">
        <v>39</v>
      </c>
      <c r="AC1729" t="s">
        <v>1218</v>
      </c>
    </row>
    <row r="1730" spans="1:29" hidden="1" x14ac:dyDescent="0.25">
      <c r="A1730">
        <v>191</v>
      </c>
      <c r="B1730" t="s">
        <v>279</v>
      </c>
      <c r="C1730" t="s">
        <v>77</v>
      </c>
      <c r="D1730" t="s">
        <v>278</v>
      </c>
      <c r="E1730">
        <v>8</v>
      </c>
      <c r="F1730">
        <v>124</v>
      </c>
      <c r="G1730">
        <v>2972</v>
      </c>
      <c r="H1730">
        <v>1</v>
      </c>
      <c r="I1730">
        <v>23.14</v>
      </c>
      <c r="J1730">
        <v>23.14</v>
      </c>
      <c r="K1730" t="s">
        <v>223</v>
      </c>
      <c r="L1730" t="s">
        <v>1217</v>
      </c>
      <c r="Q1730">
        <v>3</v>
      </c>
      <c r="R1730" t="s">
        <v>1135</v>
      </c>
      <c r="T1730" t="s">
        <v>38</v>
      </c>
      <c r="V1730" t="s">
        <v>921</v>
      </c>
      <c r="Y1730" t="s">
        <v>81</v>
      </c>
      <c r="Z1730" t="s">
        <v>1136</v>
      </c>
      <c r="AA1730" t="s">
        <v>39</v>
      </c>
      <c r="AC1730" t="s">
        <v>1218</v>
      </c>
    </row>
    <row r="1731" spans="1:29" hidden="1" x14ac:dyDescent="0.25">
      <c r="A1731">
        <v>192</v>
      </c>
      <c r="B1731" t="s">
        <v>280</v>
      </c>
      <c r="C1731" t="s">
        <v>77</v>
      </c>
      <c r="D1731" t="s">
        <v>281</v>
      </c>
      <c r="E1731">
        <v>8</v>
      </c>
      <c r="F1731">
        <v>124</v>
      </c>
      <c r="G1731">
        <v>601</v>
      </c>
      <c r="H1731">
        <v>1</v>
      </c>
      <c r="I1731">
        <v>4.68</v>
      </c>
      <c r="J1731">
        <v>4.68</v>
      </c>
      <c r="K1731" t="s">
        <v>223</v>
      </c>
      <c r="L1731" t="s">
        <v>1217</v>
      </c>
      <c r="Q1731">
        <v>3</v>
      </c>
      <c r="R1731" t="s">
        <v>1135</v>
      </c>
      <c r="T1731" t="s">
        <v>38</v>
      </c>
      <c r="V1731" t="s">
        <v>921</v>
      </c>
      <c r="Y1731" t="s">
        <v>81</v>
      </c>
      <c r="Z1731" t="s">
        <v>1136</v>
      </c>
      <c r="AA1731" t="s">
        <v>39</v>
      </c>
      <c r="AC1731" t="s">
        <v>1218</v>
      </c>
    </row>
    <row r="1732" spans="1:29" hidden="1" x14ac:dyDescent="0.25">
      <c r="A1732">
        <v>193</v>
      </c>
      <c r="B1732" t="s">
        <v>282</v>
      </c>
      <c r="C1732" t="s">
        <v>77</v>
      </c>
      <c r="D1732" t="s">
        <v>283</v>
      </c>
      <c r="E1732">
        <v>8</v>
      </c>
      <c r="F1732">
        <v>150</v>
      </c>
      <c r="G1732">
        <v>1381</v>
      </c>
      <c r="H1732">
        <v>1</v>
      </c>
      <c r="I1732">
        <v>13.01</v>
      </c>
      <c r="J1732">
        <v>13.01</v>
      </c>
      <c r="K1732" t="s">
        <v>223</v>
      </c>
      <c r="L1732" t="s">
        <v>1217</v>
      </c>
      <c r="Q1732">
        <v>3</v>
      </c>
      <c r="R1732" t="s">
        <v>1135</v>
      </c>
      <c r="T1732" t="s">
        <v>38</v>
      </c>
      <c r="V1732" t="s">
        <v>921</v>
      </c>
      <c r="Y1732" t="s">
        <v>81</v>
      </c>
      <c r="Z1732" t="s">
        <v>1136</v>
      </c>
      <c r="AA1732" t="s">
        <v>39</v>
      </c>
      <c r="AC1732" t="s">
        <v>1218</v>
      </c>
    </row>
    <row r="1733" spans="1:29" hidden="1" x14ac:dyDescent="0.25">
      <c r="A1733">
        <v>194</v>
      </c>
      <c r="B1733" t="s">
        <v>284</v>
      </c>
      <c r="C1733" t="s">
        <v>77</v>
      </c>
      <c r="D1733" t="s">
        <v>285</v>
      </c>
      <c r="E1733">
        <v>8</v>
      </c>
      <c r="F1733">
        <v>124</v>
      </c>
      <c r="G1733">
        <v>1381</v>
      </c>
      <c r="H1733">
        <v>4</v>
      </c>
      <c r="I1733">
        <v>10.76</v>
      </c>
      <c r="J1733">
        <v>43.02</v>
      </c>
      <c r="K1733" t="s">
        <v>223</v>
      </c>
      <c r="L1733" t="s">
        <v>1217</v>
      </c>
      <c r="Q1733">
        <v>3</v>
      </c>
      <c r="R1733" t="s">
        <v>1135</v>
      </c>
      <c r="T1733" t="s">
        <v>38</v>
      </c>
      <c r="V1733" t="s">
        <v>921</v>
      </c>
      <c r="Y1733" t="s">
        <v>81</v>
      </c>
      <c r="Z1733" t="s">
        <v>1136</v>
      </c>
      <c r="AA1733" t="s">
        <v>39</v>
      </c>
      <c r="AC1733" t="s">
        <v>1218</v>
      </c>
    </row>
    <row r="1734" spans="1:29" hidden="1" x14ac:dyDescent="0.25">
      <c r="A1734">
        <v>195</v>
      </c>
      <c r="B1734" t="s">
        <v>267</v>
      </c>
      <c r="C1734" t="s">
        <v>77</v>
      </c>
      <c r="D1734" t="s">
        <v>268</v>
      </c>
      <c r="E1734">
        <v>8</v>
      </c>
      <c r="F1734">
        <v>124</v>
      </c>
      <c r="G1734">
        <v>6824</v>
      </c>
      <c r="H1734">
        <v>1</v>
      </c>
      <c r="I1734">
        <v>53.14</v>
      </c>
      <c r="J1734">
        <v>53.14</v>
      </c>
      <c r="K1734" t="s">
        <v>223</v>
      </c>
      <c r="L1734" t="s">
        <v>1217</v>
      </c>
      <c r="Q1734">
        <v>3</v>
      </c>
      <c r="R1734" t="s">
        <v>1135</v>
      </c>
      <c r="T1734" t="s">
        <v>38</v>
      </c>
      <c r="V1734" t="s">
        <v>921</v>
      </c>
      <c r="Y1734" t="s">
        <v>81</v>
      </c>
      <c r="Z1734" t="s">
        <v>1136</v>
      </c>
      <c r="AA1734" t="s">
        <v>39</v>
      </c>
      <c r="AC1734" t="s">
        <v>1218</v>
      </c>
    </row>
    <row r="1735" spans="1:29" hidden="1" x14ac:dyDescent="0.25">
      <c r="A1735">
        <v>196</v>
      </c>
      <c r="B1735" t="s">
        <v>269</v>
      </c>
      <c r="C1735" t="s">
        <v>77</v>
      </c>
      <c r="D1735" t="s">
        <v>270</v>
      </c>
      <c r="E1735">
        <v>8</v>
      </c>
      <c r="F1735">
        <v>124</v>
      </c>
      <c r="G1735">
        <v>792</v>
      </c>
      <c r="H1735">
        <v>2</v>
      </c>
      <c r="I1735">
        <v>6.16</v>
      </c>
      <c r="J1735">
        <v>12.33</v>
      </c>
      <c r="K1735" t="s">
        <v>223</v>
      </c>
      <c r="L1735" t="s">
        <v>1217</v>
      </c>
      <c r="Q1735">
        <v>3</v>
      </c>
      <c r="R1735" t="s">
        <v>1135</v>
      </c>
      <c r="T1735" t="s">
        <v>38</v>
      </c>
      <c r="V1735" t="s">
        <v>921</v>
      </c>
      <c r="Y1735" t="s">
        <v>81</v>
      </c>
      <c r="Z1735" t="s">
        <v>1136</v>
      </c>
      <c r="AA1735" t="s">
        <v>39</v>
      </c>
      <c r="AC1735" t="s">
        <v>1218</v>
      </c>
    </row>
    <row r="1736" spans="1:29" hidden="1" x14ac:dyDescent="0.25">
      <c r="A1736">
        <v>197</v>
      </c>
      <c r="B1736" t="s">
        <v>286</v>
      </c>
      <c r="C1736" t="s">
        <v>77</v>
      </c>
      <c r="D1736" t="s">
        <v>287</v>
      </c>
      <c r="E1736">
        <v>8</v>
      </c>
      <c r="F1736">
        <v>450</v>
      </c>
      <c r="G1736">
        <v>12007</v>
      </c>
      <c r="H1736">
        <v>2</v>
      </c>
      <c r="I1736">
        <v>334.02</v>
      </c>
      <c r="J1736">
        <v>668.05</v>
      </c>
      <c r="K1736" t="s">
        <v>223</v>
      </c>
      <c r="L1736" t="s">
        <v>1219</v>
      </c>
      <c r="Q1736">
        <v>3</v>
      </c>
      <c r="R1736" t="s">
        <v>1135</v>
      </c>
      <c r="T1736" t="s">
        <v>38</v>
      </c>
      <c r="V1736" t="s">
        <v>921</v>
      </c>
      <c r="Y1736" t="s">
        <v>81</v>
      </c>
      <c r="Z1736" t="s">
        <v>1136</v>
      </c>
      <c r="AA1736" t="s">
        <v>39</v>
      </c>
      <c r="AC1736" t="s">
        <v>1220</v>
      </c>
    </row>
    <row r="1737" spans="1:29" hidden="1" x14ac:dyDescent="0.25">
      <c r="A1737">
        <v>198</v>
      </c>
      <c r="B1737" t="s">
        <v>290</v>
      </c>
      <c r="C1737" t="s">
        <v>77</v>
      </c>
      <c r="D1737" t="s">
        <v>287</v>
      </c>
      <c r="E1737">
        <v>8</v>
      </c>
      <c r="F1737">
        <v>450</v>
      </c>
      <c r="G1737">
        <v>12007</v>
      </c>
      <c r="H1737">
        <v>2</v>
      </c>
      <c r="I1737">
        <v>334.02</v>
      </c>
      <c r="J1737">
        <v>668.05</v>
      </c>
      <c r="K1737" t="s">
        <v>223</v>
      </c>
      <c r="L1737" t="s">
        <v>1219</v>
      </c>
      <c r="Q1737">
        <v>3</v>
      </c>
      <c r="R1737" t="s">
        <v>1135</v>
      </c>
      <c r="T1737" t="s">
        <v>38</v>
      </c>
      <c r="V1737" t="s">
        <v>921</v>
      </c>
      <c r="Y1737" t="s">
        <v>81</v>
      </c>
      <c r="Z1737" t="s">
        <v>1136</v>
      </c>
      <c r="AA1737" t="s">
        <v>39</v>
      </c>
      <c r="AC1737" t="s">
        <v>1220</v>
      </c>
    </row>
    <row r="1738" spans="1:29" hidden="1" x14ac:dyDescent="0.25">
      <c r="A1738">
        <v>199</v>
      </c>
      <c r="B1738" t="s">
        <v>229</v>
      </c>
      <c r="C1738" t="s">
        <v>77</v>
      </c>
      <c r="D1738" t="s">
        <v>230</v>
      </c>
      <c r="E1738">
        <v>8</v>
      </c>
      <c r="F1738">
        <v>90</v>
      </c>
      <c r="G1738">
        <v>150</v>
      </c>
      <c r="H1738">
        <v>1</v>
      </c>
      <c r="I1738">
        <v>0.62</v>
      </c>
      <c r="J1738">
        <v>0.62</v>
      </c>
      <c r="K1738" t="s">
        <v>223</v>
      </c>
      <c r="L1738" t="s">
        <v>1219</v>
      </c>
      <c r="Q1738">
        <v>3</v>
      </c>
      <c r="R1738" t="s">
        <v>1135</v>
      </c>
      <c r="T1738" t="s">
        <v>38</v>
      </c>
      <c r="V1738" t="s">
        <v>921</v>
      </c>
      <c r="W1738" t="s">
        <v>81</v>
      </c>
      <c r="Z1738" t="s">
        <v>1136</v>
      </c>
      <c r="AA1738" t="s">
        <v>39</v>
      </c>
      <c r="AC1738" t="s">
        <v>1220</v>
      </c>
    </row>
    <row r="1739" spans="1:29" hidden="1" x14ac:dyDescent="0.25">
      <c r="A1739">
        <v>200</v>
      </c>
      <c r="B1739" t="s">
        <v>275</v>
      </c>
      <c r="C1739" t="s">
        <v>77</v>
      </c>
      <c r="D1739" t="s">
        <v>276</v>
      </c>
      <c r="E1739">
        <v>8</v>
      </c>
      <c r="F1739">
        <v>150</v>
      </c>
      <c r="G1739">
        <v>2972</v>
      </c>
      <c r="H1739">
        <v>3</v>
      </c>
      <c r="I1739">
        <v>28</v>
      </c>
      <c r="J1739">
        <v>83.99</v>
      </c>
      <c r="K1739" t="s">
        <v>223</v>
      </c>
      <c r="L1739" t="s">
        <v>1219</v>
      </c>
      <c r="Q1739">
        <v>3</v>
      </c>
      <c r="R1739" t="s">
        <v>1135</v>
      </c>
      <c r="T1739" t="s">
        <v>38</v>
      </c>
      <c r="V1739" t="s">
        <v>921</v>
      </c>
      <c r="Y1739" t="s">
        <v>81</v>
      </c>
      <c r="Z1739" t="s">
        <v>1136</v>
      </c>
      <c r="AA1739" t="s">
        <v>39</v>
      </c>
      <c r="AC1739" t="s">
        <v>1220</v>
      </c>
    </row>
    <row r="1740" spans="1:29" hidden="1" x14ac:dyDescent="0.25">
      <c r="A1740">
        <v>201</v>
      </c>
      <c r="B1740" t="s">
        <v>291</v>
      </c>
      <c r="C1740" t="s">
        <v>77</v>
      </c>
      <c r="D1740" t="s">
        <v>276</v>
      </c>
      <c r="E1740">
        <v>8</v>
      </c>
      <c r="F1740">
        <v>150</v>
      </c>
      <c r="G1740">
        <v>2972</v>
      </c>
      <c r="H1740">
        <v>1</v>
      </c>
      <c r="I1740">
        <v>28</v>
      </c>
      <c r="J1740">
        <v>28</v>
      </c>
      <c r="K1740" t="s">
        <v>223</v>
      </c>
      <c r="L1740" t="s">
        <v>1219</v>
      </c>
      <c r="Q1740">
        <v>3</v>
      </c>
      <c r="R1740" t="s">
        <v>1135</v>
      </c>
      <c r="T1740" t="s">
        <v>38</v>
      </c>
      <c r="V1740" t="s">
        <v>921</v>
      </c>
      <c r="Y1740" t="s">
        <v>81</v>
      </c>
      <c r="Z1740" t="s">
        <v>1136</v>
      </c>
      <c r="AA1740" t="s">
        <v>39</v>
      </c>
      <c r="AC1740" t="s">
        <v>1220</v>
      </c>
    </row>
    <row r="1741" spans="1:29" hidden="1" x14ac:dyDescent="0.25">
      <c r="A1741">
        <v>202</v>
      </c>
      <c r="B1741" t="s">
        <v>292</v>
      </c>
      <c r="C1741" t="s">
        <v>77</v>
      </c>
      <c r="D1741" t="s">
        <v>293</v>
      </c>
      <c r="E1741">
        <v>8</v>
      </c>
      <c r="F1741">
        <v>446</v>
      </c>
      <c r="G1741">
        <v>7588</v>
      </c>
      <c r="H1741">
        <v>2</v>
      </c>
      <c r="I1741">
        <v>211.08</v>
      </c>
      <c r="J1741">
        <v>422.16</v>
      </c>
      <c r="K1741" t="s">
        <v>223</v>
      </c>
      <c r="L1741" t="s">
        <v>1221</v>
      </c>
      <c r="N1741" t="s">
        <v>228</v>
      </c>
      <c r="Q1741">
        <v>3</v>
      </c>
      <c r="R1741" t="s">
        <v>1135</v>
      </c>
      <c r="T1741" t="s">
        <v>38</v>
      </c>
      <c r="V1741" t="s">
        <v>921</v>
      </c>
      <c r="Y1741" t="s">
        <v>81</v>
      </c>
      <c r="Z1741" t="s">
        <v>1136</v>
      </c>
      <c r="AA1741" t="s">
        <v>39</v>
      </c>
      <c r="AC1741" t="s">
        <v>1222</v>
      </c>
    </row>
    <row r="1742" spans="1:29" hidden="1" x14ac:dyDescent="0.25">
      <c r="A1742">
        <v>203</v>
      </c>
      <c r="B1742" t="s">
        <v>296</v>
      </c>
      <c r="C1742" t="s">
        <v>77</v>
      </c>
      <c r="D1742" t="s">
        <v>297</v>
      </c>
      <c r="E1742">
        <v>8</v>
      </c>
      <c r="F1742">
        <v>329</v>
      </c>
      <c r="G1742">
        <v>7565</v>
      </c>
      <c r="H1742">
        <v>2</v>
      </c>
      <c r="I1742">
        <v>154.86000000000001</v>
      </c>
      <c r="J1742">
        <v>309.73</v>
      </c>
      <c r="K1742" t="s">
        <v>223</v>
      </c>
      <c r="L1742" t="s">
        <v>1221</v>
      </c>
      <c r="N1742" t="s">
        <v>228</v>
      </c>
      <c r="Q1742">
        <v>3</v>
      </c>
      <c r="R1742" t="s">
        <v>1135</v>
      </c>
      <c r="T1742" t="s">
        <v>38</v>
      </c>
      <c r="V1742" t="s">
        <v>921</v>
      </c>
      <c r="Y1742" t="s">
        <v>81</v>
      </c>
      <c r="Z1742" t="s">
        <v>1136</v>
      </c>
      <c r="AA1742" t="s">
        <v>39</v>
      </c>
      <c r="AC1742" t="s">
        <v>1222</v>
      </c>
    </row>
    <row r="1743" spans="1:29" hidden="1" x14ac:dyDescent="0.25">
      <c r="A1743">
        <v>204</v>
      </c>
      <c r="B1743" t="s">
        <v>298</v>
      </c>
      <c r="C1743" t="s">
        <v>77</v>
      </c>
      <c r="D1743" t="s">
        <v>299</v>
      </c>
      <c r="E1743">
        <v>8</v>
      </c>
      <c r="F1743">
        <v>329</v>
      </c>
      <c r="G1743">
        <v>7566</v>
      </c>
      <c r="H1743">
        <v>1</v>
      </c>
      <c r="I1743">
        <v>154.88</v>
      </c>
      <c r="J1743">
        <v>154.88</v>
      </c>
      <c r="K1743" t="s">
        <v>223</v>
      </c>
      <c r="L1743" t="s">
        <v>1221</v>
      </c>
      <c r="N1743" t="s">
        <v>228</v>
      </c>
      <c r="Q1743">
        <v>3</v>
      </c>
      <c r="R1743" t="s">
        <v>1135</v>
      </c>
      <c r="T1743" t="s">
        <v>38</v>
      </c>
      <c r="V1743" t="s">
        <v>921</v>
      </c>
      <c r="Y1743" t="s">
        <v>81</v>
      </c>
      <c r="Z1743" t="s">
        <v>1136</v>
      </c>
      <c r="AA1743" t="s">
        <v>39</v>
      </c>
      <c r="AC1743" t="s">
        <v>1222</v>
      </c>
    </row>
    <row r="1744" spans="1:29" hidden="1" x14ac:dyDescent="0.25">
      <c r="A1744">
        <v>205</v>
      </c>
      <c r="B1744" t="s">
        <v>300</v>
      </c>
      <c r="C1744" t="s">
        <v>77</v>
      </c>
      <c r="D1744" t="s">
        <v>301</v>
      </c>
      <c r="E1744">
        <v>8</v>
      </c>
      <c r="F1744">
        <v>66</v>
      </c>
      <c r="G1744">
        <v>150</v>
      </c>
      <c r="H1744">
        <v>3</v>
      </c>
      <c r="I1744">
        <v>0.46</v>
      </c>
      <c r="J1744">
        <v>1.38</v>
      </c>
      <c r="K1744" t="s">
        <v>223</v>
      </c>
      <c r="L1744" t="s">
        <v>1221</v>
      </c>
      <c r="Q1744">
        <v>3</v>
      </c>
      <c r="R1744" t="s">
        <v>1135</v>
      </c>
      <c r="T1744" t="s">
        <v>38</v>
      </c>
      <c r="V1744" t="s">
        <v>921</v>
      </c>
      <c r="W1744" t="s">
        <v>81</v>
      </c>
      <c r="Z1744" t="s">
        <v>1136</v>
      </c>
      <c r="AA1744" t="s">
        <v>39</v>
      </c>
      <c r="AC1744" t="s">
        <v>1222</v>
      </c>
    </row>
    <row r="1745" spans="1:29" hidden="1" x14ac:dyDescent="0.25">
      <c r="A1745">
        <v>206</v>
      </c>
      <c r="B1745" t="s">
        <v>302</v>
      </c>
      <c r="C1745" t="s">
        <v>77</v>
      </c>
      <c r="D1745" t="s">
        <v>301</v>
      </c>
      <c r="E1745">
        <v>8</v>
      </c>
      <c r="F1745">
        <v>66</v>
      </c>
      <c r="G1745">
        <v>150</v>
      </c>
      <c r="H1745">
        <v>6</v>
      </c>
      <c r="I1745">
        <v>0.46</v>
      </c>
      <c r="J1745">
        <v>2.77</v>
      </c>
      <c r="K1745" t="s">
        <v>223</v>
      </c>
      <c r="L1745" t="s">
        <v>1221</v>
      </c>
      <c r="Q1745">
        <v>3</v>
      </c>
      <c r="R1745" t="s">
        <v>1135</v>
      </c>
      <c r="T1745" t="s">
        <v>38</v>
      </c>
      <c r="V1745" t="s">
        <v>921</v>
      </c>
      <c r="W1745" t="s">
        <v>81</v>
      </c>
      <c r="Z1745" t="s">
        <v>1136</v>
      </c>
      <c r="AA1745" t="s">
        <v>39</v>
      </c>
      <c r="AC1745" t="s">
        <v>1222</v>
      </c>
    </row>
    <row r="1746" spans="1:29" hidden="1" x14ac:dyDescent="0.25">
      <c r="A1746">
        <v>207</v>
      </c>
      <c r="B1746" t="s">
        <v>303</v>
      </c>
      <c r="C1746" t="s">
        <v>77</v>
      </c>
      <c r="D1746" t="s">
        <v>301</v>
      </c>
      <c r="E1746">
        <v>8</v>
      </c>
      <c r="F1746">
        <v>66</v>
      </c>
      <c r="G1746">
        <v>150</v>
      </c>
      <c r="H1746">
        <v>3</v>
      </c>
      <c r="I1746">
        <v>0.46</v>
      </c>
      <c r="J1746">
        <v>1.38</v>
      </c>
      <c r="K1746" t="s">
        <v>223</v>
      </c>
      <c r="L1746" t="s">
        <v>1221</v>
      </c>
      <c r="Q1746">
        <v>3</v>
      </c>
      <c r="R1746" t="s">
        <v>1135</v>
      </c>
      <c r="T1746" t="s">
        <v>38</v>
      </c>
      <c r="V1746" t="s">
        <v>921</v>
      </c>
      <c r="W1746" t="s">
        <v>81</v>
      </c>
      <c r="Z1746" t="s">
        <v>1136</v>
      </c>
      <c r="AA1746" t="s">
        <v>39</v>
      </c>
      <c r="AC1746" t="s">
        <v>1222</v>
      </c>
    </row>
    <row r="1747" spans="1:29" hidden="1" x14ac:dyDescent="0.25">
      <c r="A1747">
        <v>208</v>
      </c>
      <c r="B1747" t="s">
        <v>304</v>
      </c>
      <c r="C1747" t="s">
        <v>77</v>
      </c>
      <c r="D1747" t="s">
        <v>305</v>
      </c>
      <c r="E1747">
        <v>8</v>
      </c>
      <c r="F1747">
        <v>150</v>
      </c>
      <c r="G1747">
        <v>1882</v>
      </c>
      <c r="H1747">
        <v>6</v>
      </c>
      <c r="I1747">
        <v>17.73</v>
      </c>
      <c r="J1747">
        <v>106.37</v>
      </c>
      <c r="K1747" t="s">
        <v>223</v>
      </c>
      <c r="L1747" t="s">
        <v>1221</v>
      </c>
      <c r="Q1747">
        <v>3</v>
      </c>
      <c r="R1747" t="s">
        <v>1135</v>
      </c>
      <c r="T1747" t="s">
        <v>38</v>
      </c>
      <c r="V1747" t="s">
        <v>921</v>
      </c>
      <c r="Y1747" t="s">
        <v>81</v>
      </c>
      <c r="Z1747" t="s">
        <v>1136</v>
      </c>
      <c r="AA1747" t="s">
        <v>39</v>
      </c>
      <c r="AC1747" t="s">
        <v>1222</v>
      </c>
    </row>
    <row r="1748" spans="1:29" hidden="1" x14ac:dyDescent="0.25">
      <c r="A1748">
        <v>209</v>
      </c>
      <c r="B1748" t="s">
        <v>306</v>
      </c>
      <c r="C1748" t="s">
        <v>77</v>
      </c>
      <c r="D1748" t="s">
        <v>307</v>
      </c>
      <c r="E1748">
        <v>8</v>
      </c>
      <c r="F1748">
        <v>124</v>
      </c>
      <c r="G1748">
        <v>1882</v>
      </c>
      <c r="H1748">
        <v>2</v>
      </c>
      <c r="I1748">
        <v>14.66</v>
      </c>
      <c r="J1748">
        <v>29.31</v>
      </c>
      <c r="K1748" t="s">
        <v>223</v>
      </c>
      <c r="L1748" t="s">
        <v>1221</v>
      </c>
      <c r="Q1748">
        <v>3</v>
      </c>
      <c r="R1748" t="s">
        <v>1135</v>
      </c>
      <c r="T1748" t="s">
        <v>38</v>
      </c>
      <c r="V1748" t="s">
        <v>921</v>
      </c>
      <c r="Y1748" t="s">
        <v>81</v>
      </c>
      <c r="Z1748" t="s">
        <v>1136</v>
      </c>
      <c r="AA1748" t="s">
        <v>39</v>
      </c>
      <c r="AC1748" t="s">
        <v>1222</v>
      </c>
    </row>
    <row r="1749" spans="1:29" hidden="1" x14ac:dyDescent="0.25">
      <c r="A1749">
        <v>210</v>
      </c>
      <c r="B1749" t="s">
        <v>291</v>
      </c>
      <c r="C1749" t="s">
        <v>77</v>
      </c>
      <c r="D1749" t="s">
        <v>276</v>
      </c>
      <c r="E1749">
        <v>8</v>
      </c>
      <c r="F1749">
        <v>150</v>
      </c>
      <c r="G1749">
        <v>2972</v>
      </c>
      <c r="H1749">
        <v>3</v>
      </c>
      <c r="I1749">
        <v>28</v>
      </c>
      <c r="J1749">
        <v>83.99</v>
      </c>
      <c r="K1749" t="s">
        <v>223</v>
      </c>
      <c r="L1749" t="s">
        <v>1221</v>
      </c>
      <c r="Q1749">
        <v>3</v>
      </c>
      <c r="R1749" t="s">
        <v>1135</v>
      </c>
      <c r="T1749" t="s">
        <v>38</v>
      </c>
      <c r="V1749" t="s">
        <v>921</v>
      </c>
      <c r="Y1749" t="s">
        <v>81</v>
      </c>
      <c r="Z1749" t="s">
        <v>1136</v>
      </c>
      <c r="AA1749" t="s">
        <v>39</v>
      </c>
      <c r="AC1749" t="s">
        <v>1222</v>
      </c>
    </row>
    <row r="1750" spans="1:29" hidden="1" x14ac:dyDescent="0.25">
      <c r="A1750">
        <v>211</v>
      </c>
      <c r="B1750" t="s">
        <v>279</v>
      </c>
      <c r="C1750" t="s">
        <v>77</v>
      </c>
      <c r="D1750" t="s">
        <v>278</v>
      </c>
      <c r="E1750">
        <v>8</v>
      </c>
      <c r="F1750">
        <v>124</v>
      </c>
      <c r="G1750">
        <v>2972</v>
      </c>
      <c r="H1750">
        <v>3</v>
      </c>
      <c r="I1750">
        <v>23.14</v>
      </c>
      <c r="J1750">
        <v>69.430000000000007</v>
      </c>
      <c r="K1750" t="s">
        <v>223</v>
      </c>
      <c r="L1750" t="s">
        <v>1221</v>
      </c>
      <c r="Q1750">
        <v>3</v>
      </c>
      <c r="R1750" t="s">
        <v>1135</v>
      </c>
      <c r="T1750" t="s">
        <v>38</v>
      </c>
      <c r="V1750" t="s">
        <v>921</v>
      </c>
      <c r="Y1750" t="s">
        <v>81</v>
      </c>
      <c r="Z1750" t="s">
        <v>1136</v>
      </c>
      <c r="AA1750" t="s">
        <v>39</v>
      </c>
      <c r="AC1750" t="s">
        <v>1222</v>
      </c>
    </row>
    <row r="1751" spans="1:29" hidden="1" x14ac:dyDescent="0.25">
      <c r="A1751">
        <v>212</v>
      </c>
      <c r="B1751" t="s">
        <v>308</v>
      </c>
      <c r="C1751" t="s">
        <v>77</v>
      </c>
      <c r="D1751" t="s">
        <v>309</v>
      </c>
      <c r="E1751">
        <v>8</v>
      </c>
      <c r="F1751">
        <v>150</v>
      </c>
      <c r="G1751">
        <v>2523</v>
      </c>
      <c r="H1751">
        <v>2</v>
      </c>
      <c r="I1751">
        <v>23.76</v>
      </c>
      <c r="J1751">
        <v>47.53</v>
      </c>
      <c r="K1751" t="s">
        <v>223</v>
      </c>
      <c r="L1751" t="s">
        <v>1221</v>
      </c>
      <c r="Q1751">
        <v>3</v>
      </c>
      <c r="R1751" t="s">
        <v>1135</v>
      </c>
      <c r="T1751" t="s">
        <v>38</v>
      </c>
      <c r="V1751" t="s">
        <v>921</v>
      </c>
      <c r="Y1751" t="s">
        <v>81</v>
      </c>
      <c r="Z1751" t="s">
        <v>1136</v>
      </c>
      <c r="AA1751" t="s">
        <v>39</v>
      </c>
      <c r="AC1751" t="s">
        <v>1222</v>
      </c>
    </row>
    <row r="1752" spans="1:29" hidden="1" x14ac:dyDescent="0.25">
      <c r="A1752">
        <v>213</v>
      </c>
      <c r="B1752" t="s">
        <v>310</v>
      </c>
      <c r="C1752" t="s">
        <v>77</v>
      </c>
      <c r="D1752" t="s">
        <v>311</v>
      </c>
      <c r="E1752">
        <v>8</v>
      </c>
      <c r="F1752">
        <v>124</v>
      </c>
      <c r="G1752">
        <v>2523</v>
      </c>
      <c r="H1752">
        <v>2</v>
      </c>
      <c r="I1752">
        <v>19.64</v>
      </c>
      <c r="J1752">
        <v>39.29</v>
      </c>
      <c r="K1752" t="s">
        <v>223</v>
      </c>
      <c r="L1752" t="s">
        <v>1221</v>
      </c>
      <c r="Q1752">
        <v>3</v>
      </c>
      <c r="R1752" t="s">
        <v>1135</v>
      </c>
      <c r="T1752" t="s">
        <v>38</v>
      </c>
      <c r="V1752" t="s">
        <v>921</v>
      </c>
      <c r="Y1752" t="s">
        <v>81</v>
      </c>
      <c r="Z1752" t="s">
        <v>1136</v>
      </c>
      <c r="AA1752" t="s">
        <v>39</v>
      </c>
      <c r="AC1752" t="s">
        <v>1222</v>
      </c>
    </row>
    <row r="1753" spans="1:29" hidden="1" x14ac:dyDescent="0.25">
      <c r="A1753">
        <v>214</v>
      </c>
      <c r="B1753" t="s">
        <v>312</v>
      </c>
      <c r="C1753" t="s">
        <v>77</v>
      </c>
      <c r="D1753" t="s">
        <v>309</v>
      </c>
      <c r="E1753">
        <v>8</v>
      </c>
      <c r="F1753">
        <v>150</v>
      </c>
      <c r="G1753">
        <v>2523</v>
      </c>
      <c r="H1753">
        <v>4</v>
      </c>
      <c r="I1753">
        <v>23.77</v>
      </c>
      <c r="J1753">
        <v>95.07</v>
      </c>
      <c r="K1753" t="s">
        <v>223</v>
      </c>
      <c r="L1753" t="s">
        <v>1221</v>
      </c>
      <c r="Q1753">
        <v>3</v>
      </c>
      <c r="R1753" t="s">
        <v>1135</v>
      </c>
      <c r="T1753" t="s">
        <v>38</v>
      </c>
      <c r="V1753" t="s">
        <v>921</v>
      </c>
      <c r="Y1753" t="s">
        <v>81</v>
      </c>
      <c r="Z1753" t="s">
        <v>1136</v>
      </c>
      <c r="AA1753" t="s">
        <v>39</v>
      </c>
      <c r="AC1753" t="s">
        <v>1222</v>
      </c>
    </row>
    <row r="1754" spans="1:29" hidden="1" x14ac:dyDescent="0.25">
      <c r="A1754">
        <v>215</v>
      </c>
      <c r="B1754" t="s">
        <v>280</v>
      </c>
      <c r="C1754" t="s">
        <v>77</v>
      </c>
      <c r="D1754" t="s">
        <v>281</v>
      </c>
      <c r="E1754">
        <v>8</v>
      </c>
      <c r="F1754">
        <v>124</v>
      </c>
      <c r="G1754">
        <v>601</v>
      </c>
      <c r="H1754">
        <v>3</v>
      </c>
      <c r="I1754">
        <v>4.68</v>
      </c>
      <c r="J1754">
        <v>14.04</v>
      </c>
      <c r="K1754" t="s">
        <v>223</v>
      </c>
      <c r="L1754" t="s">
        <v>1221</v>
      </c>
      <c r="Q1754">
        <v>3</v>
      </c>
      <c r="R1754" t="s">
        <v>1135</v>
      </c>
      <c r="T1754" t="s">
        <v>38</v>
      </c>
      <c r="V1754" t="s">
        <v>921</v>
      </c>
      <c r="Y1754" t="s">
        <v>81</v>
      </c>
      <c r="Z1754" t="s">
        <v>1136</v>
      </c>
      <c r="AA1754" t="s">
        <v>39</v>
      </c>
      <c r="AC1754" t="s">
        <v>1222</v>
      </c>
    </row>
    <row r="1755" spans="1:29" hidden="1" x14ac:dyDescent="0.25">
      <c r="A1755">
        <v>216</v>
      </c>
      <c r="B1755" t="s">
        <v>282</v>
      </c>
      <c r="C1755" t="s">
        <v>77</v>
      </c>
      <c r="D1755" t="s">
        <v>283</v>
      </c>
      <c r="E1755">
        <v>8</v>
      </c>
      <c r="F1755">
        <v>150</v>
      </c>
      <c r="G1755">
        <v>1381</v>
      </c>
      <c r="H1755">
        <v>3</v>
      </c>
      <c r="I1755">
        <v>13.01</v>
      </c>
      <c r="J1755">
        <v>39.03</v>
      </c>
      <c r="K1755" t="s">
        <v>223</v>
      </c>
      <c r="L1755" t="s">
        <v>1221</v>
      </c>
      <c r="Q1755">
        <v>3</v>
      </c>
      <c r="R1755" t="s">
        <v>1135</v>
      </c>
      <c r="T1755" t="s">
        <v>38</v>
      </c>
      <c r="V1755" t="s">
        <v>921</v>
      </c>
      <c r="Y1755" t="s">
        <v>81</v>
      </c>
      <c r="Z1755" t="s">
        <v>1136</v>
      </c>
      <c r="AA1755" t="s">
        <v>39</v>
      </c>
      <c r="AC1755" t="s">
        <v>1222</v>
      </c>
    </row>
    <row r="1756" spans="1:29" hidden="1" x14ac:dyDescent="0.25">
      <c r="A1756">
        <v>217</v>
      </c>
      <c r="B1756" t="s">
        <v>269</v>
      </c>
      <c r="C1756" t="s">
        <v>77</v>
      </c>
      <c r="D1756" t="s">
        <v>270</v>
      </c>
      <c r="E1756">
        <v>8</v>
      </c>
      <c r="F1756">
        <v>124</v>
      </c>
      <c r="G1756">
        <v>792</v>
      </c>
      <c r="H1756">
        <v>3</v>
      </c>
      <c r="I1756">
        <v>6.17</v>
      </c>
      <c r="J1756">
        <v>18.5</v>
      </c>
      <c r="K1756" t="s">
        <v>223</v>
      </c>
      <c r="L1756" t="s">
        <v>1221</v>
      </c>
      <c r="Q1756">
        <v>3</v>
      </c>
      <c r="R1756" t="s">
        <v>1135</v>
      </c>
      <c r="T1756" t="s">
        <v>38</v>
      </c>
      <c r="V1756" t="s">
        <v>921</v>
      </c>
      <c r="Y1756" t="s">
        <v>81</v>
      </c>
      <c r="Z1756" t="s">
        <v>1136</v>
      </c>
      <c r="AA1756" t="s">
        <v>39</v>
      </c>
      <c r="AC1756" t="s">
        <v>1222</v>
      </c>
    </row>
    <row r="1757" spans="1:29" hidden="1" x14ac:dyDescent="0.25">
      <c r="A1757">
        <v>218</v>
      </c>
      <c r="B1757" t="s">
        <v>313</v>
      </c>
      <c r="C1757" t="s">
        <v>77</v>
      </c>
      <c r="D1757" t="s">
        <v>314</v>
      </c>
      <c r="E1757">
        <v>8</v>
      </c>
      <c r="F1757">
        <v>158</v>
      </c>
      <c r="G1757">
        <v>228</v>
      </c>
      <c r="H1757">
        <v>18</v>
      </c>
      <c r="I1757">
        <v>2.25</v>
      </c>
      <c r="J1757">
        <v>40.5</v>
      </c>
      <c r="K1757" t="s">
        <v>223</v>
      </c>
      <c r="L1757" t="s">
        <v>1223</v>
      </c>
      <c r="Q1757">
        <v>3</v>
      </c>
      <c r="R1757" t="s">
        <v>1135</v>
      </c>
      <c r="T1757" t="s">
        <v>38</v>
      </c>
      <c r="V1757" t="s">
        <v>921</v>
      </c>
      <c r="W1757" t="s">
        <v>81</v>
      </c>
      <c r="Z1757" t="s">
        <v>1136</v>
      </c>
      <c r="AA1757" t="s">
        <v>39</v>
      </c>
      <c r="AC1757" t="s">
        <v>1224</v>
      </c>
    </row>
    <row r="1758" spans="1:29" hidden="1" x14ac:dyDescent="0.25">
      <c r="A1758">
        <v>219</v>
      </c>
      <c r="B1758" t="s">
        <v>317</v>
      </c>
      <c r="C1758" t="s">
        <v>77</v>
      </c>
      <c r="D1758" t="s">
        <v>318</v>
      </c>
      <c r="E1758">
        <v>8</v>
      </c>
      <c r="F1758">
        <v>206</v>
      </c>
      <c r="G1758">
        <v>465</v>
      </c>
      <c r="H1758">
        <v>1</v>
      </c>
      <c r="I1758">
        <v>6.01</v>
      </c>
      <c r="J1758">
        <v>6.01</v>
      </c>
      <c r="K1758" t="s">
        <v>223</v>
      </c>
      <c r="L1758" t="s">
        <v>1223</v>
      </c>
      <c r="Q1758">
        <v>3</v>
      </c>
      <c r="R1758" t="s">
        <v>1135</v>
      </c>
      <c r="T1758" t="s">
        <v>38</v>
      </c>
      <c r="V1758" t="s">
        <v>921</v>
      </c>
      <c r="W1758" t="s">
        <v>81</v>
      </c>
      <c r="Z1758" t="s">
        <v>1136</v>
      </c>
      <c r="AA1758" t="s">
        <v>39</v>
      </c>
      <c r="AC1758" t="s">
        <v>1224</v>
      </c>
    </row>
    <row r="1759" spans="1:29" hidden="1" x14ac:dyDescent="0.25">
      <c r="A1759">
        <v>220</v>
      </c>
      <c r="B1759" t="s">
        <v>319</v>
      </c>
      <c r="C1759" t="s">
        <v>77</v>
      </c>
      <c r="D1759" t="s">
        <v>320</v>
      </c>
      <c r="E1759">
        <v>8</v>
      </c>
      <c r="F1759">
        <v>196</v>
      </c>
      <c r="G1759">
        <v>340</v>
      </c>
      <c r="H1759">
        <v>2</v>
      </c>
      <c r="I1759">
        <v>4.18</v>
      </c>
      <c r="J1759">
        <v>8.36</v>
      </c>
      <c r="K1759" t="s">
        <v>223</v>
      </c>
      <c r="L1759" t="s">
        <v>1223</v>
      </c>
      <c r="Q1759">
        <v>3</v>
      </c>
      <c r="R1759" t="s">
        <v>1135</v>
      </c>
      <c r="T1759" t="s">
        <v>38</v>
      </c>
      <c r="V1759" t="s">
        <v>921</v>
      </c>
      <c r="W1759" t="s">
        <v>81</v>
      </c>
      <c r="Z1759" t="s">
        <v>1136</v>
      </c>
      <c r="AA1759" t="s">
        <v>39</v>
      </c>
      <c r="AC1759" t="s">
        <v>1224</v>
      </c>
    </row>
    <row r="1760" spans="1:29" hidden="1" x14ac:dyDescent="0.25">
      <c r="A1760">
        <v>221</v>
      </c>
      <c r="B1760" t="s">
        <v>321</v>
      </c>
      <c r="C1760" t="s">
        <v>77</v>
      </c>
      <c r="D1760" t="s">
        <v>322</v>
      </c>
      <c r="E1760">
        <v>8</v>
      </c>
      <c r="F1760">
        <v>148</v>
      </c>
      <c r="G1760">
        <v>324</v>
      </c>
      <c r="H1760">
        <v>2</v>
      </c>
      <c r="I1760">
        <v>3.01</v>
      </c>
      <c r="J1760">
        <v>6.02</v>
      </c>
      <c r="K1760" t="s">
        <v>223</v>
      </c>
      <c r="L1760" t="s">
        <v>1223</v>
      </c>
      <c r="Q1760">
        <v>3</v>
      </c>
      <c r="R1760" t="s">
        <v>1135</v>
      </c>
      <c r="T1760" t="s">
        <v>38</v>
      </c>
      <c r="V1760" t="s">
        <v>921</v>
      </c>
      <c r="W1760" t="s">
        <v>81</v>
      </c>
      <c r="Z1760" t="s">
        <v>1136</v>
      </c>
      <c r="AA1760" t="s">
        <v>39</v>
      </c>
      <c r="AC1760" t="s">
        <v>1224</v>
      </c>
    </row>
    <row r="1761" spans="1:29" hidden="1" x14ac:dyDescent="0.25">
      <c r="A1761">
        <v>222</v>
      </c>
      <c r="B1761" t="s">
        <v>323</v>
      </c>
      <c r="C1761" t="s">
        <v>77</v>
      </c>
      <c r="D1761" t="s">
        <v>324</v>
      </c>
      <c r="E1761">
        <v>8</v>
      </c>
      <c r="F1761">
        <v>160</v>
      </c>
      <c r="G1761">
        <v>340</v>
      </c>
      <c r="H1761">
        <v>2</v>
      </c>
      <c r="I1761">
        <v>3.42</v>
      </c>
      <c r="J1761">
        <v>6.83</v>
      </c>
      <c r="K1761" t="s">
        <v>223</v>
      </c>
      <c r="L1761" t="s">
        <v>1223</v>
      </c>
      <c r="Q1761">
        <v>3</v>
      </c>
      <c r="R1761" t="s">
        <v>1135</v>
      </c>
      <c r="T1761" t="s">
        <v>38</v>
      </c>
      <c r="V1761" t="s">
        <v>921</v>
      </c>
      <c r="W1761" t="s">
        <v>81</v>
      </c>
      <c r="Z1761" t="s">
        <v>1136</v>
      </c>
      <c r="AA1761" t="s">
        <v>39</v>
      </c>
      <c r="AC1761" t="s">
        <v>1224</v>
      </c>
    </row>
    <row r="1762" spans="1:29" hidden="1" x14ac:dyDescent="0.25">
      <c r="A1762">
        <v>223</v>
      </c>
      <c r="B1762" t="s">
        <v>325</v>
      </c>
      <c r="C1762" t="s">
        <v>77</v>
      </c>
      <c r="D1762" t="s">
        <v>238</v>
      </c>
      <c r="E1762">
        <v>8</v>
      </c>
      <c r="F1762">
        <v>148</v>
      </c>
      <c r="G1762">
        <v>441</v>
      </c>
      <c r="H1762">
        <v>1</v>
      </c>
      <c r="I1762">
        <v>4.0999999999999996</v>
      </c>
      <c r="J1762">
        <v>4.0999999999999996</v>
      </c>
      <c r="K1762" t="s">
        <v>223</v>
      </c>
      <c r="L1762" t="s">
        <v>1223</v>
      </c>
      <c r="Q1762">
        <v>3</v>
      </c>
      <c r="R1762" t="s">
        <v>1135</v>
      </c>
      <c r="T1762" t="s">
        <v>38</v>
      </c>
      <c r="V1762" t="s">
        <v>921</v>
      </c>
      <c r="W1762" t="s">
        <v>81</v>
      </c>
      <c r="Z1762" t="s">
        <v>1136</v>
      </c>
      <c r="AA1762" t="s">
        <v>39</v>
      </c>
      <c r="AC1762" t="s">
        <v>1224</v>
      </c>
    </row>
    <row r="1763" spans="1:29" hidden="1" x14ac:dyDescent="0.25">
      <c r="A1763">
        <v>224</v>
      </c>
      <c r="B1763" t="s">
        <v>326</v>
      </c>
      <c r="C1763" t="s">
        <v>77</v>
      </c>
      <c r="D1763" t="s">
        <v>322</v>
      </c>
      <c r="E1763">
        <v>8</v>
      </c>
      <c r="F1763">
        <v>148</v>
      </c>
      <c r="G1763">
        <v>324</v>
      </c>
      <c r="H1763">
        <v>2</v>
      </c>
      <c r="I1763">
        <v>3.01</v>
      </c>
      <c r="J1763">
        <v>6.02</v>
      </c>
      <c r="K1763" t="s">
        <v>223</v>
      </c>
      <c r="L1763" t="s">
        <v>1223</v>
      </c>
      <c r="Q1763">
        <v>3</v>
      </c>
      <c r="R1763" t="s">
        <v>1135</v>
      </c>
      <c r="T1763" t="s">
        <v>38</v>
      </c>
      <c r="V1763" t="s">
        <v>921</v>
      </c>
      <c r="W1763" t="s">
        <v>81</v>
      </c>
      <c r="Z1763" t="s">
        <v>1136</v>
      </c>
      <c r="AA1763" t="s">
        <v>39</v>
      </c>
      <c r="AC1763" t="s">
        <v>1224</v>
      </c>
    </row>
    <row r="1764" spans="1:29" hidden="1" x14ac:dyDescent="0.25">
      <c r="A1764">
        <v>225</v>
      </c>
      <c r="B1764" t="s">
        <v>327</v>
      </c>
      <c r="C1764" t="s">
        <v>77</v>
      </c>
      <c r="D1764" t="s">
        <v>238</v>
      </c>
      <c r="E1764">
        <v>8</v>
      </c>
      <c r="F1764">
        <v>148</v>
      </c>
      <c r="G1764">
        <v>441</v>
      </c>
      <c r="H1764">
        <v>2</v>
      </c>
      <c r="I1764">
        <v>4.0999999999999996</v>
      </c>
      <c r="J1764">
        <v>8.19</v>
      </c>
      <c r="K1764" t="s">
        <v>223</v>
      </c>
      <c r="L1764" t="s">
        <v>1223</v>
      </c>
      <c r="Q1764">
        <v>3</v>
      </c>
      <c r="R1764" t="s">
        <v>1135</v>
      </c>
      <c r="T1764" t="s">
        <v>38</v>
      </c>
      <c r="V1764" t="s">
        <v>921</v>
      </c>
      <c r="W1764" t="s">
        <v>81</v>
      </c>
      <c r="Z1764" t="s">
        <v>1136</v>
      </c>
      <c r="AA1764" t="s">
        <v>39</v>
      </c>
      <c r="AC1764" t="s">
        <v>1224</v>
      </c>
    </row>
    <row r="1765" spans="1:29" hidden="1" x14ac:dyDescent="0.25">
      <c r="A1765">
        <v>226</v>
      </c>
      <c r="B1765" t="s">
        <v>328</v>
      </c>
      <c r="C1765" t="s">
        <v>77</v>
      </c>
      <c r="D1765" t="s">
        <v>322</v>
      </c>
      <c r="E1765">
        <v>8</v>
      </c>
      <c r="F1765">
        <v>148</v>
      </c>
      <c r="G1765">
        <v>324</v>
      </c>
      <c r="H1765">
        <v>4</v>
      </c>
      <c r="I1765">
        <v>3.01</v>
      </c>
      <c r="J1765">
        <v>12.03</v>
      </c>
      <c r="K1765" t="s">
        <v>223</v>
      </c>
      <c r="L1765" t="s">
        <v>1223</v>
      </c>
      <c r="Q1765">
        <v>3</v>
      </c>
      <c r="R1765" t="s">
        <v>1135</v>
      </c>
      <c r="T1765" t="s">
        <v>38</v>
      </c>
      <c r="V1765" t="s">
        <v>921</v>
      </c>
      <c r="W1765" t="s">
        <v>81</v>
      </c>
      <c r="Z1765" t="s">
        <v>1136</v>
      </c>
      <c r="AA1765" t="s">
        <v>39</v>
      </c>
      <c r="AC1765" t="s">
        <v>1224</v>
      </c>
    </row>
    <row r="1766" spans="1:29" hidden="1" x14ac:dyDescent="0.25">
      <c r="A1766">
        <v>227</v>
      </c>
      <c r="B1766" t="s">
        <v>296</v>
      </c>
      <c r="C1766" t="s">
        <v>77</v>
      </c>
      <c r="D1766" t="s">
        <v>297</v>
      </c>
      <c r="E1766">
        <v>8</v>
      </c>
      <c r="F1766">
        <v>329</v>
      </c>
      <c r="G1766">
        <v>7565</v>
      </c>
      <c r="H1766">
        <v>2</v>
      </c>
      <c r="I1766">
        <v>154.86000000000001</v>
      </c>
      <c r="J1766">
        <v>309.73</v>
      </c>
      <c r="K1766" t="s">
        <v>223</v>
      </c>
      <c r="L1766" t="s">
        <v>1223</v>
      </c>
      <c r="N1766" t="s">
        <v>228</v>
      </c>
      <c r="Q1766">
        <v>3</v>
      </c>
      <c r="R1766" t="s">
        <v>1135</v>
      </c>
      <c r="T1766" t="s">
        <v>38</v>
      </c>
      <c r="V1766" t="s">
        <v>921</v>
      </c>
      <c r="Y1766" t="s">
        <v>81</v>
      </c>
      <c r="Z1766" t="s">
        <v>1136</v>
      </c>
      <c r="AA1766" t="s">
        <v>39</v>
      </c>
      <c r="AC1766" t="s">
        <v>1224</v>
      </c>
    </row>
    <row r="1767" spans="1:29" hidden="1" x14ac:dyDescent="0.25">
      <c r="A1767">
        <v>228</v>
      </c>
      <c r="B1767" t="s">
        <v>329</v>
      </c>
      <c r="C1767" t="s">
        <v>77</v>
      </c>
      <c r="D1767" t="s">
        <v>318</v>
      </c>
      <c r="E1767">
        <v>8</v>
      </c>
      <c r="F1767">
        <v>206</v>
      </c>
      <c r="G1767">
        <v>465</v>
      </c>
      <c r="H1767">
        <v>1</v>
      </c>
      <c r="I1767">
        <v>6.01</v>
      </c>
      <c r="J1767">
        <v>6.01</v>
      </c>
      <c r="K1767" t="s">
        <v>223</v>
      </c>
      <c r="L1767" t="s">
        <v>1223</v>
      </c>
      <c r="Q1767">
        <v>3</v>
      </c>
      <c r="R1767" t="s">
        <v>1135</v>
      </c>
      <c r="T1767" t="s">
        <v>38</v>
      </c>
      <c r="V1767" t="s">
        <v>921</v>
      </c>
      <c r="W1767" t="s">
        <v>81</v>
      </c>
      <c r="Z1767" t="s">
        <v>1136</v>
      </c>
      <c r="AA1767" t="s">
        <v>39</v>
      </c>
      <c r="AC1767" t="s">
        <v>1224</v>
      </c>
    </row>
    <row r="1768" spans="1:29" hidden="1" x14ac:dyDescent="0.25">
      <c r="A1768">
        <v>229</v>
      </c>
      <c r="B1768" t="s">
        <v>330</v>
      </c>
      <c r="C1768" t="s">
        <v>77</v>
      </c>
      <c r="D1768" t="s">
        <v>320</v>
      </c>
      <c r="E1768">
        <v>8</v>
      </c>
      <c r="F1768">
        <v>196</v>
      </c>
      <c r="G1768">
        <v>340</v>
      </c>
      <c r="H1768">
        <v>2</v>
      </c>
      <c r="I1768">
        <v>4.18</v>
      </c>
      <c r="J1768">
        <v>8.36</v>
      </c>
      <c r="K1768" t="s">
        <v>223</v>
      </c>
      <c r="L1768" t="s">
        <v>1223</v>
      </c>
      <c r="Q1768">
        <v>3</v>
      </c>
      <c r="R1768" t="s">
        <v>1135</v>
      </c>
      <c r="T1768" t="s">
        <v>38</v>
      </c>
      <c r="V1768" t="s">
        <v>921</v>
      </c>
      <c r="W1768" t="s">
        <v>81</v>
      </c>
      <c r="Z1768" t="s">
        <v>1136</v>
      </c>
      <c r="AA1768" t="s">
        <v>39</v>
      </c>
      <c r="AC1768" t="s">
        <v>1224</v>
      </c>
    </row>
    <row r="1769" spans="1:29" hidden="1" x14ac:dyDescent="0.25">
      <c r="A1769">
        <v>230</v>
      </c>
      <c r="B1769" t="s">
        <v>331</v>
      </c>
      <c r="C1769" t="s">
        <v>77</v>
      </c>
      <c r="D1769" t="s">
        <v>238</v>
      </c>
      <c r="E1769">
        <v>8</v>
      </c>
      <c r="F1769">
        <v>148</v>
      </c>
      <c r="G1769">
        <v>441</v>
      </c>
      <c r="H1769">
        <v>1</v>
      </c>
      <c r="I1769">
        <v>4.0999999999999996</v>
      </c>
      <c r="J1769">
        <v>4.0999999999999996</v>
      </c>
      <c r="K1769" t="s">
        <v>223</v>
      </c>
      <c r="L1769" t="s">
        <v>1223</v>
      </c>
      <c r="Q1769">
        <v>3</v>
      </c>
      <c r="R1769" t="s">
        <v>1135</v>
      </c>
      <c r="T1769" t="s">
        <v>38</v>
      </c>
      <c r="V1769" t="s">
        <v>921</v>
      </c>
      <c r="W1769" t="s">
        <v>81</v>
      </c>
      <c r="Z1769" t="s">
        <v>1136</v>
      </c>
      <c r="AA1769" t="s">
        <v>39</v>
      </c>
      <c r="AC1769" t="s">
        <v>1224</v>
      </c>
    </row>
    <row r="1770" spans="1:29" hidden="1" x14ac:dyDescent="0.25">
      <c r="A1770">
        <v>231</v>
      </c>
      <c r="B1770" t="s">
        <v>332</v>
      </c>
      <c r="C1770" t="s">
        <v>77</v>
      </c>
      <c r="D1770" t="s">
        <v>322</v>
      </c>
      <c r="E1770">
        <v>8</v>
      </c>
      <c r="F1770">
        <v>148</v>
      </c>
      <c r="G1770">
        <v>324</v>
      </c>
      <c r="H1770">
        <v>2</v>
      </c>
      <c r="I1770">
        <v>3.01</v>
      </c>
      <c r="J1770">
        <v>6.02</v>
      </c>
      <c r="K1770" t="s">
        <v>223</v>
      </c>
      <c r="L1770" t="s">
        <v>1223</v>
      </c>
      <c r="Q1770">
        <v>3</v>
      </c>
      <c r="R1770" t="s">
        <v>1135</v>
      </c>
      <c r="T1770" t="s">
        <v>38</v>
      </c>
      <c r="V1770" t="s">
        <v>921</v>
      </c>
      <c r="W1770" t="s">
        <v>81</v>
      </c>
      <c r="Z1770" t="s">
        <v>1136</v>
      </c>
      <c r="AA1770" t="s">
        <v>39</v>
      </c>
      <c r="AC1770" t="s">
        <v>1224</v>
      </c>
    </row>
    <row r="1771" spans="1:29" hidden="1" x14ac:dyDescent="0.25">
      <c r="A1771">
        <v>232</v>
      </c>
      <c r="B1771" t="s">
        <v>333</v>
      </c>
      <c r="C1771" t="s">
        <v>77</v>
      </c>
      <c r="D1771" t="s">
        <v>242</v>
      </c>
      <c r="E1771">
        <v>8</v>
      </c>
      <c r="F1771">
        <v>156</v>
      </c>
      <c r="G1771">
        <v>465</v>
      </c>
      <c r="H1771">
        <v>1</v>
      </c>
      <c r="I1771">
        <v>4.55</v>
      </c>
      <c r="J1771">
        <v>4.55</v>
      </c>
      <c r="K1771" t="s">
        <v>223</v>
      </c>
      <c r="L1771" t="s">
        <v>1223</v>
      </c>
      <c r="Q1771">
        <v>3</v>
      </c>
      <c r="R1771" t="s">
        <v>1135</v>
      </c>
      <c r="T1771" t="s">
        <v>38</v>
      </c>
      <c r="V1771" t="s">
        <v>921</v>
      </c>
      <c r="W1771" t="s">
        <v>81</v>
      </c>
      <c r="Z1771" t="s">
        <v>1136</v>
      </c>
      <c r="AA1771" t="s">
        <v>39</v>
      </c>
      <c r="AC1771" t="s">
        <v>1224</v>
      </c>
    </row>
    <row r="1772" spans="1:29" hidden="1" x14ac:dyDescent="0.25">
      <c r="A1772">
        <v>233</v>
      </c>
      <c r="B1772" t="s">
        <v>334</v>
      </c>
      <c r="C1772" t="s">
        <v>77</v>
      </c>
      <c r="D1772" t="s">
        <v>324</v>
      </c>
      <c r="E1772">
        <v>8</v>
      </c>
      <c r="F1772">
        <v>160</v>
      </c>
      <c r="G1772">
        <v>340</v>
      </c>
      <c r="H1772">
        <v>2</v>
      </c>
      <c r="I1772">
        <v>3.42</v>
      </c>
      <c r="J1772">
        <v>6.83</v>
      </c>
      <c r="K1772" t="s">
        <v>223</v>
      </c>
      <c r="L1772" t="s">
        <v>1223</v>
      </c>
      <c r="Q1772">
        <v>3</v>
      </c>
      <c r="R1772" t="s">
        <v>1135</v>
      </c>
      <c r="T1772" t="s">
        <v>38</v>
      </c>
      <c r="V1772" t="s">
        <v>921</v>
      </c>
      <c r="W1772" t="s">
        <v>81</v>
      </c>
      <c r="Z1772" t="s">
        <v>1136</v>
      </c>
      <c r="AA1772" t="s">
        <v>39</v>
      </c>
      <c r="AC1772" t="s">
        <v>1224</v>
      </c>
    </row>
    <row r="1773" spans="1:29" hidden="1" x14ac:dyDescent="0.25">
      <c r="A1773">
        <v>234</v>
      </c>
      <c r="B1773" t="s">
        <v>335</v>
      </c>
      <c r="C1773" t="s">
        <v>77</v>
      </c>
      <c r="D1773" t="s">
        <v>238</v>
      </c>
      <c r="E1773">
        <v>8</v>
      </c>
      <c r="F1773">
        <v>148</v>
      </c>
      <c r="G1773">
        <v>441</v>
      </c>
      <c r="H1773">
        <v>1</v>
      </c>
      <c r="I1773">
        <v>4.0999999999999996</v>
      </c>
      <c r="J1773">
        <v>4.0999999999999996</v>
      </c>
      <c r="K1773" t="s">
        <v>223</v>
      </c>
      <c r="L1773" t="s">
        <v>1223</v>
      </c>
      <c r="Q1773">
        <v>3</v>
      </c>
      <c r="R1773" t="s">
        <v>1135</v>
      </c>
      <c r="T1773" t="s">
        <v>38</v>
      </c>
      <c r="V1773" t="s">
        <v>921</v>
      </c>
      <c r="W1773" t="s">
        <v>81</v>
      </c>
      <c r="Z1773" t="s">
        <v>1136</v>
      </c>
      <c r="AA1773" t="s">
        <v>39</v>
      </c>
      <c r="AC1773" t="s">
        <v>1224</v>
      </c>
    </row>
    <row r="1774" spans="1:29" hidden="1" x14ac:dyDescent="0.25">
      <c r="A1774">
        <v>235</v>
      </c>
      <c r="B1774" t="s">
        <v>336</v>
      </c>
      <c r="C1774" t="s">
        <v>77</v>
      </c>
      <c r="D1774" t="s">
        <v>322</v>
      </c>
      <c r="E1774">
        <v>8</v>
      </c>
      <c r="F1774">
        <v>148</v>
      </c>
      <c r="G1774">
        <v>324</v>
      </c>
      <c r="H1774">
        <v>2</v>
      </c>
      <c r="I1774">
        <v>3.01</v>
      </c>
      <c r="J1774">
        <v>6.02</v>
      </c>
      <c r="K1774" t="s">
        <v>223</v>
      </c>
      <c r="L1774" t="s">
        <v>1223</v>
      </c>
      <c r="Q1774">
        <v>3</v>
      </c>
      <c r="R1774" t="s">
        <v>1135</v>
      </c>
      <c r="T1774" t="s">
        <v>38</v>
      </c>
      <c r="V1774" t="s">
        <v>921</v>
      </c>
      <c r="W1774" t="s">
        <v>81</v>
      </c>
      <c r="Z1774" t="s">
        <v>1136</v>
      </c>
      <c r="AA1774" t="s">
        <v>39</v>
      </c>
      <c r="AC1774" t="s">
        <v>1224</v>
      </c>
    </row>
    <row r="1775" spans="1:29" hidden="1" x14ac:dyDescent="0.25">
      <c r="A1775">
        <v>236</v>
      </c>
      <c r="B1775" t="s">
        <v>337</v>
      </c>
      <c r="C1775" t="s">
        <v>77</v>
      </c>
      <c r="D1775" t="s">
        <v>238</v>
      </c>
      <c r="E1775">
        <v>8</v>
      </c>
      <c r="F1775">
        <v>148</v>
      </c>
      <c r="G1775">
        <v>441</v>
      </c>
      <c r="H1775">
        <v>2</v>
      </c>
      <c r="I1775">
        <v>4.0999999999999996</v>
      </c>
      <c r="J1775">
        <v>8.19</v>
      </c>
      <c r="K1775" t="s">
        <v>223</v>
      </c>
      <c r="L1775" t="s">
        <v>1223</v>
      </c>
      <c r="Q1775">
        <v>3</v>
      </c>
      <c r="R1775" t="s">
        <v>1135</v>
      </c>
      <c r="T1775" t="s">
        <v>38</v>
      </c>
      <c r="V1775" t="s">
        <v>921</v>
      </c>
      <c r="W1775" t="s">
        <v>81</v>
      </c>
      <c r="Z1775" t="s">
        <v>1136</v>
      </c>
      <c r="AA1775" t="s">
        <v>39</v>
      </c>
      <c r="AC1775" t="s">
        <v>1224</v>
      </c>
    </row>
    <row r="1776" spans="1:29" hidden="1" x14ac:dyDescent="0.25">
      <c r="A1776">
        <v>237</v>
      </c>
      <c r="B1776" t="s">
        <v>338</v>
      </c>
      <c r="C1776" t="s">
        <v>77</v>
      </c>
      <c r="D1776" t="s">
        <v>322</v>
      </c>
      <c r="E1776">
        <v>8</v>
      </c>
      <c r="F1776">
        <v>148</v>
      </c>
      <c r="G1776">
        <v>324</v>
      </c>
      <c r="H1776">
        <v>4</v>
      </c>
      <c r="I1776">
        <v>3.01</v>
      </c>
      <c r="J1776">
        <v>12.03</v>
      </c>
      <c r="K1776" t="s">
        <v>223</v>
      </c>
      <c r="L1776" t="s">
        <v>1223</v>
      </c>
      <c r="Q1776">
        <v>3</v>
      </c>
      <c r="R1776" t="s">
        <v>1135</v>
      </c>
      <c r="T1776" t="s">
        <v>38</v>
      </c>
      <c r="V1776" t="s">
        <v>921</v>
      </c>
      <c r="W1776" t="s">
        <v>81</v>
      </c>
      <c r="Z1776" t="s">
        <v>1136</v>
      </c>
      <c r="AA1776" t="s">
        <v>39</v>
      </c>
      <c r="AC1776" t="s">
        <v>1224</v>
      </c>
    </row>
    <row r="1777" spans="1:29" hidden="1" x14ac:dyDescent="0.25">
      <c r="A1777">
        <v>238</v>
      </c>
      <c r="B1777" t="s">
        <v>298</v>
      </c>
      <c r="C1777" t="s">
        <v>77</v>
      </c>
      <c r="D1777" t="s">
        <v>299</v>
      </c>
      <c r="E1777">
        <v>8</v>
      </c>
      <c r="F1777">
        <v>329</v>
      </c>
      <c r="G1777">
        <v>7566</v>
      </c>
      <c r="H1777">
        <v>3</v>
      </c>
      <c r="I1777">
        <v>154.88</v>
      </c>
      <c r="J1777">
        <v>464.63</v>
      </c>
      <c r="K1777" t="s">
        <v>223</v>
      </c>
      <c r="L1777" t="s">
        <v>1223</v>
      </c>
      <c r="N1777" t="s">
        <v>228</v>
      </c>
      <c r="Q1777">
        <v>3</v>
      </c>
      <c r="R1777" t="s">
        <v>1135</v>
      </c>
      <c r="T1777" t="s">
        <v>38</v>
      </c>
      <c r="V1777" t="s">
        <v>921</v>
      </c>
      <c r="Y1777" t="s">
        <v>81</v>
      </c>
      <c r="Z1777" t="s">
        <v>1136</v>
      </c>
      <c r="AA1777" t="s">
        <v>39</v>
      </c>
      <c r="AC1777" t="s">
        <v>1224</v>
      </c>
    </row>
    <row r="1778" spans="1:29" hidden="1" x14ac:dyDescent="0.25">
      <c r="A1778">
        <v>239</v>
      </c>
      <c r="B1778" t="s">
        <v>339</v>
      </c>
      <c r="C1778" t="s">
        <v>77</v>
      </c>
      <c r="D1778" t="s">
        <v>340</v>
      </c>
      <c r="E1778">
        <v>8</v>
      </c>
      <c r="F1778">
        <v>142</v>
      </c>
      <c r="G1778">
        <v>1799</v>
      </c>
      <c r="H1778">
        <v>1</v>
      </c>
      <c r="I1778">
        <v>16.04</v>
      </c>
      <c r="J1778">
        <v>16.04</v>
      </c>
      <c r="K1778" t="s">
        <v>223</v>
      </c>
      <c r="L1778" t="s">
        <v>1223</v>
      </c>
      <c r="O1778" t="s">
        <v>81</v>
      </c>
      <c r="Q1778">
        <v>3</v>
      </c>
      <c r="R1778" t="s">
        <v>1135</v>
      </c>
      <c r="T1778" t="s">
        <v>38</v>
      </c>
      <c r="V1778" t="s">
        <v>921</v>
      </c>
      <c r="Z1778" t="s">
        <v>1136</v>
      </c>
      <c r="AA1778" t="s">
        <v>39</v>
      </c>
      <c r="AC1778" t="s">
        <v>1224</v>
      </c>
    </row>
    <row r="1779" spans="1:29" hidden="1" x14ac:dyDescent="0.25">
      <c r="A1779">
        <v>240</v>
      </c>
      <c r="B1779" t="s">
        <v>341</v>
      </c>
      <c r="C1779" t="s">
        <v>77</v>
      </c>
      <c r="D1779" t="s">
        <v>342</v>
      </c>
      <c r="E1779">
        <v>8</v>
      </c>
      <c r="F1779">
        <v>74</v>
      </c>
      <c r="G1779">
        <v>172</v>
      </c>
      <c r="H1779">
        <v>2</v>
      </c>
      <c r="I1779">
        <v>0.54</v>
      </c>
      <c r="J1779">
        <v>1.07</v>
      </c>
      <c r="K1779" t="s">
        <v>223</v>
      </c>
      <c r="L1779" t="s">
        <v>1223</v>
      </c>
      <c r="Q1779">
        <v>3</v>
      </c>
      <c r="R1779" t="s">
        <v>1135</v>
      </c>
      <c r="T1779" t="s">
        <v>38</v>
      </c>
      <c r="V1779" t="s">
        <v>921</v>
      </c>
      <c r="W1779" t="s">
        <v>81</v>
      </c>
      <c r="Z1779" t="s">
        <v>1136</v>
      </c>
      <c r="AA1779" t="s">
        <v>39</v>
      </c>
      <c r="AC1779" t="s">
        <v>1224</v>
      </c>
    </row>
    <row r="1780" spans="1:29" hidden="1" x14ac:dyDescent="0.25">
      <c r="A1780">
        <v>241</v>
      </c>
      <c r="B1780" t="s">
        <v>343</v>
      </c>
      <c r="C1780" t="s">
        <v>77</v>
      </c>
      <c r="D1780" t="s">
        <v>230</v>
      </c>
      <c r="E1780">
        <v>8</v>
      </c>
      <c r="F1780">
        <v>90</v>
      </c>
      <c r="G1780">
        <v>150</v>
      </c>
      <c r="H1780">
        <v>6</v>
      </c>
      <c r="I1780">
        <v>0.62</v>
      </c>
      <c r="J1780">
        <v>3.71</v>
      </c>
      <c r="K1780" t="s">
        <v>223</v>
      </c>
      <c r="L1780" t="s">
        <v>1223</v>
      </c>
      <c r="Q1780">
        <v>3</v>
      </c>
      <c r="R1780" t="s">
        <v>1135</v>
      </c>
      <c r="T1780" t="s">
        <v>38</v>
      </c>
      <c r="V1780" t="s">
        <v>921</v>
      </c>
      <c r="W1780" t="s">
        <v>81</v>
      </c>
      <c r="Z1780" t="s">
        <v>1136</v>
      </c>
      <c r="AA1780" t="s">
        <v>39</v>
      </c>
      <c r="AC1780" t="s">
        <v>1224</v>
      </c>
    </row>
    <row r="1781" spans="1:29" hidden="1" x14ac:dyDescent="0.25">
      <c r="A1781">
        <v>242</v>
      </c>
      <c r="B1781" t="s">
        <v>344</v>
      </c>
      <c r="C1781" t="s">
        <v>77</v>
      </c>
      <c r="D1781" t="s">
        <v>340</v>
      </c>
      <c r="E1781">
        <v>8</v>
      </c>
      <c r="F1781">
        <v>142</v>
      </c>
      <c r="G1781">
        <v>1799</v>
      </c>
      <c r="H1781">
        <v>2</v>
      </c>
      <c r="I1781">
        <v>16.05</v>
      </c>
      <c r="J1781">
        <v>32.090000000000003</v>
      </c>
      <c r="K1781" t="s">
        <v>223</v>
      </c>
      <c r="L1781" t="s">
        <v>1223</v>
      </c>
      <c r="O1781" t="s">
        <v>81</v>
      </c>
      <c r="Q1781">
        <v>3</v>
      </c>
      <c r="R1781" t="s">
        <v>1135</v>
      </c>
      <c r="T1781" t="s">
        <v>38</v>
      </c>
      <c r="V1781" t="s">
        <v>921</v>
      </c>
      <c r="Z1781" t="s">
        <v>1136</v>
      </c>
      <c r="AA1781" t="s">
        <v>39</v>
      </c>
      <c r="AC1781" t="s">
        <v>1224</v>
      </c>
    </row>
    <row r="1782" spans="1:29" hidden="1" x14ac:dyDescent="0.25">
      <c r="A1782">
        <v>243</v>
      </c>
      <c r="B1782" t="s">
        <v>229</v>
      </c>
      <c r="C1782" t="s">
        <v>77</v>
      </c>
      <c r="D1782" t="s">
        <v>230</v>
      </c>
      <c r="E1782">
        <v>8</v>
      </c>
      <c r="F1782">
        <v>90</v>
      </c>
      <c r="G1782">
        <v>150</v>
      </c>
      <c r="H1782">
        <v>9</v>
      </c>
      <c r="I1782">
        <v>0.62</v>
      </c>
      <c r="J1782">
        <v>5.57</v>
      </c>
      <c r="K1782" t="s">
        <v>223</v>
      </c>
      <c r="L1782" t="s">
        <v>1223</v>
      </c>
      <c r="Q1782">
        <v>3</v>
      </c>
      <c r="R1782" t="s">
        <v>1135</v>
      </c>
      <c r="T1782" t="s">
        <v>38</v>
      </c>
      <c r="V1782" t="s">
        <v>921</v>
      </c>
      <c r="W1782" t="s">
        <v>81</v>
      </c>
      <c r="Z1782" t="s">
        <v>1136</v>
      </c>
      <c r="AA1782" t="s">
        <v>39</v>
      </c>
      <c r="AC1782" t="s">
        <v>1224</v>
      </c>
    </row>
    <row r="1783" spans="1:29" hidden="1" x14ac:dyDescent="0.25">
      <c r="A1783">
        <v>244</v>
      </c>
      <c r="B1783" t="s">
        <v>345</v>
      </c>
      <c r="C1783" t="s">
        <v>77</v>
      </c>
      <c r="D1783" t="s">
        <v>340</v>
      </c>
      <c r="E1783">
        <v>8</v>
      </c>
      <c r="F1783">
        <v>142</v>
      </c>
      <c r="G1783">
        <v>1799</v>
      </c>
      <c r="H1783">
        <v>1</v>
      </c>
      <c r="I1783">
        <v>16.04</v>
      </c>
      <c r="J1783">
        <v>16.04</v>
      </c>
      <c r="K1783" t="s">
        <v>223</v>
      </c>
      <c r="L1783" t="s">
        <v>1223</v>
      </c>
      <c r="O1783" t="s">
        <v>81</v>
      </c>
      <c r="Q1783">
        <v>3</v>
      </c>
      <c r="R1783" t="s">
        <v>1135</v>
      </c>
      <c r="T1783" t="s">
        <v>38</v>
      </c>
      <c r="V1783" t="s">
        <v>921</v>
      </c>
      <c r="Z1783" t="s">
        <v>1136</v>
      </c>
      <c r="AA1783" t="s">
        <v>39</v>
      </c>
      <c r="AC1783" t="s">
        <v>1224</v>
      </c>
    </row>
    <row r="1784" spans="1:29" hidden="1" x14ac:dyDescent="0.25">
      <c r="A1784">
        <v>245</v>
      </c>
      <c r="B1784" t="s">
        <v>346</v>
      </c>
      <c r="C1784" t="s">
        <v>77</v>
      </c>
      <c r="D1784" t="s">
        <v>342</v>
      </c>
      <c r="E1784">
        <v>8</v>
      </c>
      <c r="F1784">
        <v>74</v>
      </c>
      <c r="G1784">
        <v>172</v>
      </c>
      <c r="H1784">
        <v>3</v>
      </c>
      <c r="I1784">
        <v>0.53</v>
      </c>
      <c r="J1784">
        <v>1.6</v>
      </c>
      <c r="K1784" t="s">
        <v>223</v>
      </c>
      <c r="L1784" t="s">
        <v>1223</v>
      </c>
      <c r="Q1784">
        <v>3</v>
      </c>
      <c r="R1784" t="s">
        <v>1135</v>
      </c>
      <c r="T1784" t="s">
        <v>38</v>
      </c>
      <c r="V1784" t="s">
        <v>921</v>
      </c>
      <c r="W1784" t="s">
        <v>81</v>
      </c>
      <c r="Z1784" t="s">
        <v>1136</v>
      </c>
      <c r="AA1784" t="s">
        <v>39</v>
      </c>
      <c r="AC1784" t="s">
        <v>1224</v>
      </c>
    </row>
    <row r="1785" spans="1:29" hidden="1" x14ac:dyDescent="0.25">
      <c r="A1785">
        <v>246</v>
      </c>
      <c r="B1785" t="s">
        <v>347</v>
      </c>
      <c r="C1785" t="s">
        <v>77</v>
      </c>
      <c r="D1785" t="s">
        <v>230</v>
      </c>
      <c r="E1785">
        <v>8</v>
      </c>
      <c r="F1785">
        <v>90</v>
      </c>
      <c r="G1785">
        <v>150</v>
      </c>
      <c r="H1785">
        <v>5</v>
      </c>
      <c r="I1785">
        <v>0.62</v>
      </c>
      <c r="J1785">
        <v>3.09</v>
      </c>
      <c r="K1785" t="s">
        <v>223</v>
      </c>
      <c r="L1785" t="s">
        <v>1223</v>
      </c>
      <c r="Q1785">
        <v>3</v>
      </c>
      <c r="R1785" t="s">
        <v>1135</v>
      </c>
      <c r="T1785" t="s">
        <v>38</v>
      </c>
      <c r="V1785" t="s">
        <v>921</v>
      </c>
      <c r="W1785" t="s">
        <v>81</v>
      </c>
      <c r="Z1785" t="s">
        <v>1136</v>
      </c>
      <c r="AA1785" t="s">
        <v>39</v>
      </c>
      <c r="AC1785" t="s">
        <v>1224</v>
      </c>
    </row>
    <row r="1786" spans="1:29" hidden="1" x14ac:dyDescent="0.25">
      <c r="A1786">
        <v>247</v>
      </c>
      <c r="B1786" t="s">
        <v>348</v>
      </c>
      <c r="C1786" t="s">
        <v>77</v>
      </c>
      <c r="D1786" t="s">
        <v>314</v>
      </c>
      <c r="E1786">
        <v>8</v>
      </c>
      <c r="F1786">
        <v>158</v>
      </c>
      <c r="G1786">
        <v>228</v>
      </c>
      <c r="H1786">
        <v>27</v>
      </c>
      <c r="I1786">
        <v>2.21</v>
      </c>
      <c r="J1786">
        <v>59.73</v>
      </c>
      <c r="K1786" t="s">
        <v>223</v>
      </c>
      <c r="L1786" t="s">
        <v>1223</v>
      </c>
      <c r="Q1786">
        <v>3</v>
      </c>
      <c r="R1786" t="s">
        <v>1135</v>
      </c>
      <c r="T1786" t="s">
        <v>38</v>
      </c>
      <c r="V1786" t="s">
        <v>921</v>
      </c>
      <c r="W1786" t="s">
        <v>81</v>
      </c>
      <c r="Z1786" t="s">
        <v>1136</v>
      </c>
      <c r="AA1786" t="s">
        <v>39</v>
      </c>
      <c r="AC1786" t="s">
        <v>1224</v>
      </c>
    </row>
    <row r="1787" spans="1:29" hidden="1" x14ac:dyDescent="0.25">
      <c r="A1787">
        <v>248</v>
      </c>
      <c r="B1787" t="s">
        <v>306</v>
      </c>
      <c r="C1787" t="s">
        <v>77</v>
      </c>
      <c r="D1787" t="s">
        <v>307</v>
      </c>
      <c r="E1787">
        <v>8</v>
      </c>
      <c r="F1787">
        <v>124</v>
      </c>
      <c r="G1787">
        <v>1882</v>
      </c>
      <c r="H1787">
        <v>4</v>
      </c>
      <c r="I1787">
        <v>14.66</v>
      </c>
      <c r="J1787">
        <v>58.62</v>
      </c>
      <c r="K1787" t="s">
        <v>223</v>
      </c>
      <c r="L1787" t="s">
        <v>1223</v>
      </c>
      <c r="Q1787">
        <v>3</v>
      </c>
      <c r="R1787" t="s">
        <v>1135</v>
      </c>
      <c r="T1787" t="s">
        <v>38</v>
      </c>
      <c r="V1787" t="s">
        <v>921</v>
      </c>
      <c r="Y1787" t="s">
        <v>81</v>
      </c>
      <c r="Z1787" t="s">
        <v>1136</v>
      </c>
      <c r="AA1787" t="s">
        <v>39</v>
      </c>
      <c r="AC1787" t="s">
        <v>1224</v>
      </c>
    </row>
    <row r="1788" spans="1:29" hidden="1" x14ac:dyDescent="0.25">
      <c r="A1788">
        <v>249</v>
      </c>
      <c r="B1788" t="s">
        <v>308</v>
      </c>
      <c r="C1788" t="s">
        <v>77</v>
      </c>
      <c r="D1788" t="s">
        <v>309</v>
      </c>
      <c r="E1788">
        <v>8</v>
      </c>
      <c r="F1788">
        <v>150</v>
      </c>
      <c r="G1788">
        <v>2523</v>
      </c>
      <c r="H1788">
        <v>2</v>
      </c>
      <c r="I1788">
        <v>23.76</v>
      </c>
      <c r="J1788">
        <v>47.53</v>
      </c>
      <c r="K1788" t="s">
        <v>223</v>
      </c>
      <c r="L1788" t="s">
        <v>1223</v>
      </c>
      <c r="Q1788">
        <v>3</v>
      </c>
      <c r="R1788" t="s">
        <v>1135</v>
      </c>
      <c r="T1788" t="s">
        <v>38</v>
      </c>
      <c r="V1788" t="s">
        <v>921</v>
      </c>
      <c r="Y1788" t="s">
        <v>81</v>
      </c>
      <c r="Z1788" t="s">
        <v>1136</v>
      </c>
      <c r="AA1788" t="s">
        <v>39</v>
      </c>
      <c r="AC1788" t="s">
        <v>1224</v>
      </c>
    </row>
    <row r="1789" spans="1:29" hidden="1" x14ac:dyDescent="0.25">
      <c r="A1789">
        <v>250</v>
      </c>
      <c r="B1789" t="s">
        <v>310</v>
      </c>
      <c r="C1789" t="s">
        <v>77</v>
      </c>
      <c r="D1789" t="s">
        <v>311</v>
      </c>
      <c r="E1789">
        <v>8</v>
      </c>
      <c r="F1789">
        <v>124</v>
      </c>
      <c r="G1789">
        <v>2523</v>
      </c>
      <c r="H1789">
        <v>2</v>
      </c>
      <c r="I1789">
        <v>19.64</v>
      </c>
      <c r="J1789">
        <v>39.29</v>
      </c>
      <c r="K1789" t="s">
        <v>223</v>
      </c>
      <c r="L1789" t="s">
        <v>1223</v>
      </c>
      <c r="Q1789">
        <v>3</v>
      </c>
      <c r="R1789" t="s">
        <v>1135</v>
      </c>
      <c r="T1789" t="s">
        <v>38</v>
      </c>
      <c r="V1789" t="s">
        <v>921</v>
      </c>
      <c r="Y1789" t="s">
        <v>81</v>
      </c>
      <c r="Z1789" t="s">
        <v>1136</v>
      </c>
      <c r="AA1789" t="s">
        <v>39</v>
      </c>
      <c r="AC1789" t="s">
        <v>1224</v>
      </c>
    </row>
    <row r="1790" spans="1:29" hidden="1" x14ac:dyDescent="0.25">
      <c r="A1790">
        <v>251</v>
      </c>
      <c r="B1790" t="s">
        <v>349</v>
      </c>
      <c r="C1790" t="s">
        <v>77</v>
      </c>
      <c r="D1790" t="s">
        <v>311</v>
      </c>
      <c r="E1790">
        <v>8</v>
      </c>
      <c r="F1790">
        <v>124</v>
      </c>
      <c r="G1790">
        <v>2523</v>
      </c>
      <c r="H1790">
        <v>4</v>
      </c>
      <c r="I1790">
        <v>19.649999999999999</v>
      </c>
      <c r="J1790">
        <v>78.59</v>
      </c>
      <c r="K1790" t="s">
        <v>223</v>
      </c>
      <c r="L1790" t="s">
        <v>1223</v>
      </c>
      <c r="Q1790">
        <v>3</v>
      </c>
      <c r="R1790" t="s">
        <v>1135</v>
      </c>
      <c r="T1790" t="s">
        <v>38</v>
      </c>
      <c r="V1790" t="s">
        <v>921</v>
      </c>
      <c r="Y1790" t="s">
        <v>81</v>
      </c>
      <c r="Z1790" t="s">
        <v>1136</v>
      </c>
      <c r="AA1790" t="s">
        <v>39</v>
      </c>
      <c r="AC1790" t="s">
        <v>1224</v>
      </c>
    </row>
    <row r="1791" spans="1:29" hidden="1" x14ac:dyDescent="0.25">
      <c r="A1791">
        <v>252</v>
      </c>
      <c r="B1791" t="s">
        <v>350</v>
      </c>
      <c r="C1791" t="s">
        <v>77</v>
      </c>
      <c r="D1791" t="s">
        <v>351</v>
      </c>
      <c r="E1791">
        <v>8</v>
      </c>
      <c r="F1791">
        <v>150</v>
      </c>
      <c r="G1791">
        <v>601</v>
      </c>
      <c r="H1791">
        <v>4</v>
      </c>
      <c r="I1791">
        <v>5.66</v>
      </c>
      <c r="J1791">
        <v>22.65</v>
      </c>
      <c r="K1791" t="s">
        <v>223</v>
      </c>
      <c r="L1791" t="s">
        <v>1223</v>
      </c>
      <c r="Q1791">
        <v>3</v>
      </c>
      <c r="R1791" t="s">
        <v>1135</v>
      </c>
      <c r="T1791" t="s">
        <v>38</v>
      </c>
      <c r="V1791" t="s">
        <v>921</v>
      </c>
      <c r="Y1791" t="s">
        <v>81</v>
      </c>
      <c r="Z1791" t="s">
        <v>1136</v>
      </c>
      <c r="AA1791" t="s">
        <v>39</v>
      </c>
      <c r="AC1791" t="s">
        <v>1224</v>
      </c>
    </row>
    <row r="1792" spans="1:29" hidden="1" x14ac:dyDescent="0.25">
      <c r="A1792">
        <v>253</v>
      </c>
      <c r="B1792" t="s">
        <v>267</v>
      </c>
      <c r="C1792" t="s">
        <v>77</v>
      </c>
      <c r="D1792" t="s">
        <v>268</v>
      </c>
      <c r="E1792">
        <v>8</v>
      </c>
      <c r="F1792">
        <v>124</v>
      </c>
      <c r="G1792">
        <v>6824</v>
      </c>
      <c r="H1792">
        <v>1</v>
      </c>
      <c r="I1792">
        <v>53.14</v>
      </c>
      <c r="J1792">
        <v>53.14</v>
      </c>
      <c r="K1792" t="s">
        <v>223</v>
      </c>
      <c r="L1792" t="s">
        <v>1223</v>
      </c>
      <c r="Q1792">
        <v>3</v>
      </c>
      <c r="R1792" t="s">
        <v>1135</v>
      </c>
      <c r="T1792" t="s">
        <v>38</v>
      </c>
      <c r="V1792" t="s">
        <v>921</v>
      </c>
      <c r="Y1792" t="s">
        <v>81</v>
      </c>
      <c r="Z1792" t="s">
        <v>1136</v>
      </c>
      <c r="AA1792" t="s">
        <v>39</v>
      </c>
      <c r="AC1792" t="s">
        <v>1224</v>
      </c>
    </row>
    <row r="1793" spans="1:29" hidden="1" x14ac:dyDescent="0.25">
      <c r="A1793">
        <v>254</v>
      </c>
      <c r="B1793" t="s">
        <v>235</v>
      </c>
      <c r="C1793" t="s">
        <v>77</v>
      </c>
      <c r="D1793" t="s">
        <v>236</v>
      </c>
      <c r="E1793">
        <v>8</v>
      </c>
      <c r="F1793">
        <v>150</v>
      </c>
      <c r="G1793">
        <v>792</v>
      </c>
      <c r="H1793">
        <v>2</v>
      </c>
      <c r="I1793">
        <v>7.46</v>
      </c>
      <c r="J1793">
        <v>14.92</v>
      </c>
      <c r="K1793" t="s">
        <v>223</v>
      </c>
      <c r="L1793" t="s">
        <v>1223</v>
      </c>
      <c r="Q1793">
        <v>3</v>
      </c>
      <c r="R1793" t="s">
        <v>1135</v>
      </c>
      <c r="T1793" t="s">
        <v>38</v>
      </c>
      <c r="V1793" t="s">
        <v>921</v>
      </c>
      <c r="Y1793" t="s">
        <v>81</v>
      </c>
      <c r="Z1793" t="s">
        <v>1136</v>
      </c>
      <c r="AA1793" t="s">
        <v>39</v>
      </c>
      <c r="AC1793" t="s">
        <v>1224</v>
      </c>
    </row>
    <row r="1794" spans="1:29" hidden="1" x14ac:dyDescent="0.25">
      <c r="A1794">
        <v>255</v>
      </c>
      <c r="B1794" t="s">
        <v>352</v>
      </c>
      <c r="C1794" t="s">
        <v>77</v>
      </c>
      <c r="D1794" t="s">
        <v>340</v>
      </c>
      <c r="E1794">
        <v>8</v>
      </c>
      <c r="F1794">
        <v>142</v>
      </c>
      <c r="G1794">
        <v>1799</v>
      </c>
      <c r="H1794">
        <v>2</v>
      </c>
      <c r="I1794">
        <v>16.05</v>
      </c>
      <c r="J1794">
        <v>32.090000000000003</v>
      </c>
      <c r="K1794" t="s">
        <v>223</v>
      </c>
      <c r="L1794" t="s">
        <v>1223</v>
      </c>
      <c r="O1794" t="s">
        <v>81</v>
      </c>
      <c r="Q1794">
        <v>3</v>
      </c>
      <c r="R1794" t="s">
        <v>1135</v>
      </c>
      <c r="T1794" t="s">
        <v>38</v>
      </c>
      <c r="V1794" t="s">
        <v>921</v>
      </c>
      <c r="Z1794" t="s">
        <v>1136</v>
      </c>
      <c r="AA1794" t="s">
        <v>39</v>
      </c>
      <c r="AC1794" t="s">
        <v>1224</v>
      </c>
    </row>
    <row r="1795" spans="1:29" hidden="1" x14ac:dyDescent="0.25">
      <c r="A1795">
        <v>256</v>
      </c>
      <c r="B1795" t="s">
        <v>341</v>
      </c>
      <c r="C1795" t="s">
        <v>77</v>
      </c>
      <c r="D1795" t="s">
        <v>342</v>
      </c>
      <c r="E1795">
        <v>8</v>
      </c>
      <c r="F1795">
        <v>74</v>
      </c>
      <c r="G1795">
        <v>172</v>
      </c>
      <c r="H1795">
        <v>1</v>
      </c>
      <c r="I1795">
        <v>0.53</v>
      </c>
      <c r="J1795">
        <v>0.53</v>
      </c>
      <c r="K1795" t="s">
        <v>223</v>
      </c>
      <c r="L1795" t="s">
        <v>1223</v>
      </c>
      <c r="Q1795">
        <v>3</v>
      </c>
      <c r="R1795" t="s">
        <v>1135</v>
      </c>
      <c r="T1795" t="s">
        <v>38</v>
      </c>
      <c r="V1795" t="s">
        <v>921</v>
      </c>
      <c r="W1795" t="s">
        <v>81</v>
      </c>
      <c r="Z1795" t="s">
        <v>1136</v>
      </c>
      <c r="AA1795" t="s">
        <v>39</v>
      </c>
      <c r="AC1795" t="s">
        <v>1224</v>
      </c>
    </row>
    <row r="1796" spans="1:29" hidden="1" x14ac:dyDescent="0.25">
      <c r="A1796">
        <v>257</v>
      </c>
      <c r="B1796" t="s">
        <v>357</v>
      </c>
      <c r="C1796" t="s">
        <v>77</v>
      </c>
      <c r="D1796" t="s">
        <v>342</v>
      </c>
      <c r="E1796">
        <v>8</v>
      </c>
      <c r="F1796">
        <v>74</v>
      </c>
      <c r="G1796">
        <v>172</v>
      </c>
      <c r="H1796">
        <v>6</v>
      </c>
      <c r="I1796">
        <v>0.53</v>
      </c>
      <c r="J1796">
        <v>3.2</v>
      </c>
      <c r="K1796" t="s">
        <v>223</v>
      </c>
      <c r="L1796" t="s">
        <v>1223</v>
      </c>
      <c r="Q1796">
        <v>3</v>
      </c>
      <c r="R1796" t="s">
        <v>1135</v>
      </c>
      <c r="T1796" t="s">
        <v>38</v>
      </c>
      <c r="V1796" t="s">
        <v>921</v>
      </c>
      <c r="W1796" t="s">
        <v>81</v>
      </c>
      <c r="Z1796" t="s">
        <v>1136</v>
      </c>
      <c r="AA1796" t="s">
        <v>39</v>
      </c>
      <c r="AC1796" t="s">
        <v>1224</v>
      </c>
    </row>
    <row r="1797" spans="1:29" hidden="1" x14ac:dyDescent="0.25">
      <c r="A1797">
        <v>258</v>
      </c>
      <c r="B1797" t="s">
        <v>347</v>
      </c>
      <c r="C1797" t="s">
        <v>77</v>
      </c>
      <c r="D1797" t="s">
        <v>230</v>
      </c>
      <c r="E1797">
        <v>8</v>
      </c>
      <c r="F1797">
        <v>90</v>
      </c>
      <c r="G1797">
        <v>150</v>
      </c>
      <c r="H1797">
        <v>1</v>
      </c>
      <c r="I1797">
        <v>0.62</v>
      </c>
      <c r="J1797">
        <v>0.62</v>
      </c>
      <c r="K1797" t="s">
        <v>223</v>
      </c>
      <c r="L1797" t="s">
        <v>1223</v>
      </c>
      <c r="Q1797">
        <v>3</v>
      </c>
      <c r="R1797" t="s">
        <v>1135</v>
      </c>
      <c r="T1797" t="s">
        <v>38</v>
      </c>
      <c r="V1797" t="s">
        <v>921</v>
      </c>
      <c r="W1797" t="s">
        <v>81</v>
      </c>
      <c r="Z1797" t="s">
        <v>1136</v>
      </c>
      <c r="AA1797" t="s">
        <v>39</v>
      </c>
      <c r="AC1797" t="s">
        <v>1224</v>
      </c>
    </row>
    <row r="1798" spans="1:29" hidden="1" x14ac:dyDescent="0.25">
      <c r="A1798">
        <v>259</v>
      </c>
      <c r="B1798" t="s">
        <v>348</v>
      </c>
      <c r="C1798" t="s">
        <v>77</v>
      </c>
      <c r="D1798" t="s">
        <v>314</v>
      </c>
      <c r="E1798">
        <v>8</v>
      </c>
      <c r="F1798">
        <v>158</v>
      </c>
      <c r="G1798">
        <v>228</v>
      </c>
      <c r="H1798">
        <v>3</v>
      </c>
      <c r="I1798">
        <v>2.21</v>
      </c>
      <c r="J1798">
        <v>6.64</v>
      </c>
      <c r="K1798" t="s">
        <v>223</v>
      </c>
      <c r="L1798" t="s">
        <v>1223</v>
      </c>
      <c r="Q1798">
        <v>3</v>
      </c>
      <c r="R1798" t="s">
        <v>1135</v>
      </c>
      <c r="T1798" t="s">
        <v>38</v>
      </c>
      <c r="V1798" t="s">
        <v>921</v>
      </c>
      <c r="W1798" t="s">
        <v>81</v>
      </c>
      <c r="Z1798" t="s">
        <v>1136</v>
      </c>
      <c r="AA1798" t="s">
        <v>39</v>
      </c>
      <c r="AC1798" t="s">
        <v>1224</v>
      </c>
    </row>
    <row r="1799" spans="1:29" hidden="1" x14ac:dyDescent="0.25">
      <c r="A1799">
        <v>260</v>
      </c>
      <c r="B1799" t="s">
        <v>1225</v>
      </c>
      <c r="C1799" t="s">
        <v>77</v>
      </c>
      <c r="D1799" t="s">
        <v>1226</v>
      </c>
      <c r="E1799">
        <v>8</v>
      </c>
      <c r="F1799">
        <v>300</v>
      </c>
      <c r="G1799">
        <v>450</v>
      </c>
      <c r="H1799">
        <v>1</v>
      </c>
      <c r="I1799">
        <v>8.48</v>
      </c>
      <c r="J1799">
        <v>8.48</v>
      </c>
      <c r="K1799" t="s">
        <v>223</v>
      </c>
      <c r="L1799" t="s">
        <v>1223</v>
      </c>
      <c r="Q1799">
        <v>3</v>
      </c>
      <c r="R1799" t="s">
        <v>1135</v>
      </c>
      <c r="T1799" t="s">
        <v>38</v>
      </c>
      <c r="V1799" t="s">
        <v>921</v>
      </c>
      <c r="Z1799" t="s">
        <v>1136</v>
      </c>
      <c r="AA1799" t="s">
        <v>39</v>
      </c>
      <c r="AC1799" t="s">
        <v>1224</v>
      </c>
    </row>
    <row r="1800" spans="1:29" hidden="1" x14ac:dyDescent="0.25">
      <c r="A1800">
        <v>261</v>
      </c>
      <c r="B1800" t="s">
        <v>358</v>
      </c>
      <c r="C1800" t="s">
        <v>77</v>
      </c>
      <c r="D1800" t="s">
        <v>359</v>
      </c>
      <c r="E1800">
        <v>10</v>
      </c>
      <c r="F1800">
        <v>350</v>
      </c>
      <c r="G1800">
        <v>12000</v>
      </c>
      <c r="H1800">
        <v>1</v>
      </c>
      <c r="I1800">
        <v>329.7</v>
      </c>
      <c r="J1800">
        <v>329.7</v>
      </c>
      <c r="K1800" t="s">
        <v>360</v>
      </c>
      <c r="L1800" t="s">
        <v>1227</v>
      </c>
      <c r="P1800" t="s">
        <v>81</v>
      </c>
      <c r="Q1800">
        <v>3</v>
      </c>
      <c r="R1800" t="s">
        <v>1135</v>
      </c>
      <c r="T1800" t="s">
        <v>38</v>
      </c>
      <c r="V1800" t="s">
        <v>921</v>
      </c>
      <c r="Y1800" t="s">
        <v>81</v>
      </c>
      <c r="Z1800" t="s">
        <v>1136</v>
      </c>
      <c r="AA1800" t="s">
        <v>39</v>
      </c>
      <c r="AC1800" t="s">
        <v>1228</v>
      </c>
    </row>
    <row r="1801" spans="1:29" hidden="1" x14ac:dyDescent="0.25">
      <c r="A1801">
        <v>262</v>
      </c>
      <c r="B1801" t="s">
        <v>363</v>
      </c>
      <c r="C1801" t="s">
        <v>77</v>
      </c>
      <c r="D1801" t="s">
        <v>359</v>
      </c>
      <c r="E1801">
        <v>10</v>
      </c>
      <c r="F1801">
        <v>350</v>
      </c>
      <c r="G1801">
        <v>12000</v>
      </c>
      <c r="H1801">
        <v>1</v>
      </c>
      <c r="I1801">
        <v>329.7</v>
      </c>
      <c r="J1801">
        <v>329.7</v>
      </c>
      <c r="K1801" t="s">
        <v>360</v>
      </c>
      <c r="L1801" t="s">
        <v>1227</v>
      </c>
      <c r="P1801" t="s">
        <v>81</v>
      </c>
      <c r="Q1801">
        <v>3</v>
      </c>
      <c r="R1801" t="s">
        <v>1135</v>
      </c>
      <c r="T1801" t="s">
        <v>38</v>
      </c>
      <c r="V1801" t="s">
        <v>921</v>
      </c>
      <c r="Y1801" t="s">
        <v>81</v>
      </c>
      <c r="Z1801" t="s">
        <v>1136</v>
      </c>
      <c r="AA1801" t="s">
        <v>39</v>
      </c>
      <c r="AC1801" t="s">
        <v>1228</v>
      </c>
    </row>
    <row r="1802" spans="1:29" hidden="1" x14ac:dyDescent="0.25">
      <c r="A1802">
        <v>263</v>
      </c>
      <c r="B1802" t="s">
        <v>364</v>
      </c>
      <c r="C1802" t="s">
        <v>77</v>
      </c>
      <c r="D1802" t="s">
        <v>365</v>
      </c>
      <c r="E1802">
        <v>10</v>
      </c>
      <c r="F1802">
        <v>380</v>
      </c>
      <c r="G1802">
        <v>12000</v>
      </c>
      <c r="H1802">
        <v>2</v>
      </c>
      <c r="I1802">
        <v>357.96</v>
      </c>
      <c r="J1802">
        <v>715.91</v>
      </c>
      <c r="K1802" t="s">
        <v>360</v>
      </c>
      <c r="L1802" t="s">
        <v>1227</v>
      </c>
      <c r="Q1802">
        <v>3</v>
      </c>
      <c r="R1802" t="s">
        <v>1135</v>
      </c>
      <c r="T1802" t="s">
        <v>38</v>
      </c>
      <c r="V1802" t="s">
        <v>921</v>
      </c>
      <c r="Y1802" t="s">
        <v>81</v>
      </c>
      <c r="Z1802" t="s">
        <v>1136</v>
      </c>
      <c r="AA1802" t="s">
        <v>39</v>
      </c>
      <c r="AC1802" t="s">
        <v>1228</v>
      </c>
    </row>
    <row r="1803" spans="1:29" hidden="1" x14ac:dyDescent="0.25">
      <c r="A1803">
        <v>264</v>
      </c>
      <c r="B1803" t="s">
        <v>366</v>
      </c>
      <c r="C1803" t="s">
        <v>77</v>
      </c>
      <c r="D1803" t="s">
        <v>365</v>
      </c>
      <c r="E1803">
        <v>10</v>
      </c>
      <c r="F1803">
        <v>380</v>
      </c>
      <c r="G1803">
        <v>12000</v>
      </c>
      <c r="H1803">
        <v>2</v>
      </c>
      <c r="I1803">
        <v>357.96</v>
      </c>
      <c r="J1803">
        <v>715.91</v>
      </c>
      <c r="K1803" t="s">
        <v>360</v>
      </c>
      <c r="L1803" t="s">
        <v>1229</v>
      </c>
      <c r="Q1803">
        <v>3</v>
      </c>
      <c r="R1803" t="s">
        <v>1135</v>
      </c>
      <c r="T1803" t="s">
        <v>38</v>
      </c>
      <c r="V1803" t="s">
        <v>921</v>
      </c>
      <c r="Y1803" t="s">
        <v>81</v>
      </c>
      <c r="Z1803" t="s">
        <v>1136</v>
      </c>
      <c r="AA1803" t="s">
        <v>39</v>
      </c>
      <c r="AC1803" t="s">
        <v>1230</v>
      </c>
    </row>
    <row r="1804" spans="1:29" hidden="1" x14ac:dyDescent="0.25">
      <c r="A1804">
        <v>265</v>
      </c>
      <c r="B1804" t="s">
        <v>369</v>
      </c>
      <c r="C1804" t="s">
        <v>77</v>
      </c>
      <c r="D1804" t="s">
        <v>359</v>
      </c>
      <c r="E1804">
        <v>10</v>
      </c>
      <c r="F1804">
        <v>350</v>
      </c>
      <c r="G1804">
        <v>12000</v>
      </c>
      <c r="H1804">
        <v>1</v>
      </c>
      <c r="I1804">
        <v>329.7</v>
      </c>
      <c r="J1804">
        <v>329.7</v>
      </c>
      <c r="K1804" t="s">
        <v>360</v>
      </c>
      <c r="L1804" t="s">
        <v>1229</v>
      </c>
      <c r="P1804" t="s">
        <v>81</v>
      </c>
      <c r="Q1804">
        <v>3</v>
      </c>
      <c r="R1804" t="s">
        <v>1135</v>
      </c>
      <c r="T1804" t="s">
        <v>38</v>
      </c>
      <c r="V1804" t="s">
        <v>921</v>
      </c>
      <c r="Y1804" t="s">
        <v>81</v>
      </c>
      <c r="Z1804" t="s">
        <v>1136</v>
      </c>
      <c r="AA1804" t="s">
        <v>39</v>
      </c>
      <c r="AC1804" t="s">
        <v>1230</v>
      </c>
    </row>
    <row r="1805" spans="1:29" hidden="1" x14ac:dyDescent="0.25">
      <c r="A1805">
        <v>266</v>
      </c>
      <c r="B1805" t="s">
        <v>370</v>
      </c>
      <c r="C1805" t="s">
        <v>77</v>
      </c>
      <c r="D1805" t="s">
        <v>359</v>
      </c>
      <c r="E1805">
        <v>10</v>
      </c>
      <c r="F1805">
        <v>350</v>
      </c>
      <c r="G1805">
        <v>12000</v>
      </c>
      <c r="H1805">
        <v>1</v>
      </c>
      <c r="I1805">
        <v>329.7</v>
      </c>
      <c r="J1805">
        <v>329.7</v>
      </c>
      <c r="K1805" t="s">
        <v>360</v>
      </c>
      <c r="L1805" t="s">
        <v>1229</v>
      </c>
      <c r="P1805" t="s">
        <v>81</v>
      </c>
      <c r="Q1805">
        <v>3</v>
      </c>
      <c r="R1805" t="s">
        <v>1135</v>
      </c>
      <c r="T1805" t="s">
        <v>38</v>
      </c>
      <c r="V1805" t="s">
        <v>921</v>
      </c>
      <c r="Y1805" t="s">
        <v>81</v>
      </c>
      <c r="Z1805" t="s">
        <v>1136</v>
      </c>
      <c r="AA1805" t="s">
        <v>39</v>
      </c>
      <c r="AC1805" t="s">
        <v>1230</v>
      </c>
    </row>
    <row r="1806" spans="1:29" hidden="1" x14ac:dyDescent="0.25">
      <c r="A1806">
        <v>267</v>
      </c>
      <c r="B1806" t="s">
        <v>371</v>
      </c>
      <c r="C1806" t="s">
        <v>77</v>
      </c>
      <c r="D1806" t="s">
        <v>359</v>
      </c>
      <c r="E1806">
        <v>10</v>
      </c>
      <c r="F1806">
        <v>350</v>
      </c>
      <c r="G1806">
        <v>12000</v>
      </c>
      <c r="H1806">
        <v>2</v>
      </c>
      <c r="I1806">
        <v>329.7</v>
      </c>
      <c r="J1806">
        <v>659.41</v>
      </c>
      <c r="K1806" t="s">
        <v>360</v>
      </c>
      <c r="L1806" t="s">
        <v>1231</v>
      </c>
      <c r="P1806" t="s">
        <v>81</v>
      </c>
      <c r="Q1806">
        <v>3</v>
      </c>
      <c r="R1806" t="s">
        <v>1135</v>
      </c>
      <c r="T1806" t="s">
        <v>38</v>
      </c>
      <c r="V1806" t="s">
        <v>921</v>
      </c>
      <c r="Y1806" t="s">
        <v>81</v>
      </c>
      <c r="Z1806" t="s">
        <v>1136</v>
      </c>
      <c r="AA1806" t="s">
        <v>39</v>
      </c>
      <c r="AC1806" t="s">
        <v>1232</v>
      </c>
    </row>
    <row r="1807" spans="1:29" hidden="1" x14ac:dyDescent="0.25">
      <c r="A1807">
        <v>268</v>
      </c>
      <c r="B1807" t="s">
        <v>366</v>
      </c>
      <c r="C1807" t="s">
        <v>77</v>
      </c>
      <c r="D1807" t="s">
        <v>365</v>
      </c>
      <c r="E1807">
        <v>10</v>
      </c>
      <c r="F1807">
        <v>380</v>
      </c>
      <c r="G1807">
        <v>12000</v>
      </c>
      <c r="H1807">
        <v>2</v>
      </c>
      <c r="I1807">
        <v>357.96</v>
      </c>
      <c r="J1807">
        <v>715.91</v>
      </c>
      <c r="K1807" t="s">
        <v>360</v>
      </c>
      <c r="L1807" t="s">
        <v>1231</v>
      </c>
      <c r="Q1807">
        <v>3</v>
      </c>
      <c r="R1807" t="s">
        <v>1135</v>
      </c>
      <c r="T1807" t="s">
        <v>38</v>
      </c>
      <c r="V1807" t="s">
        <v>921</v>
      </c>
      <c r="Y1807" t="s">
        <v>81</v>
      </c>
      <c r="Z1807" t="s">
        <v>1136</v>
      </c>
      <c r="AA1807" t="s">
        <v>39</v>
      </c>
      <c r="AC1807" t="s">
        <v>1232</v>
      </c>
    </row>
    <row r="1808" spans="1:29" hidden="1" x14ac:dyDescent="0.25">
      <c r="A1808">
        <v>269</v>
      </c>
      <c r="B1808" t="s">
        <v>374</v>
      </c>
      <c r="C1808" t="s">
        <v>77</v>
      </c>
      <c r="D1808" t="s">
        <v>365</v>
      </c>
      <c r="E1808">
        <v>10</v>
      </c>
      <c r="F1808">
        <v>380</v>
      </c>
      <c r="G1808">
        <v>12000</v>
      </c>
      <c r="H1808">
        <v>2</v>
      </c>
      <c r="I1808">
        <v>357.96</v>
      </c>
      <c r="J1808">
        <v>715.91</v>
      </c>
      <c r="K1808" t="s">
        <v>360</v>
      </c>
      <c r="L1808" t="s">
        <v>1233</v>
      </c>
      <c r="Q1808">
        <v>3</v>
      </c>
      <c r="R1808" t="s">
        <v>1135</v>
      </c>
      <c r="T1808" t="s">
        <v>38</v>
      </c>
      <c r="V1808" t="s">
        <v>921</v>
      </c>
      <c r="Y1808" t="s">
        <v>81</v>
      </c>
      <c r="Z1808" t="s">
        <v>1136</v>
      </c>
      <c r="AA1808" t="s">
        <v>39</v>
      </c>
      <c r="AC1808" t="s">
        <v>1234</v>
      </c>
    </row>
    <row r="1809" spans="1:29" hidden="1" x14ac:dyDescent="0.25">
      <c r="A1809">
        <v>270</v>
      </c>
      <c r="B1809" t="s">
        <v>377</v>
      </c>
      <c r="C1809" t="s">
        <v>77</v>
      </c>
      <c r="D1809" t="s">
        <v>378</v>
      </c>
      <c r="E1809">
        <v>10</v>
      </c>
      <c r="F1809">
        <v>230</v>
      </c>
      <c r="G1809">
        <v>12000</v>
      </c>
      <c r="H1809">
        <v>3</v>
      </c>
      <c r="I1809">
        <v>216.66</v>
      </c>
      <c r="J1809">
        <v>649.98</v>
      </c>
      <c r="K1809" t="s">
        <v>360</v>
      </c>
      <c r="L1809" t="s">
        <v>1233</v>
      </c>
      <c r="Q1809">
        <v>3</v>
      </c>
      <c r="R1809" t="s">
        <v>1135</v>
      </c>
      <c r="T1809" t="s">
        <v>38</v>
      </c>
      <c r="V1809" t="s">
        <v>921</v>
      </c>
      <c r="Y1809" t="s">
        <v>81</v>
      </c>
      <c r="Z1809" t="s">
        <v>1136</v>
      </c>
      <c r="AA1809" t="s">
        <v>39</v>
      </c>
      <c r="AC1809" t="s">
        <v>1234</v>
      </c>
    </row>
    <row r="1810" spans="1:29" hidden="1" x14ac:dyDescent="0.25">
      <c r="A1810">
        <v>271</v>
      </c>
      <c r="B1810" t="s">
        <v>379</v>
      </c>
      <c r="C1810" t="s">
        <v>77</v>
      </c>
      <c r="D1810" t="s">
        <v>380</v>
      </c>
      <c r="E1810">
        <v>10</v>
      </c>
      <c r="F1810">
        <v>230</v>
      </c>
      <c r="G1810">
        <v>9518</v>
      </c>
      <c r="H1810">
        <v>2</v>
      </c>
      <c r="I1810">
        <v>171.84</v>
      </c>
      <c r="J1810">
        <v>343.69</v>
      </c>
      <c r="K1810" t="s">
        <v>360</v>
      </c>
      <c r="L1810" t="s">
        <v>1235</v>
      </c>
      <c r="Q1810">
        <v>3</v>
      </c>
      <c r="R1810" t="s">
        <v>1135</v>
      </c>
      <c r="T1810" t="s">
        <v>38</v>
      </c>
      <c r="V1810" t="s">
        <v>921</v>
      </c>
      <c r="Y1810" t="s">
        <v>81</v>
      </c>
      <c r="Z1810" t="s">
        <v>1136</v>
      </c>
      <c r="AA1810" t="s">
        <v>39</v>
      </c>
      <c r="AC1810" t="s">
        <v>1236</v>
      </c>
    </row>
    <row r="1811" spans="1:29" hidden="1" x14ac:dyDescent="0.25">
      <c r="A1811">
        <v>272</v>
      </c>
      <c r="B1811" t="s">
        <v>383</v>
      </c>
      <c r="C1811" t="s">
        <v>77</v>
      </c>
      <c r="D1811" t="s">
        <v>384</v>
      </c>
      <c r="E1811">
        <v>10</v>
      </c>
      <c r="F1811">
        <v>375</v>
      </c>
      <c r="G1811">
        <v>500</v>
      </c>
      <c r="H1811">
        <v>4</v>
      </c>
      <c r="I1811">
        <v>14.72</v>
      </c>
      <c r="J1811">
        <v>58.88</v>
      </c>
      <c r="K1811" t="s">
        <v>360</v>
      </c>
      <c r="L1811" t="s">
        <v>1235</v>
      </c>
      <c r="Q1811">
        <v>3</v>
      </c>
      <c r="R1811" t="s">
        <v>1135</v>
      </c>
      <c r="T1811" t="s">
        <v>38</v>
      </c>
      <c r="V1811" t="s">
        <v>921</v>
      </c>
      <c r="W1811" t="s">
        <v>81</v>
      </c>
      <c r="Z1811" t="s">
        <v>1136</v>
      </c>
      <c r="AA1811" t="s">
        <v>39</v>
      </c>
      <c r="AC1811" t="s">
        <v>1236</v>
      </c>
    </row>
    <row r="1812" spans="1:29" hidden="1" x14ac:dyDescent="0.25">
      <c r="A1812">
        <v>273</v>
      </c>
      <c r="B1812" t="s">
        <v>385</v>
      </c>
      <c r="C1812" t="s">
        <v>77</v>
      </c>
      <c r="D1812" t="s">
        <v>384</v>
      </c>
      <c r="E1812">
        <v>10</v>
      </c>
      <c r="F1812">
        <v>375</v>
      </c>
      <c r="G1812">
        <v>500</v>
      </c>
      <c r="H1812">
        <v>2</v>
      </c>
      <c r="I1812">
        <v>14.72</v>
      </c>
      <c r="J1812">
        <v>29.44</v>
      </c>
      <c r="K1812" t="s">
        <v>360</v>
      </c>
      <c r="L1812" t="s">
        <v>1235</v>
      </c>
      <c r="Q1812">
        <v>3</v>
      </c>
      <c r="R1812" t="s">
        <v>1135</v>
      </c>
      <c r="T1812" t="s">
        <v>38</v>
      </c>
      <c r="V1812" t="s">
        <v>921</v>
      </c>
      <c r="W1812" t="s">
        <v>81</v>
      </c>
      <c r="Z1812" t="s">
        <v>1136</v>
      </c>
      <c r="AA1812" t="s">
        <v>39</v>
      </c>
      <c r="AC1812" t="s">
        <v>1236</v>
      </c>
    </row>
    <row r="1813" spans="1:29" hidden="1" x14ac:dyDescent="0.25">
      <c r="A1813">
        <v>274</v>
      </c>
      <c r="B1813" t="s">
        <v>386</v>
      </c>
      <c r="C1813" t="s">
        <v>77</v>
      </c>
      <c r="D1813" t="s">
        <v>387</v>
      </c>
      <c r="E1813">
        <v>10</v>
      </c>
      <c r="F1813">
        <v>148</v>
      </c>
      <c r="G1813">
        <v>441</v>
      </c>
      <c r="H1813">
        <v>1</v>
      </c>
      <c r="I1813">
        <v>5.0599999999999996</v>
      </c>
      <c r="J1813">
        <v>5.0599999999999996</v>
      </c>
      <c r="K1813" t="s">
        <v>360</v>
      </c>
      <c r="L1813" t="s">
        <v>1235</v>
      </c>
      <c r="Q1813">
        <v>3</v>
      </c>
      <c r="R1813" t="s">
        <v>1135</v>
      </c>
      <c r="T1813" t="s">
        <v>38</v>
      </c>
      <c r="V1813" t="s">
        <v>921</v>
      </c>
      <c r="W1813" t="s">
        <v>81</v>
      </c>
      <c r="Z1813" t="s">
        <v>1136</v>
      </c>
      <c r="AA1813" t="s">
        <v>39</v>
      </c>
      <c r="AC1813" t="s">
        <v>1236</v>
      </c>
    </row>
    <row r="1814" spans="1:29" hidden="1" x14ac:dyDescent="0.25">
      <c r="A1814">
        <v>275</v>
      </c>
      <c r="B1814" t="s">
        <v>388</v>
      </c>
      <c r="C1814" t="s">
        <v>77</v>
      </c>
      <c r="D1814" t="s">
        <v>359</v>
      </c>
      <c r="E1814">
        <v>10</v>
      </c>
      <c r="F1814">
        <v>350</v>
      </c>
      <c r="G1814">
        <v>12000</v>
      </c>
      <c r="H1814">
        <v>2</v>
      </c>
      <c r="I1814">
        <v>329.7</v>
      </c>
      <c r="J1814">
        <v>659.41</v>
      </c>
      <c r="K1814" t="s">
        <v>360</v>
      </c>
      <c r="L1814" t="s">
        <v>1235</v>
      </c>
      <c r="P1814" t="s">
        <v>81</v>
      </c>
      <c r="Q1814">
        <v>3</v>
      </c>
      <c r="R1814" t="s">
        <v>1135</v>
      </c>
      <c r="T1814" t="s">
        <v>38</v>
      </c>
      <c r="V1814" t="s">
        <v>921</v>
      </c>
      <c r="Y1814" t="s">
        <v>81</v>
      </c>
      <c r="Z1814" t="s">
        <v>1136</v>
      </c>
      <c r="AA1814" t="s">
        <v>39</v>
      </c>
      <c r="AC1814" t="s">
        <v>1236</v>
      </c>
    </row>
    <row r="1815" spans="1:29" hidden="1" x14ac:dyDescent="0.25">
      <c r="A1815">
        <v>276</v>
      </c>
      <c r="B1815" t="s">
        <v>377</v>
      </c>
      <c r="C1815" t="s">
        <v>77</v>
      </c>
      <c r="D1815" t="s">
        <v>378</v>
      </c>
      <c r="E1815">
        <v>10</v>
      </c>
      <c r="F1815">
        <v>230</v>
      </c>
      <c r="G1815">
        <v>12000</v>
      </c>
      <c r="H1815">
        <v>1</v>
      </c>
      <c r="I1815">
        <v>216.66</v>
      </c>
      <c r="J1815">
        <v>216.66</v>
      </c>
      <c r="K1815" t="s">
        <v>360</v>
      </c>
      <c r="L1815" t="s">
        <v>1235</v>
      </c>
      <c r="Q1815">
        <v>3</v>
      </c>
      <c r="R1815" t="s">
        <v>1135</v>
      </c>
      <c r="T1815" t="s">
        <v>38</v>
      </c>
      <c r="V1815" t="s">
        <v>921</v>
      </c>
      <c r="Y1815" t="s">
        <v>81</v>
      </c>
      <c r="Z1815" t="s">
        <v>1136</v>
      </c>
      <c r="AA1815" t="s">
        <v>39</v>
      </c>
      <c r="AC1815" t="s">
        <v>1236</v>
      </c>
    </row>
    <row r="1816" spans="1:29" hidden="1" x14ac:dyDescent="0.25">
      <c r="A1816">
        <v>277</v>
      </c>
      <c r="B1816" t="s">
        <v>389</v>
      </c>
      <c r="C1816" t="s">
        <v>77</v>
      </c>
      <c r="D1816" t="s">
        <v>390</v>
      </c>
      <c r="E1816">
        <v>10</v>
      </c>
      <c r="F1816">
        <v>200</v>
      </c>
      <c r="G1816">
        <v>9518</v>
      </c>
      <c r="H1816">
        <v>3</v>
      </c>
      <c r="I1816">
        <v>149.43</v>
      </c>
      <c r="J1816">
        <v>448.3</v>
      </c>
      <c r="K1816" t="s">
        <v>360</v>
      </c>
      <c r="L1816" t="s">
        <v>1237</v>
      </c>
      <c r="Q1816">
        <v>3</v>
      </c>
      <c r="R1816" t="s">
        <v>1135</v>
      </c>
      <c r="T1816" t="s">
        <v>38</v>
      </c>
      <c r="V1816" t="s">
        <v>921</v>
      </c>
      <c r="Y1816" t="s">
        <v>81</v>
      </c>
      <c r="Z1816" t="s">
        <v>1136</v>
      </c>
      <c r="AA1816" t="s">
        <v>39</v>
      </c>
      <c r="AC1816" t="s">
        <v>1238</v>
      </c>
    </row>
    <row r="1817" spans="1:29" hidden="1" x14ac:dyDescent="0.25">
      <c r="A1817">
        <v>278</v>
      </c>
      <c r="B1817" t="s">
        <v>379</v>
      </c>
      <c r="C1817" t="s">
        <v>77</v>
      </c>
      <c r="D1817" t="s">
        <v>380</v>
      </c>
      <c r="E1817">
        <v>10</v>
      </c>
      <c r="F1817">
        <v>230</v>
      </c>
      <c r="G1817">
        <v>9518</v>
      </c>
      <c r="H1817">
        <v>2</v>
      </c>
      <c r="I1817">
        <v>171.84</v>
      </c>
      <c r="J1817">
        <v>343.69</v>
      </c>
      <c r="K1817" t="s">
        <v>360</v>
      </c>
      <c r="L1817" t="s">
        <v>1237</v>
      </c>
      <c r="Q1817">
        <v>3</v>
      </c>
      <c r="R1817" t="s">
        <v>1135</v>
      </c>
      <c r="T1817" t="s">
        <v>38</v>
      </c>
      <c r="V1817" t="s">
        <v>921</v>
      </c>
      <c r="Y1817" t="s">
        <v>81</v>
      </c>
      <c r="Z1817" t="s">
        <v>1136</v>
      </c>
      <c r="AA1817" t="s">
        <v>39</v>
      </c>
      <c r="AC1817" t="s">
        <v>1238</v>
      </c>
    </row>
    <row r="1818" spans="1:29" hidden="1" x14ac:dyDescent="0.25">
      <c r="A1818">
        <v>279</v>
      </c>
      <c r="B1818" t="s">
        <v>393</v>
      </c>
      <c r="C1818" t="s">
        <v>77</v>
      </c>
      <c r="D1818" t="s">
        <v>394</v>
      </c>
      <c r="E1818">
        <v>10</v>
      </c>
      <c r="F1818">
        <v>240</v>
      </c>
      <c r="G1818">
        <v>375</v>
      </c>
      <c r="H1818">
        <v>4</v>
      </c>
      <c r="I1818">
        <v>7.06</v>
      </c>
      <c r="J1818">
        <v>28.26</v>
      </c>
      <c r="K1818" t="s">
        <v>360</v>
      </c>
      <c r="L1818" t="s">
        <v>1237</v>
      </c>
      <c r="Q1818">
        <v>3</v>
      </c>
      <c r="R1818" t="s">
        <v>1135</v>
      </c>
      <c r="T1818" t="s">
        <v>38</v>
      </c>
      <c r="V1818" t="s">
        <v>921</v>
      </c>
      <c r="W1818" t="s">
        <v>81</v>
      </c>
      <c r="Z1818" t="s">
        <v>1136</v>
      </c>
      <c r="AA1818" t="s">
        <v>39</v>
      </c>
      <c r="AC1818" t="s">
        <v>1238</v>
      </c>
    </row>
    <row r="1819" spans="1:29" hidden="1" x14ac:dyDescent="0.25">
      <c r="A1819">
        <v>280</v>
      </c>
      <c r="B1819" t="s">
        <v>395</v>
      </c>
      <c r="C1819" t="s">
        <v>77</v>
      </c>
      <c r="D1819" t="s">
        <v>394</v>
      </c>
      <c r="E1819">
        <v>10</v>
      </c>
      <c r="F1819">
        <v>240</v>
      </c>
      <c r="G1819">
        <v>375</v>
      </c>
      <c r="H1819">
        <v>2</v>
      </c>
      <c r="I1819">
        <v>7.06</v>
      </c>
      <c r="J1819">
        <v>14.13</v>
      </c>
      <c r="K1819" t="s">
        <v>360</v>
      </c>
      <c r="L1819" t="s">
        <v>1237</v>
      </c>
      <c r="Q1819">
        <v>3</v>
      </c>
      <c r="R1819" t="s">
        <v>1135</v>
      </c>
      <c r="T1819" t="s">
        <v>38</v>
      </c>
      <c r="V1819" t="s">
        <v>921</v>
      </c>
      <c r="W1819" t="s">
        <v>81</v>
      </c>
      <c r="Z1819" t="s">
        <v>1136</v>
      </c>
      <c r="AA1819" t="s">
        <v>39</v>
      </c>
      <c r="AC1819" t="s">
        <v>1238</v>
      </c>
    </row>
    <row r="1820" spans="1:29" hidden="1" x14ac:dyDescent="0.25">
      <c r="A1820">
        <v>281</v>
      </c>
      <c r="B1820" t="s">
        <v>396</v>
      </c>
      <c r="C1820" t="s">
        <v>77</v>
      </c>
      <c r="D1820" t="s">
        <v>397</v>
      </c>
      <c r="E1820">
        <v>10</v>
      </c>
      <c r="F1820">
        <v>86</v>
      </c>
      <c r="G1820">
        <v>338</v>
      </c>
      <c r="H1820">
        <v>4</v>
      </c>
      <c r="I1820">
        <v>2.2599999999999998</v>
      </c>
      <c r="J1820">
        <v>9.06</v>
      </c>
      <c r="K1820" t="s">
        <v>360</v>
      </c>
      <c r="L1820" t="s">
        <v>1237</v>
      </c>
      <c r="Q1820">
        <v>3</v>
      </c>
      <c r="R1820" t="s">
        <v>1135</v>
      </c>
      <c r="T1820" t="s">
        <v>38</v>
      </c>
      <c r="V1820" t="s">
        <v>921</v>
      </c>
      <c r="W1820" t="s">
        <v>81</v>
      </c>
      <c r="Z1820" t="s">
        <v>1136</v>
      </c>
      <c r="AA1820" t="s">
        <v>39</v>
      </c>
      <c r="AC1820" t="s">
        <v>1238</v>
      </c>
    </row>
    <row r="1821" spans="1:29" hidden="1" x14ac:dyDescent="0.25">
      <c r="A1821">
        <v>282</v>
      </c>
      <c r="B1821" t="s">
        <v>386</v>
      </c>
      <c r="C1821" t="s">
        <v>77</v>
      </c>
      <c r="D1821" t="s">
        <v>387</v>
      </c>
      <c r="E1821">
        <v>10</v>
      </c>
      <c r="F1821">
        <v>148</v>
      </c>
      <c r="G1821">
        <v>441</v>
      </c>
      <c r="H1821">
        <v>12</v>
      </c>
      <c r="I1821">
        <v>5.0599999999999996</v>
      </c>
      <c r="J1821">
        <v>60.73</v>
      </c>
      <c r="K1821" t="s">
        <v>360</v>
      </c>
      <c r="L1821" t="s">
        <v>1237</v>
      </c>
      <c r="Q1821">
        <v>3</v>
      </c>
      <c r="R1821" t="s">
        <v>1135</v>
      </c>
      <c r="T1821" t="s">
        <v>38</v>
      </c>
      <c r="V1821" t="s">
        <v>921</v>
      </c>
      <c r="W1821" t="s">
        <v>81</v>
      </c>
      <c r="Z1821" t="s">
        <v>1136</v>
      </c>
      <c r="AA1821" t="s">
        <v>39</v>
      </c>
      <c r="AC1821" t="s">
        <v>1238</v>
      </c>
    </row>
    <row r="1822" spans="1:29" hidden="1" x14ac:dyDescent="0.25">
      <c r="A1822">
        <v>283</v>
      </c>
      <c r="B1822" t="s">
        <v>398</v>
      </c>
      <c r="C1822" t="s">
        <v>77</v>
      </c>
      <c r="D1822" t="s">
        <v>399</v>
      </c>
      <c r="E1822">
        <v>10</v>
      </c>
      <c r="F1822">
        <v>200</v>
      </c>
      <c r="G1822">
        <v>250</v>
      </c>
      <c r="H1822">
        <v>1</v>
      </c>
      <c r="I1822">
        <v>3.93</v>
      </c>
      <c r="J1822">
        <v>3.93</v>
      </c>
      <c r="K1822" t="s">
        <v>360</v>
      </c>
      <c r="L1822" t="s">
        <v>1237</v>
      </c>
      <c r="Q1822">
        <v>3</v>
      </c>
      <c r="R1822" t="s">
        <v>1135</v>
      </c>
      <c r="T1822" t="s">
        <v>38</v>
      </c>
      <c r="V1822" t="s">
        <v>921</v>
      </c>
      <c r="W1822" t="s">
        <v>81</v>
      </c>
      <c r="Z1822" t="s">
        <v>1136</v>
      </c>
      <c r="AA1822" t="s">
        <v>39</v>
      </c>
      <c r="AC1822" t="s">
        <v>1238</v>
      </c>
    </row>
    <row r="1823" spans="1:29" hidden="1" x14ac:dyDescent="0.25">
      <c r="A1823">
        <v>284</v>
      </c>
      <c r="B1823" t="s">
        <v>400</v>
      </c>
      <c r="C1823" t="s">
        <v>77</v>
      </c>
      <c r="D1823" t="s">
        <v>387</v>
      </c>
      <c r="E1823">
        <v>10</v>
      </c>
      <c r="F1823">
        <v>148</v>
      </c>
      <c r="G1823">
        <v>441</v>
      </c>
      <c r="H1823">
        <v>10</v>
      </c>
      <c r="I1823">
        <v>5.0599999999999996</v>
      </c>
      <c r="J1823">
        <v>50.61</v>
      </c>
      <c r="K1823" t="s">
        <v>360</v>
      </c>
      <c r="L1823" t="s">
        <v>1237</v>
      </c>
      <c r="Q1823">
        <v>3</v>
      </c>
      <c r="R1823" t="s">
        <v>1135</v>
      </c>
      <c r="T1823" t="s">
        <v>38</v>
      </c>
      <c r="V1823" t="s">
        <v>921</v>
      </c>
      <c r="W1823" t="s">
        <v>81</v>
      </c>
      <c r="Z1823" t="s">
        <v>1136</v>
      </c>
      <c r="AA1823" t="s">
        <v>39</v>
      </c>
      <c r="AC1823" t="s">
        <v>1238</v>
      </c>
    </row>
    <row r="1824" spans="1:29" hidden="1" x14ac:dyDescent="0.25">
      <c r="A1824">
        <v>285</v>
      </c>
      <c r="B1824" t="s">
        <v>401</v>
      </c>
      <c r="C1824" t="s">
        <v>77</v>
      </c>
      <c r="D1824" t="s">
        <v>402</v>
      </c>
      <c r="E1824">
        <v>10</v>
      </c>
      <c r="F1824">
        <v>80</v>
      </c>
      <c r="G1824">
        <v>120</v>
      </c>
      <c r="H1824">
        <v>2</v>
      </c>
      <c r="I1824">
        <v>0.72</v>
      </c>
      <c r="J1824">
        <v>1.45</v>
      </c>
      <c r="K1824" t="s">
        <v>360</v>
      </c>
      <c r="L1824" t="s">
        <v>1237</v>
      </c>
      <c r="N1824" t="s">
        <v>228</v>
      </c>
      <c r="Q1824">
        <v>3</v>
      </c>
      <c r="R1824" t="s">
        <v>1135</v>
      </c>
      <c r="T1824" t="s">
        <v>38</v>
      </c>
      <c r="V1824" t="s">
        <v>921</v>
      </c>
      <c r="W1824" t="s">
        <v>81</v>
      </c>
      <c r="Z1824" t="s">
        <v>1136</v>
      </c>
      <c r="AA1824" t="s">
        <v>39</v>
      </c>
      <c r="AC1824" t="s">
        <v>1238</v>
      </c>
    </row>
    <row r="1825" spans="1:29" hidden="1" x14ac:dyDescent="0.25">
      <c r="A1825">
        <v>286</v>
      </c>
      <c r="B1825" t="s">
        <v>403</v>
      </c>
      <c r="C1825" t="s">
        <v>77</v>
      </c>
      <c r="D1825" t="s">
        <v>387</v>
      </c>
      <c r="E1825">
        <v>10</v>
      </c>
      <c r="F1825">
        <v>148</v>
      </c>
      <c r="G1825">
        <v>441</v>
      </c>
      <c r="H1825">
        <v>21</v>
      </c>
      <c r="I1825">
        <v>5.0599999999999996</v>
      </c>
      <c r="J1825">
        <v>106.28</v>
      </c>
      <c r="K1825" t="s">
        <v>360</v>
      </c>
      <c r="L1825" t="s">
        <v>1237</v>
      </c>
      <c r="Q1825">
        <v>3</v>
      </c>
      <c r="R1825" t="s">
        <v>1135</v>
      </c>
      <c r="T1825" t="s">
        <v>38</v>
      </c>
      <c r="V1825" t="s">
        <v>921</v>
      </c>
      <c r="W1825" t="s">
        <v>81</v>
      </c>
      <c r="Z1825" t="s">
        <v>1136</v>
      </c>
      <c r="AA1825" t="s">
        <v>39</v>
      </c>
      <c r="AC1825" t="s">
        <v>1238</v>
      </c>
    </row>
    <row r="1826" spans="1:29" hidden="1" x14ac:dyDescent="0.25">
      <c r="A1826">
        <v>287</v>
      </c>
      <c r="B1826" t="s">
        <v>404</v>
      </c>
      <c r="C1826" t="s">
        <v>77</v>
      </c>
      <c r="D1826" t="s">
        <v>405</v>
      </c>
      <c r="E1826">
        <v>10</v>
      </c>
      <c r="F1826">
        <v>120</v>
      </c>
      <c r="G1826">
        <v>220</v>
      </c>
      <c r="H1826">
        <v>1</v>
      </c>
      <c r="I1826">
        <v>2.0099999999999998</v>
      </c>
      <c r="J1826">
        <v>2.0099999999999998</v>
      </c>
      <c r="K1826" t="s">
        <v>360</v>
      </c>
      <c r="L1826" t="s">
        <v>1237</v>
      </c>
      <c r="N1826" t="s">
        <v>228</v>
      </c>
      <c r="Q1826">
        <v>3</v>
      </c>
      <c r="R1826" t="s">
        <v>1135</v>
      </c>
      <c r="T1826" t="s">
        <v>38</v>
      </c>
      <c r="V1826" t="s">
        <v>921</v>
      </c>
      <c r="W1826" t="s">
        <v>81</v>
      </c>
      <c r="Z1826" t="s">
        <v>1136</v>
      </c>
      <c r="AA1826" t="s">
        <v>39</v>
      </c>
      <c r="AC1826" t="s">
        <v>1238</v>
      </c>
    </row>
    <row r="1827" spans="1:29" hidden="1" x14ac:dyDescent="0.25">
      <c r="A1827">
        <v>288</v>
      </c>
      <c r="B1827" t="s">
        <v>406</v>
      </c>
      <c r="C1827" t="s">
        <v>77</v>
      </c>
      <c r="D1827" t="s">
        <v>407</v>
      </c>
      <c r="E1827">
        <v>10</v>
      </c>
      <c r="F1827">
        <v>380</v>
      </c>
      <c r="G1827">
        <v>4577</v>
      </c>
      <c r="H1827">
        <v>2</v>
      </c>
      <c r="I1827">
        <v>135.07</v>
      </c>
      <c r="J1827">
        <v>270.14999999999998</v>
      </c>
      <c r="K1827" t="s">
        <v>360</v>
      </c>
      <c r="L1827" t="s">
        <v>1237</v>
      </c>
      <c r="Q1827">
        <v>3</v>
      </c>
      <c r="R1827" t="s">
        <v>1135</v>
      </c>
      <c r="T1827" t="s">
        <v>38</v>
      </c>
      <c r="V1827" t="s">
        <v>921</v>
      </c>
      <c r="Y1827" t="s">
        <v>81</v>
      </c>
      <c r="Z1827" t="s">
        <v>1136</v>
      </c>
      <c r="AA1827" t="s">
        <v>39</v>
      </c>
      <c r="AC1827" t="s">
        <v>1238</v>
      </c>
    </row>
    <row r="1828" spans="1:29" hidden="1" x14ac:dyDescent="0.25">
      <c r="A1828">
        <v>289</v>
      </c>
      <c r="B1828" t="s">
        <v>408</v>
      </c>
      <c r="C1828" t="s">
        <v>77</v>
      </c>
      <c r="D1828" t="s">
        <v>397</v>
      </c>
      <c r="E1828">
        <v>10</v>
      </c>
      <c r="F1828">
        <v>86</v>
      </c>
      <c r="G1828">
        <v>338</v>
      </c>
      <c r="H1828">
        <v>16</v>
      </c>
      <c r="I1828">
        <v>2.2599999999999998</v>
      </c>
      <c r="J1828">
        <v>36.229999999999997</v>
      </c>
      <c r="K1828" t="s">
        <v>360</v>
      </c>
      <c r="L1828" t="s">
        <v>1239</v>
      </c>
      <c r="Q1828">
        <v>3</v>
      </c>
      <c r="R1828" t="s">
        <v>1135</v>
      </c>
      <c r="T1828" t="s">
        <v>38</v>
      </c>
      <c r="V1828" t="s">
        <v>921</v>
      </c>
      <c r="W1828" t="s">
        <v>81</v>
      </c>
      <c r="Z1828" t="s">
        <v>1136</v>
      </c>
      <c r="AA1828" t="s">
        <v>39</v>
      </c>
      <c r="AC1828" t="s">
        <v>1240</v>
      </c>
    </row>
    <row r="1829" spans="1:29" hidden="1" x14ac:dyDescent="0.25">
      <c r="A1829">
        <v>290</v>
      </c>
      <c r="B1829" t="s">
        <v>411</v>
      </c>
      <c r="C1829" t="s">
        <v>77</v>
      </c>
      <c r="D1829" t="s">
        <v>412</v>
      </c>
      <c r="E1829">
        <v>10</v>
      </c>
      <c r="F1829">
        <v>532</v>
      </c>
      <c r="G1829">
        <v>4080</v>
      </c>
      <c r="H1829">
        <v>2</v>
      </c>
      <c r="I1829">
        <v>168.27</v>
      </c>
      <c r="J1829">
        <v>336.54</v>
      </c>
      <c r="K1829" t="s">
        <v>360</v>
      </c>
      <c r="L1829" t="s">
        <v>1239</v>
      </c>
      <c r="O1829" t="s">
        <v>81</v>
      </c>
      <c r="P1829" t="s">
        <v>81</v>
      </c>
      <c r="Q1829">
        <v>3</v>
      </c>
      <c r="R1829" t="s">
        <v>1135</v>
      </c>
      <c r="T1829" t="s">
        <v>38</v>
      </c>
      <c r="V1829" t="s">
        <v>921</v>
      </c>
      <c r="Z1829" t="s">
        <v>1136</v>
      </c>
      <c r="AA1829" t="s">
        <v>39</v>
      </c>
      <c r="AC1829" t="s">
        <v>1240</v>
      </c>
    </row>
    <row r="1830" spans="1:29" hidden="1" x14ac:dyDescent="0.25">
      <c r="A1830">
        <v>291</v>
      </c>
      <c r="B1830" t="s">
        <v>396</v>
      </c>
      <c r="C1830" t="s">
        <v>77</v>
      </c>
      <c r="D1830" t="s">
        <v>397</v>
      </c>
      <c r="E1830">
        <v>10</v>
      </c>
      <c r="F1830">
        <v>86</v>
      </c>
      <c r="G1830">
        <v>338</v>
      </c>
      <c r="H1830">
        <v>4</v>
      </c>
      <c r="I1830">
        <v>2.2599999999999998</v>
      </c>
      <c r="J1830">
        <v>9.06</v>
      </c>
      <c r="K1830" t="s">
        <v>360</v>
      </c>
      <c r="L1830" t="s">
        <v>1239</v>
      </c>
      <c r="Q1830">
        <v>3</v>
      </c>
      <c r="R1830" t="s">
        <v>1135</v>
      </c>
      <c r="T1830" t="s">
        <v>38</v>
      </c>
      <c r="V1830" t="s">
        <v>921</v>
      </c>
      <c r="W1830" t="s">
        <v>81</v>
      </c>
      <c r="Z1830" t="s">
        <v>1136</v>
      </c>
      <c r="AA1830" t="s">
        <v>39</v>
      </c>
      <c r="AC1830" t="s">
        <v>1240</v>
      </c>
    </row>
    <row r="1831" spans="1:29" hidden="1" x14ac:dyDescent="0.25">
      <c r="A1831">
        <v>292</v>
      </c>
      <c r="B1831" t="s">
        <v>401</v>
      </c>
      <c r="C1831" t="s">
        <v>77</v>
      </c>
      <c r="D1831" t="s">
        <v>402</v>
      </c>
      <c r="E1831">
        <v>10</v>
      </c>
      <c r="F1831">
        <v>80</v>
      </c>
      <c r="G1831">
        <v>120</v>
      </c>
      <c r="H1831">
        <v>1</v>
      </c>
      <c r="I1831">
        <v>0.72</v>
      </c>
      <c r="J1831">
        <v>0.72</v>
      </c>
      <c r="K1831" t="s">
        <v>360</v>
      </c>
      <c r="L1831" t="s">
        <v>1239</v>
      </c>
      <c r="N1831" t="s">
        <v>228</v>
      </c>
      <c r="Q1831">
        <v>3</v>
      </c>
      <c r="R1831" t="s">
        <v>1135</v>
      </c>
      <c r="T1831" t="s">
        <v>38</v>
      </c>
      <c r="V1831" t="s">
        <v>921</v>
      </c>
      <c r="W1831" t="s">
        <v>81</v>
      </c>
      <c r="Z1831" t="s">
        <v>1136</v>
      </c>
      <c r="AA1831" t="s">
        <v>39</v>
      </c>
      <c r="AC1831" t="s">
        <v>1240</v>
      </c>
    </row>
    <row r="1832" spans="1:29" hidden="1" x14ac:dyDescent="0.25">
      <c r="A1832">
        <v>293</v>
      </c>
      <c r="B1832" t="s">
        <v>413</v>
      </c>
      <c r="C1832" t="s">
        <v>77</v>
      </c>
      <c r="D1832" t="s">
        <v>414</v>
      </c>
      <c r="E1832">
        <v>10</v>
      </c>
      <c r="F1832">
        <v>100</v>
      </c>
      <c r="G1832">
        <v>100</v>
      </c>
      <c r="H1832">
        <v>2</v>
      </c>
      <c r="I1832">
        <v>0.4</v>
      </c>
      <c r="J1832">
        <v>0.79</v>
      </c>
      <c r="K1832" t="s">
        <v>360</v>
      </c>
      <c r="L1832" t="s">
        <v>1239</v>
      </c>
      <c r="N1832" t="s">
        <v>228</v>
      </c>
      <c r="Q1832">
        <v>3</v>
      </c>
      <c r="R1832" t="s">
        <v>1135</v>
      </c>
      <c r="T1832" t="s">
        <v>38</v>
      </c>
      <c r="V1832" t="s">
        <v>921</v>
      </c>
      <c r="X1832" t="s">
        <v>81</v>
      </c>
      <c r="Z1832" t="s">
        <v>1136</v>
      </c>
      <c r="AA1832" t="s">
        <v>39</v>
      </c>
      <c r="AC1832" t="s">
        <v>1240</v>
      </c>
    </row>
    <row r="1833" spans="1:29" hidden="1" x14ac:dyDescent="0.25">
      <c r="A1833">
        <v>294</v>
      </c>
      <c r="B1833" t="s">
        <v>415</v>
      </c>
      <c r="C1833" t="s">
        <v>77</v>
      </c>
      <c r="D1833" t="s">
        <v>414</v>
      </c>
      <c r="E1833">
        <v>10</v>
      </c>
      <c r="F1833">
        <v>100</v>
      </c>
      <c r="G1833">
        <v>100</v>
      </c>
      <c r="H1833">
        <v>4</v>
      </c>
      <c r="I1833">
        <v>0.4</v>
      </c>
      <c r="J1833">
        <v>1.58</v>
      </c>
      <c r="K1833" t="s">
        <v>360</v>
      </c>
      <c r="L1833" t="s">
        <v>1239</v>
      </c>
      <c r="N1833" t="s">
        <v>228</v>
      </c>
      <c r="Q1833">
        <v>3</v>
      </c>
      <c r="R1833" t="s">
        <v>1135</v>
      </c>
      <c r="T1833" t="s">
        <v>38</v>
      </c>
      <c r="V1833" t="s">
        <v>921</v>
      </c>
      <c r="X1833" t="s">
        <v>81</v>
      </c>
      <c r="Z1833" t="s">
        <v>1136</v>
      </c>
      <c r="AA1833" t="s">
        <v>39</v>
      </c>
      <c r="AC1833" t="s">
        <v>1240</v>
      </c>
    </row>
    <row r="1834" spans="1:29" hidden="1" x14ac:dyDescent="0.25">
      <c r="A1834">
        <v>295</v>
      </c>
      <c r="B1834" t="s">
        <v>404</v>
      </c>
      <c r="C1834" t="s">
        <v>77</v>
      </c>
      <c r="D1834" t="s">
        <v>405</v>
      </c>
      <c r="E1834">
        <v>10</v>
      </c>
      <c r="F1834">
        <v>120</v>
      </c>
      <c r="G1834">
        <v>220</v>
      </c>
      <c r="H1834">
        <v>5</v>
      </c>
      <c r="I1834">
        <v>2.0099999999999998</v>
      </c>
      <c r="J1834">
        <v>10.06</v>
      </c>
      <c r="K1834" t="s">
        <v>360</v>
      </c>
      <c r="L1834" t="s">
        <v>1239</v>
      </c>
      <c r="N1834" t="s">
        <v>228</v>
      </c>
      <c r="Q1834">
        <v>3</v>
      </c>
      <c r="R1834" t="s">
        <v>1135</v>
      </c>
      <c r="T1834" t="s">
        <v>38</v>
      </c>
      <c r="V1834" t="s">
        <v>921</v>
      </c>
      <c r="W1834" t="s">
        <v>81</v>
      </c>
      <c r="Z1834" t="s">
        <v>1136</v>
      </c>
      <c r="AA1834" t="s">
        <v>39</v>
      </c>
      <c r="AC1834" t="s">
        <v>1240</v>
      </c>
    </row>
    <row r="1835" spans="1:29" hidden="1" x14ac:dyDescent="0.25">
      <c r="A1835">
        <v>296</v>
      </c>
      <c r="B1835" t="s">
        <v>416</v>
      </c>
      <c r="C1835" t="s">
        <v>77</v>
      </c>
      <c r="D1835" t="s">
        <v>414</v>
      </c>
      <c r="E1835">
        <v>10</v>
      </c>
      <c r="F1835">
        <v>100</v>
      </c>
      <c r="G1835">
        <v>100</v>
      </c>
      <c r="H1835">
        <v>1</v>
      </c>
      <c r="I1835">
        <v>0.39</v>
      </c>
      <c r="J1835">
        <v>0.39</v>
      </c>
      <c r="K1835" t="s">
        <v>360</v>
      </c>
      <c r="L1835" t="s">
        <v>1239</v>
      </c>
      <c r="N1835" t="s">
        <v>228</v>
      </c>
      <c r="Q1835">
        <v>3</v>
      </c>
      <c r="R1835" t="s">
        <v>1135</v>
      </c>
      <c r="T1835" t="s">
        <v>38</v>
      </c>
      <c r="V1835" t="s">
        <v>921</v>
      </c>
      <c r="X1835" t="s">
        <v>81</v>
      </c>
      <c r="Z1835" t="s">
        <v>1136</v>
      </c>
      <c r="AA1835" t="s">
        <v>39</v>
      </c>
      <c r="AC1835" t="s">
        <v>1240</v>
      </c>
    </row>
    <row r="1836" spans="1:29" hidden="1" x14ac:dyDescent="0.25">
      <c r="A1836">
        <v>297</v>
      </c>
      <c r="B1836" t="s">
        <v>417</v>
      </c>
      <c r="C1836" t="s">
        <v>77</v>
      </c>
      <c r="D1836" t="s">
        <v>418</v>
      </c>
      <c r="E1836">
        <v>10</v>
      </c>
      <c r="F1836">
        <v>200</v>
      </c>
      <c r="G1836">
        <v>12000</v>
      </c>
      <c r="H1836">
        <v>4</v>
      </c>
      <c r="I1836">
        <v>188.4</v>
      </c>
      <c r="J1836">
        <v>753.62</v>
      </c>
      <c r="K1836" t="s">
        <v>360</v>
      </c>
      <c r="L1836" t="s">
        <v>1239</v>
      </c>
      <c r="Q1836">
        <v>3</v>
      </c>
      <c r="R1836" t="s">
        <v>1135</v>
      </c>
      <c r="T1836" t="s">
        <v>38</v>
      </c>
      <c r="V1836" t="s">
        <v>921</v>
      </c>
      <c r="Y1836" t="s">
        <v>81</v>
      </c>
      <c r="Z1836" t="s">
        <v>1136</v>
      </c>
      <c r="AA1836" t="s">
        <v>39</v>
      </c>
      <c r="AC1836" t="s">
        <v>1240</v>
      </c>
    </row>
    <row r="1837" spans="1:29" hidden="1" x14ac:dyDescent="0.25">
      <c r="A1837">
        <v>298</v>
      </c>
      <c r="B1837" t="s">
        <v>419</v>
      </c>
      <c r="C1837" t="s">
        <v>77</v>
      </c>
      <c r="D1837" t="s">
        <v>420</v>
      </c>
      <c r="E1837">
        <v>10</v>
      </c>
      <c r="F1837">
        <v>200</v>
      </c>
      <c r="G1837">
        <v>3586</v>
      </c>
      <c r="H1837">
        <v>2</v>
      </c>
      <c r="I1837">
        <v>56.3</v>
      </c>
      <c r="J1837">
        <v>112.6</v>
      </c>
      <c r="K1837" t="s">
        <v>360</v>
      </c>
      <c r="L1837" t="s">
        <v>1239</v>
      </c>
      <c r="Q1837">
        <v>3</v>
      </c>
      <c r="R1837" t="s">
        <v>1135</v>
      </c>
      <c r="T1837" t="s">
        <v>38</v>
      </c>
      <c r="V1837" t="s">
        <v>921</v>
      </c>
      <c r="Y1837" t="s">
        <v>81</v>
      </c>
      <c r="Z1837" t="s">
        <v>1136</v>
      </c>
      <c r="AA1837" t="s">
        <v>39</v>
      </c>
      <c r="AC1837" t="s">
        <v>1240</v>
      </c>
    </row>
    <row r="1838" spans="1:29" hidden="1" x14ac:dyDescent="0.25">
      <c r="A1838">
        <v>299</v>
      </c>
      <c r="B1838" t="s">
        <v>421</v>
      </c>
      <c r="C1838" t="s">
        <v>77</v>
      </c>
      <c r="D1838" t="s">
        <v>422</v>
      </c>
      <c r="E1838">
        <v>10</v>
      </c>
      <c r="F1838">
        <v>230</v>
      </c>
      <c r="G1838">
        <v>3586</v>
      </c>
      <c r="H1838">
        <v>1</v>
      </c>
      <c r="I1838">
        <v>64.75</v>
      </c>
      <c r="J1838">
        <v>64.75</v>
      </c>
      <c r="K1838" t="s">
        <v>360</v>
      </c>
      <c r="L1838" t="s">
        <v>1239</v>
      </c>
      <c r="Q1838">
        <v>3</v>
      </c>
      <c r="R1838" t="s">
        <v>1135</v>
      </c>
      <c r="T1838" t="s">
        <v>38</v>
      </c>
      <c r="V1838" t="s">
        <v>921</v>
      </c>
      <c r="Y1838" t="s">
        <v>81</v>
      </c>
      <c r="Z1838" t="s">
        <v>1136</v>
      </c>
      <c r="AA1838" t="s">
        <v>39</v>
      </c>
      <c r="AC1838" t="s">
        <v>1240</v>
      </c>
    </row>
    <row r="1839" spans="1:29" hidden="1" x14ac:dyDescent="0.25">
      <c r="A1839">
        <v>300</v>
      </c>
      <c r="B1839" t="s">
        <v>423</v>
      </c>
      <c r="C1839" t="s">
        <v>77</v>
      </c>
      <c r="D1839" t="s">
        <v>414</v>
      </c>
      <c r="E1839">
        <v>10</v>
      </c>
      <c r="F1839">
        <v>100</v>
      </c>
      <c r="G1839">
        <v>100</v>
      </c>
      <c r="H1839">
        <v>4</v>
      </c>
      <c r="I1839">
        <v>0.4</v>
      </c>
      <c r="J1839">
        <v>1.58</v>
      </c>
      <c r="K1839" t="s">
        <v>360</v>
      </c>
      <c r="L1839" t="s">
        <v>1239</v>
      </c>
      <c r="N1839" t="s">
        <v>228</v>
      </c>
      <c r="Q1839">
        <v>3</v>
      </c>
      <c r="R1839" t="s">
        <v>1135</v>
      </c>
      <c r="T1839" t="s">
        <v>38</v>
      </c>
      <c r="V1839" t="s">
        <v>921</v>
      </c>
      <c r="X1839" t="s">
        <v>81</v>
      </c>
      <c r="Z1839" t="s">
        <v>1136</v>
      </c>
      <c r="AA1839" t="s">
        <v>39</v>
      </c>
      <c r="AC1839" t="s">
        <v>1240</v>
      </c>
    </row>
    <row r="1840" spans="1:29" hidden="1" x14ac:dyDescent="0.25">
      <c r="A1840">
        <v>301</v>
      </c>
      <c r="B1840" t="s">
        <v>389</v>
      </c>
      <c r="C1840" t="s">
        <v>77</v>
      </c>
      <c r="D1840" t="s">
        <v>390</v>
      </c>
      <c r="E1840">
        <v>10</v>
      </c>
      <c r="F1840">
        <v>200</v>
      </c>
      <c r="G1840">
        <v>9518</v>
      </c>
      <c r="H1840">
        <v>1</v>
      </c>
      <c r="I1840">
        <v>149.43</v>
      </c>
      <c r="J1840">
        <v>149.43</v>
      </c>
      <c r="K1840" t="s">
        <v>360</v>
      </c>
      <c r="L1840" t="s">
        <v>1241</v>
      </c>
      <c r="Q1840">
        <v>3</v>
      </c>
      <c r="R1840" t="s">
        <v>1135</v>
      </c>
      <c r="T1840" t="s">
        <v>38</v>
      </c>
      <c r="V1840" t="s">
        <v>921</v>
      </c>
      <c r="Y1840" t="s">
        <v>81</v>
      </c>
      <c r="Z1840" t="s">
        <v>1136</v>
      </c>
      <c r="AA1840" t="s">
        <v>39</v>
      </c>
      <c r="AC1840" t="s">
        <v>1242</v>
      </c>
    </row>
    <row r="1841" spans="1:29" hidden="1" x14ac:dyDescent="0.25">
      <c r="A1841">
        <v>302</v>
      </c>
      <c r="B1841" t="s">
        <v>426</v>
      </c>
      <c r="C1841" t="s">
        <v>77</v>
      </c>
      <c r="D1841" t="s">
        <v>412</v>
      </c>
      <c r="E1841">
        <v>10</v>
      </c>
      <c r="F1841">
        <v>532</v>
      </c>
      <c r="G1841">
        <v>4080</v>
      </c>
      <c r="H1841">
        <v>2</v>
      </c>
      <c r="I1841">
        <v>168.27</v>
      </c>
      <c r="J1841">
        <v>336.54</v>
      </c>
      <c r="K1841" t="s">
        <v>360</v>
      </c>
      <c r="L1841" t="s">
        <v>1241</v>
      </c>
      <c r="O1841" t="s">
        <v>81</v>
      </c>
      <c r="P1841" t="s">
        <v>81</v>
      </c>
      <c r="Q1841">
        <v>3</v>
      </c>
      <c r="R1841" t="s">
        <v>1135</v>
      </c>
      <c r="T1841" t="s">
        <v>38</v>
      </c>
      <c r="V1841" t="s">
        <v>921</v>
      </c>
      <c r="Z1841" t="s">
        <v>1136</v>
      </c>
      <c r="AA1841" t="s">
        <v>39</v>
      </c>
      <c r="AC1841" t="s">
        <v>1242</v>
      </c>
    </row>
    <row r="1842" spans="1:29" hidden="1" x14ac:dyDescent="0.25">
      <c r="A1842">
        <v>303</v>
      </c>
      <c r="B1842" t="s">
        <v>427</v>
      </c>
      <c r="C1842" t="s">
        <v>77</v>
      </c>
      <c r="D1842" t="s">
        <v>428</v>
      </c>
      <c r="E1842">
        <v>10</v>
      </c>
      <c r="F1842">
        <v>280</v>
      </c>
      <c r="G1842">
        <v>349</v>
      </c>
      <c r="H1842">
        <v>8</v>
      </c>
      <c r="I1842">
        <v>5.3</v>
      </c>
      <c r="J1842">
        <v>42.42</v>
      </c>
      <c r="K1842" t="s">
        <v>360</v>
      </c>
      <c r="L1842" t="s">
        <v>1241</v>
      </c>
      <c r="Q1842">
        <v>3</v>
      </c>
      <c r="R1842" t="s">
        <v>1135</v>
      </c>
      <c r="T1842" t="s">
        <v>38</v>
      </c>
      <c r="V1842" t="s">
        <v>921</v>
      </c>
      <c r="W1842" t="s">
        <v>81</v>
      </c>
      <c r="Z1842" t="s">
        <v>1136</v>
      </c>
      <c r="AA1842" t="s">
        <v>39</v>
      </c>
      <c r="AC1842" t="s">
        <v>1242</v>
      </c>
    </row>
    <row r="1843" spans="1:29" hidden="1" x14ac:dyDescent="0.25">
      <c r="A1843">
        <v>304</v>
      </c>
      <c r="B1843" t="s">
        <v>429</v>
      </c>
      <c r="C1843" t="s">
        <v>77</v>
      </c>
      <c r="D1843" t="s">
        <v>402</v>
      </c>
      <c r="E1843">
        <v>10</v>
      </c>
      <c r="F1843">
        <v>80</v>
      </c>
      <c r="G1843">
        <v>120</v>
      </c>
      <c r="H1843">
        <v>1</v>
      </c>
      <c r="I1843">
        <v>0.72</v>
      </c>
      <c r="J1843">
        <v>0.72</v>
      </c>
      <c r="K1843" t="s">
        <v>360</v>
      </c>
      <c r="L1843" t="s">
        <v>1241</v>
      </c>
      <c r="N1843" t="s">
        <v>228</v>
      </c>
      <c r="Q1843">
        <v>3</v>
      </c>
      <c r="R1843" t="s">
        <v>1135</v>
      </c>
      <c r="T1843" t="s">
        <v>38</v>
      </c>
      <c r="V1843" t="s">
        <v>921</v>
      </c>
      <c r="W1843" t="s">
        <v>81</v>
      </c>
      <c r="Z1843" t="s">
        <v>1136</v>
      </c>
      <c r="AA1843" t="s">
        <v>39</v>
      </c>
      <c r="AC1843" t="s">
        <v>1242</v>
      </c>
    </row>
    <row r="1844" spans="1:29" hidden="1" x14ac:dyDescent="0.25">
      <c r="A1844">
        <v>305</v>
      </c>
      <c r="B1844" t="s">
        <v>430</v>
      </c>
      <c r="C1844" t="s">
        <v>77</v>
      </c>
      <c r="D1844" t="s">
        <v>431</v>
      </c>
      <c r="E1844">
        <v>10</v>
      </c>
      <c r="F1844">
        <v>120</v>
      </c>
      <c r="G1844">
        <v>250</v>
      </c>
      <c r="H1844">
        <v>1</v>
      </c>
      <c r="I1844">
        <v>2.36</v>
      </c>
      <c r="J1844">
        <v>2.36</v>
      </c>
      <c r="K1844" t="s">
        <v>360</v>
      </c>
      <c r="L1844" t="s">
        <v>1241</v>
      </c>
      <c r="Q1844">
        <v>3</v>
      </c>
      <c r="R1844" t="s">
        <v>1135</v>
      </c>
      <c r="T1844" t="s">
        <v>38</v>
      </c>
      <c r="V1844" t="s">
        <v>921</v>
      </c>
      <c r="W1844" t="s">
        <v>81</v>
      </c>
      <c r="Z1844" t="s">
        <v>1136</v>
      </c>
      <c r="AA1844" t="s">
        <v>39</v>
      </c>
      <c r="AC1844" t="s">
        <v>1242</v>
      </c>
    </row>
    <row r="1845" spans="1:29" hidden="1" x14ac:dyDescent="0.25">
      <c r="A1845">
        <v>306</v>
      </c>
      <c r="B1845" t="s">
        <v>432</v>
      </c>
      <c r="C1845" t="s">
        <v>77</v>
      </c>
      <c r="D1845" t="s">
        <v>433</v>
      </c>
      <c r="E1845">
        <v>10</v>
      </c>
      <c r="F1845">
        <v>105</v>
      </c>
      <c r="G1845">
        <v>195</v>
      </c>
      <c r="H1845">
        <v>1</v>
      </c>
      <c r="I1845">
        <v>1.02</v>
      </c>
      <c r="J1845">
        <v>1.02</v>
      </c>
      <c r="K1845" t="s">
        <v>360</v>
      </c>
      <c r="L1845" t="s">
        <v>1241</v>
      </c>
      <c r="Q1845">
        <v>3</v>
      </c>
      <c r="R1845" t="s">
        <v>1135</v>
      </c>
      <c r="T1845" t="s">
        <v>38</v>
      </c>
      <c r="V1845" t="s">
        <v>921</v>
      </c>
      <c r="W1845" t="s">
        <v>81</v>
      </c>
      <c r="Z1845" t="s">
        <v>1136</v>
      </c>
      <c r="AA1845" t="s">
        <v>39</v>
      </c>
      <c r="AC1845" t="s">
        <v>1242</v>
      </c>
    </row>
    <row r="1846" spans="1:29" hidden="1" x14ac:dyDescent="0.25">
      <c r="A1846">
        <v>307</v>
      </c>
      <c r="B1846" t="s">
        <v>434</v>
      </c>
      <c r="C1846" t="s">
        <v>77</v>
      </c>
      <c r="D1846" t="s">
        <v>435</v>
      </c>
      <c r="E1846">
        <v>10</v>
      </c>
      <c r="F1846">
        <v>148</v>
      </c>
      <c r="G1846">
        <v>324</v>
      </c>
      <c r="H1846">
        <v>2</v>
      </c>
      <c r="I1846">
        <v>3.7</v>
      </c>
      <c r="J1846">
        <v>7.4</v>
      </c>
      <c r="K1846" t="s">
        <v>360</v>
      </c>
      <c r="L1846" t="s">
        <v>1241</v>
      </c>
      <c r="Q1846">
        <v>3</v>
      </c>
      <c r="R1846" t="s">
        <v>1135</v>
      </c>
      <c r="T1846" t="s">
        <v>38</v>
      </c>
      <c r="V1846" t="s">
        <v>921</v>
      </c>
      <c r="W1846" t="s">
        <v>81</v>
      </c>
      <c r="Z1846" t="s">
        <v>1136</v>
      </c>
      <c r="AA1846" t="s">
        <v>39</v>
      </c>
      <c r="AC1846" t="s">
        <v>1242</v>
      </c>
    </row>
    <row r="1847" spans="1:29" hidden="1" x14ac:dyDescent="0.25">
      <c r="A1847">
        <v>308</v>
      </c>
      <c r="B1847" t="s">
        <v>436</v>
      </c>
      <c r="C1847" t="s">
        <v>77</v>
      </c>
      <c r="D1847" t="s">
        <v>387</v>
      </c>
      <c r="E1847">
        <v>10</v>
      </c>
      <c r="F1847">
        <v>148</v>
      </c>
      <c r="G1847">
        <v>441</v>
      </c>
      <c r="H1847">
        <v>9</v>
      </c>
      <c r="I1847">
        <v>5.0599999999999996</v>
      </c>
      <c r="J1847">
        <v>45.55</v>
      </c>
      <c r="K1847" t="s">
        <v>360</v>
      </c>
      <c r="L1847" t="s">
        <v>1241</v>
      </c>
      <c r="Q1847">
        <v>3</v>
      </c>
      <c r="R1847" t="s">
        <v>1135</v>
      </c>
      <c r="T1847" t="s">
        <v>38</v>
      </c>
      <c r="V1847" t="s">
        <v>921</v>
      </c>
      <c r="W1847" t="s">
        <v>81</v>
      </c>
      <c r="Z1847" t="s">
        <v>1136</v>
      </c>
      <c r="AA1847" t="s">
        <v>39</v>
      </c>
      <c r="AC1847" t="s">
        <v>1242</v>
      </c>
    </row>
    <row r="1848" spans="1:29" hidden="1" x14ac:dyDescent="0.25">
      <c r="A1848">
        <v>309</v>
      </c>
      <c r="B1848" t="s">
        <v>437</v>
      </c>
      <c r="C1848" t="s">
        <v>77</v>
      </c>
      <c r="D1848" t="s">
        <v>387</v>
      </c>
      <c r="E1848">
        <v>10</v>
      </c>
      <c r="F1848">
        <v>148</v>
      </c>
      <c r="G1848">
        <v>441</v>
      </c>
      <c r="H1848">
        <v>13</v>
      </c>
      <c r="I1848">
        <v>5.0599999999999996</v>
      </c>
      <c r="J1848">
        <v>65.790000000000006</v>
      </c>
      <c r="K1848" t="s">
        <v>360</v>
      </c>
      <c r="L1848" t="s">
        <v>1241</v>
      </c>
      <c r="Q1848">
        <v>3</v>
      </c>
      <c r="R1848" t="s">
        <v>1135</v>
      </c>
      <c r="T1848" t="s">
        <v>38</v>
      </c>
      <c r="V1848" t="s">
        <v>921</v>
      </c>
      <c r="W1848" t="s">
        <v>81</v>
      </c>
      <c r="Z1848" t="s">
        <v>1136</v>
      </c>
      <c r="AA1848" t="s">
        <v>39</v>
      </c>
      <c r="AC1848" t="s">
        <v>1242</v>
      </c>
    </row>
    <row r="1849" spans="1:29" hidden="1" x14ac:dyDescent="0.25">
      <c r="A1849">
        <v>310</v>
      </c>
      <c r="B1849" t="s">
        <v>400</v>
      </c>
      <c r="C1849" t="s">
        <v>77</v>
      </c>
      <c r="D1849" t="s">
        <v>387</v>
      </c>
      <c r="E1849">
        <v>10</v>
      </c>
      <c r="F1849">
        <v>148</v>
      </c>
      <c r="G1849">
        <v>441</v>
      </c>
      <c r="H1849">
        <v>2</v>
      </c>
      <c r="I1849">
        <v>5.0599999999999996</v>
      </c>
      <c r="J1849">
        <v>10.119999999999999</v>
      </c>
      <c r="K1849" t="s">
        <v>360</v>
      </c>
      <c r="L1849" t="s">
        <v>1241</v>
      </c>
      <c r="Q1849">
        <v>3</v>
      </c>
      <c r="R1849" t="s">
        <v>1135</v>
      </c>
      <c r="T1849" t="s">
        <v>38</v>
      </c>
      <c r="V1849" t="s">
        <v>921</v>
      </c>
      <c r="W1849" t="s">
        <v>81</v>
      </c>
      <c r="Z1849" t="s">
        <v>1136</v>
      </c>
      <c r="AA1849" t="s">
        <v>39</v>
      </c>
      <c r="AC1849" t="s">
        <v>1242</v>
      </c>
    </row>
    <row r="1850" spans="1:29" hidden="1" x14ac:dyDescent="0.25">
      <c r="A1850">
        <v>311</v>
      </c>
      <c r="B1850" t="s">
        <v>401</v>
      </c>
      <c r="C1850" t="s">
        <v>77</v>
      </c>
      <c r="D1850" t="s">
        <v>402</v>
      </c>
      <c r="E1850">
        <v>10</v>
      </c>
      <c r="F1850">
        <v>80</v>
      </c>
      <c r="G1850">
        <v>120</v>
      </c>
      <c r="H1850">
        <v>5</v>
      </c>
      <c r="I1850">
        <v>0.72</v>
      </c>
      <c r="J1850">
        <v>3.62</v>
      </c>
      <c r="K1850" t="s">
        <v>360</v>
      </c>
      <c r="L1850" t="s">
        <v>1241</v>
      </c>
      <c r="N1850" t="s">
        <v>228</v>
      </c>
      <c r="Q1850">
        <v>3</v>
      </c>
      <c r="R1850" t="s">
        <v>1135</v>
      </c>
      <c r="T1850" t="s">
        <v>38</v>
      </c>
      <c r="V1850" t="s">
        <v>921</v>
      </c>
      <c r="W1850" t="s">
        <v>81</v>
      </c>
      <c r="Z1850" t="s">
        <v>1136</v>
      </c>
      <c r="AA1850" t="s">
        <v>39</v>
      </c>
      <c r="AC1850" t="s">
        <v>1242</v>
      </c>
    </row>
    <row r="1851" spans="1:29" hidden="1" x14ac:dyDescent="0.25">
      <c r="A1851">
        <v>312</v>
      </c>
      <c r="B1851" t="s">
        <v>438</v>
      </c>
      <c r="C1851" t="s">
        <v>77</v>
      </c>
      <c r="D1851" t="s">
        <v>405</v>
      </c>
      <c r="E1851">
        <v>10</v>
      </c>
      <c r="F1851">
        <v>120</v>
      </c>
      <c r="G1851">
        <v>220</v>
      </c>
      <c r="H1851">
        <v>6</v>
      </c>
      <c r="I1851">
        <v>2.0099999999999998</v>
      </c>
      <c r="J1851">
        <v>12.08</v>
      </c>
      <c r="K1851" t="s">
        <v>360</v>
      </c>
      <c r="L1851" t="s">
        <v>1241</v>
      </c>
      <c r="N1851" t="s">
        <v>228</v>
      </c>
      <c r="Q1851">
        <v>3</v>
      </c>
      <c r="R1851" t="s">
        <v>1135</v>
      </c>
      <c r="T1851" t="s">
        <v>38</v>
      </c>
      <c r="V1851" t="s">
        <v>921</v>
      </c>
      <c r="W1851" t="s">
        <v>81</v>
      </c>
      <c r="Z1851" t="s">
        <v>1136</v>
      </c>
      <c r="AA1851" t="s">
        <v>39</v>
      </c>
      <c r="AC1851" t="s">
        <v>1242</v>
      </c>
    </row>
    <row r="1852" spans="1:29" hidden="1" x14ac:dyDescent="0.25">
      <c r="A1852">
        <v>313</v>
      </c>
      <c r="B1852" t="s">
        <v>439</v>
      </c>
      <c r="C1852" t="s">
        <v>77</v>
      </c>
      <c r="D1852" t="s">
        <v>440</v>
      </c>
      <c r="E1852">
        <v>10</v>
      </c>
      <c r="F1852">
        <v>350</v>
      </c>
      <c r="G1852">
        <v>4580</v>
      </c>
      <c r="H1852">
        <v>1</v>
      </c>
      <c r="I1852">
        <v>125.84</v>
      </c>
      <c r="J1852">
        <v>125.84</v>
      </c>
      <c r="K1852" t="s">
        <v>360</v>
      </c>
      <c r="L1852" t="s">
        <v>1241</v>
      </c>
      <c r="P1852" t="s">
        <v>81</v>
      </c>
      <c r="Q1852">
        <v>3</v>
      </c>
      <c r="R1852" t="s">
        <v>1135</v>
      </c>
      <c r="T1852" t="s">
        <v>38</v>
      </c>
      <c r="V1852" t="s">
        <v>921</v>
      </c>
      <c r="Y1852" t="s">
        <v>81</v>
      </c>
      <c r="Z1852" t="s">
        <v>1136</v>
      </c>
      <c r="AA1852" t="s">
        <v>39</v>
      </c>
      <c r="AC1852" t="s">
        <v>1242</v>
      </c>
    </row>
    <row r="1853" spans="1:29" hidden="1" x14ac:dyDescent="0.25">
      <c r="A1853">
        <v>314</v>
      </c>
      <c r="B1853" t="s">
        <v>441</v>
      </c>
      <c r="C1853" t="s">
        <v>77</v>
      </c>
      <c r="D1853" t="s">
        <v>407</v>
      </c>
      <c r="E1853">
        <v>10</v>
      </c>
      <c r="F1853">
        <v>380</v>
      </c>
      <c r="G1853">
        <v>4577</v>
      </c>
      <c r="H1853">
        <v>2</v>
      </c>
      <c r="I1853">
        <v>135.07</v>
      </c>
      <c r="J1853">
        <v>270.14999999999998</v>
      </c>
      <c r="K1853" t="s">
        <v>360</v>
      </c>
      <c r="L1853" t="s">
        <v>1241</v>
      </c>
      <c r="Q1853">
        <v>3</v>
      </c>
      <c r="R1853" t="s">
        <v>1135</v>
      </c>
      <c r="T1853" t="s">
        <v>38</v>
      </c>
      <c r="V1853" t="s">
        <v>921</v>
      </c>
      <c r="Y1853" t="s">
        <v>81</v>
      </c>
      <c r="Z1853" t="s">
        <v>1136</v>
      </c>
      <c r="AA1853" t="s">
        <v>39</v>
      </c>
      <c r="AC1853" t="s">
        <v>1242</v>
      </c>
    </row>
    <row r="1854" spans="1:29" hidden="1" x14ac:dyDescent="0.25">
      <c r="A1854">
        <v>315</v>
      </c>
      <c r="B1854" t="s">
        <v>404</v>
      </c>
      <c r="C1854" t="s">
        <v>77</v>
      </c>
      <c r="D1854" t="s">
        <v>405</v>
      </c>
      <c r="E1854">
        <v>10</v>
      </c>
      <c r="F1854">
        <v>120</v>
      </c>
      <c r="G1854">
        <v>220</v>
      </c>
      <c r="H1854">
        <v>5</v>
      </c>
      <c r="I1854">
        <v>2.0099999999999998</v>
      </c>
      <c r="J1854">
        <v>10.06</v>
      </c>
      <c r="K1854" t="s">
        <v>360</v>
      </c>
      <c r="L1854" t="s">
        <v>1241</v>
      </c>
      <c r="N1854" t="s">
        <v>228</v>
      </c>
      <c r="Q1854">
        <v>3</v>
      </c>
      <c r="R1854" t="s">
        <v>1135</v>
      </c>
      <c r="T1854" t="s">
        <v>38</v>
      </c>
      <c r="V1854" t="s">
        <v>921</v>
      </c>
      <c r="W1854" t="s">
        <v>81</v>
      </c>
      <c r="Z1854" t="s">
        <v>1136</v>
      </c>
      <c r="AA1854" t="s">
        <v>39</v>
      </c>
      <c r="AC1854" t="s">
        <v>1242</v>
      </c>
    </row>
    <row r="1855" spans="1:29" hidden="1" x14ac:dyDescent="0.25">
      <c r="A1855">
        <v>316</v>
      </c>
      <c r="B1855" t="s">
        <v>442</v>
      </c>
      <c r="C1855" t="s">
        <v>77</v>
      </c>
      <c r="D1855" t="s">
        <v>440</v>
      </c>
      <c r="E1855">
        <v>10</v>
      </c>
      <c r="F1855">
        <v>350</v>
      </c>
      <c r="G1855">
        <v>4580</v>
      </c>
      <c r="H1855">
        <v>1</v>
      </c>
      <c r="I1855">
        <v>125.84</v>
      </c>
      <c r="J1855">
        <v>125.84</v>
      </c>
      <c r="K1855" t="s">
        <v>360</v>
      </c>
      <c r="L1855" t="s">
        <v>1241</v>
      </c>
      <c r="P1855" t="s">
        <v>81</v>
      </c>
      <c r="Q1855">
        <v>3</v>
      </c>
      <c r="R1855" t="s">
        <v>1135</v>
      </c>
      <c r="T1855" t="s">
        <v>38</v>
      </c>
      <c r="V1855" t="s">
        <v>921</v>
      </c>
      <c r="Y1855" t="s">
        <v>81</v>
      </c>
      <c r="Z1855" t="s">
        <v>1136</v>
      </c>
      <c r="AA1855" t="s">
        <v>39</v>
      </c>
      <c r="AC1855" t="s">
        <v>1242</v>
      </c>
    </row>
    <row r="1856" spans="1:29" hidden="1" x14ac:dyDescent="0.25">
      <c r="A1856">
        <v>317</v>
      </c>
      <c r="B1856" t="s">
        <v>416</v>
      </c>
      <c r="C1856" t="s">
        <v>77</v>
      </c>
      <c r="D1856" t="s">
        <v>414</v>
      </c>
      <c r="E1856">
        <v>10</v>
      </c>
      <c r="F1856">
        <v>100</v>
      </c>
      <c r="G1856">
        <v>100</v>
      </c>
      <c r="H1856">
        <v>1</v>
      </c>
      <c r="I1856">
        <v>0.39</v>
      </c>
      <c r="J1856">
        <v>0.39</v>
      </c>
      <c r="K1856" t="s">
        <v>360</v>
      </c>
      <c r="L1856" t="s">
        <v>1241</v>
      </c>
      <c r="N1856" t="s">
        <v>228</v>
      </c>
      <c r="Q1856">
        <v>3</v>
      </c>
      <c r="R1856" t="s">
        <v>1135</v>
      </c>
      <c r="T1856" t="s">
        <v>38</v>
      </c>
      <c r="V1856" t="s">
        <v>921</v>
      </c>
      <c r="X1856" t="s">
        <v>81</v>
      </c>
      <c r="Z1856" t="s">
        <v>1136</v>
      </c>
      <c r="AA1856" t="s">
        <v>39</v>
      </c>
      <c r="AC1856" t="s">
        <v>1242</v>
      </c>
    </row>
    <row r="1857" spans="1:29" hidden="1" x14ac:dyDescent="0.25">
      <c r="A1857">
        <v>318</v>
      </c>
      <c r="B1857" t="s">
        <v>421</v>
      </c>
      <c r="C1857" t="s">
        <v>77</v>
      </c>
      <c r="D1857" t="s">
        <v>422</v>
      </c>
      <c r="E1857">
        <v>10</v>
      </c>
      <c r="F1857">
        <v>230</v>
      </c>
      <c r="G1857">
        <v>3586</v>
      </c>
      <c r="H1857">
        <v>2</v>
      </c>
      <c r="I1857">
        <v>64.739999999999995</v>
      </c>
      <c r="J1857">
        <v>129.49</v>
      </c>
      <c r="K1857" t="s">
        <v>360</v>
      </c>
      <c r="L1857" t="s">
        <v>1241</v>
      </c>
      <c r="Q1857">
        <v>3</v>
      </c>
      <c r="R1857" t="s">
        <v>1135</v>
      </c>
      <c r="T1857" t="s">
        <v>38</v>
      </c>
      <c r="V1857" t="s">
        <v>921</v>
      </c>
      <c r="Y1857" t="s">
        <v>81</v>
      </c>
      <c r="Z1857" t="s">
        <v>1136</v>
      </c>
      <c r="AA1857" t="s">
        <v>39</v>
      </c>
      <c r="AC1857" t="s">
        <v>1242</v>
      </c>
    </row>
    <row r="1858" spans="1:29" hidden="1" x14ac:dyDescent="0.25">
      <c r="A1858">
        <v>319</v>
      </c>
      <c r="B1858" t="s">
        <v>429</v>
      </c>
      <c r="C1858" t="s">
        <v>77</v>
      </c>
      <c r="D1858" t="s">
        <v>402</v>
      </c>
      <c r="E1858">
        <v>10</v>
      </c>
      <c r="F1858">
        <v>80</v>
      </c>
      <c r="G1858">
        <v>120</v>
      </c>
      <c r="H1858">
        <v>1</v>
      </c>
      <c r="I1858">
        <v>0.72</v>
      </c>
      <c r="J1858">
        <v>0.72</v>
      </c>
      <c r="K1858" t="s">
        <v>360</v>
      </c>
      <c r="L1858" t="s">
        <v>1243</v>
      </c>
      <c r="N1858" t="s">
        <v>228</v>
      </c>
      <c r="Q1858">
        <v>3</v>
      </c>
      <c r="R1858" t="s">
        <v>1135</v>
      </c>
      <c r="T1858" t="s">
        <v>38</v>
      </c>
      <c r="V1858" t="s">
        <v>921</v>
      </c>
      <c r="W1858" t="s">
        <v>81</v>
      </c>
      <c r="Z1858" t="s">
        <v>1136</v>
      </c>
      <c r="AA1858" t="s">
        <v>39</v>
      </c>
      <c r="AC1858" t="s">
        <v>1244</v>
      </c>
    </row>
    <row r="1859" spans="1:29" hidden="1" x14ac:dyDescent="0.25">
      <c r="A1859">
        <v>320</v>
      </c>
      <c r="B1859" t="s">
        <v>445</v>
      </c>
      <c r="C1859" t="s">
        <v>77</v>
      </c>
      <c r="D1859" t="s">
        <v>435</v>
      </c>
      <c r="E1859">
        <v>10</v>
      </c>
      <c r="F1859">
        <v>148</v>
      </c>
      <c r="G1859">
        <v>324</v>
      </c>
      <c r="H1859">
        <v>26</v>
      </c>
      <c r="I1859">
        <v>3.7</v>
      </c>
      <c r="J1859">
        <v>96.24</v>
      </c>
      <c r="K1859" t="s">
        <v>360</v>
      </c>
      <c r="L1859" t="s">
        <v>1243</v>
      </c>
      <c r="Q1859">
        <v>3</v>
      </c>
      <c r="R1859" t="s">
        <v>1135</v>
      </c>
      <c r="T1859" t="s">
        <v>38</v>
      </c>
      <c r="V1859" t="s">
        <v>921</v>
      </c>
      <c r="W1859" t="s">
        <v>81</v>
      </c>
      <c r="Z1859" t="s">
        <v>1136</v>
      </c>
      <c r="AA1859" t="s">
        <v>39</v>
      </c>
      <c r="AC1859" t="s">
        <v>1244</v>
      </c>
    </row>
    <row r="1860" spans="1:29" hidden="1" x14ac:dyDescent="0.25">
      <c r="A1860">
        <v>321</v>
      </c>
      <c r="B1860" t="s">
        <v>446</v>
      </c>
      <c r="C1860" t="s">
        <v>77</v>
      </c>
      <c r="D1860" t="s">
        <v>387</v>
      </c>
      <c r="E1860">
        <v>10</v>
      </c>
      <c r="F1860">
        <v>148</v>
      </c>
      <c r="G1860">
        <v>441</v>
      </c>
      <c r="H1860">
        <v>8</v>
      </c>
      <c r="I1860">
        <v>5.0599999999999996</v>
      </c>
      <c r="J1860">
        <v>40.49</v>
      </c>
      <c r="K1860" t="s">
        <v>360</v>
      </c>
      <c r="L1860" t="s">
        <v>1243</v>
      </c>
      <c r="Q1860">
        <v>3</v>
      </c>
      <c r="R1860" t="s">
        <v>1135</v>
      </c>
      <c r="T1860" t="s">
        <v>38</v>
      </c>
      <c r="V1860" t="s">
        <v>921</v>
      </c>
      <c r="W1860" t="s">
        <v>81</v>
      </c>
      <c r="Z1860" t="s">
        <v>1136</v>
      </c>
      <c r="AA1860" t="s">
        <v>39</v>
      </c>
      <c r="AC1860" t="s">
        <v>1244</v>
      </c>
    </row>
    <row r="1861" spans="1:29" hidden="1" x14ac:dyDescent="0.25">
      <c r="A1861">
        <v>322</v>
      </c>
      <c r="B1861" t="s">
        <v>434</v>
      </c>
      <c r="C1861" t="s">
        <v>77</v>
      </c>
      <c r="D1861" t="s">
        <v>435</v>
      </c>
      <c r="E1861">
        <v>10</v>
      </c>
      <c r="F1861">
        <v>148</v>
      </c>
      <c r="G1861">
        <v>324</v>
      </c>
      <c r="H1861">
        <v>26</v>
      </c>
      <c r="I1861">
        <v>3.7</v>
      </c>
      <c r="J1861">
        <v>96.24</v>
      </c>
      <c r="K1861" t="s">
        <v>360</v>
      </c>
      <c r="L1861" t="s">
        <v>1243</v>
      </c>
      <c r="Q1861">
        <v>3</v>
      </c>
      <c r="R1861" t="s">
        <v>1135</v>
      </c>
      <c r="T1861" t="s">
        <v>38</v>
      </c>
      <c r="V1861" t="s">
        <v>921</v>
      </c>
      <c r="W1861" t="s">
        <v>81</v>
      </c>
      <c r="Z1861" t="s">
        <v>1136</v>
      </c>
      <c r="AA1861" t="s">
        <v>39</v>
      </c>
      <c r="AC1861" t="s">
        <v>1244</v>
      </c>
    </row>
    <row r="1862" spans="1:29" hidden="1" x14ac:dyDescent="0.25">
      <c r="A1862">
        <v>323</v>
      </c>
      <c r="B1862" t="s">
        <v>436</v>
      </c>
      <c r="C1862" t="s">
        <v>77</v>
      </c>
      <c r="D1862" t="s">
        <v>387</v>
      </c>
      <c r="E1862">
        <v>10</v>
      </c>
      <c r="F1862">
        <v>148</v>
      </c>
      <c r="G1862">
        <v>441</v>
      </c>
      <c r="H1862">
        <v>12</v>
      </c>
      <c r="I1862">
        <v>5.0599999999999996</v>
      </c>
      <c r="J1862">
        <v>60.73</v>
      </c>
      <c r="K1862" t="s">
        <v>360</v>
      </c>
      <c r="L1862" t="s">
        <v>1243</v>
      </c>
      <c r="Q1862">
        <v>3</v>
      </c>
      <c r="R1862" t="s">
        <v>1135</v>
      </c>
      <c r="T1862" t="s">
        <v>38</v>
      </c>
      <c r="V1862" t="s">
        <v>921</v>
      </c>
      <c r="W1862" t="s">
        <v>81</v>
      </c>
      <c r="Z1862" t="s">
        <v>1136</v>
      </c>
      <c r="AA1862" t="s">
        <v>39</v>
      </c>
      <c r="AC1862" t="s">
        <v>1244</v>
      </c>
    </row>
    <row r="1863" spans="1:29" hidden="1" x14ac:dyDescent="0.25">
      <c r="A1863">
        <v>324</v>
      </c>
      <c r="B1863" t="s">
        <v>438</v>
      </c>
      <c r="C1863" t="s">
        <v>77</v>
      </c>
      <c r="D1863" t="s">
        <v>405</v>
      </c>
      <c r="E1863">
        <v>10</v>
      </c>
      <c r="F1863">
        <v>120</v>
      </c>
      <c r="G1863">
        <v>220</v>
      </c>
      <c r="H1863">
        <v>2</v>
      </c>
      <c r="I1863">
        <v>2.02</v>
      </c>
      <c r="J1863">
        <v>4.03</v>
      </c>
      <c r="K1863" t="s">
        <v>360</v>
      </c>
      <c r="L1863" t="s">
        <v>1243</v>
      </c>
      <c r="N1863" t="s">
        <v>228</v>
      </c>
      <c r="Q1863">
        <v>3</v>
      </c>
      <c r="R1863" t="s">
        <v>1135</v>
      </c>
      <c r="T1863" t="s">
        <v>38</v>
      </c>
      <c r="V1863" t="s">
        <v>921</v>
      </c>
      <c r="W1863" t="s">
        <v>81</v>
      </c>
      <c r="Z1863" t="s">
        <v>1136</v>
      </c>
      <c r="AA1863" t="s">
        <v>39</v>
      </c>
      <c r="AC1863" t="s">
        <v>1244</v>
      </c>
    </row>
    <row r="1864" spans="1:29" hidden="1" x14ac:dyDescent="0.25">
      <c r="A1864">
        <v>325</v>
      </c>
      <c r="B1864" t="s">
        <v>447</v>
      </c>
      <c r="C1864" t="s">
        <v>77</v>
      </c>
      <c r="D1864" t="s">
        <v>435</v>
      </c>
      <c r="E1864">
        <v>10</v>
      </c>
      <c r="F1864">
        <v>148</v>
      </c>
      <c r="G1864">
        <v>324</v>
      </c>
      <c r="H1864">
        <v>2</v>
      </c>
      <c r="I1864">
        <v>3.7</v>
      </c>
      <c r="J1864">
        <v>7.4</v>
      </c>
      <c r="K1864" t="s">
        <v>360</v>
      </c>
      <c r="L1864" t="s">
        <v>1243</v>
      </c>
      <c r="Q1864">
        <v>3</v>
      </c>
      <c r="R1864" t="s">
        <v>1135</v>
      </c>
      <c r="T1864" t="s">
        <v>38</v>
      </c>
      <c r="V1864" t="s">
        <v>921</v>
      </c>
      <c r="W1864" t="s">
        <v>81</v>
      </c>
      <c r="Z1864" t="s">
        <v>1136</v>
      </c>
      <c r="AA1864" t="s">
        <v>39</v>
      </c>
      <c r="AC1864" t="s">
        <v>1244</v>
      </c>
    </row>
    <row r="1865" spans="1:29" hidden="1" x14ac:dyDescent="0.25">
      <c r="A1865">
        <v>326</v>
      </c>
      <c r="B1865" t="s">
        <v>448</v>
      </c>
      <c r="C1865" t="s">
        <v>77</v>
      </c>
      <c r="D1865" t="s">
        <v>407</v>
      </c>
      <c r="E1865">
        <v>10</v>
      </c>
      <c r="F1865">
        <v>380</v>
      </c>
      <c r="G1865">
        <v>4577</v>
      </c>
      <c r="H1865">
        <v>2</v>
      </c>
      <c r="I1865">
        <v>135.07</v>
      </c>
      <c r="J1865">
        <v>270.14999999999998</v>
      </c>
      <c r="K1865" t="s">
        <v>360</v>
      </c>
      <c r="L1865" t="s">
        <v>1243</v>
      </c>
      <c r="Q1865">
        <v>3</v>
      </c>
      <c r="R1865" t="s">
        <v>1135</v>
      </c>
      <c r="T1865" t="s">
        <v>38</v>
      </c>
      <c r="V1865" t="s">
        <v>921</v>
      </c>
      <c r="Y1865" t="s">
        <v>81</v>
      </c>
      <c r="Z1865" t="s">
        <v>1136</v>
      </c>
      <c r="AA1865" t="s">
        <v>39</v>
      </c>
      <c r="AC1865" t="s">
        <v>1244</v>
      </c>
    </row>
    <row r="1866" spans="1:29" hidden="1" x14ac:dyDescent="0.25">
      <c r="A1866">
        <v>327</v>
      </c>
      <c r="B1866" t="s">
        <v>439</v>
      </c>
      <c r="C1866" t="s">
        <v>77</v>
      </c>
      <c r="D1866" t="s">
        <v>440</v>
      </c>
      <c r="E1866">
        <v>10</v>
      </c>
      <c r="F1866">
        <v>350</v>
      </c>
      <c r="G1866">
        <v>4580</v>
      </c>
      <c r="H1866">
        <v>1</v>
      </c>
      <c r="I1866">
        <v>125.84</v>
      </c>
      <c r="J1866">
        <v>125.84</v>
      </c>
      <c r="K1866" t="s">
        <v>360</v>
      </c>
      <c r="L1866" t="s">
        <v>1243</v>
      </c>
      <c r="P1866" t="s">
        <v>81</v>
      </c>
      <c r="Q1866">
        <v>3</v>
      </c>
      <c r="R1866" t="s">
        <v>1135</v>
      </c>
      <c r="T1866" t="s">
        <v>38</v>
      </c>
      <c r="V1866" t="s">
        <v>921</v>
      </c>
      <c r="Y1866" t="s">
        <v>81</v>
      </c>
      <c r="Z1866" t="s">
        <v>1136</v>
      </c>
      <c r="AA1866" t="s">
        <v>39</v>
      </c>
      <c r="AC1866" t="s">
        <v>1244</v>
      </c>
    </row>
    <row r="1867" spans="1:29" hidden="1" x14ac:dyDescent="0.25">
      <c r="A1867">
        <v>328</v>
      </c>
      <c r="B1867" t="s">
        <v>449</v>
      </c>
      <c r="C1867" t="s">
        <v>77</v>
      </c>
      <c r="D1867" t="s">
        <v>450</v>
      </c>
      <c r="E1867">
        <v>10</v>
      </c>
      <c r="F1867">
        <v>350</v>
      </c>
      <c r="G1867">
        <v>4480</v>
      </c>
      <c r="H1867">
        <v>2</v>
      </c>
      <c r="I1867">
        <v>123.09</v>
      </c>
      <c r="J1867">
        <v>246.18</v>
      </c>
      <c r="K1867" t="s">
        <v>360</v>
      </c>
      <c r="L1867" t="s">
        <v>1243</v>
      </c>
      <c r="P1867" t="s">
        <v>81</v>
      </c>
      <c r="Q1867">
        <v>3</v>
      </c>
      <c r="R1867" t="s">
        <v>1135</v>
      </c>
      <c r="T1867" t="s">
        <v>38</v>
      </c>
      <c r="V1867" t="s">
        <v>921</v>
      </c>
      <c r="Y1867" t="s">
        <v>81</v>
      </c>
      <c r="Z1867" t="s">
        <v>1136</v>
      </c>
      <c r="AA1867" t="s">
        <v>39</v>
      </c>
      <c r="AC1867" t="s">
        <v>1244</v>
      </c>
    </row>
    <row r="1868" spans="1:29" hidden="1" x14ac:dyDescent="0.25">
      <c r="A1868">
        <v>329</v>
      </c>
      <c r="B1868" t="s">
        <v>441</v>
      </c>
      <c r="C1868" t="s">
        <v>77</v>
      </c>
      <c r="D1868" t="s">
        <v>407</v>
      </c>
      <c r="E1868">
        <v>10</v>
      </c>
      <c r="F1868">
        <v>380</v>
      </c>
      <c r="G1868">
        <v>4577</v>
      </c>
      <c r="H1868">
        <v>2</v>
      </c>
      <c r="I1868">
        <v>135.07</v>
      </c>
      <c r="J1868">
        <v>270.14999999999998</v>
      </c>
      <c r="K1868" t="s">
        <v>360</v>
      </c>
      <c r="L1868" t="s">
        <v>1243</v>
      </c>
      <c r="Q1868">
        <v>3</v>
      </c>
      <c r="R1868" t="s">
        <v>1135</v>
      </c>
      <c r="T1868" t="s">
        <v>38</v>
      </c>
      <c r="V1868" t="s">
        <v>921</v>
      </c>
      <c r="Y1868" t="s">
        <v>81</v>
      </c>
      <c r="Z1868" t="s">
        <v>1136</v>
      </c>
      <c r="AA1868" t="s">
        <v>39</v>
      </c>
      <c r="AC1868" t="s">
        <v>1244</v>
      </c>
    </row>
    <row r="1869" spans="1:29" hidden="1" x14ac:dyDescent="0.25">
      <c r="A1869">
        <v>330</v>
      </c>
      <c r="B1869" t="s">
        <v>451</v>
      </c>
      <c r="C1869" t="s">
        <v>77</v>
      </c>
      <c r="D1869" t="s">
        <v>452</v>
      </c>
      <c r="E1869">
        <v>10</v>
      </c>
      <c r="F1869">
        <v>127</v>
      </c>
      <c r="G1869">
        <v>220</v>
      </c>
      <c r="H1869">
        <v>1</v>
      </c>
      <c r="I1869">
        <v>2.13</v>
      </c>
      <c r="J1869">
        <v>2.13</v>
      </c>
      <c r="K1869" t="s">
        <v>360</v>
      </c>
      <c r="L1869" t="s">
        <v>1243</v>
      </c>
      <c r="N1869" t="s">
        <v>228</v>
      </c>
      <c r="Q1869">
        <v>3</v>
      </c>
      <c r="R1869" t="s">
        <v>1135</v>
      </c>
      <c r="T1869" t="s">
        <v>38</v>
      </c>
      <c r="V1869" t="s">
        <v>921</v>
      </c>
      <c r="W1869" t="s">
        <v>81</v>
      </c>
      <c r="Z1869" t="s">
        <v>1136</v>
      </c>
      <c r="AA1869" t="s">
        <v>39</v>
      </c>
      <c r="AC1869" t="s">
        <v>1244</v>
      </c>
    </row>
    <row r="1870" spans="1:29" hidden="1" x14ac:dyDescent="0.25">
      <c r="A1870">
        <v>331</v>
      </c>
      <c r="B1870" t="s">
        <v>453</v>
      </c>
      <c r="C1870" t="s">
        <v>77</v>
      </c>
      <c r="D1870" t="s">
        <v>450</v>
      </c>
      <c r="E1870">
        <v>10</v>
      </c>
      <c r="F1870">
        <v>350</v>
      </c>
      <c r="G1870">
        <v>4480</v>
      </c>
      <c r="H1870">
        <v>1</v>
      </c>
      <c r="I1870">
        <v>123.09</v>
      </c>
      <c r="J1870">
        <v>123.09</v>
      </c>
      <c r="K1870" t="s">
        <v>360</v>
      </c>
      <c r="L1870" t="s">
        <v>1243</v>
      </c>
      <c r="P1870" t="s">
        <v>81</v>
      </c>
      <c r="Q1870">
        <v>3</v>
      </c>
      <c r="R1870" t="s">
        <v>1135</v>
      </c>
      <c r="T1870" t="s">
        <v>38</v>
      </c>
      <c r="V1870" t="s">
        <v>921</v>
      </c>
      <c r="Y1870" t="s">
        <v>81</v>
      </c>
      <c r="Z1870" t="s">
        <v>1136</v>
      </c>
      <c r="AA1870" t="s">
        <v>39</v>
      </c>
      <c r="AC1870" t="s">
        <v>1244</v>
      </c>
    </row>
    <row r="1871" spans="1:29" hidden="1" x14ac:dyDescent="0.25">
      <c r="A1871">
        <v>332</v>
      </c>
      <c r="B1871" t="s">
        <v>426</v>
      </c>
      <c r="C1871" t="s">
        <v>77</v>
      </c>
      <c r="D1871" t="s">
        <v>412</v>
      </c>
      <c r="E1871">
        <v>10</v>
      </c>
      <c r="F1871">
        <v>532</v>
      </c>
      <c r="G1871">
        <v>4080</v>
      </c>
      <c r="H1871">
        <v>2</v>
      </c>
      <c r="I1871">
        <v>168.27</v>
      </c>
      <c r="J1871">
        <v>336.54</v>
      </c>
      <c r="K1871" t="s">
        <v>360</v>
      </c>
      <c r="L1871" t="s">
        <v>1245</v>
      </c>
      <c r="O1871" t="s">
        <v>81</v>
      </c>
      <c r="P1871" t="s">
        <v>81</v>
      </c>
      <c r="Q1871">
        <v>3</v>
      </c>
      <c r="R1871" t="s">
        <v>1135</v>
      </c>
      <c r="T1871" t="s">
        <v>38</v>
      </c>
      <c r="V1871" t="s">
        <v>921</v>
      </c>
      <c r="Z1871" t="s">
        <v>1136</v>
      </c>
      <c r="AA1871" t="s">
        <v>39</v>
      </c>
      <c r="AC1871" t="s">
        <v>1246</v>
      </c>
    </row>
    <row r="1872" spans="1:29" hidden="1" x14ac:dyDescent="0.25">
      <c r="A1872">
        <v>333</v>
      </c>
      <c r="B1872" t="s">
        <v>456</v>
      </c>
      <c r="C1872" t="s">
        <v>77</v>
      </c>
      <c r="D1872" t="s">
        <v>457</v>
      </c>
      <c r="E1872">
        <v>10</v>
      </c>
      <c r="F1872">
        <v>70</v>
      </c>
      <c r="G1872">
        <v>120</v>
      </c>
      <c r="H1872">
        <v>4</v>
      </c>
      <c r="I1872">
        <v>0.63</v>
      </c>
      <c r="J1872">
        <v>2.52</v>
      </c>
      <c r="K1872" t="s">
        <v>360</v>
      </c>
      <c r="L1872" t="s">
        <v>1245</v>
      </c>
      <c r="N1872" t="s">
        <v>228</v>
      </c>
      <c r="Q1872">
        <v>3</v>
      </c>
      <c r="R1872" t="s">
        <v>1135</v>
      </c>
      <c r="T1872" t="s">
        <v>38</v>
      </c>
      <c r="V1872" t="s">
        <v>921</v>
      </c>
      <c r="W1872" t="s">
        <v>81</v>
      </c>
      <c r="Z1872" t="s">
        <v>1136</v>
      </c>
      <c r="AA1872" t="s">
        <v>39</v>
      </c>
      <c r="AC1872" t="s">
        <v>1246</v>
      </c>
    </row>
    <row r="1873" spans="1:29" hidden="1" x14ac:dyDescent="0.25">
      <c r="A1873">
        <v>334</v>
      </c>
      <c r="B1873" t="s">
        <v>429</v>
      </c>
      <c r="C1873" t="s">
        <v>77</v>
      </c>
      <c r="D1873" t="s">
        <v>402</v>
      </c>
      <c r="E1873">
        <v>10</v>
      </c>
      <c r="F1873">
        <v>80</v>
      </c>
      <c r="G1873">
        <v>120</v>
      </c>
      <c r="H1873">
        <v>4</v>
      </c>
      <c r="I1873">
        <v>0.72</v>
      </c>
      <c r="J1873">
        <v>2.9</v>
      </c>
      <c r="K1873" t="s">
        <v>360</v>
      </c>
      <c r="L1873" t="s">
        <v>1245</v>
      </c>
      <c r="N1873" t="s">
        <v>228</v>
      </c>
      <c r="Q1873">
        <v>3</v>
      </c>
      <c r="R1873" t="s">
        <v>1135</v>
      </c>
      <c r="T1873" t="s">
        <v>38</v>
      </c>
      <c r="V1873" t="s">
        <v>921</v>
      </c>
      <c r="W1873" t="s">
        <v>81</v>
      </c>
      <c r="Z1873" t="s">
        <v>1136</v>
      </c>
      <c r="AA1873" t="s">
        <v>39</v>
      </c>
      <c r="AC1873" t="s">
        <v>1246</v>
      </c>
    </row>
    <row r="1874" spans="1:29" hidden="1" x14ac:dyDescent="0.25">
      <c r="A1874">
        <v>335</v>
      </c>
      <c r="B1874" t="s">
        <v>458</v>
      </c>
      <c r="C1874" t="s">
        <v>77</v>
      </c>
      <c r="D1874" t="s">
        <v>405</v>
      </c>
      <c r="E1874">
        <v>10</v>
      </c>
      <c r="F1874">
        <v>120</v>
      </c>
      <c r="G1874">
        <v>220</v>
      </c>
      <c r="H1874">
        <v>9</v>
      </c>
      <c r="I1874">
        <v>2.0099999999999998</v>
      </c>
      <c r="J1874">
        <v>18.11</v>
      </c>
      <c r="K1874" t="s">
        <v>360</v>
      </c>
      <c r="L1874" t="s">
        <v>1245</v>
      </c>
      <c r="N1874" t="s">
        <v>228</v>
      </c>
      <c r="Q1874">
        <v>3</v>
      </c>
      <c r="R1874" t="s">
        <v>1135</v>
      </c>
      <c r="T1874" t="s">
        <v>38</v>
      </c>
      <c r="V1874" t="s">
        <v>921</v>
      </c>
      <c r="W1874" t="s">
        <v>81</v>
      </c>
      <c r="Z1874" t="s">
        <v>1136</v>
      </c>
      <c r="AA1874" t="s">
        <v>39</v>
      </c>
      <c r="AC1874" t="s">
        <v>1246</v>
      </c>
    </row>
    <row r="1875" spans="1:29" hidden="1" x14ac:dyDescent="0.25">
      <c r="A1875">
        <v>336</v>
      </c>
      <c r="B1875" t="s">
        <v>459</v>
      </c>
      <c r="C1875" t="s">
        <v>77</v>
      </c>
      <c r="D1875" t="s">
        <v>402</v>
      </c>
      <c r="E1875">
        <v>10</v>
      </c>
      <c r="F1875">
        <v>80</v>
      </c>
      <c r="G1875">
        <v>120</v>
      </c>
      <c r="H1875">
        <v>1</v>
      </c>
      <c r="I1875">
        <v>0.72</v>
      </c>
      <c r="J1875">
        <v>0.72</v>
      </c>
      <c r="K1875" t="s">
        <v>360</v>
      </c>
      <c r="L1875" t="s">
        <v>1245</v>
      </c>
      <c r="N1875" t="s">
        <v>228</v>
      </c>
      <c r="Q1875">
        <v>3</v>
      </c>
      <c r="R1875" t="s">
        <v>1135</v>
      </c>
      <c r="T1875" t="s">
        <v>38</v>
      </c>
      <c r="V1875" t="s">
        <v>921</v>
      </c>
      <c r="W1875" t="s">
        <v>81</v>
      </c>
      <c r="Z1875" t="s">
        <v>1136</v>
      </c>
      <c r="AA1875" t="s">
        <v>39</v>
      </c>
      <c r="AC1875" t="s">
        <v>1246</v>
      </c>
    </row>
    <row r="1876" spans="1:29" hidden="1" x14ac:dyDescent="0.25">
      <c r="A1876">
        <v>337</v>
      </c>
      <c r="B1876" t="s">
        <v>446</v>
      </c>
      <c r="C1876" t="s">
        <v>77</v>
      </c>
      <c r="D1876" t="s">
        <v>387</v>
      </c>
      <c r="E1876">
        <v>10</v>
      </c>
      <c r="F1876">
        <v>148</v>
      </c>
      <c r="G1876">
        <v>441</v>
      </c>
      <c r="H1876">
        <v>4</v>
      </c>
      <c r="I1876">
        <v>5.0599999999999996</v>
      </c>
      <c r="J1876">
        <v>20.239999999999998</v>
      </c>
      <c r="K1876" t="s">
        <v>360</v>
      </c>
      <c r="L1876" t="s">
        <v>1245</v>
      </c>
      <c r="Q1876">
        <v>3</v>
      </c>
      <c r="R1876" t="s">
        <v>1135</v>
      </c>
      <c r="T1876" t="s">
        <v>38</v>
      </c>
      <c r="V1876" t="s">
        <v>921</v>
      </c>
      <c r="W1876" t="s">
        <v>81</v>
      </c>
      <c r="Z1876" t="s">
        <v>1136</v>
      </c>
      <c r="AA1876" t="s">
        <v>39</v>
      </c>
      <c r="AC1876" t="s">
        <v>1246</v>
      </c>
    </row>
    <row r="1877" spans="1:29" hidden="1" x14ac:dyDescent="0.25">
      <c r="A1877">
        <v>338</v>
      </c>
      <c r="B1877" t="s">
        <v>460</v>
      </c>
      <c r="C1877" t="s">
        <v>77</v>
      </c>
      <c r="D1877" t="s">
        <v>435</v>
      </c>
      <c r="E1877">
        <v>10</v>
      </c>
      <c r="F1877">
        <v>148</v>
      </c>
      <c r="G1877">
        <v>324</v>
      </c>
      <c r="H1877">
        <v>40</v>
      </c>
      <c r="I1877">
        <v>3.7</v>
      </c>
      <c r="J1877">
        <v>148.06</v>
      </c>
      <c r="K1877" t="s">
        <v>360</v>
      </c>
      <c r="L1877" t="s">
        <v>1245</v>
      </c>
      <c r="Q1877">
        <v>3</v>
      </c>
      <c r="R1877" t="s">
        <v>1135</v>
      </c>
      <c r="T1877" t="s">
        <v>38</v>
      </c>
      <c r="V1877" t="s">
        <v>921</v>
      </c>
      <c r="W1877" t="s">
        <v>81</v>
      </c>
      <c r="Z1877" t="s">
        <v>1136</v>
      </c>
      <c r="AA1877" t="s">
        <v>39</v>
      </c>
      <c r="AC1877" t="s">
        <v>1246</v>
      </c>
    </row>
    <row r="1878" spans="1:29" hidden="1" x14ac:dyDescent="0.25">
      <c r="A1878">
        <v>339</v>
      </c>
      <c r="B1878" t="s">
        <v>461</v>
      </c>
      <c r="C1878" t="s">
        <v>77</v>
      </c>
      <c r="D1878" t="s">
        <v>435</v>
      </c>
      <c r="E1878">
        <v>10</v>
      </c>
      <c r="F1878">
        <v>148</v>
      </c>
      <c r="G1878">
        <v>324</v>
      </c>
      <c r="H1878">
        <v>26</v>
      </c>
      <c r="I1878">
        <v>3.7</v>
      </c>
      <c r="J1878">
        <v>96.24</v>
      </c>
      <c r="K1878" t="s">
        <v>360</v>
      </c>
      <c r="L1878" t="s">
        <v>1245</v>
      </c>
      <c r="Q1878">
        <v>3</v>
      </c>
      <c r="R1878" t="s">
        <v>1135</v>
      </c>
      <c r="T1878" t="s">
        <v>38</v>
      </c>
      <c r="V1878" t="s">
        <v>921</v>
      </c>
      <c r="W1878" t="s">
        <v>81</v>
      </c>
      <c r="Z1878" t="s">
        <v>1136</v>
      </c>
      <c r="AA1878" t="s">
        <v>39</v>
      </c>
      <c r="AC1878" t="s">
        <v>1246</v>
      </c>
    </row>
    <row r="1879" spans="1:29" hidden="1" x14ac:dyDescent="0.25">
      <c r="A1879">
        <v>340</v>
      </c>
      <c r="B1879" t="s">
        <v>462</v>
      </c>
      <c r="C1879" t="s">
        <v>77</v>
      </c>
      <c r="D1879" t="s">
        <v>435</v>
      </c>
      <c r="E1879">
        <v>10</v>
      </c>
      <c r="F1879">
        <v>148</v>
      </c>
      <c r="G1879">
        <v>324</v>
      </c>
      <c r="H1879">
        <v>28</v>
      </c>
      <c r="I1879">
        <v>3.7</v>
      </c>
      <c r="J1879">
        <v>103.64</v>
      </c>
      <c r="K1879" t="s">
        <v>360</v>
      </c>
      <c r="L1879" t="s">
        <v>1245</v>
      </c>
      <c r="Q1879">
        <v>3</v>
      </c>
      <c r="R1879" t="s">
        <v>1135</v>
      </c>
      <c r="T1879" t="s">
        <v>38</v>
      </c>
      <c r="V1879" t="s">
        <v>921</v>
      </c>
      <c r="W1879" t="s">
        <v>81</v>
      </c>
      <c r="Z1879" t="s">
        <v>1136</v>
      </c>
      <c r="AA1879" t="s">
        <v>39</v>
      </c>
      <c r="AC1879" t="s">
        <v>1246</v>
      </c>
    </row>
    <row r="1880" spans="1:29" hidden="1" x14ac:dyDescent="0.25">
      <c r="A1880">
        <v>341</v>
      </c>
      <c r="B1880" t="s">
        <v>438</v>
      </c>
      <c r="C1880" t="s">
        <v>77</v>
      </c>
      <c r="D1880" t="s">
        <v>405</v>
      </c>
      <c r="E1880">
        <v>10</v>
      </c>
      <c r="F1880">
        <v>120</v>
      </c>
      <c r="G1880">
        <v>220</v>
      </c>
      <c r="H1880">
        <v>3</v>
      </c>
      <c r="I1880">
        <v>2.0099999999999998</v>
      </c>
      <c r="J1880">
        <v>6.04</v>
      </c>
      <c r="K1880" t="s">
        <v>360</v>
      </c>
      <c r="L1880" t="s">
        <v>1245</v>
      </c>
      <c r="N1880" t="s">
        <v>228</v>
      </c>
      <c r="Q1880">
        <v>3</v>
      </c>
      <c r="R1880" t="s">
        <v>1135</v>
      </c>
      <c r="T1880" t="s">
        <v>38</v>
      </c>
      <c r="V1880" t="s">
        <v>921</v>
      </c>
      <c r="W1880" t="s">
        <v>81</v>
      </c>
      <c r="Z1880" t="s">
        <v>1136</v>
      </c>
      <c r="AA1880" t="s">
        <v>39</v>
      </c>
      <c r="AC1880" t="s">
        <v>1246</v>
      </c>
    </row>
    <row r="1881" spans="1:29" hidden="1" x14ac:dyDescent="0.25">
      <c r="A1881">
        <v>342</v>
      </c>
      <c r="B1881" t="s">
        <v>447</v>
      </c>
      <c r="C1881" t="s">
        <v>77</v>
      </c>
      <c r="D1881" t="s">
        <v>435</v>
      </c>
      <c r="E1881">
        <v>10</v>
      </c>
      <c r="F1881">
        <v>148</v>
      </c>
      <c r="G1881">
        <v>324</v>
      </c>
      <c r="H1881">
        <v>40</v>
      </c>
      <c r="I1881">
        <v>3.7</v>
      </c>
      <c r="J1881">
        <v>148.06</v>
      </c>
      <c r="K1881" t="s">
        <v>360</v>
      </c>
      <c r="L1881" t="s">
        <v>1245</v>
      </c>
      <c r="Q1881">
        <v>3</v>
      </c>
      <c r="R1881" t="s">
        <v>1135</v>
      </c>
      <c r="T1881" t="s">
        <v>38</v>
      </c>
      <c r="V1881" t="s">
        <v>921</v>
      </c>
      <c r="W1881" t="s">
        <v>81</v>
      </c>
      <c r="Z1881" t="s">
        <v>1136</v>
      </c>
      <c r="AA1881" t="s">
        <v>39</v>
      </c>
      <c r="AC1881" t="s">
        <v>1246</v>
      </c>
    </row>
    <row r="1882" spans="1:29" hidden="1" x14ac:dyDescent="0.25">
      <c r="A1882">
        <v>343</v>
      </c>
      <c r="B1882" t="s">
        <v>463</v>
      </c>
      <c r="C1882" t="s">
        <v>77</v>
      </c>
      <c r="D1882" t="s">
        <v>440</v>
      </c>
      <c r="E1882">
        <v>10</v>
      </c>
      <c r="F1882">
        <v>350</v>
      </c>
      <c r="G1882">
        <v>4580</v>
      </c>
      <c r="H1882">
        <v>1</v>
      </c>
      <c r="I1882">
        <v>125.84</v>
      </c>
      <c r="J1882">
        <v>125.84</v>
      </c>
      <c r="K1882" t="s">
        <v>360</v>
      </c>
      <c r="L1882" t="s">
        <v>1245</v>
      </c>
      <c r="P1882" t="s">
        <v>81</v>
      </c>
      <c r="Q1882">
        <v>3</v>
      </c>
      <c r="R1882" t="s">
        <v>1135</v>
      </c>
      <c r="T1882" t="s">
        <v>38</v>
      </c>
      <c r="V1882" t="s">
        <v>921</v>
      </c>
      <c r="Y1882" t="s">
        <v>81</v>
      </c>
      <c r="Z1882" t="s">
        <v>1136</v>
      </c>
      <c r="AA1882" t="s">
        <v>39</v>
      </c>
      <c r="AC1882" t="s">
        <v>1246</v>
      </c>
    </row>
    <row r="1883" spans="1:29" hidden="1" x14ac:dyDescent="0.25">
      <c r="A1883">
        <v>344</v>
      </c>
      <c r="B1883" t="s">
        <v>464</v>
      </c>
      <c r="C1883" t="s">
        <v>77</v>
      </c>
      <c r="D1883" t="s">
        <v>450</v>
      </c>
      <c r="E1883">
        <v>10</v>
      </c>
      <c r="F1883">
        <v>350</v>
      </c>
      <c r="G1883">
        <v>4480</v>
      </c>
      <c r="H1883">
        <v>1</v>
      </c>
      <c r="I1883">
        <v>123.09</v>
      </c>
      <c r="J1883">
        <v>123.09</v>
      </c>
      <c r="K1883" t="s">
        <v>360</v>
      </c>
      <c r="L1883" t="s">
        <v>1245</v>
      </c>
      <c r="P1883" t="s">
        <v>81</v>
      </c>
      <c r="Q1883">
        <v>3</v>
      </c>
      <c r="R1883" t="s">
        <v>1135</v>
      </c>
      <c r="T1883" t="s">
        <v>38</v>
      </c>
      <c r="V1883" t="s">
        <v>921</v>
      </c>
      <c r="Y1883" t="s">
        <v>81</v>
      </c>
      <c r="Z1883" t="s">
        <v>1136</v>
      </c>
      <c r="AA1883" t="s">
        <v>39</v>
      </c>
      <c r="AC1883" t="s">
        <v>1246</v>
      </c>
    </row>
    <row r="1884" spans="1:29" hidden="1" x14ac:dyDescent="0.25">
      <c r="A1884">
        <v>345</v>
      </c>
      <c r="B1884" t="s">
        <v>419</v>
      </c>
      <c r="C1884" t="s">
        <v>77</v>
      </c>
      <c r="D1884" t="s">
        <v>420</v>
      </c>
      <c r="E1884">
        <v>10</v>
      </c>
      <c r="F1884">
        <v>200</v>
      </c>
      <c r="G1884">
        <v>3586</v>
      </c>
      <c r="H1884">
        <v>2</v>
      </c>
      <c r="I1884">
        <v>56.3</v>
      </c>
      <c r="J1884">
        <v>112.6</v>
      </c>
      <c r="K1884" t="s">
        <v>360</v>
      </c>
      <c r="L1884" t="s">
        <v>1245</v>
      </c>
      <c r="Q1884">
        <v>3</v>
      </c>
      <c r="R1884" t="s">
        <v>1135</v>
      </c>
      <c r="T1884" t="s">
        <v>38</v>
      </c>
      <c r="V1884" t="s">
        <v>921</v>
      </c>
      <c r="Y1884" t="s">
        <v>81</v>
      </c>
      <c r="Z1884" t="s">
        <v>1136</v>
      </c>
      <c r="AA1884" t="s">
        <v>39</v>
      </c>
      <c r="AC1884" t="s">
        <v>1246</v>
      </c>
    </row>
    <row r="1885" spans="1:29" hidden="1" x14ac:dyDescent="0.25">
      <c r="A1885">
        <v>346</v>
      </c>
      <c r="B1885" t="s">
        <v>421</v>
      </c>
      <c r="C1885" t="s">
        <v>77</v>
      </c>
      <c r="D1885" t="s">
        <v>422</v>
      </c>
      <c r="E1885">
        <v>10</v>
      </c>
      <c r="F1885">
        <v>230</v>
      </c>
      <c r="G1885">
        <v>3586</v>
      </c>
      <c r="H1885">
        <v>1</v>
      </c>
      <c r="I1885">
        <v>64.75</v>
      </c>
      <c r="J1885">
        <v>64.75</v>
      </c>
      <c r="K1885" t="s">
        <v>360</v>
      </c>
      <c r="L1885" t="s">
        <v>1245</v>
      </c>
      <c r="Q1885">
        <v>3</v>
      </c>
      <c r="R1885" t="s">
        <v>1135</v>
      </c>
      <c r="T1885" t="s">
        <v>38</v>
      </c>
      <c r="V1885" t="s">
        <v>921</v>
      </c>
      <c r="Y1885" t="s">
        <v>81</v>
      </c>
      <c r="Z1885" t="s">
        <v>1136</v>
      </c>
      <c r="AA1885" t="s">
        <v>39</v>
      </c>
      <c r="AC1885" t="s">
        <v>1246</v>
      </c>
    </row>
    <row r="1886" spans="1:29" hidden="1" x14ac:dyDescent="0.25">
      <c r="A1886">
        <v>347</v>
      </c>
      <c r="B1886" t="s">
        <v>456</v>
      </c>
      <c r="C1886" t="s">
        <v>77</v>
      </c>
      <c r="D1886" t="s">
        <v>457</v>
      </c>
      <c r="E1886">
        <v>10</v>
      </c>
      <c r="F1886">
        <v>70</v>
      </c>
      <c r="G1886">
        <v>120</v>
      </c>
      <c r="H1886">
        <v>2</v>
      </c>
      <c r="I1886">
        <v>0.63</v>
      </c>
      <c r="J1886">
        <v>1.26</v>
      </c>
      <c r="K1886" t="s">
        <v>1247</v>
      </c>
      <c r="L1886" t="s">
        <v>1248</v>
      </c>
      <c r="N1886" t="s">
        <v>228</v>
      </c>
      <c r="Q1886">
        <v>3</v>
      </c>
      <c r="R1886" t="s">
        <v>1135</v>
      </c>
      <c r="T1886" t="s">
        <v>38</v>
      </c>
      <c r="V1886" t="s">
        <v>921</v>
      </c>
      <c r="W1886" t="s">
        <v>81</v>
      </c>
      <c r="Z1886" t="s">
        <v>1136</v>
      </c>
      <c r="AA1886" t="s">
        <v>1249</v>
      </c>
      <c r="AC1886" t="s">
        <v>1250</v>
      </c>
    </row>
    <row r="1887" spans="1:29" hidden="1" x14ac:dyDescent="0.25">
      <c r="A1887">
        <v>348</v>
      </c>
      <c r="B1887" t="s">
        <v>459</v>
      </c>
      <c r="C1887" t="s">
        <v>77</v>
      </c>
      <c r="D1887" t="s">
        <v>402</v>
      </c>
      <c r="E1887">
        <v>10</v>
      </c>
      <c r="F1887">
        <v>80</v>
      </c>
      <c r="G1887">
        <v>120</v>
      </c>
      <c r="H1887">
        <v>3</v>
      </c>
      <c r="I1887">
        <v>0.72</v>
      </c>
      <c r="J1887">
        <v>2.17</v>
      </c>
      <c r="K1887" t="s">
        <v>1247</v>
      </c>
      <c r="L1887" t="s">
        <v>1248</v>
      </c>
      <c r="N1887" t="s">
        <v>228</v>
      </c>
      <c r="Q1887">
        <v>3</v>
      </c>
      <c r="R1887" t="s">
        <v>1135</v>
      </c>
      <c r="T1887" t="s">
        <v>38</v>
      </c>
      <c r="V1887" t="s">
        <v>921</v>
      </c>
      <c r="W1887" t="s">
        <v>81</v>
      </c>
      <c r="Z1887" t="s">
        <v>1136</v>
      </c>
      <c r="AA1887" t="s">
        <v>1249</v>
      </c>
      <c r="AC1887" t="s">
        <v>1250</v>
      </c>
    </row>
    <row r="1888" spans="1:29" hidden="1" x14ac:dyDescent="0.25">
      <c r="A1888">
        <v>349</v>
      </c>
      <c r="B1888" t="s">
        <v>467</v>
      </c>
      <c r="C1888" t="s">
        <v>77</v>
      </c>
      <c r="D1888" t="s">
        <v>405</v>
      </c>
      <c r="E1888">
        <v>10</v>
      </c>
      <c r="F1888">
        <v>120</v>
      </c>
      <c r="G1888">
        <v>220</v>
      </c>
      <c r="H1888">
        <v>7</v>
      </c>
      <c r="I1888">
        <v>2.0099999999999998</v>
      </c>
      <c r="J1888">
        <v>14.09</v>
      </c>
      <c r="K1888" t="s">
        <v>1247</v>
      </c>
      <c r="L1888" t="s">
        <v>1248</v>
      </c>
      <c r="N1888" t="s">
        <v>228</v>
      </c>
      <c r="Q1888">
        <v>3</v>
      </c>
      <c r="R1888" t="s">
        <v>1135</v>
      </c>
      <c r="T1888" t="s">
        <v>38</v>
      </c>
      <c r="V1888" t="s">
        <v>921</v>
      </c>
      <c r="W1888" t="s">
        <v>81</v>
      </c>
      <c r="Z1888" t="s">
        <v>1136</v>
      </c>
      <c r="AA1888" t="s">
        <v>1249</v>
      </c>
      <c r="AC1888" t="s">
        <v>1250</v>
      </c>
    </row>
    <row r="1889" spans="1:29" hidden="1" x14ac:dyDescent="0.25">
      <c r="A1889">
        <v>350</v>
      </c>
      <c r="B1889" t="s">
        <v>460</v>
      </c>
      <c r="C1889" t="s">
        <v>77</v>
      </c>
      <c r="D1889" t="s">
        <v>435</v>
      </c>
      <c r="E1889">
        <v>10</v>
      </c>
      <c r="F1889">
        <v>148</v>
      </c>
      <c r="G1889">
        <v>324</v>
      </c>
      <c r="H1889">
        <v>2</v>
      </c>
      <c r="I1889">
        <v>3.7</v>
      </c>
      <c r="J1889">
        <v>7.4</v>
      </c>
      <c r="K1889" t="s">
        <v>1247</v>
      </c>
      <c r="L1889" t="s">
        <v>1248</v>
      </c>
      <c r="Q1889">
        <v>3</v>
      </c>
      <c r="R1889" t="s">
        <v>1135</v>
      </c>
      <c r="T1889" t="s">
        <v>38</v>
      </c>
      <c r="V1889" t="s">
        <v>921</v>
      </c>
      <c r="W1889" t="s">
        <v>81</v>
      </c>
      <c r="Z1889" t="s">
        <v>1136</v>
      </c>
      <c r="AA1889" t="s">
        <v>1249</v>
      </c>
      <c r="AC1889" t="s">
        <v>1250</v>
      </c>
    </row>
    <row r="1890" spans="1:29" hidden="1" x14ac:dyDescent="0.25">
      <c r="A1890">
        <v>351</v>
      </c>
      <c r="B1890" t="s">
        <v>468</v>
      </c>
      <c r="C1890" t="s">
        <v>77</v>
      </c>
      <c r="D1890" t="s">
        <v>469</v>
      </c>
      <c r="E1890">
        <v>10</v>
      </c>
      <c r="F1890">
        <v>160</v>
      </c>
      <c r="G1890">
        <v>160</v>
      </c>
      <c r="H1890">
        <v>2</v>
      </c>
      <c r="I1890">
        <v>0.96</v>
      </c>
      <c r="J1890">
        <v>1.92</v>
      </c>
      <c r="K1890" t="s">
        <v>1247</v>
      </c>
      <c r="L1890" t="s">
        <v>1248</v>
      </c>
      <c r="N1890" t="s">
        <v>228</v>
      </c>
      <c r="Q1890">
        <v>3</v>
      </c>
      <c r="R1890" t="s">
        <v>1135</v>
      </c>
      <c r="T1890" t="s">
        <v>38</v>
      </c>
      <c r="V1890" t="s">
        <v>921</v>
      </c>
      <c r="X1890" t="s">
        <v>81</v>
      </c>
      <c r="Z1890" t="s">
        <v>1136</v>
      </c>
      <c r="AA1890" t="s">
        <v>1249</v>
      </c>
      <c r="AC1890" t="s">
        <v>1250</v>
      </c>
    </row>
    <row r="1891" spans="1:29" hidden="1" x14ac:dyDescent="0.25">
      <c r="A1891">
        <v>352</v>
      </c>
      <c r="B1891" t="s">
        <v>470</v>
      </c>
      <c r="C1891" t="s">
        <v>77</v>
      </c>
      <c r="D1891" t="s">
        <v>469</v>
      </c>
      <c r="E1891">
        <v>10</v>
      </c>
      <c r="F1891">
        <v>160</v>
      </c>
      <c r="G1891">
        <v>160</v>
      </c>
      <c r="H1891">
        <v>4</v>
      </c>
      <c r="I1891">
        <v>0.96</v>
      </c>
      <c r="J1891">
        <v>3.85</v>
      </c>
      <c r="K1891" t="s">
        <v>1247</v>
      </c>
      <c r="L1891" t="s">
        <v>1248</v>
      </c>
      <c r="N1891" t="s">
        <v>228</v>
      </c>
      <c r="Q1891">
        <v>3</v>
      </c>
      <c r="R1891" t="s">
        <v>1135</v>
      </c>
      <c r="T1891" t="s">
        <v>38</v>
      </c>
      <c r="V1891" t="s">
        <v>921</v>
      </c>
      <c r="X1891" t="s">
        <v>81</v>
      </c>
      <c r="Z1891" t="s">
        <v>1136</v>
      </c>
      <c r="AA1891" t="s">
        <v>1249</v>
      </c>
      <c r="AC1891" t="s">
        <v>1250</v>
      </c>
    </row>
    <row r="1892" spans="1:29" hidden="1" x14ac:dyDescent="0.25">
      <c r="A1892">
        <v>353</v>
      </c>
      <c r="B1892" t="s">
        <v>471</v>
      </c>
      <c r="C1892" t="s">
        <v>77</v>
      </c>
      <c r="D1892" t="s">
        <v>469</v>
      </c>
      <c r="E1892">
        <v>10</v>
      </c>
      <c r="F1892">
        <v>160</v>
      </c>
      <c r="G1892">
        <v>160</v>
      </c>
      <c r="H1892">
        <v>2</v>
      </c>
      <c r="I1892">
        <v>0.96</v>
      </c>
      <c r="J1892">
        <v>1.92</v>
      </c>
      <c r="K1892" t="s">
        <v>1247</v>
      </c>
      <c r="L1892" t="s">
        <v>1248</v>
      </c>
      <c r="N1892" t="s">
        <v>228</v>
      </c>
      <c r="Q1892">
        <v>3</v>
      </c>
      <c r="R1892" t="s">
        <v>1135</v>
      </c>
      <c r="T1892" t="s">
        <v>38</v>
      </c>
      <c r="V1892" t="s">
        <v>921</v>
      </c>
      <c r="X1892" t="s">
        <v>81</v>
      </c>
      <c r="Z1892" t="s">
        <v>1136</v>
      </c>
      <c r="AA1892" t="s">
        <v>1249</v>
      </c>
      <c r="AC1892" t="s">
        <v>1250</v>
      </c>
    </row>
    <row r="1893" spans="1:29" hidden="1" x14ac:dyDescent="0.25">
      <c r="A1893">
        <v>354</v>
      </c>
      <c r="B1893" t="s">
        <v>472</v>
      </c>
      <c r="C1893" t="s">
        <v>77</v>
      </c>
      <c r="D1893" t="s">
        <v>469</v>
      </c>
      <c r="E1893">
        <v>10</v>
      </c>
      <c r="F1893">
        <v>160</v>
      </c>
      <c r="G1893">
        <v>160</v>
      </c>
      <c r="H1893">
        <v>4</v>
      </c>
      <c r="I1893">
        <v>0.96</v>
      </c>
      <c r="J1893">
        <v>3.85</v>
      </c>
      <c r="K1893" t="s">
        <v>1247</v>
      </c>
      <c r="L1893" t="s">
        <v>1248</v>
      </c>
      <c r="N1893" t="s">
        <v>228</v>
      </c>
      <c r="Q1893">
        <v>3</v>
      </c>
      <c r="R1893" t="s">
        <v>1135</v>
      </c>
      <c r="T1893" t="s">
        <v>38</v>
      </c>
      <c r="V1893" t="s">
        <v>921</v>
      </c>
      <c r="X1893" t="s">
        <v>81</v>
      </c>
      <c r="Z1893" t="s">
        <v>1136</v>
      </c>
      <c r="AA1893" t="s">
        <v>1249</v>
      </c>
      <c r="AC1893" t="s">
        <v>1250</v>
      </c>
    </row>
    <row r="1894" spans="1:29" hidden="1" x14ac:dyDescent="0.25">
      <c r="A1894">
        <v>355</v>
      </c>
      <c r="B1894" t="s">
        <v>1251</v>
      </c>
      <c r="C1894" t="s">
        <v>77</v>
      </c>
      <c r="D1894" t="s">
        <v>1252</v>
      </c>
      <c r="E1894">
        <v>10</v>
      </c>
      <c r="F1894">
        <v>300</v>
      </c>
      <c r="G1894">
        <v>450</v>
      </c>
      <c r="H1894">
        <v>1</v>
      </c>
      <c r="I1894">
        <v>10.6</v>
      </c>
      <c r="J1894">
        <v>10.6</v>
      </c>
      <c r="K1894" t="s">
        <v>1247</v>
      </c>
      <c r="L1894" t="s">
        <v>1248</v>
      </c>
      <c r="Q1894">
        <v>3</v>
      </c>
      <c r="R1894" t="s">
        <v>1135</v>
      </c>
      <c r="T1894" t="s">
        <v>38</v>
      </c>
      <c r="V1894" t="s">
        <v>921</v>
      </c>
      <c r="Z1894" t="s">
        <v>1136</v>
      </c>
      <c r="AA1894" t="s">
        <v>1249</v>
      </c>
      <c r="AC1894" t="s">
        <v>1250</v>
      </c>
    </row>
    <row r="1895" spans="1:29" hidden="1" x14ac:dyDescent="0.25">
      <c r="A1895">
        <v>356</v>
      </c>
      <c r="B1895" t="s">
        <v>473</v>
      </c>
      <c r="C1895" t="s">
        <v>77</v>
      </c>
      <c r="D1895" t="s">
        <v>474</v>
      </c>
      <c r="E1895">
        <v>12</v>
      </c>
      <c r="F1895">
        <v>220</v>
      </c>
      <c r="G1895">
        <v>12000</v>
      </c>
      <c r="H1895">
        <v>2</v>
      </c>
      <c r="I1895">
        <v>248.69</v>
      </c>
      <c r="J1895">
        <v>497.38</v>
      </c>
      <c r="K1895" t="s">
        <v>475</v>
      </c>
      <c r="L1895" t="s">
        <v>1253</v>
      </c>
      <c r="O1895" t="s">
        <v>81</v>
      </c>
      <c r="Q1895">
        <v>3</v>
      </c>
      <c r="R1895" t="s">
        <v>1135</v>
      </c>
      <c r="T1895" t="s">
        <v>38</v>
      </c>
      <c r="V1895" t="s">
        <v>921</v>
      </c>
      <c r="Y1895" t="s">
        <v>81</v>
      </c>
      <c r="Z1895" t="s">
        <v>1136</v>
      </c>
      <c r="AA1895" t="s">
        <v>39</v>
      </c>
      <c r="AC1895" t="s">
        <v>1254</v>
      </c>
    </row>
    <row r="1896" spans="1:29" hidden="1" x14ac:dyDescent="0.25">
      <c r="A1896">
        <v>357</v>
      </c>
      <c r="B1896" t="s">
        <v>478</v>
      </c>
      <c r="C1896" t="s">
        <v>77</v>
      </c>
      <c r="D1896" t="s">
        <v>474</v>
      </c>
      <c r="E1896">
        <v>12</v>
      </c>
      <c r="F1896">
        <v>220</v>
      </c>
      <c r="G1896">
        <v>12000</v>
      </c>
      <c r="H1896">
        <v>2</v>
      </c>
      <c r="I1896">
        <v>248.69</v>
      </c>
      <c r="J1896">
        <v>497.38</v>
      </c>
      <c r="K1896" t="s">
        <v>475</v>
      </c>
      <c r="L1896" t="s">
        <v>1253</v>
      </c>
      <c r="O1896" t="s">
        <v>81</v>
      </c>
      <c r="Q1896">
        <v>3</v>
      </c>
      <c r="R1896" t="s">
        <v>1135</v>
      </c>
      <c r="T1896" t="s">
        <v>38</v>
      </c>
      <c r="V1896" t="s">
        <v>921</v>
      </c>
      <c r="Y1896" t="s">
        <v>81</v>
      </c>
      <c r="Z1896" t="s">
        <v>1136</v>
      </c>
      <c r="AA1896" t="s">
        <v>39</v>
      </c>
      <c r="AC1896" t="s">
        <v>1254</v>
      </c>
    </row>
    <row r="1897" spans="1:29" hidden="1" x14ac:dyDescent="0.25">
      <c r="A1897">
        <v>358</v>
      </c>
      <c r="B1897" t="s">
        <v>479</v>
      </c>
      <c r="C1897" t="s">
        <v>77</v>
      </c>
      <c r="D1897" t="s">
        <v>474</v>
      </c>
      <c r="E1897">
        <v>12</v>
      </c>
      <c r="F1897">
        <v>220</v>
      </c>
      <c r="G1897">
        <v>12000</v>
      </c>
      <c r="H1897">
        <v>2</v>
      </c>
      <c r="I1897">
        <v>248.69</v>
      </c>
      <c r="J1897">
        <v>497.38</v>
      </c>
      <c r="K1897" t="s">
        <v>475</v>
      </c>
      <c r="L1897" t="s">
        <v>1253</v>
      </c>
      <c r="O1897" t="s">
        <v>81</v>
      </c>
      <c r="Q1897">
        <v>3</v>
      </c>
      <c r="R1897" t="s">
        <v>1135</v>
      </c>
      <c r="T1897" t="s">
        <v>38</v>
      </c>
      <c r="V1897" t="s">
        <v>921</v>
      </c>
      <c r="Y1897" t="s">
        <v>81</v>
      </c>
      <c r="Z1897" t="s">
        <v>1136</v>
      </c>
      <c r="AA1897" t="s">
        <v>39</v>
      </c>
      <c r="AC1897" t="s">
        <v>1254</v>
      </c>
    </row>
    <row r="1898" spans="1:29" hidden="1" x14ac:dyDescent="0.25">
      <c r="A1898">
        <v>359</v>
      </c>
      <c r="B1898" t="s">
        <v>480</v>
      </c>
      <c r="C1898" t="s">
        <v>77</v>
      </c>
      <c r="D1898" t="s">
        <v>481</v>
      </c>
      <c r="E1898">
        <v>12</v>
      </c>
      <c r="F1898">
        <v>220</v>
      </c>
      <c r="G1898">
        <v>11989</v>
      </c>
      <c r="H1898">
        <v>2</v>
      </c>
      <c r="I1898">
        <v>248.46</v>
      </c>
      <c r="J1898">
        <v>496.92</v>
      </c>
      <c r="K1898" t="s">
        <v>475</v>
      </c>
      <c r="L1898" t="s">
        <v>1255</v>
      </c>
      <c r="O1898" t="s">
        <v>81</v>
      </c>
      <c r="Q1898">
        <v>3</v>
      </c>
      <c r="R1898" t="s">
        <v>1135</v>
      </c>
      <c r="T1898" t="s">
        <v>38</v>
      </c>
      <c r="V1898" t="s">
        <v>921</v>
      </c>
      <c r="Y1898" t="s">
        <v>81</v>
      </c>
      <c r="Z1898" t="s">
        <v>1136</v>
      </c>
      <c r="AA1898" t="s">
        <v>39</v>
      </c>
      <c r="AC1898" t="s">
        <v>1256</v>
      </c>
    </row>
    <row r="1899" spans="1:29" hidden="1" x14ac:dyDescent="0.25">
      <c r="A1899">
        <v>360</v>
      </c>
      <c r="B1899" t="s">
        <v>484</v>
      </c>
      <c r="C1899" t="s">
        <v>77</v>
      </c>
      <c r="D1899" t="s">
        <v>474</v>
      </c>
      <c r="E1899">
        <v>12</v>
      </c>
      <c r="F1899">
        <v>220</v>
      </c>
      <c r="G1899">
        <v>12000</v>
      </c>
      <c r="H1899">
        <v>2</v>
      </c>
      <c r="I1899">
        <v>248.7</v>
      </c>
      <c r="J1899">
        <v>497.39</v>
      </c>
      <c r="K1899" t="s">
        <v>475</v>
      </c>
      <c r="L1899" t="s">
        <v>1255</v>
      </c>
      <c r="O1899" t="s">
        <v>81</v>
      </c>
      <c r="Q1899">
        <v>3</v>
      </c>
      <c r="R1899" t="s">
        <v>1135</v>
      </c>
      <c r="T1899" t="s">
        <v>38</v>
      </c>
      <c r="V1899" t="s">
        <v>921</v>
      </c>
      <c r="Y1899" t="s">
        <v>81</v>
      </c>
      <c r="Z1899" t="s">
        <v>1136</v>
      </c>
      <c r="AA1899" t="s">
        <v>39</v>
      </c>
      <c r="AC1899" t="s">
        <v>1256</v>
      </c>
    </row>
    <row r="1900" spans="1:29" hidden="1" x14ac:dyDescent="0.25">
      <c r="A1900">
        <v>361</v>
      </c>
      <c r="B1900" t="s">
        <v>485</v>
      </c>
      <c r="C1900" t="s">
        <v>77</v>
      </c>
      <c r="D1900" t="s">
        <v>481</v>
      </c>
      <c r="E1900">
        <v>12</v>
      </c>
      <c r="F1900">
        <v>220</v>
      </c>
      <c r="G1900">
        <v>11989</v>
      </c>
      <c r="H1900">
        <v>2</v>
      </c>
      <c r="I1900">
        <v>248.46</v>
      </c>
      <c r="J1900">
        <v>496.92</v>
      </c>
      <c r="K1900" t="s">
        <v>475</v>
      </c>
      <c r="L1900" t="s">
        <v>1255</v>
      </c>
      <c r="O1900" t="s">
        <v>81</v>
      </c>
      <c r="Q1900">
        <v>3</v>
      </c>
      <c r="R1900" t="s">
        <v>1135</v>
      </c>
      <c r="T1900" t="s">
        <v>38</v>
      </c>
      <c r="V1900" t="s">
        <v>921</v>
      </c>
      <c r="Y1900" t="s">
        <v>81</v>
      </c>
      <c r="Z1900" t="s">
        <v>1136</v>
      </c>
      <c r="AA1900" t="s">
        <v>39</v>
      </c>
      <c r="AC1900" t="s">
        <v>1256</v>
      </c>
    </row>
    <row r="1901" spans="1:29" hidden="1" x14ac:dyDescent="0.25">
      <c r="A1901">
        <v>362</v>
      </c>
      <c r="B1901" t="s">
        <v>486</v>
      </c>
      <c r="C1901" t="s">
        <v>77</v>
      </c>
      <c r="D1901" t="s">
        <v>487</v>
      </c>
      <c r="E1901">
        <v>12</v>
      </c>
      <c r="F1901">
        <v>220</v>
      </c>
      <c r="G1901">
        <v>7562</v>
      </c>
      <c r="H1901">
        <v>2</v>
      </c>
      <c r="I1901">
        <v>156.72</v>
      </c>
      <c r="J1901">
        <v>313.44</v>
      </c>
      <c r="K1901" t="s">
        <v>475</v>
      </c>
      <c r="L1901" t="s">
        <v>1257</v>
      </c>
      <c r="O1901" t="s">
        <v>81</v>
      </c>
      <c r="Q1901">
        <v>3</v>
      </c>
      <c r="R1901" t="s">
        <v>1135</v>
      </c>
      <c r="T1901" t="s">
        <v>38</v>
      </c>
      <c r="V1901" t="s">
        <v>921</v>
      </c>
      <c r="Y1901" t="s">
        <v>81</v>
      </c>
      <c r="Z1901" t="s">
        <v>1136</v>
      </c>
      <c r="AA1901" t="s">
        <v>39</v>
      </c>
      <c r="AC1901" t="s">
        <v>1258</v>
      </c>
    </row>
    <row r="1902" spans="1:29" hidden="1" x14ac:dyDescent="0.25">
      <c r="A1902">
        <v>363</v>
      </c>
      <c r="B1902" t="s">
        <v>490</v>
      </c>
      <c r="C1902" t="s">
        <v>77</v>
      </c>
      <c r="D1902" t="s">
        <v>491</v>
      </c>
      <c r="E1902">
        <v>12</v>
      </c>
      <c r="F1902">
        <v>220</v>
      </c>
      <c r="G1902">
        <v>7565</v>
      </c>
      <c r="H1902">
        <v>2</v>
      </c>
      <c r="I1902">
        <v>156.78</v>
      </c>
      <c r="J1902">
        <v>313.56</v>
      </c>
      <c r="K1902" t="s">
        <v>475</v>
      </c>
      <c r="L1902" t="s">
        <v>1257</v>
      </c>
      <c r="O1902" t="s">
        <v>81</v>
      </c>
      <c r="Q1902">
        <v>3</v>
      </c>
      <c r="R1902" t="s">
        <v>1135</v>
      </c>
      <c r="T1902" t="s">
        <v>38</v>
      </c>
      <c r="V1902" t="s">
        <v>921</v>
      </c>
      <c r="Y1902" t="s">
        <v>81</v>
      </c>
      <c r="Z1902" t="s">
        <v>1136</v>
      </c>
      <c r="AA1902" t="s">
        <v>39</v>
      </c>
      <c r="AC1902" t="s">
        <v>1258</v>
      </c>
    </row>
    <row r="1903" spans="1:29" hidden="1" x14ac:dyDescent="0.25">
      <c r="A1903">
        <v>364</v>
      </c>
      <c r="B1903" t="s">
        <v>492</v>
      </c>
      <c r="C1903" t="s">
        <v>77</v>
      </c>
      <c r="D1903" t="s">
        <v>493</v>
      </c>
      <c r="E1903">
        <v>12</v>
      </c>
      <c r="F1903">
        <v>220</v>
      </c>
      <c r="G1903">
        <v>7561</v>
      </c>
      <c r="H1903">
        <v>2</v>
      </c>
      <c r="I1903">
        <v>156.69999999999999</v>
      </c>
      <c r="J1903">
        <v>313.39</v>
      </c>
      <c r="K1903" t="s">
        <v>475</v>
      </c>
      <c r="L1903" t="s">
        <v>1257</v>
      </c>
      <c r="O1903" t="s">
        <v>81</v>
      </c>
      <c r="Q1903">
        <v>3</v>
      </c>
      <c r="R1903" t="s">
        <v>1135</v>
      </c>
      <c r="T1903" t="s">
        <v>38</v>
      </c>
      <c r="V1903" t="s">
        <v>921</v>
      </c>
      <c r="Y1903" t="s">
        <v>81</v>
      </c>
      <c r="Z1903" t="s">
        <v>1136</v>
      </c>
      <c r="AA1903" t="s">
        <v>39</v>
      </c>
      <c r="AC1903" t="s">
        <v>1258</v>
      </c>
    </row>
    <row r="1904" spans="1:29" hidden="1" x14ac:dyDescent="0.25">
      <c r="A1904">
        <v>365</v>
      </c>
      <c r="B1904" t="s">
        <v>494</v>
      </c>
      <c r="C1904" t="s">
        <v>77</v>
      </c>
      <c r="D1904" t="s">
        <v>495</v>
      </c>
      <c r="E1904">
        <v>12</v>
      </c>
      <c r="F1904">
        <v>220</v>
      </c>
      <c r="G1904">
        <v>11993</v>
      </c>
      <c r="H1904">
        <v>2</v>
      </c>
      <c r="I1904">
        <v>248.54</v>
      </c>
      <c r="J1904">
        <v>497.09</v>
      </c>
      <c r="K1904" t="s">
        <v>475</v>
      </c>
      <c r="L1904" t="s">
        <v>1259</v>
      </c>
      <c r="O1904" t="s">
        <v>81</v>
      </c>
      <c r="Q1904">
        <v>3</v>
      </c>
      <c r="R1904" t="s">
        <v>1135</v>
      </c>
      <c r="T1904" t="s">
        <v>38</v>
      </c>
      <c r="V1904" t="s">
        <v>921</v>
      </c>
      <c r="Y1904" t="s">
        <v>81</v>
      </c>
      <c r="Z1904" t="s">
        <v>1136</v>
      </c>
      <c r="AA1904" t="s">
        <v>39</v>
      </c>
      <c r="AC1904" t="s">
        <v>1260</v>
      </c>
    </row>
    <row r="1905" spans="1:29" hidden="1" x14ac:dyDescent="0.25">
      <c r="A1905">
        <v>366</v>
      </c>
      <c r="B1905" t="s">
        <v>498</v>
      </c>
      <c r="C1905" t="s">
        <v>77</v>
      </c>
      <c r="D1905" t="s">
        <v>499</v>
      </c>
      <c r="E1905">
        <v>12</v>
      </c>
      <c r="F1905">
        <v>220</v>
      </c>
      <c r="G1905">
        <v>11991</v>
      </c>
      <c r="H1905">
        <v>2</v>
      </c>
      <c r="I1905">
        <v>248.5</v>
      </c>
      <c r="J1905">
        <v>497</v>
      </c>
      <c r="K1905" t="s">
        <v>475</v>
      </c>
      <c r="L1905" t="s">
        <v>1259</v>
      </c>
      <c r="O1905" t="s">
        <v>81</v>
      </c>
      <c r="Q1905">
        <v>3</v>
      </c>
      <c r="R1905" t="s">
        <v>1135</v>
      </c>
      <c r="T1905" t="s">
        <v>38</v>
      </c>
      <c r="V1905" t="s">
        <v>921</v>
      </c>
      <c r="Y1905" t="s">
        <v>81</v>
      </c>
      <c r="Z1905" t="s">
        <v>1136</v>
      </c>
      <c r="AA1905" t="s">
        <v>39</v>
      </c>
      <c r="AC1905" t="s">
        <v>1260</v>
      </c>
    </row>
    <row r="1906" spans="1:29" hidden="1" x14ac:dyDescent="0.25">
      <c r="A1906">
        <v>367</v>
      </c>
      <c r="B1906" t="s">
        <v>500</v>
      </c>
      <c r="C1906" t="s">
        <v>77</v>
      </c>
      <c r="D1906" t="s">
        <v>495</v>
      </c>
      <c r="E1906">
        <v>12</v>
      </c>
      <c r="F1906">
        <v>220</v>
      </c>
      <c r="G1906">
        <v>11993</v>
      </c>
      <c r="H1906">
        <v>2</v>
      </c>
      <c r="I1906">
        <v>248.54</v>
      </c>
      <c r="J1906">
        <v>497.09</v>
      </c>
      <c r="K1906" t="s">
        <v>475</v>
      </c>
      <c r="L1906" t="s">
        <v>1259</v>
      </c>
      <c r="O1906" t="s">
        <v>81</v>
      </c>
      <c r="Q1906">
        <v>3</v>
      </c>
      <c r="R1906" t="s">
        <v>1135</v>
      </c>
      <c r="T1906" t="s">
        <v>38</v>
      </c>
      <c r="V1906" t="s">
        <v>921</v>
      </c>
      <c r="Y1906" t="s">
        <v>81</v>
      </c>
      <c r="Z1906" t="s">
        <v>1136</v>
      </c>
      <c r="AA1906" t="s">
        <v>39</v>
      </c>
      <c r="AC1906" t="s">
        <v>1260</v>
      </c>
    </row>
    <row r="1907" spans="1:29" hidden="1" x14ac:dyDescent="0.25">
      <c r="A1907">
        <v>368</v>
      </c>
      <c r="B1907" t="s">
        <v>501</v>
      </c>
      <c r="C1907" t="s">
        <v>77</v>
      </c>
      <c r="D1907" t="s">
        <v>499</v>
      </c>
      <c r="E1907">
        <v>12</v>
      </c>
      <c r="F1907">
        <v>220</v>
      </c>
      <c r="G1907">
        <v>11991</v>
      </c>
      <c r="H1907">
        <v>2</v>
      </c>
      <c r="I1907">
        <v>248.5</v>
      </c>
      <c r="J1907">
        <v>497</v>
      </c>
      <c r="K1907" t="s">
        <v>475</v>
      </c>
      <c r="L1907" t="s">
        <v>1261</v>
      </c>
      <c r="O1907" t="s">
        <v>81</v>
      </c>
      <c r="Q1907">
        <v>3</v>
      </c>
      <c r="R1907" t="s">
        <v>1135</v>
      </c>
      <c r="T1907" t="s">
        <v>38</v>
      </c>
      <c r="V1907" t="s">
        <v>921</v>
      </c>
      <c r="Y1907" t="s">
        <v>81</v>
      </c>
      <c r="Z1907" t="s">
        <v>1136</v>
      </c>
      <c r="AA1907" t="s">
        <v>39</v>
      </c>
      <c r="AC1907" t="s">
        <v>1262</v>
      </c>
    </row>
    <row r="1908" spans="1:29" hidden="1" x14ac:dyDescent="0.25">
      <c r="A1908">
        <v>369</v>
      </c>
      <c r="B1908" t="s">
        <v>504</v>
      </c>
      <c r="C1908" t="s">
        <v>77</v>
      </c>
      <c r="D1908" t="s">
        <v>499</v>
      </c>
      <c r="E1908">
        <v>12</v>
      </c>
      <c r="F1908">
        <v>220</v>
      </c>
      <c r="G1908">
        <v>11991</v>
      </c>
      <c r="H1908">
        <v>2</v>
      </c>
      <c r="I1908">
        <v>248.5</v>
      </c>
      <c r="J1908">
        <v>497</v>
      </c>
      <c r="K1908" t="s">
        <v>475</v>
      </c>
      <c r="L1908" t="s">
        <v>1261</v>
      </c>
      <c r="O1908" t="s">
        <v>81</v>
      </c>
      <c r="Q1908">
        <v>3</v>
      </c>
      <c r="R1908" t="s">
        <v>1135</v>
      </c>
      <c r="T1908" t="s">
        <v>38</v>
      </c>
      <c r="V1908" t="s">
        <v>921</v>
      </c>
      <c r="Y1908" t="s">
        <v>81</v>
      </c>
      <c r="Z1908" t="s">
        <v>1136</v>
      </c>
      <c r="AA1908" t="s">
        <v>39</v>
      </c>
      <c r="AC1908" t="s">
        <v>1262</v>
      </c>
    </row>
    <row r="1909" spans="1:29" hidden="1" x14ac:dyDescent="0.25">
      <c r="A1909">
        <v>370</v>
      </c>
      <c r="B1909" t="s">
        <v>505</v>
      </c>
      <c r="C1909" t="s">
        <v>77</v>
      </c>
      <c r="D1909" t="s">
        <v>499</v>
      </c>
      <c r="E1909">
        <v>12</v>
      </c>
      <c r="F1909">
        <v>220</v>
      </c>
      <c r="G1909">
        <v>11991</v>
      </c>
      <c r="H1909">
        <v>2</v>
      </c>
      <c r="I1909">
        <v>248.5</v>
      </c>
      <c r="J1909">
        <v>497</v>
      </c>
      <c r="K1909" t="s">
        <v>475</v>
      </c>
      <c r="L1909" t="s">
        <v>1261</v>
      </c>
      <c r="O1909" t="s">
        <v>81</v>
      </c>
      <c r="Q1909">
        <v>3</v>
      </c>
      <c r="R1909" t="s">
        <v>1135</v>
      </c>
      <c r="T1909" t="s">
        <v>38</v>
      </c>
      <c r="V1909" t="s">
        <v>921</v>
      </c>
      <c r="Y1909" t="s">
        <v>81</v>
      </c>
      <c r="Z1909" t="s">
        <v>1136</v>
      </c>
      <c r="AA1909" t="s">
        <v>39</v>
      </c>
      <c r="AC1909" t="s">
        <v>1262</v>
      </c>
    </row>
    <row r="1910" spans="1:29" hidden="1" x14ac:dyDescent="0.25">
      <c r="A1910">
        <v>371</v>
      </c>
      <c r="B1910" t="s">
        <v>506</v>
      </c>
      <c r="C1910" t="s">
        <v>77</v>
      </c>
      <c r="D1910" t="s">
        <v>507</v>
      </c>
      <c r="E1910">
        <v>12</v>
      </c>
      <c r="F1910">
        <v>220</v>
      </c>
      <c r="G1910">
        <v>7564</v>
      </c>
      <c r="H1910">
        <v>2</v>
      </c>
      <c r="I1910">
        <v>156.76</v>
      </c>
      <c r="J1910">
        <v>313.51</v>
      </c>
      <c r="K1910" t="s">
        <v>475</v>
      </c>
      <c r="L1910" t="s">
        <v>1263</v>
      </c>
      <c r="O1910" t="s">
        <v>81</v>
      </c>
      <c r="Q1910">
        <v>3</v>
      </c>
      <c r="R1910" t="s">
        <v>1135</v>
      </c>
      <c r="T1910" t="s">
        <v>38</v>
      </c>
      <c r="V1910" t="s">
        <v>921</v>
      </c>
      <c r="Y1910" t="s">
        <v>81</v>
      </c>
      <c r="Z1910" t="s">
        <v>1136</v>
      </c>
      <c r="AA1910" t="s">
        <v>1264</v>
      </c>
      <c r="AC1910" t="s">
        <v>1265</v>
      </c>
    </row>
    <row r="1911" spans="1:29" hidden="1" x14ac:dyDescent="0.25">
      <c r="A1911">
        <v>372</v>
      </c>
      <c r="B1911" t="s">
        <v>1266</v>
      </c>
      <c r="C1911" t="s">
        <v>77</v>
      </c>
      <c r="D1911" t="s">
        <v>1267</v>
      </c>
      <c r="E1911">
        <v>12</v>
      </c>
      <c r="F1911">
        <v>300</v>
      </c>
      <c r="G1911">
        <v>450</v>
      </c>
      <c r="H1911">
        <v>1</v>
      </c>
      <c r="I1911">
        <v>12.72</v>
      </c>
      <c r="J1911">
        <v>12.72</v>
      </c>
      <c r="K1911" t="s">
        <v>475</v>
      </c>
      <c r="L1911" t="s">
        <v>1263</v>
      </c>
      <c r="Q1911">
        <v>3</v>
      </c>
      <c r="R1911" t="s">
        <v>1135</v>
      </c>
      <c r="T1911" t="s">
        <v>38</v>
      </c>
      <c r="V1911" t="s">
        <v>921</v>
      </c>
      <c r="Z1911" t="s">
        <v>1136</v>
      </c>
      <c r="AA1911" t="s">
        <v>1264</v>
      </c>
      <c r="AC1911" t="s">
        <v>1265</v>
      </c>
    </row>
    <row r="1912" spans="1:29" hidden="1" x14ac:dyDescent="0.25">
      <c r="A1912">
        <v>373</v>
      </c>
      <c r="B1912" t="s">
        <v>510</v>
      </c>
      <c r="C1912" t="s">
        <v>77</v>
      </c>
      <c r="D1912" t="s">
        <v>511</v>
      </c>
      <c r="E1912">
        <v>16</v>
      </c>
      <c r="F1912">
        <v>50</v>
      </c>
      <c r="G1912">
        <v>120</v>
      </c>
      <c r="H1912">
        <v>16</v>
      </c>
      <c r="I1912">
        <v>0.7</v>
      </c>
      <c r="J1912">
        <v>11.15</v>
      </c>
      <c r="K1912" t="s">
        <v>512</v>
      </c>
      <c r="L1912" t="s">
        <v>1268</v>
      </c>
      <c r="N1912" t="s">
        <v>228</v>
      </c>
      <c r="Q1912">
        <v>3</v>
      </c>
      <c r="R1912" t="s">
        <v>1135</v>
      </c>
      <c r="T1912" t="s">
        <v>38</v>
      </c>
      <c r="V1912" t="s">
        <v>921</v>
      </c>
      <c r="X1912" t="s">
        <v>81</v>
      </c>
      <c r="Z1912" t="s">
        <v>1136</v>
      </c>
      <c r="AA1912" t="s">
        <v>39</v>
      </c>
      <c r="AC1912" t="s">
        <v>1269</v>
      </c>
    </row>
    <row r="1913" spans="1:29" hidden="1" x14ac:dyDescent="0.25">
      <c r="A1913">
        <v>374</v>
      </c>
      <c r="B1913" t="s">
        <v>515</v>
      </c>
      <c r="C1913" t="s">
        <v>77</v>
      </c>
      <c r="D1913" t="s">
        <v>516</v>
      </c>
      <c r="E1913">
        <v>16</v>
      </c>
      <c r="F1913">
        <v>220</v>
      </c>
      <c r="G1913">
        <v>280</v>
      </c>
      <c r="H1913">
        <v>4</v>
      </c>
      <c r="I1913">
        <v>7.71</v>
      </c>
      <c r="J1913">
        <v>30.85</v>
      </c>
      <c r="K1913" t="s">
        <v>512</v>
      </c>
      <c r="L1913" t="s">
        <v>1268</v>
      </c>
      <c r="Q1913">
        <v>3</v>
      </c>
      <c r="R1913" t="s">
        <v>1135</v>
      </c>
      <c r="T1913" t="s">
        <v>38</v>
      </c>
      <c r="V1913" t="s">
        <v>921</v>
      </c>
      <c r="W1913" t="s">
        <v>81</v>
      </c>
      <c r="Z1913" t="s">
        <v>1136</v>
      </c>
      <c r="AA1913" t="s">
        <v>39</v>
      </c>
      <c r="AC1913" t="s">
        <v>1269</v>
      </c>
    </row>
    <row r="1914" spans="1:29" hidden="1" x14ac:dyDescent="0.25">
      <c r="A1914">
        <v>375</v>
      </c>
      <c r="B1914" t="s">
        <v>517</v>
      </c>
      <c r="C1914" t="s">
        <v>77</v>
      </c>
      <c r="D1914" t="s">
        <v>518</v>
      </c>
      <c r="E1914">
        <v>16</v>
      </c>
      <c r="F1914">
        <v>200</v>
      </c>
      <c r="G1914">
        <v>300</v>
      </c>
      <c r="H1914">
        <v>2</v>
      </c>
      <c r="I1914">
        <v>4.8600000000000003</v>
      </c>
      <c r="J1914">
        <v>9.73</v>
      </c>
      <c r="K1914" t="s">
        <v>512</v>
      </c>
      <c r="L1914" t="s">
        <v>1268</v>
      </c>
      <c r="Q1914">
        <v>3</v>
      </c>
      <c r="R1914" t="s">
        <v>1135</v>
      </c>
      <c r="T1914" t="s">
        <v>38</v>
      </c>
      <c r="V1914" t="s">
        <v>921</v>
      </c>
      <c r="W1914" t="s">
        <v>81</v>
      </c>
      <c r="Z1914" t="s">
        <v>1136</v>
      </c>
      <c r="AA1914" t="s">
        <v>39</v>
      </c>
      <c r="AC1914" t="s">
        <v>1269</v>
      </c>
    </row>
    <row r="1915" spans="1:29" hidden="1" x14ac:dyDescent="0.25">
      <c r="A1915">
        <v>376</v>
      </c>
      <c r="B1915" t="s">
        <v>519</v>
      </c>
      <c r="C1915" t="s">
        <v>77</v>
      </c>
      <c r="D1915" t="s">
        <v>518</v>
      </c>
      <c r="E1915">
        <v>16</v>
      </c>
      <c r="F1915">
        <v>200</v>
      </c>
      <c r="G1915">
        <v>300</v>
      </c>
      <c r="H1915">
        <v>2</v>
      </c>
      <c r="I1915">
        <v>4.8600000000000003</v>
      </c>
      <c r="J1915">
        <v>9.73</v>
      </c>
      <c r="K1915" t="s">
        <v>512</v>
      </c>
      <c r="L1915" t="s">
        <v>1268</v>
      </c>
      <c r="Q1915">
        <v>3</v>
      </c>
      <c r="R1915" t="s">
        <v>1135</v>
      </c>
      <c r="T1915" t="s">
        <v>38</v>
      </c>
      <c r="V1915" t="s">
        <v>921</v>
      </c>
      <c r="W1915" t="s">
        <v>81</v>
      </c>
      <c r="Z1915" t="s">
        <v>1136</v>
      </c>
      <c r="AA1915" t="s">
        <v>39</v>
      </c>
      <c r="AC1915" t="s">
        <v>1269</v>
      </c>
    </row>
    <row r="1916" spans="1:29" hidden="1" x14ac:dyDescent="0.25">
      <c r="A1916">
        <v>377</v>
      </c>
      <c r="B1916" t="s">
        <v>520</v>
      </c>
      <c r="C1916" t="s">
        <v>77</v>
      </c>
      <c r="D1916" t="s">
        <v>521</v>
      </c>
      <c r="E1916">
        <v>16</v>
      </c>
      <c r="F1916">
        <v>275</v>
      </c>
      <c r="G1916">
        <v>12000</v>
      </c>
      <c r="H1916">
        <v>1</v>
      </c>
      <c r="I1916">
        <v>414.49</v>
      </c>
      <c r="J1916">
        <v>414.49</v>
      </c>
      <c r="K1916" t="s">
        <v>512</v>
      </c>
      <c r="L1916" t="s">
        <v>1268</v>
      </c>
      <c r="O1916" t="s">
        <v>81</v>
      </c>
      <c r="Q1916">
        <v>3</v>
      </c>
      <c r="R1916" t="s">
        <v>1135</v>
      </c>
      <c r="T1916" t="s">
        <v>38</v>
      </c>
      <c r="V1916" t="s">
        <v>921</v>
      </c>
      <c r="Y1916" t="s">
        <v>81</v>
      </c>
      <c r="Z1916" t="s">
        <v>1136</v>
      </c>
      <c r="AA1916" t="s">
        <v>39</v>
      </c>
      <c r="AC1916" t="s">
        <v>1269</v>
      </c>
    </row>
    <row r="1917" spans="1:29" hidden="1" x14ac:dyDescent="0.25">
      <c r="A1917">
        <v>378</v>
      </c>
      <c r="B1917" t="s">
        <v>522</v>
      </c>
      <c r="C1917" t="s">
        <v>77</v>
      </c>
      <c r="D1917" t="s">
        <v>521</v>
      </c>
      <c r="E1917">
        <v>16</v>
      </c>
      <c r="F1917">
        <v>275</v>
      </c>
      <c r="G1917">
        <v>12000</v>
      </c>
      <c r="H1917">
        <v>1</v>
      </c>
      <c r="I1917">
        <v>414.48</v>
      </c>
      <c r="J1917">
        <v>414.48</v>
      </c>
      <c r="K1917" t="s">
        <v>512</v>
      </c>
      <c r="L1917" t="s">
        <v>1268</v>
      </c>
      <c r="O1917" t="s">
        <v>81</v>
      </c>
      <c r="Q1917">
        <v>3</v>
      </c>
      <c r="R1917" t="s">
        <v>1135</v>
      </c>
      <c r="T1917" t="s">
        <v>38</v>
      </c>
      <c r="V1917" t="s">
        <v>921</v>
      </c>
      <c r="Y1917" t="s">
        <v>81</v>
      </c>
      <c r="Z1917" t="s">
        <v>1136</v>
      </c>
      <c r="AA1917" t="s">
        <v>39</v>
      </c>
      <c r="AC1917" t="s">
        <v>1269</v>
      </c>
    </row>
    <row r="1918" spans="1:29" hidden="1" x14ac:dyDescent="0.25">
      <c r="A1918">
        <v>379</v>
      </c>
      <c r="B1918" t="s">
        <v>523</v>
      </c>
      <c r="C1918" t="s">
        <v>77</v>
      </c>
      <c r="D1918" t="s">
        <v>524</v>
      </c>
      <c r="E1918">
        <v>16</v>
      </c>
      <c r="F1918">
        <v>275</v>
      </c>
      <c r="G1918">
        <v>11976</v>
      </c>
      <c r="H1918">
        <v>1</v>
      </c>
      <c r="I1918">
        <v>413.65</v>
      </c>
      <c r="J1918">
        <v>413.65</v>
      </c>
      <c r="K1918" t="s">
        <v>512</v>
      </c>
      <c r="L1918" t="s">
        <v>1268</v>
      </c>
      <c r="O1918" t="s">
        <v>81</v>
      </c>
      <c r="Q1918">
        <v>3</v>
      </c>
      <c r="R1918" t="s">
        <v>1135</v>
      </c>
      <c r="T1918" t="s">
        <v>38</v>
      </c>
      <c r="V1918" t="s">
        <v>921</v>
      </c>
      <c r="Y1918" t="s">
        <v>81</v>
      </c>
      <c r="Z1918" t="s">
        <v>1136</v>
      </c>
      <c r="AA1918" t="s">
        <v>39</v>
      </c>
      <c r="AC1918" t="s">
        <v>1269</v>
      </c>
    </row>
    <row r="1919" spans="1:29" hidden="1" x14ac:dyDescent="0.25">
      <c r="A1919">
        <v>380</v>
      </c>
      <c r="B1919" t="s">
        <v>525</v>
      </c>
      <c r="C1919" t="s">
        <v>77</v>
      </c>
      <c r="D1919" t="s">
        <v>518</v>
      </c>
      <c r="E1919">
        <v>16</v>
      </c>
      <c r="F1919">
        <v>200</v>
      </c>
      <c r="G1919">
        <v>300</v>
      </c>
      <c r="H1919">
        <v>2</v>
      </c>
      <c r="I1919">
        <v>4.8600000000000003</v>
      </c>
      <c r="J1919">
        <v>9.73</v>
      </c>
      <c r="K1919" t="s">
        <v>512</v>
      </c>
      <c r="L1919" t="s">
        <v>1268</v>
      </c>
      <c r="Q1919">
        <v>3</v>
      </c>
      <c r="R1919" t="s">
        <v>1135</v>
      </c>
      <c r="T1919" t="s">
        <v>38</v>
      </c>
      <c r="V1919" t="s">
        <v>921</v>
      </c>
      <c r="W1919" t="s">
        <v>81</v>
      </c>
      <c r="Z1919" t="s">
        <v>1136</v>
      </c>
      <c r="AA1919" t="s">
        <v>39</v>
      </c>
      <c r="AC1919" t="s">
        <v>1269</v>
      </c>
    </row>
    <row r="1920" spans="1:29" hidden="1" x14ac:dyDescent="0.25">
      <c r="A1920">
        <v>381</v>
      </c>
      <c r="B1920" t="s">
        <v>526</v>
      </c>
      <c r="C1920" t="s">
        <v>77</v>
      </c>
      <c r="D1920" t="s">
        <v>518</v>
      </c>
      <c r="E1920">
        <v>16</v>
      </c>
      <c r="F1920">
        <v>200</v>
      </c>
      <c r="G1920">
        <v>300</v>
      </c>
      <c r="H1920">
        <v>2</v>
      </c>
      <c r="I1920">
        <v>4.8600000000000003</v>
      </c>
      <c r="J1920">
        <v>9.73</v>
      </c>
      <c r="K1920" t="s">
        <v>512</v>
      </c>
      <c r="L1920" t="s">
        <v>1268</v>
      </c>
      <c r="Q1920">
        <v>3</v>
      </c>
      <c r="R1920" t="s">
        <v>1135</v>
      </c>
      <c r="T1920" t="s">
        <v>38</v>
      </c>
      <c r="V1920" t="s">
        <v>921</v>
      </c>
      <c r="W1920" t="s">
        <v>81</v>
      </c>
      <c r="Z1920" t="s">
        <v>1136</v>
      </c>
      <c r="AA1920" t="s">
        <v>39</v>
      </c>
      <c r="AC1920" t="s">
        <v>1269</v>
      </c>
    </row>
    <row r="1921" spans="1:29" hidden="1" x14ac:dyDescent="0.25">
      <c r="A1921">
        <v>382</v>
      </c>
      <c r="B1921" t="s">
        <v>527</v>
      </c>
      <c r="C1921" t="s">
        <v>77</v>
      </c>
      <c r="D1921" t="s">
        <v>521</v>
      </c>
      <c r="E1921">
        <v>16</v>
      </c>
      <c r="F1921">
        <v>275</v>
      </c>
      <c r="G1921">
        <v>12000</v>
      </c>
      <c r="H1921">
        <v>1</v>
      </c>
      <c r="I1921">
        <v>414.48</v>
      </c>
      <c r="J1921">
        <v>414.48</v>
      </c>
      <c r="K1921" t="s">
        <v>512</v>
      </c>
      <c r="L1921" t="s">
        <v>1268</v>
      </c>
      <c r="O1921" t="s">
        <v>81</v>
      </c>
      <c r="Q1921">
        <v>3</v>
      </c>
      <c r="R1921" t="s">
        <v>1135</v>
      </c>
      <c r="T1921" t="s">
        <v>38</v>
      </c>
      <c r="V1921" t="s">
        <v>921</v>
      </c>
      <c r="Y1921" t="s">
        <v>81</v>
      </c>
      <c r="Z1921" t="s">
        <v>1136</v>
      </c>
      <c r="AA1921" t="s">
        <v>39</v>
      </c>
      <c r="AC1921" t="s">
        <v>1269</v>
      </c>
    </row>
    <row r="1922" spans="1:29" hidden="1" x14ac:dyDescent="0.25">
      <c r="A1922">
        <v>383</v>
      </c>
      <c r="B1922" t="s">
        <v>528</v>
      </c>
      <c r="C1922" t="s">
        <v>77</v>
      </c>
      <c r="D1922" t="s">
        <v>529</v>
      </c>
      <c r="E1922">
        <v>16</v>
      </c>
      <c r="F1922">
        <v>275</v>
      </c>
      <c r="G1922">
        <v>7587</v>
      </c>
      <c r="H1922">
        <v>1</v>
      </c>
      <c r="I1922">
        <v>262.06</v>
      </c>
      <c r="J1922">
        <v>262.06</v>
      </c>
      <c r="K1922" t="s">
        <v>512</v>
      </c>
      <c r="L1922" t="s">
        <v>1268</v>
      </c>
      <c r="O1922" t="s">
        <v>81</v>
      </c>
      <c r="Q1922">
        <v>3</v>
      </c>
      <c r="R1922" t="s">
        <v>1135</v>
      </c>
      <c r="T1922" t="s">
        <v>38</v>
      </c>
      <c r="V1922" t="s">
        <v>921</v>
      </c>
      <c r="Y1922" t="s">
        <v>81</v>
      </c>
      <c r="Z1922" t="s">
        <v>1136</v>
      </c>
      <c r="AA1922" t="s">
        <v>39</v>
      </c>
      <c r="AC1922" t="s">
        <v>1269</v>
      </c>
    </row>
    <row r="1923" spans="1:29" hidden="1" x14ac:dyDescent="0.25">
      <c r="A1923">
        <v>384</v>
      </c>
      <c r="B1923" t="s">
        <v>530</v>
      </c>
      <c r="C1923" t="s">
        <v>77</v>
      </c>
      <c r="D1923" t="s">
        <v>521</v>
      </c>
      <c r="E1923">
        <v>16</v>
      </c>
      <c r="F1923">
        <v>275</v>
      </c>
      <c r="G1923">
        <v>12000</v>
      </c>
      <c r="H1923">
        <v>1</v>
      </c>
      <c r="I1923">
        <v>414.48</v>
      </c>
      <c r="J1923">
        <v>414.48</v>
      </c>
      <c r="K1923" t="s">
        <v>512</v>
      </c>
      <c r="L1923" t="s">
        <v>1268</v>
      </c>
      <c r="O1923" t="s">
        <v>81</v>
      </c>
      <c r="Q1923">
        <v>3</v>
      </c>
      <c r="R1923" t="s">
        <v>1135</v>
      </c>
      <c r="T1923" t="s">
        <v>38</v>
      </c>
      <c r="V1923" t="s">
        <v>921</v>
      </c>
      <c r="Y1923" t="s">
        <v>81</v>
      </c>
      <c r="Z1923" t="s">
        <v>1136</v>
      </c>
      <c r="AA1923" t="s">
        <v>39</v>
      </c>
      <c r="AC1923" t="s">
        <v>1269</v>
      </c>
    </row>
    <row r="1924" spans="1:29" hidden="1" x14ac:dyDescent="0.25">
      <c r="A1924">
        <v>385</v>
      </c>
      <c r="B1924" t="s">
        <v>531</v>
      </c>
      <c r="C1924" t="s">
        <v>77</v>
      </c>
      <c r="D1924" t="s">
        <v>532</v>
      </c>
      <c r="E1924">
        <v>16</v>
      </c>
      <c r="F1924">
        <v>275</v>
      </c>
      <c r="G1924">
        <v>7583</v>
      </c>
      <c r="H1924">
        <v>1</v>
      </c>
      <c r="I1924">
        <v>261.92</v>
      </c>
      <c r="J1924">
        <v>261.92</v>
      </c>
      <c r="K1924" t="s">
        <v>512</v>
      </c>
      <c r="L1924" t="s">
        <v>1268</v>
      </c>
      <c r="O1924" t="s">
        <v>81</v>
      </c>
      <c r="Q1924">
        <v>3</v>
      </c>
      <c r="R1924" t="s">
        <v>1135</v>
      </c>
      <c r="T1924" t="s">
        <v>38</v>
      </c>
      <c r="V1924" t="s">
        <v>921</v>
      </c>
      <c r="Y1924" t="s">
        <v>81</v>
      </c>
      <c r="Z1924" t="s">
        <v>1136</v>
      </c>
      <c r="AA1924" t="s">
        <v>39</v>
      </c>
      <c r="AC1924" t="s">
        <v>1269</v>
      </c>
    </row>
    <row r="1925" spans="1:29" hidden="1" x14ac:dyDescent="0.25">
      <c r="A1925">
        <v>386</v>
      </c>
      <c r="B1925" t="s">
        <v>535</v>
      </c>
      <c r="C1925" t="s">
        <v>77</v>
      </c>
      <c r="D1925" t="s">
        <v>516</v>
      </c>
      <c r="E1925">
        <v>16</v>
      </c>
      <c r="F1925">
        <v>220</v>
      </c>
      <c r="G1925">
        <v>280</v>
      </c>
      <c r="H1925">
        <v>4</v>
      </c>
      <c r="I1925">
        <v>7.71</v>
      </c>
      <c r="J1925">
        <v>30.85</v>
      </c>
      <c r="K1925" t="s">
        <v>512</v>
      </c>
      <c r="L1925" t="s">
        <v>1268</v>
      </c>
      <c r="Q1925">
        <v>3</v>
      </c>
      <c r="R1925" t="s">
        <v>1135</v>
      </c>
      <c r="T1925" t="s">
        <v>38</v>
      </c>
      <c r="V1925" t="s">
        <v>921</v>
      </c>
      <c r="W1925" t="s">
        <v>81</v>
      </c>
      <c r="Z1925" t="s">
        <v>1136</v>
      </c>
      <c r="AA1925" t="s">
        <v>39</v>
      </c>
      <c r="AC1925" t="s">
        <v>1269</v>
      </c>
    </row>
    <row r="1926" spans="1:29" hidden="1" x14ac:dyDescent="0.25">
      <c r="A1926">
        <v>387</v>
      </c>
      <c r="B1926" t="s">
        <v>536</v>
      </c>
      <c r="C1926" t="s">
        <v>77</v>
      </c>
      <c r="D1926" t="s">
        <v>537</v>
      </c>
      <c r="E1926">
        <v>16</v>
      </c>
      <c r="F1926">
        <v>170</v>
      </c>
      <c r="G1926">
        <v>170</v>
      </c>
      <c r="H1926">
        <v>6</v>
      </c>
      <c r="I1926">
        <v>3.6</v>
      </c>
      <c r="J1926">
        <v>21.63</v>
      </c>
      <c r="K1926" t="s">
        <v>512</v>
      </c>
      <c r="L1926" t="s">
        <v>1268</v>
      </c>
      <c r="Q1926">
        <v>3</v>
      </c>
      <c r="R1926" t="s">
        <v>1135</v>
      </c>
      <c r="T1926" t="s">
        <v>38</v>
      </c>
      <c r="V1926" t="s">
        <v>921</v>
      </c>
      <c r="W1926" t="s">
        <v>81</v>
      </c>
      <c r="Z1926" t="s">
        <v>1136</v>
      </c>
      <c r="AA1926" t="s">
        <v>39</v>
      </c>
      <c r="AC1926" t="s">
        <v>1269</v>
      </c>
    </row>
    <row r="1927" spans="1:29" hidden="1" x14ac:dyDescent="0.25">
      <c r="A1927">
        <v>388</v>
      </c>
      <c r="B1927" t="s">
        <v>538</v>
      </c>
      <c r="C1927" t="s">
        <v>77</v>
      </c>
      <c r="D1927" t="s">
        <v>537</v>
      </c>
      <c r="E1927">
        <v>16</v>
      </c>
      <c r="F1927">
        <v>170</v>
      </c>
      <c r="G1927">
        <v>170</v>
      </c>
      <c r="H1927">
        <v>4</v>
      </c>
      <c r="I1927">
        <v>3.6</v>
      </c>
      <c r="J1927">
        <v>14.42</v>
      </c>
      <c r="K1927" t="s">
        <v>512</v>
      </c>
      <c r="L1927" t="s">
        <v>1268</v>
      </c>
      <c r="Q1927">
        <v>3</v>
      </c>
      <c r="R1927" t="s">
        <v>1135</v>
      </c>
      <c r="T1927" t="s">
        <v>38</v>
      </c>
      <c r="V1927" t="s">
        <v>921</v>
      </c>
      <c r="W1927" t="s">
        <v>81</v>
      </c>
      <c r="Z1927" t="s">
        <v>1136</v>
      </c>
      <c r="AA1927" t="s">
        <v>39</v>
      </c>
      <c r="AC1927" t="s">
        <v>1269</v>
      </c>
    </row>
    <row r="1928" spans="1:29" hidden="1" x14ac:dyDescent="0.25">
      <c r="A1928">
        <v>389</v>
      </c>
      <c r="B1928" t="s">
        <v>539</v>
      </c>
      <c r="C1928" t="s">
        <v>77</v>
      </c>
      <c r="D1928" t="s">
        <v>537</v>
      </c>
      <c r="E1928">
        <v>16</v>
      </c>
      <c r="F1928">
        <v>170</v>
      </c>
      <c r="G1928">
        <v>170</v>
      </c>
      <c r="H1928">
        <v>4</v>
      </c>
      <c r="I1928">
        <v>3.6</v>
      </c>
      <c r="J1928">
        <v>14.42</v>
      </c>
      <c r="K1928" t="s">
        <v>512</v>
      </c>
      <c r="L1928" t="s">
        <v>1268</v>
      </c>
      <c r="Q1928">
        <v>3</v>
      </c>
      <c r="R1928" t="s">
        <v>1135</v>
      </c>
      <c r="T1928" t="s">
        <v>38</v>
      </c>
      <c r="V1928" t="s">
        <v>921</v>
      </c>
      <c r="W1928" t="s">
        <v>81</v>
      </c>
      <c r="Z1928" t="s">
        <v>1136</v>
      </c>
      <c r="AA1928" t="s">
        <v>39</v>
      </c>
      <c r="AC1928" t="s">
        <v>1269</v>
      </c>
    </row>
    <row r="1929" spans="1:29" hidden="1" x14ac:dyDescent="0.25">
      <c r="A1929">
        <v>390</v>
      </c>
      <c r="B1929" t="s">
        <v>540</v>
      </c>
      <c r="C1929" t="s">
        <v>77</v>
      </c>
      <c r="D1929" t="s">
        <v>537</v>
      </c>
      <c r="E1929">
        <v>16</v>
      </c>
      <c r="F1929">
        <v>170</v>
      </c>
      <c r="G1929">
        <v>170</v>
      </c>
      <c r="H1929">
        <v>4</v>
      </c>
      <c r="I1929">
        <v>3.6</v>
      </c>
      <c r="J1929">
        <v>14.42</v>
      </c>
      <c r="K1929" t="s">
        <v>512</v>
      </c>
      <c r="L1929" t="s">
        <v>1268</v>
      </c>
      <c r="Q1929">
        <v>3</v>
      </c>
      <c r="R1929" t="s">
        <v>1135</v>
      </c>
      <c r="T1929" t="s">
        <v>38</v>
      </c>
      <c r="V1929" t="s">
        <v>921</v>
      </c>
      <c r="W1929" t="s">
        <v>81</v>
      </c>
      <c r="Z1929" t="s">
        <v>1136</v>
      </c>
      <c r="AA1929" t="s">
        <v>39</v>
      </c>
      <c r="AC1929" t="s">
        <v>1269</v>
      </c>
    </row>
    <row r="1930" spans="1:29" hidden="1" x14ac:dyDescent="0.25">
      <c r="A1930">
        <v>391</v>
      </c>
      <c r="B1930" t="s">
        <v>541</v>
      </c>
      <c r="C1930" t="s">
        <v>77</v>
      </c>
      <c r="D1930" t="s">
        <v>537</v>
      </c>
      <c r="E1930">
        <v>16</v>
      </c>
      <c r="F1930">
        <v>170</v>
      </c>
      <c r="G1930">
        <v>170</v>
      </c>
      <c r="H1930">
        <v>4</v>
      </c>
      <c r="I1930">
        <v>3.6</v>
      </c>
      <c r="J1930">
        <v>14.42</v>
      </c>
      <c r="K1930" t="s">
        <v>512</v>
      </c>
      <c r="L1930" t="s">
        <v>1268</v>
      </c>
      <c r="Q1930">
        <v>3</v>
      </c>
      <c r="R1930" t="s">
        <v>1135</v>
      </c>
      <c r="T1930" t="s">
        <v>38</v>
      </c>
      <c r="V1930" t="s">
        <v>921</v>
      </c>
      <c r="W1930" t="s">
        <v>81</v>
      </c>
      <c r="Z1930" t="s">
        <v>1136</v>
      </c>
      <c r="AA1930" t="s">
        <v>39</v>
      </c>
      <c r="AC1930" t="s">
        <v>1269</v>
      </c>
    </row>
    <row r="1931" spans="1:29" hidden="1" x14ac:dyDescent="0.25">
      <c r="A1931">
        <v>392</v>
      </c>
      <c r="B1931" t="s">
        <v>542</v>
      </c>
      <c r="C1931" t="s">
        <v>77</v>
      </c>
      <c r="D1931" t="s">
        <v>537</v>
      </c>
      <c r="E1931">
        <v>16</v>
      </c>
      <c r="F1931">
        <v>170</v>
      </c>
      <c r="G1931">
        <v>170</v>
      </c>
      <c r="H1931">
        <v>4</v>
      </c>
      <c r="I1931">
        <v>3.6</v>
      </c>
      <c r="J1931">
        <v>14.42</v>
      </c>
      <c r="K1931" t="s">
        <v>512</v>
      </c>
      <c r="L1931" t="s">
        <v>1268</v>
      </c>
      <c r="Q1931">
        <v>3</v>
      </c>
      <c r="R1931" t="s">
        <v>1135</v>
      </c>
      <c r="T1931" t="s">
        <v>38</v>
      </c>
      <c r="V1931" t="s">
        <v>921</v>
      </c>
      <c r="W1931" t="s">
        <v>81</v>
      </c>
      <c r="Z1931" t="s">
        <v>1136</v>
      </c>
      <c r="AA1931" t="s">
        <v>39</v>
      </c>
      <c r="AC1931" t="s">
        <v>1269</v>
      </c>
    </row>
    <row r="1932" spans="1:29" hidden="1" x14ac:dyDescent="0.25">
      <c r="A1932">
        <v>393</v>
      </c>
      <c r="B1932" t="s">
        <v>543</v>
      </c>
      <c r="C1932" t="s">
        <v>77</v>
      </c>
      <c r="D1932" t="s">
        <v>537</v>
      </c>
      <c r="E1932">
        <v>16</v>
      </c>
      <c r="F1932">
        <v>170</v>
      </c>
      <c r="G1932">
        <v>170</v>
      </c>
      <c r="H1932">
        <v>4</v>
      </c>
      <c r="I1932">
        <v>3.6</v>
      </c>
      <c r="J1932">
        <v>14.42</v>
      </c>
      <c r="K1932" t="s">
        <v>512</v>
      </c>
      <c r="L1932" t="s">
        <v>1268</v>
      </c>
      <c r="Q1932">
        <v>3</v>
      </c>
      <c r="R1932" t="s">
        <v>1135</v>
      </c>
      <c r="T1932" t="s">
        <v>38</v>
      </c>
      <c r="V1932" t="s">
        <v>921</v>
      </c>
      <c r="W1932" t="s">
        <v>81</v>
      </c>
      <c r="Z1932" t="s">
        <v>1136</v>
      </c>
      <c r="AA1932" t="s">
        <v>39</v>
      </c>
      <c r="AC1932" t="s">
        <v>1269</v>
      </c>
    </row>
    <row r="1933" spans="1:29" hidden="1" x14ac:dyDescent="0.25">
      <c r="A1933">
        <v>394</v>
      </c>
      <c r="B1933" t="s">
        <v>544</v>
      </c>
      <c r="C1933" t="s">
        <v>77</v>
      </c>
      <c r="D1933" t="s">
        <v>537</v>
      </c>
      <c r="E1933">
        <v>16</v>
      </c>
      <c r="F1933">
        <v>170</v>
      </c>
      <c r="G1933">
        <v>170</v>
      </c>
      <c r="H1933">
        <v>4</v>
      </c>
      <c r="I1933">
        <v>3.6</v>
      </c>
      <c r="J1933">
        <v>14.42</v>
      </c>
      <c r="K1933" t="s">
        <v>512</v>
      </c>
      <c r="L1933" t="s">
        <v>1268</v>
      </c>
      <c r="Q1933">
        <v>3</v>
      </c>
      <c r="R1933" t="s">
        <v>1135</v>
      </c>
      <c r="T1933" t="s">
        <v>38</v>
      </c>
      <c r="V1933" t="s">
        <v>921</v>
      </c>
      <c r="W1933" t="s">
        <v>81</v>
      </c>
      <c r="Z1933" t="s">
        <v>1136</v>
      </c>
      <c r="AA1933" t="s">
        <v>39</v>
      </c>
      <c r="AC1933" t="s">
        <v>1269</v>
      </c>
    </row>
    <row r="1934" spans="1:29" hidden="1" x14ac:dyDescent="0.25">
      <c r="A1934">
        <v>395</v>
      </c>
      <c r="B1934" t="s">
        <v>545</v>
      </c>
      <c r="C1934" t="s">
        <v>77</v>
      </c>
      <c r="D1934" t="s">
        <v>537</v>
      </c>
      <c r="E1934">
        <v>16</v>
      </c>
      <c r="F1934">
        <v>170</v>
      </c>
      <c r="G1934">
        <v>170</v>
      </c>
      <c r="H1934">
        <v>4</v>
      </c>
      <c r="I1934">
        <v>3.6</v>
      </c>
      <c r="J1934">
        <v>14.42</v>
      </c>
      <c r="K1934" t="s">
        <v>512</v>
      </c>
      <c r="L1934" t="s">
        <v>1268</v>
      </c>
      <c r="Q1934">
        <v>3</v>
      </c>
      <c r="R1934" t="s">
        <v>1135</v>
      </c>
      <c r="T1934" t="s">
        <v>38</v>
      </c>
      <c r="V1934" t="s">
        <v>921</v>
      </c>
      <c r="W1934" t="s">
        <v>81</v>
      </c>
      <c r="Z1934" t="s">
        <v>1136</v>
      </c>
      <c r="AA1934" t="s">
        <v>39</v>
      </c>
      <c r="AC1934" t="s">
        <v>1269</v>
      </c>
    </row>
    <row r="1935" spans="1:29" hidden="1" x14ac:dyDescent="0.25">
      <c r="A1935">
        <v>396</v>
      </c>
      <c r="B1935" t="s">
        <v>546</v>
      </c>
      <c r="C1935" t="s">
        <v>77</v>
      </c>
      <c r="D1935" t="s">
        <v>537</v>
      </c>
      <c r="E1935">
        <v>16</v>
      </c>
      <c r="F1935">
        <v>170</v>
      </c>
      <c r="G1935">
        <v>170</v>
      </c>
      <c r="H1935">
        <v>6</v>
      </c>
      <c r="I1935">
        <v>3.6</v>
      </c>
      <c r="J1935">
        <v>21.63</v>
      </c>
      <c r="K1935" t="s">
        <v>512</v>
      </c>
      <c r="L1935" t="s">
        <v>1268</v>
      </c>
      <c r="Q1935">
        <v>3</v>
      </c>
      <c r="R1935" t="s">
        <v>1135</v>
      </c>
      <c r="T1935" t="s">
        <v>38</v>
      </c>
      <c r="V1935" t="s">
        <v>921</v>
      </c>
      <c r="W1935" t="s">
        <v>81</v>
      </c>
      <c r="Z1935" t="s">
        <v>1136</v>
      </c>
      <c r="AA1935" t="s">
        <v>39</v>
      </c>
      <c r="AC1935" t="s">
        <v>1269</v>
      </c>
    </row>
    <row r="1936" spans="1:29" hidden="1" x14ac:dyDescent="0.25">
      <c r="A1936">
        <v>397</v>
      </c>
      <c r="B1936" t="s">
        <v>533</v>
      </c>
      <c r="C1936" t="s">
        <v>77</v>
      </c>
      <c r="D1936" t="s">
        <v>534</v>
      </c>
      <c r="E1936">
        <v>16</v>
      </c>
      <c r="F1936">
        <v>240</v>
      </c>
      <c r="G1936">
        <v>240</v>
      </c>
      <c r="H1936">
        <v>2</v>
      </c>
      <c r="I1936">
        <v>4.01</v>
      </c>
      <c r="J1936">
        <v>8.0299999999999994</v>
      </c>
      <c r="K1936" t="s">
        <v>512</v>
      </c>
      <c r="L1936" t="s">
        <v>1268</v>
      </c>
      <c r="N1936" t="s">
        <v>228</v>
      </c>
      <c r="Q1936">
        <v>3</v>
      </c>
      <c r="R1936" t="s">
        <v>1135</v>
      </c>
      <c r="T1936" t="s">
        <v>38</v>
      </c>
      <c r="V1936" t="s">
        <v>921</v>
      </c>
      <c r="X1936" t="s">
        <v>81</v>
      </c>
      <c r="Z1936" t="s">
        <v>1136</v>
      </c>
      <c r="AA1936" t="s">
        <v>39</v>
      </c>
      <c r="AC1936" t="s">
        <v>1269</v>
      </c>
    </row>
    <row r="1937" spans="1:29" hidden="1" x14ac:dyDescent="0.25">
      <c r="A1937">
        <v>398</v>
      </c>
      <c r="B1937" t="s">
        <v>547</v>
      </c>
      <c r="C1937" t="s">
        <v>77</v>
      </c>
      <c r="D1937" t="s">
        <v>524</v>
      </c>
      <c r="E1937">
        <v>16</v>
      </c>
      <c r="F1937">
        <v>275</v>
      </c>
      <c r="G1937">
        <v>11976</v>
      </c>
      <c r="H1937">
        <v>1</v>
      </c>
      <c r="I1937">
        <v>413.65</v>
      </c>
      <c r="J1937">
        <v>413.65</v>
      </c>
      <c r="K1937" t="s">
        <v>512</v>
      </c>
      <c r="L1937" t="s">
        <v>1270</v>
      </c>
      <c r="O1937" t="s">
        <v>81</v>
      </c>
      <c r="Q1937">
        <v>3</v>
      </c>
      <c r="R1937" t="s">
        <v>1135</v>
      </c>
      <c r="T1937" t="s">
        <v>38</v>
      </c>
      <c r="V1937" t="s">
        <v>921</v>
      </c>
      <c r="Y1937" t="s">
        <v>81</v>
      </c>
      <c r="Z1937" t="s">
        <v>1136</v>
      </c>
      <c r="AA1937" t="s">
        <v>39</v>
      </c>
      <c r="AC1937" t="s">
        <v>1271</v>
      </c>
    </row>
    <row r="1938" spans="1:29" hidden="1" x14ac:dyDescent="0.25">
      <c r="A1938">
        <v>399</v>
      </c>
      <c r="B1938" t="s">
        <v>550</v>
      </c>
      <c r="C1938" t="s">
        <v>77</v>
      </c>
      <c r="D1938" t="s">
        <v>551</v>
      </c>
      <c r="E1938">
        <v>16</v>
      </c>
      <c r="F1938">
        <v>275</v>
      </c>
      <c r="G1938">
        <v>11978</v>
      </c>
      <c r="H1938">
        <v>1</v>
      </c>
      <c r="I1938">
        <v>413.72</v>
      </c>
      <c r="J1938">
        <v>413.72</v>
      </c>
      <c r="K1938" t="s">
        <v>512</v>
      </c>
      <c r="L1938" t="s">
        <v>1270</v>
      </c>
      <c r="O1938" t="s">
        <v>81</v>
      </c>
      <c r="Q1938">
        <v>3</v>
      </c>
      <c r="R1938" t="s">
        <v>1135</v>
      </c>
      <c r="T1938" t="s">
        <v>38</v>
      </c>
      <c r="V1938" t="s">
        <v>921</v>
      </c>
      <c r="Y1938" t="s">
        <v>81</v>
      </c>
      <c r="Z1938" t="s">
        <v>1136</v>
      </c>
      <c r="AA1938" t="s">
        <v>39</v>
      </c>
      <c r="AC1938" t="s">
        <v>1271</v>
      </c>
    </row>
    <row r="1939" spans="1:29" hidden="1" x14ac:dyDescent="0.25">
      <c r="A1939">
        <v>400</v>
      </c>
      <c r="B1939" t="s">
        <v>552</v>
      </c>
      <c r="C1939" t="s">
        <v>77</v>
      </c>
      <c r="D1939" t="s">
        <v>553</v>
      </c>
      <c r="E1939">
        <v>16</v>
      </c>
      <c r="F1939">
        <v>275</v>
      </c>
      <c r="G1939">
        <v>12007</v>
      </c>
      <c r="H1939">
        <v>1</v>
      </c>
      <c r="I1939">
        <v>414.72</v>
      </c>
      <c r="J1939">
        <v>414.72</v>
      </c>
      <c r="K1939" t="s">
        <v>512</v>
      </c>
      <c r="L1939" t="s">
        <v>1270</v>
      </c>
      <c r="O1939" t="s">
        <v>81</v>
      </c>
      <c r="Q1939">
        <v>3</v>
      </c>
      <c r="R1939" t="s">
        <v>1135</v>
      </c>
      <c r="T1939" t="s">
        <v>38</v>
      </c>
      <c r="V1939" t="s">
        <v>921</v>
      </c>
      <c r="Y1939" t="s">
        <v>81</v>
      </c>
      <c r="Z1939" t="s">
        <v>1136</v>
      </c>
      <c r="AA1939" t="s">
        <v>39</v>
      </c>
      <c r="AC1939" t="s">
        <v>1271</v>
      </c>
    </row>
    <row r="1940" spans="1:29" hidden="1" x14ac:dyDescent="0.25">
      <c r="A1940">
        <v>401</v>
      </c>
      <c r="B1940" t="s">
        <v>554</v>
      </c>
      <c r="C1940" t="s">
        <v>77</v>
      </c>
      <c r="D1940" t="s">
        <v>555</v>
      </c>
      <c r="E1940">
        <v>16</v>
      </c>
      <c r="F1940">
        <v>275</v>
      </c>
      <c r="G1940">
        <v>12005</v>
      </c>
      <c r="H1940">
        <v>1</v>
      </c>
      <c r="I1940">
        <v>414.65</v>
      </c>
      <c r="J1940">
        <v>414.65</v>
      </c>
      <c r="K1940" t="s">
        <v>512</v>
      </c>
      <c r="L1940" t="s">
        <v>1270</v>
      </c>
      <c r="O1940" t="s">
        <v>81</v>
      </c>
      <c r="Q1940">
        <v>3</v>
      </c>
      <c r="R1940" t="s">
        <v>1135</v>
      </c>
      <c r="T1940" t="s">
        <v>38</v>
      </c>
      <c r="V1940" t="s">
        <v>921</v>
      </c>
      <c r="Y1940" t="s">
        <v>81</v>
      </c>
      <c r="Z1940" t="s">
        <v>1136</v>
      </c>
      <c r="AA1940" t="s">
        <v>39</v>
      </c>
      <c r="AC1940" t="s">
        <v>1271</v>
      </c>
    </row>
    <row r="1941" spans="1:29" hidden="1" x14ac:dyDescent="0.25">
      <c r="A1941">
        <v>402</v>
      </c>
      <c r="B1941" t="s">
        <v>556</v>
      </c>
      <c r="C1941" t="s">
        <v>77</v>
      </c>
      <c r="D1941" t="s">
        <v>551</v>
      </c>
      <c r="E1941">
        <v>16</v>
      </c>
      <c r="F1941">
        <v>275</v>
      </c>
      <c r="G1941">
        <v>11978</v>
      </c>
      <c r="H1941">
        <v>1</v>
      </c>
      <c r="I1941">
        <v>413.72</v>
      </c>
      <c r="J1941">
        <v>413.72</v>
      </c>
      <c r="K1941" t="s">
        <v>512</v>
      </c>
      <c r="L1941" t="s">
        <v>1270</v>
      </c>
      <c r="O1941" t="s">
        <v>81</v>
      </c>
      <c r="Q1941">
        <v>3</v>
      </c>
      <c r="R1941" t="s">
        <v>1135</v>
      </c>
      <c r="T1941" t="s">
        <v>38</v>
      </c>
      <c r="V1941" t="s">
        <v>921</v>
      </c>
      <c r="Y1941" t="s">
        <v>81</v>
      </c>
      <c r="Z1941" t="s">
        <v>1136</v>
      </c>
      <c r="AA1941" t="s">
        <v>39</v>
      </c>
      <c r="AC1941" t="s">
        <v>1271</v>
      </c>
    </row>
    <row r="1942" spans="1:29" hidden="1" x14ac:dyDescent="0.25">
      <c r="A1942">
        <v>403</v>
      </c>
      <c r="B1942" t="s">
        <v>557</v>
      </c>
      <c r="C1942" t="s">
        <v>77</v>
      </c>
      <c r="D1942" t="s">
        <v>553</v>
      </c>
      <c r="E1942">
        <v>16</v>
      </c>
      <c r="F1942">
        <v>275</v>
      </c>
      <c r="G1942">
        <v>12007</v>
      </c>
      <c r="H1942">
        <v>1</v>
      </c>
      <c r="I1942">
        <v>414.72</v>
      </c>
      <c r="J1942">
        <v>414.72</v>
      </c>
      <c r="K1942" t="s">
        <v>512</v>
      </c>
      <c r="L1942" t="s">
        <v>1270</v>
      </c>
      <c r="O1942" t="s">
        <v>81</v>
      </c>
      <c r="Q1942">
        <v>3</v>
      </c>
      <c r="R1942" t="s">
        <v>1135</v>
      </c>
      <c r="T1942" t="s">
        <v>38</v>
      </c>
      <c r="V1942" t="s">
        <v>921</v>
      </c>
      <c r="Y1942" t="s">
        <v>81</v>
      </c>
      <c r="Z1942" t="s">
        <v>1136</v>
      </c>
      <c r="AA1942" t="s">
        <v>39</v>
      </c>
      <c r="AC1942" t="s">
        <v>1271</v>
      </c>
    </row>
    <row r="1943" spans="1:29" hidden="1" x14ac:dyDescent="0.25">
      <c r="A1943">
        <v>404</v>
      </c>
      <c r="B1943" t="s">
        <v>558</v>
      </c>
      <c r="C1943" t="s">
        <v>77</v>
      </c>
      <c r="D1943" t="s">
        <v>555</v>
      </c>
      <c r="E1943">
        <v>16</v>
      </c>
      <c r="F1943">
        <v>275</v>
      </c>
      <c r="G1943">
        <v>12005</v>
      </c>
      <c r="H1943">
        <v>1</v>
      </c>
      <c r="I1943">
        <v>414.65</v>
      </c>
      <c r="J1943">
        <v>414.65</v>
      </c>
      <c r="K1943" t="s">
        <v>512</v>
      </c>
      <c r="L1943" t="s">
        <v>1270</v>
      </c>
      <c r="O1943" t="s">
        <v>81</v>
      </c>
      <c r="Q1943">
        <v>3</v>
      </c>
      <c r="R1943" t="s">
        <v>1135</v>
      </c>
      <c r="T1943" t="s">
        <v>38</v>
      </c>
      <c r="V1943" t="s">
        <v>921</v>
      </c>
      <c r="Y1943" t="s">
        <v>81</v>
      </c>
      <c r="Z1943" t="s">
        <v>1136</v>
      </c>
      <c r="AA1943" t="s">
        <v>39</v>
      </c>
      <c r="AC1943" t="s">
        <v>1271</v>
      </c>
    </row>
    <row r="1944" spans="1:29" hidden="1" x14ac:dyDescent="0.25">
      <c r="A1944">
        <v>405</v>
      </c>
      <c r="B1944" t="s">
        <v>559</v>
      </c>
      <c r="C1944" t="s">
        <v>77</v>
      </c>
      <c r="D1944" t="s">
        <v>560</v>
      </c>
      <c r="E1944">
        <v>16</v>
      </c>
      <c r="F1944">
        <v>275</v>
      </c>
      <c r="G1944">
        <v>7588</v>
      </c>
      <c r="H1944">
        <v>1</v>
      </c>
      <c r="I1944">
        <v>262.08999999999997</v>
      </c>
      <c r="J1944">
        <v>262.08999999999997</v>
      </c>
      <c r="K1944" t="s">
        <v>512</v>
      </c>
      <c r="L1944" t="s">
        <v>1272</v>
      </c>
      <c r="O1944" t="s">
        <v>81</v>
      </c>
      <c r="Q1944">
        <v>3</v>
      </c>
      <c r="R1944" t="s">
        <v>1135</v>
      </c>
      <c r="T1944" t="s">
        <v>38</v>
      </c>
      <c r="V1944" t="s">
        <v>921</v>
      </c>
      <c r="Y1944" t="s">
        <v>81</v>
      </c>
      <c r="Z1944" t="s">
        <v>1136</v>
      </c>
      <c r="AA1944" t="s">
        <v>1273</v>
      </c>
      <c r="AC1944" t="s">
        <v>1274</v>
      </c>
    </row>
    <row r="1945" spans="1:29" hidden="1" x14ac:dyDescent="0.25">
      <c r="A1945">
        <v>406</v>
      </c>
      <c r="B1945" t="s">
        <v>563</v>
      </c>
      <c r="C1945" t="s">
        <v>77</v>
      </c>
      <c r="D1945" t="s">
        <v>532</v>
      </c>
      <c r="E1945">
        <v>16</v>
      </c>
      <c r="F1945">
        <v>275</v>
      </c>
      <c r="G1945">
        <v>7583</v>
      </c>
      <c r="H1945">
        <v>1</v>
      </c>
      <c r="I1945">
        <v>261.92</v>
      </c>
      <c r="J1945">
        <v>261.92</v>
      </c>
      <c r="K1945" t="s">
        <v>512</v>
      </c>
      <c r="L1945" t="s">
        <v>1272</v>
      </c>
      <c r="O1945" t="s">
        <v>81</v>
      </c>
      <c r="Q1945">
        <v>3</v>
      </c>
      <c r="R1945" t="s">
        <v>1135</v>
      </c>
      <c r="T1945" t="s">
        <v>38</v>
      </c>
      <c r="V1945" t="s">
        <v>921</v>
      </c>
      <c r="Y1945" t="s">
        <v>81</v>
      </c>
      <c r="Z1945" t="s">
        <v>1136</v>
      </c>
      <c r="AA1945" t="s">
        <v>1273</v>
      </c>
      <c r="AC1945" t="s">
        <v>1274</v>
      </c>
    </row>
    <row r="1946" spans="1:29" hidden="1" x14ac:dyDescent="0.25">
      <c r="A1946">
        <v>407</v>
      </c>
      <c r="B1946" t="s">
        <v>1275</v>
      </c>
      <c r="C1946" t="s">
        <v>77</v>
      </c>
      <c r="D1946" t="s">
        <v>1276</v>
      </c>
      <c r="E1946">
        <v>16</v>
      </c>
      <c r="F1946">
        <v>300</v>
      </c>
      <c r="G1946">
        <v>450</v>
      </c>
      <c r="H1946">
        <v>1</v>
      </c>
      <c r="I1946">
        <v>16.96</v>
      </c>
      <c r="J1946">
        <v>16.96</v>
      </c>
      <c r="K1946" t="s">
        <v>512</v>
      </c>
      <c r="L1946" t="s">
        <v>1272</v>
      </c>
      <c r="Q1946">
        <v>3</v>
      </c>
      <c r="R1946" t="s">
        <v>1135</v>
      </c>
      <c r="T1946" t="s">
        <v>38</v>
      </c>
      <c r="V1946" t="s">
        <v>921</v>
      </c>
      <c r="Z1946" t="s">
        <v>1136</v>
      </c>
      <c r="AA1946" t="s">
        <v>1273</v>
      </c>
      <c r="AC1946" t="s">
        <v>1274</v>
      </c>
    </row>
    <row r="1947" spans="1:29" hidden="1" x14ac:dyDescent="0.25">
      <c r="A1947">
        <v>408</v>
      </c>
      <c r="B1947" t="s">
        <v>564</v>
      </c>
      <c r="C1947" t="s">
        <v>77</v>
      </c>
      <c r="D1947" t="s">
        <v>534</v>
      </c>
      <c r="E1947">
        <v>16</v>
      </c>
      <c r="F1947">
        <v>240</v>
      </c>
      <c r="G1947">
        <v>240</v>
      </c>
      <c r="H1947">
        <v>2</v>
      </c>
      <c r="I1947">
        <v>4.01</v>
      </c>
      <c r="J1947">
        <v>8.0299999999999994</v>
      </c>
      <c r="K1947" t="s">
        <v>512</v>
      </c>
      <c r="L1947" t="s">
        <v>1272</v>
      </c>
      <c r="N1947" t="s">
        <v>228</v>
      </c>
      <c r="Q1947">
        <v>3</v>
      </c>
      <c r="R1947" t="s">
        <v>1135</v>
      </c>
      <c r="T1947" t="s">
        <v>38</v>
      </c>
      <c r="V1947" t="s">
        <v>921</v>
      </c>
      <c r="X1947" t="s">
        <v>81</v>
      </c>
      <c r="Z1947" t="s">
        <v>1136</v>
      </c>
      <c r="AA1947" t="s">
        <v>1273</v>
      </c>
      <c r="AC1947" t="s">
        <v>1274</v>
      </c>
    </row>
    <row r="1948" spans="1:29" hidden="1" x14ac:dyDescent="0.25">
      <c r="A1948">
        <v>409</v>
      </c>
      <c r="B1948" t="s">
        <v>565</v>
      </c>
      <c r="C1948" t="s">
        <v>77</v>
      </c>
      <c r="D1948" t="s">
        <v>534</v>
      </c>
      <c r="E1948">
        <v>16</v>
      </c>
      <c r="F1948">
        <v>240</v>
      </c>
      <c r="G1948">
        <v>240</v>
      </c>
      <c r="H1948">
        <v>4</v>
      </c>
      <c r="I1948">
        <v>4.01</v>
      </c>
      <c r="J1948">
        <v>16.05</v>
      </c>
      <c r="K1948" t="s">
        <v>512</v>
      </c>
      <c r="L1948" t="s">
        <v>1272</v>
      </c>
      <c r="N1948" t="s">
        <v>228</v>
      </c>
      <c r="Q1948">
        <v>3</v>
      </c>
      <c r="R1948" t="s">
        <v>1135</v>
      </c>
      <c r="T1948" t="s">
        <v>38</v>
      </c>
      <c r="V1948" t="s">
        <v>921</v>
      </c>
      <c r="X1948" t="s">
        <v>81</v>
      </c>
      <c r="Z1948" t="s">
        <v>1136</v>
      </c>
      <c r="AA1948" t="s">
        <v>1273</v>
      </c>
      <c r="AC1948" t="s">
        <v>1274</v>
      </c>
    </row>
    <row r="1949" spans="1:29" hidden="1" x14ac:dyDescent="0.25">
      <c r="A1949">
        <v>410</v>
      </c>
      <c r="B1949" t="s">
        <v>566</v>
      </c>
      <c r="C1949" t="s">
        <v>77</v>
      </c>
      <c r="D1949" t="s">
        <v>567</v>
      </c>
      <c r="E1949">
        <v>20</v>
      </c>
      <c r="F1949">
        <v>240</v>
      </c>
      <c r="G1949">
        <v>250</v>
      </c>
      <c r="H1949">
        <v>8</v>
      </c>
      <c r="I1949">
        <v>6.68</v>
      </c>
      <c r="J1949">
        <v>53.41</v>
      </c>
      <c r="K1949" t="s">
        <v>568</v>
      </c>
      <c r="L1949" t="s">
        <v>1277</v>
      </c>
      <c r="N1949" t="s">
        <v>228</v>
      </c>
      <c r="Q1949">
        <v>3</v>
      </c>
      <c r="R1949" t="s">
        <v>1135</v>
      </c>
      <c r="T1949" t="s">
        <v>38</v>
      </c>
      <c r="V1949" t="s">
        <v>921</v>
      </c>
      <c r="X1949" t="s">
        <v>81</v>
      </c>
      <c r="Z1949" t="s">
        <v>1136</v>
      </c>
      <c r="AA1949" t="s">
        <v>39</v>
      </c>
      <c r="AC1949" t="s">
        <v>1278</v>
      </c>
    </row>
    <row r="1950" spans="1:29" hidden="1" x14ac:dyDescent="0.25">
      <c r="A1950">
        <v>411</v>
      </c>
      <c r="B1950" t="s">
        <v>571</v>
      </c>
      <c r="C1950" t="s">
        <v>77</v>
      </c>
      <c r="D1950" t="s">
        <v>572</v>
      </c>
      <c r="E1950">
        <v>20</v>
      </c>
      <c r="F1950">
        <v>400</v>
      </c>
      <c r="G1950">
        <v>780</v>
      </c>
      <c r="H1950">
        <v>8</v>
      </c>
      <c r="I1950">
        <v>48.98</v>
      </c>
      <c r="J1950">
        <v>391.87</v>
      </c>
      <c r="K1950" t="s">
        <v>568</v>
      </c>
      <c r="L1950" t="s">
        <v>1277</v>
      </c>
      <c r="N1950" t="s">
        <v>228</v>
      </c>
      <c r="Q1950">
        <v>3</v>
      </c>
      <c r="R1950" t="s">
        <v>1135</v>
      </c>
      <c r="T1950" t="s">
        <v>38</v>
      </c>
      <c r="V1950" t="s">
        <v>921</v>
      </c>
      <c r="X1950" t="s">
        <v>81</v>
      </c>
      <c r="Z1950" t="s">
        <v>1136</v>
      </c>
      <c r="AA1950" t="s">
        <v>39</v>
      </c>
      <c r="AC1950" t="s">
        <v>1278</v>
      </c>
    </row>
    <row r="1951" spans="1:29" hidden="1" x14ac:dyDescent="0.25">
      <c r="A1951">
        <v>412</v>
      </c>
      <c r="B1951" t="s">
        <v>573</v>
      </c>
      <c r="C1951" t="s">
        <v>77</v>
      </c>
      <c r="D1951" t="s">
        <v>572</v>
      </c>
      <c r="E1951">
        <v>20</v>
      </c>
      <c r="F1951">
        <v>400</v>
      </c>
      <c r="G1951">
        <v>780</v>
      </c>
      <c r="H1951">
        <v>4</v>
      </c>
      <c r="I1951">
        <v>48.98</v>
      </c>
      <c r="J1951">
        <v>195.94</v>
      </c>
      <c r="K1951" t="s">
        <v>568</v>
      </c>
      <c r="L1951" t="s">
        <v>1277</v>
      </c>
      <c r="N1951" t="s">
        <v>228</v>
      </c>
      <c r="Q1951">
        <v>3</v>
      </c>
      <c r="R1951" t="s">
        <v>1135</v>
      </c>
      <c r="T1951" t="s">
        <v>38</v>
      </c>
      <c r="V1951" t="s">
        <v>921</v>
      </c>
      <c r="X1951" t="s">
        <v>81</v>
      </c>
      <c r="Z1951" t="s">
        <v>1136</v>
      </c>
      <c r="AA1951" t="s">
        <v>39</v>
      </c>
      <c r="AC1951" t="s">
        <v>1278</v>
      </c>
    </row>
    <row r="1952" spans="1:29" hidden="1" x14ac:dyDescent="0.25">
      <c r="A1952">
        <v>413</v>
      </c>
      <c r="B1952" t="s">
        <v>574</v>
      </c>
      <c r="C1952" t="s">
        <v>77</v>
      </c>
      <c r="D1952" t="s">
        <v>572</v>
      </c>
      <c r="E1952">
        <v>20</v>
      </c>
      <c r="F1952">
        <v>400</v>
      </c>
      <c r="G1952">
        <v>780</v>
      </c>
      <c r="H1952">
        <v>4</v>
      </c>
      <c r="I1952">
        <v>48.98</v>
      </c>
      <c r="J1952">
        <v>195.94</v>
      </c>
      <c r="K1952" t="s">
        <v>568</v>
      </c>
      <c r="L1952" t="s">
        <v>1277</v>
      </c>
      <c r="N1952" t="s">
        <v>228</v>
      </c>
      <c r="Q1952">
        <v>3</v>
      </c>
      <c r="R1952" t="s">
        <v>1135</v>
      </c>
      <c r="T1952" t="s">
        <v>38</v>
      </c>
      <c r="V1952" t="s">
        <v>921</v>
      </c>
      <c r="X1952" t="s">
        <v>81</v>
      </c>
      <c r="Z1952" t="s">
        <v>1136</v>
      </c>
      <c r="AA1952" t="s">
        <v>39</v>
      </c>
      <c r="AC1952" t="s">
        <v>1278</v>
      </c>
    </row>
    <row r="1953" spans="1:29" hidden="1" x14ac:dyDescent="0.25">
      <c r="A1953">
        <v>414</v>
      </c>
      <c r="B1953" t="s">
        <v>575</v>
      </c>
      <c r="C1953" t="s">
        <v>77</v>
      </c>
      <c r="D1953" t="s">
        <v>576</v>
      </c>
      <c r="E1953">
        <v>20</v>
      </c>
      <c r="F1953">
        <v>326</v>
      </c>
      <c r="G1953">
        <v>525</v>
      </c>
      <c r="H1953">
        <v>4</v>
      </c>
      <c r="I1953">
        <v>23.66</v>
      </c>
      <c r="J1953">
        <v>94.66</v>
      </c>
      <c r="K1953" t="s">
        <v>568</v>
      </c>
      <c r="L1953" t="s">
        <v>1277</v>
      </c>
      <c r="N1953" t="s">
        <v>228</v>
      </c>
      <c r="Q1953">
        <v>3</v>
      </c>
      <c r="R1953" t="s">
        <v>1135</v>
      </c>
      <c r="T1953" t="s">
        <v>38</v>
      </c>
      <c r="V1953" t="s">
        <v>921</v>
      </c>
      <c r="X1953" t="s">
        <v>81</v>
      </c>
      <c r="Z1953" t="s">
        <v>1136</v>
      </c>
      <c r="AA1953" t="s">
        <v>39</v>
      </c>
      <c r="AC1953" t="s">
        <v>1278</v>
      </c>
    </row>
    <row r="1954" spans="1:29" hidden="1" x14ac:dyDescent="0.25">
      <c r="A1954">
        <v>415</v>
      </c>
      <c r="B1954" t="s">
        <v>577</v>
      </c>
      <c r="C1954" t="s">
        <v>77</v>
      </c>
      <c r="D1954" t="s">
        <v>578</v>
      </c>
      <c r="E1954">
        <v>20</v>
      </c>
      <c r="F1954">
        <v>175</v>
      </c>
      <c r="G1954">
        <v>180</v>
      </c>
      <c r="H1954">
        <v>8</v>
      </c>
      <c r="I1954">
        <v>4.58</v>
      </c>
      <c r="J1954">
        <v>36.6</v>
      </c>
      <c r="K1954" t="s">
        <v>568</v>
      </c>
      <c r="L1954" t="s">
        <v>1277</v>
      </c>
      <c r="N1954" t="s">
        <v>228</v>
      </c>
      <c r="Q1954">
        <v>3</v>
      </c>
      <c r="R1954" t="s">
        <v>1135</v>
      </c>
      <c r="T1954" t="s">
        <v>38</v>
      </c>
      <c r="V1954" t="s">
        <v>921</v>
      </c>
      <c r="X1954" t="s">
        <v>81</v>
      </c>
      <c r="Z1954" t="s">
        <v>1136</v>
      </c>
      <c r="AA1954" t="s">
        <v>39</v>
      </c>
      <c r="AC1954" t="s">
        <v>1278</v>
      </c>
    </row>
    <row r="1955" spans="1:29" hidden="1" x14ac:dyDescent="0.25">
      <c r="A1955">
        <v>416</v>
      </c>
      <c r="B1955" t="s">
        <v>579</v>
      </c>
      <c r="C1955" t="s">
        <v>77</v>
      </c>
      <c r="D1955" t="s">
        <v>580</v>
      </c>
      <c r="E1955">
        <v>20</v>
      </c>
      <c r="F1955">
        <v>180</v>
      </c>
      <c r="G1955">
        <v>300</v>
      </c>
      <c r="H1955">
        <v>1</v>
      </c>
      <c r="I1955">
        <v>8.48</v>
      </c>
      <c r="J1955">
        <v>8.48</v>
      </c>
      <c r="K1955" t="s">
        <v>568</v>
      </c>
      <c r="L1955" t="s">
        <v>1277</v>
      </c>
      <c r="Q1955">
        <v>3</v>
      </c>
      <c r="R1955" t="s">
        <v>1135</v>
      </c>
      <c r="T1955" t="s">
        <v>38</v>
      </c>
      <c r="V1955" t="s">
        <v>921</v>
      </c>
      <c r="W1955" t="s">
        <v>81</v>
      </c>
      <c r="Z1955" t="s">
        <v>1136</v>
      </c>
      <c r="AA1955" t="s">
        <v>39</v>
      </c>
      <c r="AC1955" t="s">
        <v>1278</v>
      </c>
    </row>
    <row r="1956" spans="1:29" hidden="1" x14ac:dyDescent="0.25">
      <c r="A1956">
        <v>417</v>
      </c>
      <c r="B1956" t="s">
        <v>581</v>
      </c>
      <c r="C1956" t="s">
        <v>77</v>
      </c>
      <c r="D1956" t="s">
        <v>576</v>
      </c>
      <c r="E1956">
        <v>20</v>
      </c>
      <c r="F1956">
        <v>326</v>
      </c>
      <c r="G1956">
        <v>525</v>
      </c>
      <c r="H1956">
        <v>4</v>
      </c>
      <c r="I1956">
        <v>26.87</v>
      </c>
      <c r="J1956">
        <v>107.48</v>
      </c>
      <c r="K1956" t="s">
        <v>568</v>
      </c>
      <c r="L1956" t="s">
        <v>1277</v>
      </c>
      <c r="Q1956">
        <v>3</v>
      </c>
      <c r="R1956" t="s">
        <v>1135</v>
      </c>
      <c r="T1956" t="s">
        <v>38</v>
      </c>
      <c r="V1956" t="s">
        <v>921</v>
      </c>
      <c r="W1956" t="s">
        <v>81</v>
      </c>
      <c r="Z1956" t="s">
        <v>1136</v>
      </c>
      <c r="AA1956" t="s">
        <v>39</v>
      </c>
      <c r="AC1956" t="s">
        <v>1278</v>
      </c>
    </row>
    <row r="1957" spans="1:29" hidden="1" x14ac:dyDescent="0.25">
      <c r="A1957">
        <v>418</v>
      </c>
      <c r="B1957" t="s">
        <v>582</v>
      </c>
      <c r="C1957" t="s">
        <v>77</v>
      </c>
      <c r="D1957" t="s">
        <v>583</v>
      </c>
      <c r="E1957">
        <v>20</v>
      </c>
      <c r="F1957">
        <v>200</v>
      </c>
      <c r="G1957">
        <v>200</v>
      </c>
      <c r="H1957">
        <v>2</v>
      </c>
      <c r="I1957">
        <v>6.28</v>
      </c>
      <c r="J1957">
        <v>12.56</v>
      </c>
      <c r="K1957" t="s">
        <v>568</v>
      </c>
      <c r="L1957" t="s">
        <v>1277</v>
      </c>
      <c r="Q1957">
        <v>3</v>
      </c>
      <c r="R1957" t="s">
        <v>1135</v>
      </c>
      <c r="T1957" t="s">
        <v>38</v>
      </c>
      <c r="V1957" t="s">
        <v>921</v>
      </c>
      <c r="W1957" t="s">
        <v>81</v>
      </c>
      <c r="Z1957" t="s">
        <v>1136</v>
      </c>
      <c r="AA1957" t="s">
        <v>39</v>
      </c>
      <c r="AC1957" t="s">
        <v>1278</v>
      </c>
    </row>
    <row r="1958" spans="1:29" hidden="1" x14ac:dyDescent="0.25">
      <c r="A1958">
        <v>419</v>
      </c>
      <c r="B1958" t="s">
        <v>584</v>
      </c>
      <c r="C1958" t="s">
        <v>77</v>
      </c>
      <c r="D1958" t="s">
        <v>572</v>
      </c>
      <c r="E1958">
        <v>20</v>
      </c>
      <c r="F1958">
        <v>400</v>
      </c>
      <c r="G1958">
        <v>780</v>
      </c>
      <c r="H1958">
        <v>2</v>
      </c>
      <c r="I1958">
        <v>48.98</v>
      </c>
      <c r="J1958">
        <v>97.97</v>
      </c>
      <c r="K1958" t="s">
        <v>568</v>
      </c>
      <c r="L1958" t="s">
        <v>1277</v>
      </c>
      <c r="N1958" t="s">
        <v>228</v>
      </c>
      <c r="Q1958">
        <v>3</v>
      </c>
      <c r="R1958" t="s">
        <v>1135</v>
      </c>
      <c r="T1958" t="s">
        <v>38</v>
      </c>
      <c r="V1958" t="s">
        <v>921</v>
      </c>
      <c r="X1958" t="s">
        <v>81</v>
      </c>
      <c r="Z1958" t="s">
        <v>1136</v>
      </c>
      <c r="AA1958" t="s">
        <v>39</v>
      </c>
      <c r="AC1958" t="s">
        <v>1278</v>
      </c>
    </row>
    <row r="1959" spans="1:29" hidden="1" x14ac:dyDescent="0.25">
      <c r="A1959">
        <v>420</v>
      </c>
      <c r="B1959" t="s">
        <v>585</v>
      </c>
      <c r="C1959" t="s">
        <v>77</v>
      </c>
      <c r="D1959" t="s">
        <v>578</v>
      </c>
      <c r="E1959">
        <v>20</v>
      </c>
      <c r="F1959">
        <v>175</v>
      </c>
      <c r="G1959">
        <v>180</v>
      </c>
      <c r="H1959">
        <v>4</v>
      </c>
      <c r="I1959">
        <v>4.58</v>
      </c>
      <c r="J1959">
        <v>18.3</v>
      </c>
      <c r="K1959" t="s">
        <v>568</v>
      </c>
      <c r="L1959" t="s">
        <v>1277</v>
      </c>
      <c r="N1959" t="s">
        <v>228</v>
      </c>
      <c r="Q1959">
        <v>3</v>
      </c>
      <c r="R1959" t="s">
        <v>1135</v>
      </c>
      <c r="T1959" t="s">
        <v>38</v>
      </c>
      <c r="V1959" t="s">
        <v>921</v>
      </c>
      <c r="X1959" t="s">
        <v>81</v>
      </c>
      <c r="Z1959" t="s">
        <v>1136</v>
      </c>
      <c r="AA1959" t="s">
        <v>39</v>
      </c>
      <c r="AC1959" t="s">
        <v>1278</v>
      </c>
    </row>
    <row r="1960" spans="1:29" hidden="1" x14ac:dyDescent="0.25">
      <c r="A1960">
        <v>421</v>
      </c>
      <c r="B1960" t="s">
        <v>586</v>
      </c>
      <c r="C1960" t="s">
        <v>77</v>
      </c>
      <c r="D1960" t="s">
        <v>580</v>
      </c>
      <c r="E1960">
        <v>20</v>
      </c>
      <c r="F1960">
        <v>180</v>
      </c>
      <c r="G1960">
        <v>300</v>
      </c>
      <c r="H1960">
        <v>1</v>
      </c>
      <c r="I1960">
        <v>8.48</v>
      </c>
      <c r="J1960">
        <v>8.48</v>
      </c>
      <c r="K1960" t="s">
        <v>568</v>
      </c>
      <c r="L1960" t="s">
        <v>1277</v>
      </c>
      <c r="Q1960">
        <v>3</v>
      </c>
      <c r="R1960" t="s">
        <v>1135</v>
      </c>
      <c r="T1960" t="s">
        <v>38</v>
      </c>
      <c r="V1960" t="s">
        <v>921</v>
      </c>
      <c r="W1960" t="s">
        <v>81</v>
      </c>
      <c r="Z1960" t="s">
        <v>1136</v>
      </c>
      <c r="AA1960" t="s">
        <v>39</v>
      </c>
      <c r="AC1960" t="s">
        <v>1278</v>
      </c>
    </row>
    <row r="1961" spans="1:29" hidden="1" x14ac:dyDescent="0.25">
      <c r="A1961">
        <v>422</v>
      </c>
      <c r="B1961" t="s">
        <v>1058</v>
      </c>
      <c r="C1961" t="s">
        <v>77</v>
      </c>
      <c r="D1961" t="s">
        <v>588</v>
      </c>
      <c r="E1961">
        <v>20</v>
      </c>
      <c r="F1961">
        <v>326</v>
      </c>
      <c r="G1961">
        <v>500</v>
      </c>
      <c r="H1961">
        <v>2</v>
      </c>
      <c r="I1961">
        <v>21.2</v>
      </c>
      <c r="J1961">
        <v>42.39</v>
      </c>
      <c r="K1961" t="s">
        <v>568</v>
      </c>
      <c r="L1961" t="s">
        <v>1277</v>
      </c>
      <c r="N1961" t="s">
        <v>228</v>
      </c>
      <c r="Q1961">
        <v>3</v>
      </c>
      <c r="R1961" t="s">
        <v>1135</v>
      </c>
      <c r="T1961" t="s">
        <v>38</v>
      </c>
      <c r="V1961" t="s">
        <v>921</v>
      </c>
      <c r="W1961" t="s">
        <v>81</v>
      </c>
      <c r="Z1961" t="s">
        <v>1136</v>
      </c>
      <c r="AA1961" t="s">
        <v>39</v>
      </c>
      <c r="AC1961" t="s">
        <v>1278</v>
      </c>
    </row>
    <row r="1962" spans="1:29" hidden="1" x14ac:dyDescent="0.25">
      <c r="A1962">
        <v>423</v>
      </c>
      <c r="B1962" t="s">
        <v>589</v>
      </c>
      <c r="C1962" t="s">
        <v>77</v>
      </c>
      <c r="D1962" t="s">
        <v>588</v>
      </c>
      <c r="E1962">
        <v>20</v>
      </c>
      <c r="F1962">
        <v>326</v>
      </c>
      <c r="G1962">
        <v>500</v>
      </c>
      <c r="H1962">
        <v>2</v>
      </c>
      <c r="I1962">
        <v>25.59</v>
      </c>
      <c r="J1962">
        <v>51.18</v>
      </c>
      <c r="K1962" t="s">
        <v>568</v>
      </c>
      <c r="L1962" t="s">
        <v>1277</v>
      </c>
      <c r="Q1962">
        <v>3</v>
      </c>
      <c r="R1962" t="s">
        <v>1135</v>
      </c>
      <c r="T1962" t="s">
        <v>38</v>
      </c>
      <c r="V1962" t="s">
        <v>921</v>
      </c>
      <c r="W1962" t="s">
        <v>81</v>
      </c>
      <c r="Z1962" t="s">
        <v>1136</v>
      </c>
      <c r="AA1962" t="s">
        <v>39</v>
      </c>
      <c r="AC1962" t="s">
        <v>1278</v>
      </c>
    </row>
    <row r="1963" spans="1:29" hidden="1" x14ac:dyDescent="0.25">
      <c r="A1963">
        <v>424</v>
      </c>
      <c r="B1963" t="s">
        <v>590</v>
      </c>
      <c r="C1963" t="s">
        <v>77</v>
      </c>
      <c r="D1963" t="s">
        <v>583</v>
      </c>
      <c r="E1963">
        <v>20</v>
      </c>
      <c r="F1963">
        <v>200</v>
      </c>
      <c r="G1963">
        <v>200</v>
      </c>
      <c r="H1963">
        <v>2</v>
      </c>
      <c r="I1963">
        <v>6.28</v>
      </c>
      <c r="J1963">
        <v>12.56</v>
      </c>
      <c r="K1963" t="s">
        <v>568</v>
      </c>
      <c r="L1963" t="s">
        <v>1277</v>
      </c>
      <c r="Q1963">
        <v>3</v>
      </c>
      <c r="R1963" t="s">
        <v>1135</v>
      </c>
      <c r="T1963" t="s">
        <v>38</v>
      </c>
      <c r="V1963" t="s">
        <v>921</v>
      </c>
      <c r="W1963" t="s">
        <v>81</v>
      </c>
      <c r="Z1963" t="s">
        <v>1136</v>
      </c>
      <c r="AA1963" t="s">
        <v>39</v>
      </c>
      <c r="AC1963" t="s">
        <v>1278</v>
      </c>
    </row>
    <row r="1964" spans="1:29" hidden="1" x14ac:dyDescent="0.25">
      <c r="A1964">
        <v>425</v>
      </c>
      <c r="B1964" t="s">
        <v>591</v>
      </c>
      <c r="C1964" t="s">
        <v>77</v>
      </c>
      <c r="D1964" t="s">
        <v>592</v>
      </c>
      <c r="E1964">
        <v>20</v>
      </c>
      <c r="F1964">
        <v>326</v>
      </c>
      <c r="G1964">
        <v>550</v>
      </c>
      <c r="H1964">
        <v>4</v>
      </c>
      <c r="I1964">
        <v>24.94</v>
      </c>
      <c r="J1964">
        <v>99.78</v>
      </c>
      <c r="K1964" t="s">
        <v>568</v>
      </c>
      <c r="L1964" t="s">
        <v>1277</v>
      </c>
      <c r="N1964" t="s">
        <v>228</v>
      </c>
      <c r="Q1964">
        <v>3</v>
      </c>
      <c r="R1964" t="s">
        <v>1135</v>
      </c>
      <c r="T1964" t="s">
        <v>38</v>
      </c>
      <c r="V1964" t="s">
        <v>921</v>
      </c>
      <c r="X1964" t="s">
        <v>81</v>
      </c>
      <c r="Z1964" t="s">
        <v>1136</v>
      </c>
      <c r="AA1964" t="s">
        <v>39</v>
      </c>
      <c r="AC1964" t="s">
        <v>1278</v>
      </c>
    </row>
    <row r="1965" spans="1:29" hidden="1" x14ac:dyDescent="0.25">
      <c r="A1965">
        <v>426</v>
      </c>
      <c r="B1965" t="s">
        <v>593</v>
      </c>
      <c r="C1965" t="s">
        <v>77</v>
      </c>
      <c r="D1965" t="s">
        <v>592</v>
      </c>
      <c r="E1965">
        <v>20</v>
      </c>
      <c r="F1965">
        <v>326</v>
      </c>
      <c r="G1965">
        <v>550</v>
      </c>
      <c r="H1965">
        <v>4</v>
      </c>
      <c r="I1965">
        <v>28.15</v>
      </c>
      <c r="J1965">
        <v>112.6</v>
      </c>
      <c r="K1965" t="s">
        <v>568</v>
      </c>
      <c r="L1965" t="s">
        <v>1277</v>
      </c>
      <c r="Q1965">
        <v>3</v>
      </c>
      <c r="R1965" t="s">
        <v>1135</v>
      </c>
      <c r="T1965" t="s">
        <v>38</v>
      </c>
      <c r="V1965" t="s">
        <v>921</v>
      </c>
      <c r="W1965" t="s">
        <v>81</v>
      </c>
      <c r="Z1965" t="s">
        <v>1136</v>
      </c>
      <c r="AA1965" t="s">
        <v>39</v>
      </c>
      <c r="AC1965" t="s">
        <v>1278</v>
      </c>
    </row>
    <row r="1966" spans="1:29" hidden="1" x14ac:dyDescent="0.25">
      <c r="A1966">
        <v>427</v>
      </c>
      <c r="B1966" t="s">
        <v>594</v>
      </c>
      <c r="C1966" t="s">
        <v>77</v>
      </c>
      <c r="D1966" t="s">
        <v>572</v>
      </c>
      <c r="E1966">
        <v>20</v>
      </c>
      <c r="F1966">
        <v>400</v>
      </c>
      <c r="G1966">
        <v>780</v>
      </c>
      <c r="H1966">
        <v>4</v>
      </c>
      <c r="I1966">
        <v>48.98</v>
      </c>
      <c r="J1966">
        <v>195.94</v>
      </c>
      <c r="K1966" t="s">
        <v>568</v>
      </c>
      <c r="L1966" t="s">
        <v>1277</v>
      </c>
      <c r="N1966" t="s">
        <v>228</v>
      </c>
      <c r="Q1966">
        <v>3</v>
      </c>
      <c r="R1966" t="s">
        <v>1135</v>
      </c>
      <c r="T1966" t="s">
        <v>38</v>
      </c>
      <c r="V1966" t="s">
        <v>921</v>
      </c>
      <c r="X1966" t="s">
        <v>81</v>
      </c>
      <c r="Z1966" t="s">
        <v>1136</v>
      </c>
      <c r="AA1966" t="s">
        <v>39</v>
      </c>
      <c r="AC1966" t="s">
        <v>1278</v>
      </c>
    </row>
    <row r="1967" spans="1:29" hidden="1" x14ac:dyDescent="0.25">
      <c r="A1967">
        <v>428</v>
      </c>
      <c r="B1967" t="s">
        <v>595</v>
      </c>
      <c r="C1967" t="s">
        <v>77</v>
      </c>
      <c r="D1967" t="s">
        <v>576</v>
      </c>
      <c r="E1967">
        <v>20</v>
      </c>
      <c r="F1967">
        <v>326</v>
      </c>
      <c r="G1967">
        <v>525</v>
      </c>
      <c r="H1967">
        <v>4</v>
      </c>
      <c r="I1967">
        <v>23.66</v>
      </c>
      <c r="J1967">
        <v>94.66</v>
      </c>
      <c r="K1967" t="s">
        <v>568</v>
      </c>
      <c r="L1967" t="s">
        <v>1277</v>
      </c>
      <c r="N1967" t="s">
        <v>228</v>
      </c>
      <c r="Q1967">
        <v>3</v>
      </c>
      <c r="R1967" t="s">
        <v>1135</v>
      </c>
      <c r="T1967" t="s">
        <v>38</v>
      </c>
      <c r="V1967" t="s">
        <v>921</v>
      </c>
      <c r="X1967" t="s">
        <v>81</v>
      </c>
      <c r="Z1967" t="s">
        <v>1136</v>
      </c>
      <c r="AA1967" t="s">
        <v>39</v>
      </c>
      <c r="AC1967" t="s">
        <v>1278</v>
      </c>
    </row>
    <row r="1968" spans="1:29" hidden="1" x14ac:dyDescent="0.25">
      <c r="A1968">
        <v>429</v>
      </c>
      <c r="B1968" t="s">
        <v>596</v>
      </c>
      <c r="C1968" t="s">
        <v>77</v>
      </c>
      <c r="D1968" t="s">
        <v>578</v>
      </c>
      <c r="E1968">
        <v>20</v>
      </c>
      <c r="F1968">
        <v>175</v>
      </c>
      <c r="G1968">
        <v>180</v>
      </c>
      <c r="H1968">
        <v>8</v>
      </c>
      <c r="I1968">
        <v>4.58</v>
      </c>
      <c r="J1968">
        <v>36.6</v>
      </c>
      <c r="K1968" t="s">
        <v>568</v>
      </c>
      <c r="L1968" t="s">
        <v>1277</v>
      </c>
      <c r="N1968" t="s">
        <v>228</v>
      </c>
      <c r="Q1968">
        <v>3</v>
      </c>
      <c r="R1968" t="s">
        <v>1135</v>
      </c>
      <c r="T1968" t="s">
        <v>38</v>
      </c>
      <c r="V1968" t="s">
        <v>921</v>
      </c>
      <c r="X1968" t="s">
        <v>81</v>
      </c>
      <c r="Z1968" t="s">
        <v>1136</v>
      </c>
      <c r="AA1968" t="s">
        <v>39</v>
      </c>
      <c r="AC1968" t="s">
        <v>1278</v>
      </c>
    </row>
    <row r="1969" spans="1:29" hidden="1" x14ac:dyDescent="0.25">
      <c r="A1969">
        <v>430</v>
      </c>
      <c r="B1969" t="s">
        <v>597</v>
      </c>
      <c r="C1969" t="s">
        <v>77</v>
      </c>
      <c r="D1969" t="s">
        <v>580</v>
      </c>
      <c r="E1969">
        <v>20</v>
      </c>
      <c r="F1969">
        <v>180</v>
      </c>
      <c r="G1969">
        <v>300</v>
      </c>
      <c r="H1969">
        <v>1</v>
      </c>
      <c r="I1969">
        <v>8.48</v>
      </c>
      <c r="J1969">
        <v>8.48</v>
      </c>
      <c r="K1969" t="s">
        <v>568</v>
      </c>
      <c r="L1969" t="s">
        <v>1277</v>
      </c>
      <c r="Q1969">
        <v>3</v>
      </c>
      <c r="R1969" t="s">
        <v>1135</v>
      </c>
      <c r="T1969" t="s">
        <v>38</v>
      </c>
      <c r="V1969" t="s">
        <v>921</v>
      </c>
      <c r="W1969" t="s">
        <v>81</v>
      </c>
      <c r="Z1969" t="s">
        <v>1136</v>
      </c>
      <c r="AA1969" t="s">
        <v>39</v>
      </c>
      <c r="AC1969" t="s">
        <v>1278</v>
      </c>
    </row>
    <row r="1970" spans="1:29" hidden="1" x14ac:dyDescent="0.25">
      <c r="A1970">
        <v>431</v>
      </c>
      <c r="B1970" t="s">
        <v>598</v>
      </c>
      <c r="C1970" t="s">
        <v>77</v>
      </c>
      <c r="D1970" t="s">
        <v>576</v>
      </c>
      <c r="E1970">
        <v>20</v>
      </c>
      <c r="F1970">
        <v>326</v>
      </c>
      <c r="G1970">
        <v>525</v>
      </c>
      <c r="H1970">
        <v>4</v>
      </c>
      <c r="I1970">
        <v>26.87</v>
      </c>
      <c r="J1970">
        <v>107.48</v>
      </c>
      <c r="K1970" t="s">
        <v>568</v>
      </c>
      <c r="L1970" t="s">
        <v>1277</v>
      </c>
      <c r="Q1970">
        <v>3</v>
      </c>
      <c r="R1970" t="s">
        <v>1135</v>
      </c>
      <c r="T1970" t="s">
        <v>38</v>
      </c>
      <c r="V1970" t="s">
        <v>921</v>
      </c>
      <c r="W1970" t="s">
        <v>81</v>
      </c>
      <c r="Z1970" t="s">
        <v>1136</v>
      </c>
      <c r="AA1970" t="s">
        <v>39</v>
      </c>
      <c r="AC1970" t="s">
        <v>1278</v>
      </c>
    </row>
    <row r="1971" spans="1:29" hidden="1" x14ac:dyDescent="0.25">
      <c r="A1971">
        <v>432</v>
      </c>
      <c r="B1971" t="s">
        <v>599</v>
      </c>
      <c r="C1971" t="s">
        <v>77</v>
      </c>
      <c r="D1971" t="s">
        <v>583</v>
      </c>
      <c r="E1971">
        <v>20</v>
      </c>
      <c r="F1971">
        <v>200</v>
      </c>
      <c r="G1971">
        <v>200</v>
      </c>
      <c r="H1971">
        <v>2</v>
      </c>
      <c r="I1971">
        <v>6.28</v>
      </c>
      <c r="J1971">
        <v>12.56</v>
      </c>
      <c r="K1971" t="s">
        <v>568</v>
      </c>
      <c r="L1971" t="s">
        <v>1277</v>
      </c>
      <c r="Q1971">
        <v>3</v>
      </c>
      <c r="R1971" t="s">
        <v>1135</v>
      </c>
      <c r="T1971" t="s">
        <v>38</v>
      </c>
      <c r="V1971" t="s">
        <v>921</v>
      </c>
      <c r="W1971" t="s">
        <v>81</v>
      </c>
      <c r="Z1971" t="s">
        <v>1136</v>
      </c>
      <c r="AA1971" t="s">
        <v>39</v>
      </c>
      <c r="AC1971" t="s">
        <v>1278</v>
      </c>
    </row>
    <row r="1972" spans="1:29" hidden="1" x14ac:dyDescent="0.25">
      <c r="A1972">
        <v>433</v>
      </c>
      <c r="B1972" t="s">
        <v>600</v>
      </c>
      <c r="C1972" t="s">
        <v>77</v>
      </c>
      <c r="D1972" t="s">
        <v>572</v>
      </c>
      <c r="E1972">
        <v>20</v>
      </c>
      <c r="F1972">
        <v>400</v>
      </c>
      <c r="G1972">
        <v>780</v>
      </c>
      <c r="H1972">
        <v>2</v>
      </c>
      <c r="I1972">
        <v>48.98</v>
      </c>
      <c r="J1972">
        <v>97.97</v>
      </c>
      <c r="K1972" t="s">
        <v>568</v>
      </c>
      <c r="L1972" t="s">
        <v>1277</v>
      </c>
      <c r="N1972" t="s">
        <v>228</v>
      </c>
      <c r="Q1972">
        <v>3</v>
      </c>
      <c r="R1972" t="s">
        <v>1135</v>
      </c>
      <c r="T1972" t="s">
        <v>38</v>
      </c>
      <c r="V1972" t="s">
        <v>921</v>
      </c>
      <c r="X1972" t="s">
        <v>81</v>
      </c>
      <c r="Z1972" t="s">
        <v>1136</v>
      </c>
      <c r="AA1972" t="s">
        <v>39</v>
      </c>
      <c r="AC1972" t="s">
        <v>1278</v>
      </c>
    </row>
    <row r="1973" spans="1:29" hidden="1" x14ac:dyDescent="0.25">
      <c r="A1973">
        <v>434</v>
      </c>
      <c r="B1973" t="s">
        <v>601</v>
      </c>
      <c r="C1973" t="s">
        <v>77</v>
      </c>
      <c r="D1973" t="s">
        <v>578</v>
      </c>
      <c r="E1973">
        <v>20</v>
      </c>
      <c r="F1973">
        <v>175</v>
      </c>
      <c r="G1973">
        <v>180</v>
      </c>
      <c r="H1973">
        <v>4</v>
      </c>
      <c r="I1973">
        <v>4.58</v>
      </c>
      <c r="J1973">
        <v>18.3</v>
      </c>
      <c r="K1973" t="s">
        <v>568</v>
      </c>
      <c r="L1973" t="s">
        <v>1277</v>
      </c>
      <c r="N1973" t="s">
        <v>228</v>
      </c>
      <c r="Q1973">
        <v>3</v>
      </c>
      <c r="R1973" t="s">
        <v>1135</v>
      </c>
      <c r="T1973" t="s">
        <v>38</v>
      </c>
      <c r="V1973" t="s">
        <v>921</v>
      </c>
      <c r="X1973" t="s">
        <v>81</v>
      </c>
      <c r="Z1973" t="s">
        <v>1136</v>
      </c>
      <c r="AA1973" t="s">
        <v>39</v>
      </c>
      <c r="AC1973" t="s">
        <v>1278</v>
      </c>
    </row>
    <row r="1974" spans="1:29" hidden="1" x14ac:dyDescent="0.25">
      <c r="A1974">
        <v>435</v>
      </c>
      <c r="B1974" t="s">
        <v>602</v>
      </c>
      <c r="C1974" t="s">
        <v>77</v>
      </c>
      <c r="D1974" t="s">
        <v>580</v>
      </c>
      <c r="E1974">
        <v>20</v>
      </c>
      <c r="F1974">
        <v>180</v>
      </c>
      <c r="G1974">
        <v>300</v>
      </c>
      <c r="H1974">
        <v>1</v>
      </c>
      <c r="I1974">
        <v>8.48</v>
      </c>
      <c r="J1974">
        <v>8.48</v>
      </c>
      <c r="K1974" t="s">
        <v>568</v>
      </c>
      <c r="L1974" t="s">
        <v>1277</v>
      </c>
      <c r="Q1974">
        <v>3</v>
      </c>
      <c r="R1974" t="s">
        <v>1135</v>
      </c>
      <c r="T1974" t="s">
        <v>38</v>
      </c>
      <c r="V1974" t="s">
        <v>921</v>
      </c>
      <c r="W1974" t="s">
        <v>81</v>
      </c>
      <c r="Z1974" t="s">
        <v>1136</v>
      </c>
      <c r="AA1974" t="s">
        <v>39</v>
      </c>
      <c r="AC1974" t="s">
        <v>1278</v>
      </c>
    </row>
    <row r="1975" spans="1:29" hidden="1" x14ac:dyDescent="0.25">
      <c r="A1975">
        <v>436</v>
      </c>
      <c r="B1975" t="s">
        <v>1059</v>
      </c>
      <c r="C1975" t="s">
        <v>77</v>
      </c>
      <c r="D1975" t="s">
        <v>588</v>
      </c>
      <c r="E1975">
        <v>20</v>
      </c>
      <c r="F1975">
        <v>326</v>
      </c>
      <c r="G1975">
        <v>500</v>
      </c>
      <c r="H1975">
        <v>2</v>
      </c>
      <c r="I1975">
        <v>21.2</v>
      </c>
      <c r="J1975">
        <v>42.39</v>
      </c>
      <c r="K1975" t="s">
        <v>568</v>
      </c>
      <c r="L1975" t="s">
        <v>1277</v>
      </c>
      <c r="N1975" t="s">
        <v>228</v>
      </c>
      <c r="Q1975">
        <v>3</v>
      </c>
      <c r="R1975" t="s">
        <v>1135</v>
      </c>
      <c r="T1975" t="s">
        <v>38</v>
      </c>
      <c r="V1975" t="s">
        <v>921</v>
      </c>
      <c r="W1975" t="s">
        <v>81</v>
      </c>
      <c r="Z1975" t="s">
        <v>1136</v>
      </c>
      <c r="AA1975" t="s">
        <v>39</v>
      </c>
      <c r="AC1975" t="s">
        <v>1278</v>
      </c>
    </row>
    <row r="1976" spans="1:29" hidden="1" x14ac:dyDescent="0.25">
      <c r="A1976">
        <v>437</v>
      </c>
      <c r="B1976" t="s">
        <v>604</v>
      </c>
      <c r="C1976" t="s">
        <v>77</v>
      </c>
      <c r="D1976" t="s">
        <v>588</v>
      </c>
      <c r="E1976">
        <v>20</v>
      </c>
      <c r="F1976">
        <v>326</v>
      </c>
      <c r="G1976">
        <v>500</v>
      </c>
      <c r="H1976">
        <v>2</v>
      </c>
      <c r="I1976">
        <v>25.59</v>
      </c>
      <c r="J1976">
        <v>51.18</v>
      </c>
      <c r="K1976" t="s">
        <v>568</v>
      </c>
      <c r="L1976" t="s">
        <v>1277</v>
      </c>
      <c r="Q1976">
        <v>3</v>
      </c>
      <c r="R1976" t="s">
        <v>1135</v>
      </c>
      <c r="T1976" t="s">
        <v>38</v>
      </c>
      <c r="V1976" t="s">
        <v>921</v>
      </c>
      <c r="W1976" t="s">
        <v>81</v>
      </c>
      <c r="Z1976" t="s">
        <v>1136</v>
      </c>
      <c r="AA1976" t="s">
        <v>39</v>
      </c>
      <c r="AC1976" t="s">
        <v>1278</v>
      </c>
    </row>
    <row r="1977" spans="1:29" hidden="1" x14ac:dyDescent="0.25">
      <c r="A1977">
        <v>438</v>
      </c>
      <c r="B1977" t="s">
        <v>605</v>
      </c>
      <c r="C1977" t="s">
        <v>77</v>
      </c>
      <c r="D1977" t="s">
        <v>583</v>
      </c>
      <c r="E1977">
        <v>20</v>
      </c>
      <c r="F1977">
        <v>200</v>
      </c>
      <c r="G1977">
        <v>200</v>
      </c>
      <c r="H1977">
        <v>2</v>
      </c>
      <c r="I1977">
        <v>6.28</v>
      </c>
      <c r="J1977">
        <v>12.56</v>
      </c>
      <c r="K1977" t="s">
        <v>568</v>
      </c>
      <c r="L1977" t="s">
        <v>1277</v>
      </c>
      <c r="Q1977">
        <v>3</v>
      </c>
      <c r="R1977" t="s">
        <v>1135</v>
      </c>
      <c r="T1977" t="s">
        <v>38</v>
      </c>
      <c r="V1977" t="s">
        <v>921</v>
      </c>
      <c r="W1977" t="s">
        <v>81</v>
      </c>
      <c r="Z1977" t="s">
        <v>1136</v>
      </c>
      <c r="AA1977" t="s">
        <v>39</v>
      </c>
      <c r="AC1977" t="s">
        <v>1278</v>
      </c>
    </row>
    <row r="1978" spans="1:29" hidden="1" x14ac:dyDescent="0.25">
      <c r="A1978">
        <v>439</v>
      </c>
      <c r="B1978" t="s">
        <v>606</v>
      </c>
      <c r="C1978" t="s">
        <v>77</v>
      </c>
      <c r="D1978" t="s">
        <v>592</v>
      </c>
      <c r="E1978">
        <v>20</v>
      </c>
      <c r="F1978">
        <v>326</v>
      </c>
      <c r="G1978">
        <v>550</v>
      </c>
      <c r="H1978">
        <v>4</v>
      </c>
      <c r="I1978">
        <v>24.94</v>
      </c>
      <c r="J1978">
        <v>99.78</v>
      </c>
      <c r="K1978" t="s">
        <v>568</v>
      </c>
      <c r="L1978" t="s">
        <v>1277</v>
      </c>
      <c r="N1978" t="s">
        <v>228</v>
      </c>
      <c r="Q1978">
        <v>3</v>
      </c>
      <c r="R1978" t="s">
        <v>1135</v>
      </c>
      <c r="T1978" t="s">
        <v>38</v>
      </c>
      <c r="V1978" t="s">
        <v>921</v>
      </c>
      <c r="X1978" t="s">
        <v>81</v>
      </c>
      <c r="Z1978" t="s">
        <v>1136</v>
      </c>
      <c r="AA1978" t="s">
        <v>39</v>
      </c>
      <c r="AC1978" t="s">
        <v>1278</v>
      </c>
    </row>
    <row r="1979" spans="1:29" hidden="1" x14ac:dyDescent="0.25">
      <c r="A1979">
        <v>440</v>
      </c>
      <c r="B1979" t="s">
        <v>607</v>
      </c>
      <c r="C1979" t="s">
        <v>77</v>
      </c>
      <c r="D1979" t="s">
        <v>592</v>
      </c>
      <c r="E1979">
        <v>20</v>
      </c>
      <c r="F1979">
        <v>326</v>
      </c>
      <c r="G1979">
        <v>550</v>
      </c>
      <c r="H1979">
        <v>4</v>
      </c>
      <c r="I1979">
        <v>28.15</v>
      </c>
      <c r="J1979">
        <v>112.6</v>
      </c>
      <c r="K1979" t="s">
        <v>568</v>
      </c>
      <c r="L1979" t="s">
        <v>1277</v>
      </c>
      <c r="Q1979">
        <v>3</v>
      </c>
      <c r="R1979" t="s">
        <v>1135</v>
      </c>
      <c r="T1979" t="s">
        <v>38</v>
      </c>
      <c r="V1979" t="s">
        <v>921</v>
      </c>
      <c r="W1979" t="s">
        <v>81</v>
      </c>
      <c r="Z1979" t="s">
        <v>1136</v>
      </c>
      <c r="AA1979" t="s">
        <v>39</v>
      </c>
      <c r="AC1979" t="s">
        <v>1278</v>
      </c>
    </row>
    <row r="1980" spans="1:29" hidden="1" x14ac:dyDescent="0.25">
      <c r="A1980">
        <v>441</v>
      </c>
      <c r="B1980" t="s">
        <v>608</v>
      </c>
      <c r="C1980" t="s">
        <v>77</v>
      </c>
      <c r="D1980" t="s">
        <v>609</v>
      </c>
      <c r="E1980">
        <v>20</v>
      </c>
      <c r="F1980">
        <v>348</v>
      </c>
      <c r="G1980">
        <v>350</v>
      </c>
      <c r="H1980">
        <v>2</v>
      </c>
      <c r="I1980">
        <v>14.42</v>
      </c>
      <c r="J1980">
        <v>28.83</v>
      </c>
      <c r="K1980" t="s">
        <v>568</v>
      </c>
      <c r="L1980" t="s">
        <v>1277</v>
      </c>
      <c r="N1980" t="s">
        <v>228</v>
      </c>
      <c r="Q1980">
        <v>3</v>
      </c>
      <c r="R1980" t="s">
        <v>1135</v>
      </c>
      <c r="T1980" t="s">
        <v>38</v>
      </c>
      <c r="V1980" t="s">
        <v>921</v>
      </c>
      <c r="X1980" t="s">
        <v>81</v>
      </c>
      <c r="Z1980" t="s">
        <v>1136</v>
      </c>
      <c r="AA1980" t="s">
        <v>39</v>
      </c>
      <c r="AC1980" t="s">
        <v>1278</v>
      </c>
    </row>
    <row r="1981" spans="1:29" hidden="1" x14ac:dyDescent="0.25">
      <c r="A1981">
        <v>442</v>
      </c>
      <c r="B1981" t="s">
        <v>610</v>
      </c>
      <c r="C1981" t="s">
        <v>77</v>
      </c>
      <c r="D1981" t="s">
        <v>567</v>
      </c>
      <c r="E1981">
        <v>20</v>
      </c>
      <c r="F1981">
        <v>240</v>
      </c>
      <c r="G1981">
        <v>250</v>
      </c>
      <c r="H1981">
        <v>12</v>
      </c>
      <c r="I1981">
        <v>6.68</v>
      </c>
      <c r="J1981">
        <v>80.11</v>
      </c>
      <c r="K1981" t="s">
        <v>568</v>
      </c>
      <c r="L1981" t="s">
        <v>1277</v>
      </c>
      <c r="N1981" t="s">
        <v>228</v>
      </c>
      <c r="Q1981">
        <v>3</v>
      </c>
      <c r="R1981" t="s">
        <v>1135</v>
      </c>
      <c r="T1981" t="s">
        <v>38</v>
      </c>
      <c r="V1981" t="s">
        <v>921</v>
      </c>
      <c r="X1981" t="s">
        <v>81</v>
      </c>
      <c r="Z1981" t="s">
        <v>1136</v>
      </c>
      <c r="AA1981" t="s">
        <v>39</v>
      </c>
      <c r="AC1981" t="s">
        <v>1278</v>
      </c>
    </row>
    <row r="1982" spans="1:29" hidden="1" x14ac:dyDescent="0.25">
      <c r="A1982">
        <v>443</v>
      </c>
      <c r="B1982" t="s">
        <v>611</v>
      </c>
      <c r="C1982" t="s">
        <v>77</v>
      </c>
      <c r="D1982" t="s">
        <v>609</v>
      </c>
      <c r="E1982">
        <v>20</v>
      </c>
      <c r="F1982">
        <v>348</v>
      </c>
      <c r="G1982">
        <v>350</v>
      </c>
      <c r="H1982">
        <v>4</v>
      </c>
      <c r="I1982">
        <v>14.41</v>
      </c>
      <c r="J1982">
        <v>57.65</v>
      </c>
      <c r="K1982" t="s">
        <v>568</v>
      </c>
      <c r="L1982" t="s">
        <v>1277</v>
      </c>
      <c r="N1982" t="s">
        <v>228</v>
      </c>
      <c r="Q1982">
        <v>3</v>
      </c>
      <c r="R1982" t="s">
        <v>1135</v>
      </c>
      <c r="T1982" t="s">
        <v>38</v>
      </c>
      <c r="V1982" t="s">
        <v>921</v>
      </c>
      <c r="X1982" t="s">
        <v>81</v>
      </c>
      <c r="Z1982" t="s">
        <v>1136</v>
      </c>
      <c r="AA1982" t="s">
        <v>39</v>
      </c>
      <c r="AC1982" t="s">
        <v>1278</v>
      </c>
    </row>
    <row r="1983" spans="1:29" hidden="1" x14ac:dyDescent="0.25">
      <c r="A1983">
        <v>444</v>
      </c>
      <c r="B1983" t="s">
        <v>612</v>
      </c>
      <c r="C1983" t="s">
        <v>77</v>
      </c>
      <c r="D1983" t="s">
        <v>567</v>
      </c>
      <c r="E1983">
        <v>20</v>
      </c>
      <c r="F1983">
        <v>240</v>
      </c>
      <c r="G1983">
        <v>250</v>
      </c>
      <c r="H1983">
        <v>16</v>
      </c>
      <c r="I1983">
        <v>6.68</v>
      </c>
      <c r="J1983">
        <v>106.81</v>
      </c>
      <c r="K1983" t="s">
        <v>568</v>
      </c>
      <c r="L1983" t="s">
        <v>1277</v>
      </c>
      <c r="N1983" t="s">
        <v>228</v>
      </c>
      <c r="Q1983">
        <v>3</v>
      </c>
      <c r="R1983" t="s">
        <v>1135</v>
      </c>
      <c r="T1983" t="s">
        <v>38</v>
      </c>
      <c r="V1983" t="s">
        <v>921</v>
      </c>
      <c r="X1983" t="s">
        <v>81</v>
      </c>
      <c r="Z1983" t="s">
        <v>1136</v>
      </c>
      <c r="AA1983" t="s">
        <v>39</v>
      </c>
      <c r="AC1983" t="s">
        <v>1278</v>
      </c>
    </row>
    <row r="1984" spans="1:29" hidden="1" x14ac:dyDescent="0.25">
      <c r="A1984">
        <v>445</v>
      </c>
      <c r="B1984" t="s">
        <v>613</v>
      </c>
      <c r="C1984" t="s">
        <v>77</v>
      </c>
      <c r="D1984" t="s">
        <v>609</v>
      </c>
      <c r="E1984">
        <v>20</v>
      </c>
      <c r="F1984">
        <v>348</v>
      </c>
      <c r="G1984">
        <v>350</v>
      </c>
      <c r="H1984">
        <v>2</v>
      </c>
      <c r="I1984">
        <v>14.42</v>
      </c>
      <c r="J1984">
        <v>28.83</v>
      </c>
      <c r="K1984" t="s">
        <v>568</v>
      </c>
      <c r="L1984" t="s">
        <v>1277</v>
      </c>
      <c r="N1984" t="s">
        <v>228</v>
      </c>
      <c r="Q1984">
        <v>3</v>
      </c>
      <c r="R1984" t="s">
        <v>1135</v>
      </c>
      <c r="T1984" t="s">
        <v>38</v>
      </c>
      <c r="V1984" t="s">
        <v>921</v>
      </c>
      <c r="X1984" t="s">
        <v>81</v>
      </c>
      <c r="Z1984" t="s">
        <v>1136</v>
      </c>
      <c r="AA1984" t="s">
        <v>39</v>
      </c>
      <c r="AC1984" t="s">
        <v>1278</v>
      </c>
    </row>
    <row r="1985" spans="1:29" hidden="1" x14ac:dyDescent="0.25">
      <c r="A1985">
        <v>446</v>
      </c>
      <c r="B1985" t="s">
        <v>614</v>
      </c>
      <c r="C1985" t="s">
        <v>77</v>
      </c>
      <c r="D1985" t="s">
        <v>567</v>
      </c>
      <c r="E1985">
        <v>20</v>
      </c>
      <c r="F1985">
        <v>240</v>
      </c>
      <c r="G1985">
        <v>250</v>
      </c>
      <c r="H1985">
        <v>12</v>
      </c>
      <c r="I1985">
        <v>6.68</v>
      </c>
      <c r="J1985">
        <v>80.11</v>
      </c>
      <c r="K1985" t="s">
        <v>568</v>
      </c>
      <c r="L1985" t="s">
        <v>1277</v>
      </c>
      <c r="N1985" t="s">
        <v>228</v>
      </c>
      <c r="Q1985">
        <v>3</v>
      </c>
      <c r="R1985" t="s">
        <v>1135</v>
      </c>
      <c r="T1985" t="s">
        <v>38</v>
      </c>
      <c r="V1985" t="s">
        <v>921</v>
      </c>
      <c r="X1985" t="s">
        <v>81</v>
      </c>
      <c r="Z1985" t="s">
        <v>1136</v>
      </c>
      <c r="AA1985" t="s">
        <v>39</v>
      </c>
      <c r="AC1985" t="s">
        <v>1278</v>
      </c>
    </row>
    <row r="1986" spans="1:29" hidden="1" x14ac:dyDescent="0.25">
      <c r="A1986">
        <v>447</v>
      </c>
      <c r="B1986" t="s">
        <v>615</v>
      </c>
      <c r="C1986" t="s">
        <v>77</v>
      </c>
      <c r="D1986" t="s">
        <v>567</v>
      </c>
      <c r="E1986">
        <v>20</v>
      </c>
      <c r="F1986">
        <v>240</v>
      </c>
      <c r="G1986">
        <v>250</v>
      </c>
      <c r="H1986">
        <v>8</v>
      </c>
      <c r="I1986">
        <v>6.68</v>
      </c>
      <c r="J1986">
        <v>53.41</v>
      </c>
      <c r="K1986" t="s">
        <v>568</v>
      </c>
      <c r="L1986" t="s">
        <v>1277</v>
      </c>
      <c r="N1986" t="s">
        <v>228</v>
      </c>
      <c r="Q1986">
        <v>3</v>
      </c>
      <c r="R1986" t="s">
        <v>1135</v>
      </c>
      <c r="T1986" t="s">
        <v>38</v>
      </c>
      <c r="V1986" t="s">
        <v>921</v>
      </c>
      <c r="X1986" t="s">
        <v>81</v>
      </c>
      <c r="Z1986" t="s">
        <v>1136</v>
      </c>
      <c r="AA1986" t="s">
        <v>39</v>
      </c>
      <c r="AC1986" t="s">
        <v>1278</v>
      </c>
    </row>
    <row r="1987" spans="1:29" hidden="1" x14ac:dyDescent="0.25">
      <c r="A1987">
        <v>448</v>
      </c>
      <c r="B1987" t="s">
        <v>616</v>
      </c>
      <c r="C1987" t="s">
        <v>77</v>
      </c>
      <c r="D1987" t="s">
        <v>617</v>
      </c>
      <c r="E1987">
        <v>20</v>
      </c>
      <c r="F1987">
        <v>140</v>
      </c>
      <c r="G1987">
        <v>200</v>
      </c>
      <c r="H1987">
        <v>12</v>
      </c>
      <c r="I1987">
        <v>3.95</v>
      </c>
      <c r="J1987">
        <v>47.36</v>
      </c>
      <c r="K1987" t="s">
        <v>568</v>
      </c>
      <c r="L1987" t="s">
        <v>1277</v>
      </c>
      <c r="N1987" t="s">
        <v>228</v>
      </c>
      <c r="Q1987">
        <v>3</v>
      </c>
      <c r="R1987" t="s">
        <v>1135</v>
      </c>
      <c r="T1987" t="s">
        <v>38</v>
      </c>
      <c r="V1987" t="s">
        <v>921</v>
      </c>
      <c r="X1987" t="s">
        <v>81</v>
      </c>
      <c r="Z1987" t="s">
        <v>1136</v>
      </c>
      <c r="AA1987" t="s">
        <v>39</v>
      </c>
      <c r="AC1987" t="s">
        <v>1278</v>
      </c>
    </row>
    <row r="1988" spans="1:29" hidden="1" x14ac:dyDescent="0.25">
      <c r="A1988">
        <v>449</v>
      </c>
      <c r="B1988" t="s">
        <v>618</v>
      </c>
      <c r="C1988" t="s">
        <v>77</v>
      </c>
      <c r="D1988" t="s">
        <v>617</v>
      </c>
      <c r="E1988">
        <v>20</v>
      </c>
      <c r="F1988">
        <v>140</v>
      </c>
      <c r="G1988">
        <v>200</v>
      </c>
      <c r="H1988">
        <v>8</v>
      </c>
      <c r="I1988">
        <v>4.26</v>
      </c>
      <c r="J1988">
        <v>34.04</v>
      </c>
      <c r="K1988" t="s">
        <v>568</v>
      </c>
      <c r="L1988" t="s">
        <v>1277</v>
      </c>
      <c r="N1988" t="s">
        <v>228</v>
      </c>
      <c r="Q1988">
        <v>3</v>
      </c>
      <c r="R1988" t="s">
        <v>1135</v>
      </c>
      <c r="T1988" t="s">
        <v>38</v>
      </c>
      <c r="V1988" t="s">
        <v>921</v>
      </c>
      <c r="X1988" t="s">
        <v>81</v>
      </c>
      <c r="Z1988" t="s">
        <v>1136</v>
      </c>
      <c r="AA1988" t="s">
        <v>39</v>
      </c>
      <c r="AC1988" t="s">
        <v>1278</v>
      </c>
    </row>
    <row r="1989" spans="1:29" hidden="1" x14ac:dyDescent="0.25">
      <c r="A1989">
        <v>450</v>
      </c>
      <c r="B1989" t="s">
        <v>619</v>
      </c>
      <c r="C1989" t="s">
        <v>77</v>
      </c>
      <c r="D1989" t="s">
        <v>617</v>
      </c>
      <c r="E1989">
        <v>20</v>
      </c>
      <c r="F1989">
        <v>140</v>
      </c>
      <c r="G1989">
        <v>200</v>
      </c>
      <c r="H1989">
        <v>8</v>
      </c>
      <c r="I1989">
        <v>4.26</v>
      </c>
      <c r="J1989">
        <v>34.04</v>
      </c>
      <c r="K1989" t="s">
        <v>568</v>
      </c>
      <c r="L1989" t="s">
        <v>1277</v>
      </c>
      <c r="N1989" t="s">
        <v>228</v>
      </c>
      <c r="Q1989">
        <v>3</v>
      </c>
      <c r="R1989" t="s">
        <v>1135</v>
      </c>
      <c r="T1989" t="s">
        <v>38</v>
      </c>
      <c r="V1989" t="s">
        <v>921</v>
      </c>
      <c r="X1989" t="s">
        <v>81</v>
      </c>
      <c r="Z1989" t="s">
        <v>1136</v>
      </c>
      <c r="AA1989" t="s">
        <v>39</v>
      </c>
      <c r="AC1989" t="s">
        <v>1278</v>
      </c>
    </row>
    <row r="1990" spans="1:29" hidden="1" x14ac:dyDescent="0.25">
      <c r="A1990">
        <v>451</v>
      </c>
      <c r="B1990" t="s">
        <v>620</v>
      </c>
      <c r="C1990" t="s">
        <v>77</v>
      </c>
      <c r="D1990" t="s">
        <v>617</v>
      </c>
      <c r="E1990">
        <v>20</v>
      </c>
      <c r="F1990">
        <v>140</v>
      </c>
      <c r="G1990">
        <v>200</v>
      </c>
      <c r="H1990">
        <v>8</v>
      </c>
      <c r="I1990">
        <v>3.94</v>
      </c>
      <c r="J1990">
        <v>33.42</v>
      </c>
      <c r="K1990" t="s">
        <v>568</v>
      </c>
      <c r="L1990" t="s">
        <v>1277</v>
      </c>
      <c r="N1990" t="s">
        <v>228</v>
      </c>
      <c r="Q1990">
        <v>3</v>
      </c>
      <c r="R1990" t="s">
        <v>1135</v>
      </c>
      <c r="T1990" t="s">
        <v>38</v>
      </c>
      <c r="V1990" t="s">
        <v>921</v>
      </c>
      <c r="X1990" t="s">
        <v>81</v>
      </c>
      <c r="Z1990" t="s">
        <v>1136</v>
      </c>
      <c r="AA1990" t="s">
        <v>39</v>
      </c>
      <c r="AC1990" t="s">
        <v>1278</v>
      </c>
    </row>
    <row r="1991" spans="1:29" hidden="1" x14ac:dyDescent="0.25">
      <c r="A1991">
        <v>452</v>
      </c>
      <c r="B1991" t="s">
        <v>621</v>
      </c>
      <c r="C1991" t="s">
        <v>77</v>
      </c>
      <c r="D1991" t="s">
        <v>617</v>
      </c>
      <c r="E1991">
        <v>20</v>
      </c>
      <c r="F1991">
        <v>140</v>
      </c>
      <c r="G1991">
        <v>200</v>
      </c>
      <c r="H1991">
        <v>8</v>
      </c>
      <c r="I1991">
        <v>3.95</v>
      </c>
      <c r="J1991">
        <v>31.57</v>
      </c>
      <c r="K1991" t="s">
        <v>568</v>
      </c>
      <c r="L1991" t="s">
        <v>1277</v>
      </c>
      <c r="N1991" t="s">
        <v>228</v>
      </c>
      <c r="Q1991">
        <v>3</v>
      </c>
      <c r="R1991" t="s">
        <v>1135</v>
      </c>
      <c r="T1991" t="s">
        <v>38</v>
      </c>
      <c r="V1991" t="s">
        <v>921</v>
      </c>
      <c r="X1991" t="s">
        <v>81</v>
      </c>
      <c r="Z1991" t="s">
        <v>1136</v>
      </c>
      <c r="AA1991" t="s">
        <v>39</v>
      </c>
      <c r="AC1991" t="s">
        <v>1278</v>
      </c>
    </row>
    <row r="1992" spans="1:29" hidden="1" x14ac:dyDescent="0.25">
      <c r="A1992">
        <v>453</v>
      </c>
      <c r="B1992" t="s">
        <v>622</v>
      </c>
      <c r="C1992" t="s">
        <v>77</v>
      </c>
      <c r="D1992" t="s">
        <v>617</v>
      </c>
      <c r="E1992">
        <v>20</v>
      </c>
      <c r="F1992">
        <v>140</v>
      </c>
      <c r="G1992">
        <v>200</v>
      </c>
      <c r="H1992">
        <v>8</v>
      </c>
      <c r="I1992">
        <v>3.95</v>
      </c>
      <c r="J1992">
        <v>31.57</v>
      </c>
      <c r="K1992" t="s">
        <v>568</v>
      </c>
      <c r="L1992" t="s">
        <v>1277</v>
      </c>
      <c r="N1992" t="s">
        <v>228</v>
      </c>
      <c r="Q1992">
        <v>3</v>
      </c>
      <c r="R1992" t="s">
        <v>1135</v>
      </c>
      <c r="T1992" t="s">
        <v>38</v>
      </c>
      <c r="V1992" t="s">
        <v>921</v>
      </c>
      <c r="X1992" t="s">
        <v>81</v>
      </c>
      <c r="Z1992" t="s">
        <v>1136</v>
      </c>
      <c r="AA1992" t="s">
        <v>39</v>
      </c>
      <c r="AC1992" t="s">
        <v>1278</v>
      </c>
    </row>
    <row r="1993" spans="1:29" hidden="1" x14ac:dyDescent="0.25">
      <c r="A1993">
        <v>454</v>
      </c>
      <c r="B1993" t="s">
        <v>623</v>
      </c>
      <c r="C1993" t="s">
        <v>77</v>
      </c>
      <c r="D1993" t="s">
        <v>617</v>
      </c>
      <c r="E1993">
        <v>20</v>
      </c>
      <c r="F1993">
        <v>140</v>
      </c>
      <c r="G1993">
        <v>200</v>
      </c>
      <c r="H1993">
        <v>8</v>
      </c>
      <c r="I1993">
        <v>3.95</v>
      </c>
      <c r="J1993">
        <v>31.57</v>
      </c>
      <c r="K1993" t="s">
        <v>568</v>
      </c>
      <c r="L1993" t="s">
        <v>1277</v>
      </c>
      <c r="N1993" t="s">
        <v>228</v>
      </c>
      <c r="Q1993">
        <v>3</v>
      </c>
      <c r="R1993" t="s">
        <v>1135</v>
      </c>
      <c r="T1993" t="s">
        <v>38</v>
      </c>
      <c r="V1993" t="s">
        <v>921</v>
      </c>
      <c r="X1993" t="s">
        <v>81</v>
      </c>
      <c r="Z1993" t="s">
        <v>1136</v>
      </c>
      <c r="AA1993" t="s">
        <v>39</v>
      </c>
      <c r="AC1993" t="s">
        <v>1278</v>
      </c>
    </row>
    <row r="1994" spans="1:29" hidden="1" x14ac:dyDescent="0.25">
      <c r="A1994">
        <v>455</v>
      </c>
      <c r="B1994" t="s">
        <v>624</v>
      </c>
      <c r="C1994" t="s">
        <v>77</v>
      </c>
      <c r="D1994" t="s">
        <v>617</v>
      </c>
      <c r="E1994">
        <v>20</v>
      </c>
      <c r="F1994">
        <v>140</v>
      </c>
      <c r="G1994">
        <v>200</v>
      </c>
      <c r="H1994">
        <v>8</v>
      </c>
      <c r="I1994">
        <v>3.95</v>
      </c>
      <c r="J1994">
        <v>31.57</v>
      </c>
      <c r="K1994" t="s">
        <v>568</v>
      </c>
      <c r="L1994" t="s">
        <v>1277</v>
      </c>
      <c r="N1994" t="s">
        <v>228</v>
      </c>
      <c r="Q1994">
        <v>3</v>
      </c>
      <c r="R1994" t="s">
        <v>1135</v>
      </c>
      <c r="T1994" t="s">
        <v>38</v>
      </c>
      <c r="V1994" t="s">
        <v>921</v>
      </c>
      <c r="X1994" t="s">
        <v>81</v>
      </c>
      <c r="Z1994" t="s">
        <v>1136</v>
      </c>
      <c r="AA1994" t="s">
        <v>39</v>
      </c>
      <c r="AC1994" t="s">
        <v>1278</v>
      </c>
    </row>
    <row r="1995" spans="1:29" hidden="1" x14ac:dyDescent="0.25">
      <c r="A1995">
        <v>456</v>
      </c>
      <c r="B1995" t="s">
        <v>625</v>
      </c>
      <c r="C1995" t="s">
        <v>77</v>
      </c>
      <c r="D1995" t="s">
        <v>617</v>
      </c>
      <c r="E1995">
        <v>20</v>
      </c>
      <c r="F1995">
        <v>140</v>
      </c>
      <c r="G1995">
        <v>200</v>
      </c>
      <c r="H1995">
        <v>8</v>
      </c>
      <c r="I1995">
        <v>3.95</v>
      </c>
      <c r="J1995">
        <v>31.57</v>
      </c>
      <c r="K1995" t="s">
        <v>568</v>
      </c>
      <c r="L1995" t="s">
        <v>1277</v>
      </c>
      <c r="N1995" t="s">
        <v>228</v>
      </c>
      <c r="Q1995">
        <v>3</v>
      </c>
      <c r="R1995" t="s">
        <v>1135</v>
      </c>
      <c r="T1995" t="s">
        <v>38</v>
      </c>
      <c r="V1995" t="s">
        <v>921</v>
      </c>
      <c r="X1995" t="s">
        <v>81</v>
      </c>
      <c r="Z1995" t="s">
        <v>1136</v>
      </c>
      <c r="AA1995" t="s">
        <v>39</v>
      </c>
      <c r="AC1995" t="s">
        <v>1278</v>
      </c>
    </row>
    <row r="1996" spans="1:29" hidden="1" x14ac:dyDescent="0.25">
      <c r="A1996">
        <v>457</v>
      </c>
      <c r="B1996" t="s">
        <v>626</v>
      </c>
      <c r="C1996" t="s">
        <v>77</v>
      </c>
      <c r="D1996" t="s">
        <v>617</v>
      </c>
      <c r="E1996">
        <v>20</v>
      </c>
      <c r="F1996">
        <v>140</v>
      </c>
      <c r="G1996">
        <v>200</v>
      </c>
      <c r="H1996">
        <v>12</v>
      </c>
      <c r="I1996">
        <v>3.95</v>
      </c>
      <c r="J1996">
        <v>47.36</v>
      </c>
      <c r="K1996" t="s">
        <v>568</v>
      </c>
      <c r="L1996" t="s">
        <v>1277</v>
      </c>
      <c r="N1996" t="s">
        <v>228</v>
      </c>
      <c r="Q1996">
        <v>3</v>
      </c>
      <c r="R1996" t="s">
        <v>1135</v>
      </c>
      <c r="T1996" t="s">
        <v>38</v>
      </c>
      <c r="V1996" t="s">
        <v>921</v>
      </c>
      <c r="X1996" t="s">
        <v>81</v>
      </c>
      <c r="Z1996" t="s">
        <v>1136</v>
      </c>
      <c r="AA1996" t="s">
        <v>39</v>
      </c>
      <c r="AC1996" t="s">
        <v>1278</v>
      </c>
    </row>
    <row r="1997" spans="1:29" hidden="1" x14ac:dyDescent="0.25">
      <c r="A1997">
        <v>458</v>
      </c>
      <c r="B1997" t="s">
        <v>1279</v>
      </c>
      <c r="C1997" t="s">
        <v>77</v>
      </c>
      <c r="D1997" t="s">
        <v>1280</v>
      </c>
      <c r="E1997">
        <v>20</v>
      </c>
      <c r="F1997">
        <v>300</v>
      </c>
      <c r="G1997">
        <v>450</v>
      </c>
      <c r="H1997">
        <v>1</v>
      </c>
      <c r="I1997">
        <v>21.2</v>
      </c>
      <c r="J1997">
        <v>21.2</v>
      </c>
      <c r="K1997" t="s">
        <v>568</v>
      </c>
      <c r="L1997" t="s">
        <v>1277</v>
      </c>
      <c r="Q1997">
        <v>3</v>
      </c>
      <c r="R1997" t="s">
        <v>1135</v>
      </c>
      <c r="T1997" t="s">
        <v>38</v>
      </c>
      <c r="V1997" t="s">
        <v>921</v>
      </c>
      <c r="Z1997" t="s">
        <v>1136</v>
      </c>
      <c r="AA1997" t="s">
        <v>39</v>
      </c>
      <c r="AC1997" t="s">
        <v>1278</v>
      </c>
    </row>
    <row r="1998" spans="1:29" hidden="1" x14ac:dyDescent="0.25">
      <c r="A1998">
        <v>459</v>
      </c>
      <c r="B1998" t="s">
        <v>663</v>
      </c>
      <c r="C1998" t="s">
        <v>77</v>
      </c>
      <c r="D1998" t="s">
        <v>664</v>
      </c>
      <c r="E1998">
        <v>25</v>
      </c>
      <c r="F1998">
        <v>250</v>
      </c>
      <c r="G1998">
        <v>300</v>
      </c>
      <c r="H1998">
        <v>8</v>
      </c>
      <c r="I1998">
        <v>13.65</v>
      </c>
      <c r="J1998">
        <v>109.2</v>
      </c>
      <c r="K1998" t="s">
        <v>1281</v>
      </c>
      <c r="L1998" t="s">
        <v>1282</v>
      </c>
      <c r="N1998" t="s">
        <v>228</v>
      </c>
      <c r="Q1998">
        <v>3</v>
      </c>
      <c r="R1998" t="s">
        <v>1135</v>
      </c>
      <c r="T1998" t="s">
        <v>38</v>
      </c>
      <c r="V1998" t="s">
        <v>921</v>
      </c>
      <c r="X1998" t="s">
        <v>81</v>
      </c>
      <c r="Z1998" t="s">
        <v>1136</v>
      </c>
      <c r="AA1998" t="s">
        <v>1283</v>
      </c>
      <c r="AC1998" t="s">
        <v>1284</v>
      </c>
    </row>
    <row r="1999" spans="1:29" hidden="1" x14ac:dyDescent="0.25">
      <c r="A1999">
        <v>460</v>
      </c>
      <c r="B1999" t="s">
        <v>669</v>
      </c>
      <c r="C1999" t="s">
        <v>77</v>
      </c>
      <c r="D1999" t="s">
        <v>668</v>
      </c>
      <c r="E1999">
        <v>25</v>
      </c>
      <c r="F1999">
        <v>240</v>
      </c>
      <c r="G1999">
        <v>300</v>
      </c>
      <c r="H1999">
        <v>8</v>
      </c>
      <c r="I1999">
        <v>13.74</v>
      </c>
      <c r="J1999">
        <v>109.96</v>
      </c>
      <c r="K1999" t="s">
        <v>1281</v>
      </c>
      <c r="L1999" t="s">
        <v>1282</v>
      </c>
      <c r="N1999" t="s">
        <v>228</v>
      </c>
      <c r="Q1999">
        <v>3</v>
      </c>
      <c r="R1999" t="s">
        <v>1135</v>
      </c>
      <c r="T1999" t="s">
        <v>38</v>
      </c>
      <c r="V1999" t="s">
        <v>921</v>
      </c>
      <c r="X1999" t="s">
        <v>81</v>
      </c>
      <c r="Z1999" t="s">
        <v>1136</v>
      </c>
      <c r="AA1999" t="s">
        <v>1283</v>
      </c>
      <c r="AC1999" t="s">
        <v>1284</v>
      </c>
    </row>
    <row r="2000" spans="1:29" hidden="1" x14ac:dyDescent="0.25">
      <c r="A2000">
        <v>461</v>
      </c>
      <c r="B2000" t="s">
        <v>667</v>
      </c>
      <c r="C2000" t="s">
        <v>77</v>
      </c>
      <c r="D2000" t="s">
        <v>668</v>
      </c>
      <c r="E2000">
        <v>25</v>
      </c>
      <c r="F2000">
        <v>240</v>
      </c>
      <c r="G2000">
        <v>300</v>
      </c>
      <c r="H2000">
        <v>8</v>
      </c>
      <c r="I2000">
        <v>12.88</v>
      </c>
      <c r="J2000">
        <v>103.05</v>
      </c>
      <c r="K2000" t="s">
        <v>1281</v>
      </c>
      <c r="L2000" t="s">
        <v>1282</v>
      </c>
      <c r="N2000" t="s">
        <v>228</v>
      </c>
      <c r="Q2000">
        <v>3</v>
      </c>
      <c r="R2000" t="s">
        <v>1135</v>
      </c>
      <c r="T2000" t="s">
        <v>38</v>
      </c>
      <c r="V2000" t="s">
        <v>921</v>
      </c>
      <c r="X2000" t="s">
        <v>81</v>
      </c>
      <c r="Z2000" t="s">
        <v>1136</v>
      </c>
      <c r="AA2000" t="s">
        <v>1283</v>
      </c>
      <c r="AC2000" t="s">
        <v>1284</v>
      </c>
    </row>
    <row r="2001" spans="1:29" hidden="1" x14ac:dyDescent="0.25">
      <c r="A2001">
        <v>462</v>
      </c>
      <c r="B2001" t="s">
        <v>1068</v>
      </c>
      <c r="C2001" t="s">
        <v>77</v>
      </c>
      <c r="D2001" t="s">
        <v>635</v>
      </c>
      <c r="E2001">
        <v>25</v>
      </c>
      <c r="F2001">
        <v>120</v>
      </c>
      <c r="G2001">
        <v>240</v>
      </c>
      <c r="H2001">
        <v>8</v>
      </c>
      <c r="I2001">
        <v>5.27</v>
      </c>
      <c r="J2001">
        <v>42.13</v>
      </c>
      <c r="K2001" t="s">
        <v>1281</v>
      </c>
      <c r="L2001" t="s">
        <v>1282</v>
      </c>
      <c r="N2001" t="s">
        <v>228</v>
      </c>
      <c r="Q2001">
        <v>3</v>
      </c>
      <c r="R2001" t="s">
        <v>1135</v>
      </c>
      <c r="T2001" t="s">
        <v>38</v>
      </c>
      <c r="V2001" t="s">
        <v>921</v>
      </c>
      <c r="X2001" t="s">
        <v>81</v>
      </c>
      <c r="Z2001" t="s">
        <v>1136</v>
      </c>
      <c r="AA2001" t="s">
        <v>1283</v>
      </c>
      <c r="AC2001" t="s">
        <v>1284</v>
      </c>
    </row>
    <row r="2002" spans="1:29" hidden="1" x14ac:dyDescent="0.25">
      <c r="A2002">
        <v>463</v>
      </c>
      <c r="B2002" t="s">
        <v>672</v>
      </c>
      <c r="C2002" t="s">
        <v>77</v>
      </c>
      <c r="D2002" t="s">
        <v>668</v>
      </c>
      <c r="E2002">
        <v>25</v>
      </c>
      <c r="F2002">
        <v>240</v>
      </c>
      <c r="G2002">
        <v>300</v>
      </c>
      <c r="H2002">
        <v>4</v>
      </c>
      <c r="I2002">
        <v>13.74</v>
      </c>
      <c r="J2002">
        <v>54.98</v>
      </c>
      <c r="K2002" t="s">
        <v>1281</v>
      </c>
      <c r="L2002" t="s">
        <v>1282</v>
      </c>
      <c r="N2002" t="s">
        <v>228</v>
      </c>
      <c r="Q2002">
        <v>3</v>
      </c>
      <c r="R2002" t="s">
        <v>1135</v>
      </c>
      <c r="T2002" t="s">
        <v>38</v>
      </c>
      <c r="V2002" t="s">
        <v>921</v>
      </c>
      <c r="X2002" t="s">
        <v>81</v>
      </c>
      <c r="Z2002" t="s">
        <v>1136</v>
      </c>
      <c r="AA2002" t="s">
        <v>1283</v>
      </c>
      <c r="AC2002" t="s">
        <v>1284</v>
      </c>
    </row>
    <row r="2003" spans="1:29" hidden="1" x14ac:dyDescent="0.25">
      <c r="A2003">
        <v>464</v>
      </c>
      <c r="B2003" t="s">
        <v>670</v>
      </c>
      <c r="C2003" t="s">
        <v>77</v>
      </c>
      <c r="D2003" t="s">
        <v>668</v>
      </c>
      <c r="E2003">
        <v>25</v>
      </c>
      <c r="F2003">
        <v>240</v>
      </c>
      <c r="G2003">
        <v>300</v>
      </c>
      <c r="H2003">
        <v>4</v>
      </c>
      <c r="I2003">
        <v>12.88</v>
      </c>
      <c r="J2003">
        <v>51.53</v>
      </c>
      <c r="K2003" t="s">
        <v>1281</v>
      </c>
      <c r="L2003" t="s">
        <v>1282</v>
      </c>
      <c r="N2003" t="s">
        <v>228</v>
      </c>
      <c r="Q2003">
        <v>3</v>
      </c>
      <c r="R2003" t="s">
        <v>1135</v>
      </c>
      <c r="T2003" t="s">
        <v>38</v>
      </c>
      <c r="V2003" t="s">
        <v>921</v>
      </c>
      <c r="X2003" t="s">
        <v>81</v>
      </c>
      <c r="Z2003" t="s">
        <v>1136</v>
      </c>
      <c r="AA2003" t="s">
        <v>1283</v>
      </c>
      <c r="AC2003" t="s">
        <v>1284</v>
      </c>
    </row>
    <row r="2004" spans="1:29" hidden="1" x14ac:dyDescent="0.25">
      <c r="A2004">
        <v>465</v>
      </c>
      <c r="B2004" t="s">
        <v>1072</v>
      </c>
      <c r="C2004" t="s">
        <v>77</v>
      </c>
      <c r="D2004" t="s">
        <v>635</v>
      </c>
      <c r="E2004">
        <v>25</v>
      </c>
      <c r="F2004">
        <v>120</v>
      </c>
      <c r="G2004">
        <v>240</v>
      </c>
      <c r="H2004">
        <v>4</v>
      </c>
      <c r="I2004">
        <v>5.27</v>
      </c>
      <c r="J2004">
        <v>21.07</v>
      </c>
      <c r="K2004" t="s">
        <v>1281</v>
      </c>
      <c r="L2004" t="s">
        <v>1282</v>
      </c>
      <c r="N2004" t="s">
        <v>228</v>
      </c>
      <c r="Q2004">
        <v>3</v>
      </c>
      <c r="R2004" t="s">
        <v>1135</v>
      </c>
      <c r="T2004" t="s">
        <v>38</v>
      </c>
      <c r="V2004" t="s">
        <v>921</v>
      </c>
      <c r="X2004" t="s">
        <v>81</v>
      </c>
      <c r="Z2004" t="s">
        <v>1136</v>
      </c>
      <c r="AA2004" t="s">
        <v>1283</v>
      </c>
      <c r="AC2004" t="s">
        <v>1284</v>
      </c>
    </row>
    <row r="2005" spans="1:29" hidden="1" x14ac:dyDescent="0.25">
      <c r="A2005">
        <v>466</v>
      </c>
      <c r="B2005" t="s">
        <v>652</v>
      </c>
      <c r="C2005" t="s">
        <v>77</v>
      </c>
      <c r="D2005" t="s">
        <v>640</v>
      </c>
      <c r="E2005">
        <v>25</v>
      </c>
      <c r="F2005">
        <v>443</v>
      </c>
      <c r="G2005">
        <v>525</v>
      </c>
      <c r="H2005">
        <v>2</v>
      </c>
      <c r="I2005">
        <v>41.64</v>
      </c>
      <c r="J2005">
        <v>83.27</v>
      </c>
      <c r="K2005" t="s">
        <v>1281</v>
      </c>
      <c r="L2005" t="s">
        <v>1282</v>
      </c>
      <c r="N2005" t="s">
        <v>228</v>
      </c>
      <c r="Q2005">
        <v>3</v>
      </c>
      <c r="R2005" t="s">
        <v>1135</v>
      </c>
      <c r="T2005" t="s">
        <v>38</v>
      </c>
      <c r="V2005" t="s">
        <v>921</v>
      </c>
      <c r="X2005" t="s">
        <v>81</v>
      </c>
      <c r="Z2005" t="s">
        <v>1136</v>
      </c>
      <c r="AA2005" t="s">
        <v>1283</v>
      </c>
      <c r="AC2005" t="s">
        <v>1284</v>
      </c>
    </row>
    <row r="2006" spans="1:29" hidden="1" x14ac:dyDescent="0.25">
      <c r="A2006">
        <v>467</v>
      </c>
      <c r="B2006" t="s">
        <v>647</v>
      </c>
      <c r="C2006" t="s">
        <v>77</v>
      </c>
      <c r="D2006" t="s">
        <v>640</v>
      </c>
      <c r="E2006">
        <v>25</v>
      </c>
      <c r="F2006">
        <v>443</v>
      </c>
      <c r="G2006">
        <v>525</v>
      </c>
      <c r="H2006">
        <v>2</v>
      </c>
      <c r="I2006">
        <v>45.64</v>
      </c>
      <c r="J2006">
        <v>91.29</v>
      </c>
      <c r="K2006" t="s">
        <v>1281</v>
      </c>
      <c r="L2006" t="s">
        <v>1282</v>
      </c>
      <c r="Q2006">
        <v>3</v>
      </c>
      <c r="R2006" t="s">
        <v>1135</v>
      </c>
      <c r="T2006" t="s">
        <v>38</v>
      </c>
      <c r="V2006" t="s">
        <v>921</v>
      </c>
      <c r="W2006" t="s">
        <v>81</v>
      </c>
      <c r="Z2006" t="s">
        <v>1136</v>
      </c>
      <c r="AA2006" t="s">
        <v>1283</v>
      </c>
      <c r="AC2006" t="s">
        <v>1284</v>
      </c>
    </row>
    <row r="2007" spans="1:29" hidden="1" x14ac:dyDescent="0.25">
      <c r="A2007">
        <v>468</v>
      </c>
      <c r="B2007" t="s">
        <v>650</v>
      </c>
      <c r="C2007" t="s">
        <v>77</v>
      </c>
      <c r="D2007" t="s">
        <v>651</v>
      </c>
      <c r="E2007">
        <v>25</v>
      </c>
      <c r="F2007">
        <v>200</v>
      </c>
      <c r="G2007">
        <v>200</v>
      </c>
      <c r="H2007">
        <v>2</v>
      </c>
      <c r="I2007">
        <v>7.85</v>
      </c>
      <c r="J2007">
        <v>15.7</v>
      </c>
      <c r="K2007" t="s">
        <v>1281</v>
      </c>
      <c r="L2007" t="s">
        <v>1282</v>
      </c>
      <c r="Q2007">
        <v>3</v>
      </c>
      <c r="R2007" t="s">
        <v>1135</v>
      </c>
      <c r="T2007" t="s">
        <v>38</v>
      </c>
      <c r="V2007" t="s">
        <v>921</v>
      </c>
      <c r="W2007" t="s">
        <v>81</v>
      </c>
      <c r="Z2007" t="s">
        <v>1136</v>
      </c>
      <c r="AA2007" t="s">
        <v>1283</v>
      </c>
      <c r="AC2007" t="s">
        <v>1284</v>
      </c>
    </row>
    <row r="2008" spans="1:29" hidden="1" x14ac:dyDescent="0.25">
      <c r="A2008">
        <v>469</v>
      </c>
      <c r="B2008" t="s">
        <v>654</v>
      </c>
      <c r="C2008" t="s">
        <v>77</v>
      </c>
      <c r="D2008" t="s">
        <v>651</v>
      </c>
      <c r="E2008">
        <v>25</v>
      </c>
      <c r="F2008">
        <v>200</v>
      </c>
      <c r="G2008">
        <v>200</v>
      </c>
      <c r="H2008">
        <v>2</v>
      </c>
      <c r="I2008">
        <v>7.85</v>
      </c>
      <c r="J2008">
        <v>15.7</v>
      </c>
      <c r="K2008" t="s">
        <v>1281</v>
      </c>
      <c r="L2008" t="s">
        <v>1282</v>
      </c>
      <c r="Q2008">
        <v>3</v>
      </c>
      <c r="R2008" t="s">
        <v>1135</v>
      </c>
      <c r="T2008" t="s">
        <v>38</v>
      </c>
      <c r="V2008" t="s">
        <v>921</v>
      </c>
      <c r="W2008" t="s">
        <v>81</v>
      </c>
      <c r="Z2008" t="s">
        <v>1136</v>
      </c>
      <c r="AA2008" t="s">
        <v>1283</v>
      </c>
      <c r="AC2008" t="s">
        <v>1284</v>
      </c>
    </row>
    <row r="2009" spans="1:29" hidden="1" x14ac:dyDescent="0.25">
      <c r="A2009">
        <v>470</v>
      </c>
      <c r="B2009" t="s">
        <v>656</v>
      </c>
      <c r="C2009" t="s">
        <v>77</v>
      </c>
      <c r="D2009" t="s">
        <v>657</v>
      </c>
      <c r="E2009">
        <v>25</v>
      </c>
      <c r="F2009">
        <v>443</v>
      </c>
      <c r="G2009">
        <v>500</v>
      </c>
      <c r="H2009">
        <v>2</v>
      </c>
      <c r="I2009">
        <v>43.47</v>
      </c>
      <c r="J2009">
        <v>86.94</v>
      </c>
      <c r="K2009" t="s">
        <v>1281</v>
      </c>
      <c r="L2009" t="s">
        <v>1282</v>
      </c>
      <c r="Q2009">
        <v>3</v>
      </c>
      <c r="R2009" t="s">
        <v>1135</v>
      </c>
      <c r="T2009" t="s">
        <v>38</v>
      </c>
      <c r="V2009" t="s">
        <v>921</v>
      </c>
      <c r="W2009" t="s">
        <v>81</v>
      </c>
      <c r="Z2009" t="s">
        <v>1136</v>
      </c>
      <c r="AA2009" t="s">
        <v>1283</v>
      </c>
      <c r="AC2009" t="s">
        <v>1284</v>
      </c>
    </row>
    <row r="2010" spans="1:29" hidden="1" x14ac:dyDescent="0.25">
      <c r="A2010">
        <v>471</v>
      </c>
      <c r="B2010" t="s">
        <v>649</v>
      </c>
      <c r="C2010" t="s">
        <v>77</v>
      </c>
      <c r="D2010" t="s">
        <v>643</v>
      </c>
      <c r="E2010">
        <v>25</v>
      </c>
      <c r="F2010">
        <v>443</v>
      </c>
      <c r="G2010">
        <v>550</v>
      </c>
      <c r="H2010">
        <v>2</v>
      </c>
      <c r="I2010">
        <v>43.81</v>
      </c>
      <c r="J2010">
        <v>87.62</v>
      </c>
      <c r="K2010" t="s">
        <v>1281</v>
      </c>
      <c r="L2010" t="s">
        <v>1282</v>
      </c>
      <c r="N2010" t="s">
        <v>228</v>
      </c>
      <c r="Q2010">
        <v>3</v>
      </c>
      <c r="R2010" t="s">
        <v>1135</v>
      </c>
      <c r="T2010" t="s">
        <v>38</v>
      </c>
      <c r="V2010" t="s">
        <v>921</v>
      </c>
      <c r="X2010" t="s">
        <v>81</v>
      </c>
      <c r="Z2010" t="s">
        <v>1136</v>
      </c>
      <c r="AA2010" t="s">
        <v>1283</v>
      </c>
      <c r="AC2010" t="s">
        <v>1284</v>
      </c>
    </row>
    <row r="2011" spans="1:29" hidden="1" x14ac:dyDescent="0.25">
      <c r="A2011">
        <v>472</v>
      </c>
      <c r="B2011" t="s">
        <v>642</v>
      </c>
      <c r="C2011" t="s">
        <v>77</v>
      </c>
      <c r="D2011" t="s">
        <v>643</v>
      </c>
      <c r="E2011">
        <v>25</v>
      </c>
      <c r="F2011">
        <v>443</v>
      </c>
      <c r="G2011">
        <v>550</v>
      </c>
      <c r="H2011">
        <v>2</v>
      </c>
      <c r="I2011">
        <v>47.82</v>
      </c>
      <c r="J2011">
        <v>95.63</v>
      </c>
      <c r="K2011" t="s">
        <v>1281</v>
      </c>
      <c r="L2011" t="s">
        <v>1282</v>
      </c>
      <c r="Q2011">
        <v>3</v>
      </c>
      <c r="R2011" t="s">
        <v>1135</v>
      </c>
      <c r="T2011" t="s">
        <v>38</v>
      </c>
      <c r="V2011" t="s">
        <v>921</v>
      </c>
      <c r="W2011" t="s">
        <v>81</v>
      </c>
      <c r="Z2011" t="s">
        <v>1136</v>
      </c>
      <c r="AA2011" t="s">
        <v>1283</v>
      </c>
      <c r="AC2011" t="s">
        <v>1284</v>
      </c>
    </row>
    <row r="2012" spans="1:29" hidden="1" x14ac:dyDescent="0.25">
      <c r="A2012">
        <v>473</v>
      </c>
      <c r="B2012" t="s">
        <v>653</v>
      </c>
      <c r="C2012" t="s">
        <v>77</v>
      </c>
      <c r="D2012" t="s">
        <v>640</v>
      </c>
      <c r="E2012">
        <v>25</v>
      </c>
      <c r="F2012">
        <v>443</v>
      </c>
      <c r="G2012">
        <v>525</v>
      </c>
      <c r="H2012">
        <v>2</v>
      </c>
      <c r="I2012">
        <v>41.64</v>
      </c>
      <c r="J2012">
        <v>83.27</v>
      </c>
      <c r="K2012" t="s">
        <v>1281</v>
      </c>
      <c r="L2012" t="s">
        <v>1282</v>
      </c>
      <c r="N2012" t="s">
        <v>228</v>
      </c>
      <c r="Q2012">
        <v>3</v>
      </c>
      <c r="R2012" t="s">
        <v>1135</v>
      </c>
      <c r="T2012" t="s">
        <v>38</v>
      </c>
      <c r="V2012" t="s">
        <v>921</v>
      </c>
      <c r="X2012" t="s">
        <v>81</v>
      </c>
      <c r="Z2012" t="s">
        <v>1136</v>
      </c>
      <c r="AA2012" t="s">
        <v>1283</v>
      </c>
      <c r="AC2012" t="s">
        <v>1284</v>
      </c>
    </row>
    <row r="2013" spans="1:29" hidden="1" x14ac:dyDescent="0.25">
      <c r="A2013">
        <v>474</v>
      </c>
      <c r="B2013" t="s">
        <v>639</v>
      </c>
      <c r="C2013" t="s">
        <v>77</v>
      </c>
      <c r="D2013" t="s">
        <v>640</v>
      </c>
      <c r="E2013">
        <v>25</v>
      </c>
      <c r="F2013">
        <v>443</v>
      </c>
      <c r="G2013">
        <v>525</v>
      </c>
      <c r="H2013">
        <v>2</v>
      </c>
      <c r="I2013">
        <v>45.64</v>
      </c>
      <c r="J2013">
        <v>91.29</v>
      </c>
      <c r="K2013" t="s">
        <v>1281</v>
      </c>
      <c r="L2013" t="s">
        <v>1282</v>
      </c>
      <c r="Q2013">
        <v>3</v>
      </c>
      <c r="R2013" t="s">
        <v>1135</v>
      </c>
      <c r="T2013" t="s">
        <v>38</v>
      </c>
      <c r="V2013" t="s">
        <v>921</v>
      </c>
      <c r="W2013" t="s">
        <v>81</v>
      </c>
      <c r="Z2013" t="s">
        <v>1136</v>
      </c>
      <c r="AA2013" t="s">
        <v>1283</v>
      </c>
      <c r="AC2013" t="s">
        <v>1284</v>
      </c>
    </row>
    <row r="2014" spans="1:29" hidden="1" x14ac:dyDescent="0.25">
      <c r="A2014">
        <v>475</v>
      </c>
      <c r="B2014" t="s">
        <v>655</v>
      </c>
      <c r="C2014" t="s">
        <v>77</v>
      </c>
      <c r="D2014" t="s">
        <v>651</v>
      </c>
      <c r="E2014">
        <v>25</v>
      </c>
      <c r="F2014">
        <v>200</v>
      </c>
      <c r="G2014">
        <v>200</v>
      </c>
      <c r="H2014">
        <v>2</v>
      </c>
      <c r="I2014">
        <v>7.85</v>
      </c>
      <c r="J2014">
        <v>15.7</v>
      </c>
      <c r="K2014" t="s">
        <v>1281</v>
      </c>
      <c r="L2014" t="s">
        <v>1282</v>
      </c>
      <c r="Q2014">
        <v>3</v>
      </c>
      <c r="R2014" t="s">
        <v>1135</v>
      </c>
      <c r="T2014" t="s">
        <v>38</v>
      </c>
      <c r="V2014" t="s">
        <v>921</v>
      </c>
      <c r="W2014" t="s">
        <v>81</v>
      </c>
      <c r="Z2014" t="s">
        <v>1136</v>
      </c>
      <c r="AA2014" t="s">
        <v>1283</v>
      </c>
      <c r="AC2014" t="s">
        <v>1284</v>
      </c>
    </row>
    <row r="2015" spans="1:29" hidden="1" x14ac:dyDescent="0.25">
      <c r="A2015">
        <v>476</v>
      </c>
      <c r="B2015" t="s">
        <v>671</v>
      </c>
      <c r="C2015" t="s">
        <v>77</v>
      </c>
      <c r="D2015" t="s">
        <v>651</v>
      </c>
      <c r="E2015">
        <v>25</v>
      </c>
      <c r="F2015">
        <v>200</v>
      </c>
      <c r="G2015">
        <v>200</v>
      </c>
      <c r="H2015">
        <v>2</v>
      </c>
      <c r="I2015">
        <v>7.85</v>
      </c>
      <c r="J2015">
        <v>15.7</v>
      </c>
      <c r="K2015" t="s">
        <v>1281</v>
      </c>
      <c r="L2015" t="s">
        <v>1282</v>
      </c>
      <c r="Q2015">
        <v>3</v>
      </c>
      <c r="R2015" t="s">
        <v>1135</v>
      </c>
      <c r="T2015" t="s">
        <v>38</v>
      </c>
      <c r="V2015" t="s">
        <v>921</v>
      </c>
      <c r="W2015" t="s">
        <v>81</v>
      </c>
      <c r="Z2015" t="s">
        <v>1136</v>
      </c>
      <c r="AA2015" t="s">
        <v>1283</v>
      </c>
      <c r="AC2015" t="s">
        <v>1284</v>
      </c>
    </row>
    <row r="2016" spans="1:29" hidden="1" x14ac:dyDescent="0.25">
      <c r="A2016">
        <v>477</v>
      </c>
      <c r="B2016" t="s">
        <v>658</v>
      </c>
      <c r="C2016" t="s">
        <v>77</v>
      </c>
      <c r="D2016" t="s">
        <v>657</v>
      </c>
      <c r="E2016">
        <v>25</v>
      </c>
      <c r="F2016">
        <v>443</v>
      </c>
      <c r="G2016">
        <v>500</v>
      </c>
      <c r="H2016">
        <v>2</v>
      </c>
      <c r="I2016">
        <v>43.47</v>
      </c>
      <c r="J2016">
        <v>86.94</v>
      </c>
      <c r="K2016" t="s">
        <v>1281</v>
      </c>
      <c r="L2016" t="s">
        <v>1282</v>
      </c>
      <c r="Q2016">
        <v>3</v>
      </c>
      <c r="R2016" t="s">
        <v>1135</v>
      </c>
      <c r="T2016" t="s">
        <v>38</v>
      </c>
      <c r="V2016" t="s">
        <v>921</v>
      </c>
      <c r="W2016" t="s">
        <v>81</v>
      </c>
      <c r="Z2016" t="s">
        <v>1136</v>
      </c>
      <c r="AA2016" t="s">
        <v>1283</v>
      </c>
      <c r="AC2016" t="s">
        <v>1284</v>
      </c>
    </row>
    <row r="2017" spans="1:29" hidden="1" x14ac:dyDescent="0.25">
      <c r="A2017">
        <v>478</v>
      </c>
      <c r="B2017" t="s">
        <v>644</v>
      </c>
      <c r="C2017" t="s">
        <v>77</v>
      </c>
      <c r="D2017" t="s">
        <v>643</v>
      </c>
      <c r="E2017">
        <v>25</v>
      </c>
      <c r="F2017">
        <v>443</v>
      </c>
      <c r="G2017">
        <v>550</v>
      </c>
      <c r="H2017">
        <v>2</v>
      </c>
      <c r="I2017">
        <v>43.81</v>
      </c>
      <c r="J2017">
        <v>87.62</v>
      </c>
      <c r="K2017" t="s">
        <v>1281</v>
      </c>
      <c r="L2017" t="s">
        <v>1282</v>
      </c>
      <c r="N2017" t="s">
        <v>228</v>
      </c>
      <c r="Q2017">
        <v>3</v>
      </c>
      <c r="R2017" t="s">
        <v>1135</v>
      </c>
      <c r="T2017" t="s">
        <v>38</v>
      </c>
      <c r="V2017" t="s">
        <v>921</v>
      </c>
      <c r="X2017" t="s">
        <v>81</v>
      </c>
      <c r="Z2017" t="s">
        <v>1136</v>
      </c>
      <c r="AA2017" t="s">
        <v>1283</v>
      </c>
      <c r="AC2017" t="s">
        <v>1284</v>
      </c>
    </row>
    <row r="2018" spans="1:29" hidden="1" x14ac:dyDescent="0.25">
      <c r="A2018">
        <v>479</v>
      </c>
      <c r="B2018" t="s">
        <v>645</v>
      </c>
      <c r="C2018" t="s">
        <v>77</v>
      </c>
      <c r="D2018" t="s">
        <v>643</v>
      </c>
      <c r="E2018">
        <v>25</v>
      </c>
      <c r="F2018">
        <v>443</v>
      </c>
      <c r="G2018">
        <v>550</v>
      </c>
      <c r="H2018">
        <v>2</v>
      </c>
      <c r="I2018">
        <v>47.82</v>
      </c>
      <c r="J2018">
        <v>95.63</v>
      </c>
      <c r="K2018" t="s">
        <v>1281</v>
      </c>
      <c r="L2018" t="s">
        <v>1282</v>
      </c>
      <c r="Q2018">
        <v>3</v>
      </c>
      <c r="R2018" t="s">
        <v>1135</v>
      </c>
      <c r="T2018" t="s">
        <v>38</v>
      </c>
      <c r="V2018" t="s">
        <v>921</v>
      </c>
      <c r="W2018" t="s">
        <v>81</v>
      </c>
      <c r="Z2018" t="s">
        <v>1136</v>
      </c>
      <c r="AA2018" t="s">
        <v>1283</v>
      </c>
      <c r="AC2018" t="s">
        <v>1284</v>
      </c>
    </row>
    <row r="2019" spans="1:29" hidden="1" x14ac:dyDescent="0.25">
      <c r="A2019">
        <v>480</v>
      </c>
      <c r="B2019" t="s">
        <v>646</v>
      </c>
      <c r="C2019" t="s">
        <v>77</v>
      </c>
      <c r="D2019" t="s">
        <v>1069</v>
      </c>
      <c r="E2019">
        <v>25</v>
      </c>
      <c r="F2019">
        <v>501</v>
      </c>
      <c r="G2019">
        <v>744</v>
      </c>
      <c r="H2019">
        <v>2</v>
      </c>
      <c r="I2019">
        <v>45.45</v>
      </c>
      <c r="J2019">
        <v>90.9</v>
      </c>
      <c r="K2019" t="s">
        <v>1281</v>
      </c>
      <c r="L2019" t="s">
        <v>1282</v>
      </c>
      <c r="N2019" t="s">
        <v>228</v>
      </c>
      <c r="Q2019">
        <v>3</v>
      </c>
      <c r="R2019" t="s">
        <v>1135</v>
      </c>
      <c r="T2019" t="s">
        <v>38</v>
      </c>
      <c r="V2019" t="s">
        <v>921</v>
      </c>
      <c r="X2019" t="s">
        <v>81</v>
      </c>
      <c r="Z2019" t="s">
        <v>1136</v>
      </c>
      <c r="AA2019" t="s">
        <v>1283</v>
      </c>
      <c r="AC2019" t="s">
        <v>1284</v>
      </c>
    </row>
    <row r="2020" spans="1:29" hidden="1" x14ac:dyDescent="0.25">
      <c r="A2020">
        <v>481</v>
      </c>
      <c r="B2020" t="s">
        <v>648</v>
      </c>
      <c r="C2020" t="s">
        <v>77</v>
      </c>
      <c r="D2020" t="s">
        <v>633</v>
      </c>
      <c r="E2020">
        <v>25</v>
      </c>
      <c r="F2020">
        <v>500</v>
      </c>
      <c r="G2020">
        <v>550</v>
      </c>
      <c r="H2020">
        <v>1</v>
      </c>
      <c r="I2020">
        <v>52.99</v>
      </c>
      <c r="J2020">
        <v>52.99</v>
      </c>
      <c r="K2020" t="s">
        <v>1281</v>
      </c>
      <c r="L2020" t="s">
        <v>1282</v>
      </c>
      <c r="Q2020">
        <v>3</v>
      </c>
      <c r="R2020" t="s">
        <v>1135</v>
      </c>
      <c r="T2020" t="s">
        <v>38</v>
      </c>
      <c r="V2020" t="s">
        <v>921</v>
      </c>
      <c r="W2020" t="s">
        <v>81</v>
      </c>
      <c r="Z2020" t="s">
        <v>1136</v>
      </c>
      <c r="AA2020" t="s">
        <v>1283</v>
      </c>
      <c r="AC2020" t="s">
        <v>1284</v>
      </c>
    </row>
    <row r="2021" spans="1:29" hidden="1" x14ac:dyDescent="0.25">
      <c r="A2021">
        <v>482</v>
      </c>
      <c r="B2021" t="s">
        <v>665</v>
      </c>
      <c r="C2021" t="s">
        <v>77</v>
      </c>
      <c r="D2021" t="s">
        <v>660</v>
      </c>
      <c r="E2021">
        <v>25</v>
      </c>
      <c r="F2021">
        <v>375</v>
      </c>
      <c r="G2021">
        <v>500</v>
      </c>
      <c r="H2021">
        <v>1</v>
      </c>
      <c r="I2021">
        <v>35.82</v>
      </c>
      <c r="J2021">
        <v>35.82</v>
      </c>
      <c r="K2021" t="s">
        <v>1281</v>
      </c>
      <c r="L2021" t="s">
        <v>1282</v>
      </c>
      <c r="Q2021">
        <v>3</v>
      </c>
      <c r="R2021" t="s">
        <v>1135</v>
      </c>
      <c r="T2021" t="s">
        <v>38</v>
      </c>
      <c r="V2021" t="s">
        <v>921</v>
      </c>
      <c r="W2021" t="s">
        <v>81</v>
      </c>
      <c r="Z2021" t="s">
        <v>1136</v>
      </c>
      <c r="AA2021" t="s">
        <v>1283</v>
      </c>
      <c r="AC2021" t="s">
        <v>1284</v>
      </c>
    </row>
    <row r="2022" spans="1:29" hidden="1" x14ac:dyDescent="0.25">
      <c r="A2022">
        <v>483</v>
      </c>
      <c r="B2022" t="s">
        <v>638</v>
      </c>
      <c r="C2022" t="s">
        <v>77</v>
      </c>
      <c r="D2022" t="s">
        <v>1069</v>
      </c>
      <c r="E2022">
        <v>25</v>
      </c>
      <c r="F2022">
        <v>501</v>
      </c>
      <c r="G2022">
        <v>744</v>
      </c>
      <c r="H2022">
        <v>4</v>
      </c>
      <c r="I2022">
        <v>45.45</v>
      </c>
      <c r="J2022">
        <v>181.8</v>
      </c>
      <c r="K2022" t="s">
        <v>1281</v>
      </c>
      <c r="L2022" t="s">
        <v>1282</v>
      </c>
      <c r="N2022" t="s">
        <v>228</v>
      </c>
      <c r="Q2022">
        <v>3</v>
      </c>
      <c r="R2022" t="s">
        <v>1135</v>
      </c>
      <c r="T2022" t="s">
        <v>38</v>
      </c>
      <c r="V2022" t="s">
        <v>921</v>
      </c>
      <c r="X2022" t="s">
        <v>81</v>
      </c>
      <c r="Z2022" t="s">
        <v>1136</v>
      </c>
      <c r="AA2022" t="s">
        <v>1283</v>
      </c>
      <c r="AC2022" t="s">
        <v>1284</v>
      </c>
    </row>
    <row r="2023" spans="1:29" hidden="1" x14ac:dyDescent="0.25">
      <c r="A2023">
        <v>484</v>
      </c>
      <c r="B2023" t="s">
        <v>636</v>
      </c>
      <c r="C2023" t="s">
        <v>77</v>
      </c>
      <c r="D2023" t="s">
        <v>633</v>
      </c>
      <c r="E2023">
        <v>25</v>
      </c>
      <c r="F2023">
        <v>500</v>
      </c>
      <c r="G2023">
        <v>550</v>
      </c>
      <c r="H2023">
        <v>2</v>
      </c>
      <c r="I2023">
        <v>52.99</v>
      </c>
      <c r="J2023">
        <v>105.98</v>
      </c>
      <c r="K2023" t="s">
        <v>1281</v>
      </c>
      <c r="L2023" t="s">
        <v>1282</v>
      </c>
      <c r="Q2023">
        <v>3</v>
      </c>
      <c r="R2023" t="s">
        <v>1135</v>
      </c>
      <c r="T2023" t="s">
        <v>38</v>
      </c>
      <c r="V2023" t="s">
        <v>921</v>
      </c>
      <c r="W2023" t="s">
        <v>81</v>
      </c>
      <c r="Z2023" t="s">
        <v>1136</v>
      </c>
      <c r="AA2023" t="s">
        <v>1283</v>
      </c>
      <c r="AC2023" t="s">
        <v>1284</v>
      </c>
    </row>
    <row r="2024" spans="1:29" hidden="1" x14ac:dyDescent="0.25">
      <c r="A2024">
        <v>485</v>
      </c>
      <c r="B2024" t="s">
        <v>662</v>
      </c>
      <c r="C2024" t="s">
        <v>77</v>
      </c>
      <c r="D2024" t="s">
        <v>660</v>
      </c>
      <c r="E2024">
        <v>25</v>
      </c>
      <c r="F2024">
        <v>375</v>
      </c>
      <c r="G2024">
        <v>500</v>
      </c>
      <c r="H2024">
        <v>2</v>
      </c>
      <c r="I2024">
        <v>35.82</v>
      </c>
      <c r="J2024">
        <v>71.63</v>
      </c>
      <c r="K2024" t="s">
        <v>1281</v>
      </c>
      <c r="L2024" t="s">
        <v>1282</v>
      </c>
      <c r="Q2024">
        <v>3</v>
      </c>
      <c r="R2024" t="s">
        <v>1135</v>
      </c>
      <c r="T2024" t="s">
        <v>38</v>
      </c>
      <c r="V2024" t="s">
        <v>921</v>
      </c>
      <c r="W2024" t="s">
        <v>81</v>
      </c>
      <c r="Z2024" t="s">
        <v>1136</v>
      </c>
      <c r="AA2024" t="s">
        <v>1283</v>
      </c>
      <c r="AC2024" t="s">
        <v>1284</v>
      </c>
    </row>
    <row r="2025" spans="1:29" hidden="1" x14ac:dyDescent="0.25">
      <c r="A2025">
        <v>486</v>
      </c>
      <c r="B2025" t="s">
        <v>641</v>
      </c>
      <c r="C2025" t="s">
        <v>77</v>
      </c>
      <c r="D2025" t="s">
        <v>1069</v>
      </c>
      <c r="E2025">
        <v>25</v>
      </c>
      <c r="F2025">
        <v>501</v>
      </c>
      <c r="G2025">
        <v>744</v>
      </c>
      <c r="H2025">
        <v>2</v>
      </c>
      <c r="I2025">
        <v>45.45</v>
      </c>
      <c r="J2025">
        <v>90.9</v>
      </c>
      <c r="K2025" t="s">
        <v>1281</v>
      </c>
      <c r="L2025" t="s">
        <v>1282</v>
      </c>
      <c r="N2025" t="s">
        <v>228</v>
      </c>
      <c r="Q2025">
        <v>3</v>
      </c>
      <c r="R2025" t="s">
        <v>1135</v>
      </c>
      <c r="T2025" t="s">
        <v>38</v>
      </c>
      <c r="V2025" t="s">
        <v>921</v>
      </c>
      <c r="X2025" t="s">
        <v>81</v>
      </c>
      <c r="Z2025" t="s">
        <v>1136</v>
      </c>
      <c r="AA2025" t="s">
        <v>1283</v>
      </c>
      <c r="AC2025" t="s">
        <v>1284</v>
      </c>
    </row>
    <row r="2026" spans="1:29" hidden="1" x14ac:dyDescent="0.25">
      <c r="A2026">
        <v>487</v>
      </c>
      <c r="B2026" t="s">
        <v>632</v>
      </c>
      <c r="C2026" t="s">
        <v>77</v>
      </c>
      <c r="D2026" t="s">
        <v>633</v>
      </c>
      <c r="E2026">
        <v>25</v>
      </c>
      <c r="F2026">
        <v>500</v>
      </c>
      <c r="G2026">
        <v>550</v>
      </c>
      <c r="H2026">
        <v>1</v>
      </c>
      <c r="I2026">
        <v>52.99</v>
      </c>
      <c r="J2026">
        <v>52.99</v>
      </c>
      <c r="K2026" t="s">
        <v>1281</v>
      </c>
      <c r="L2026" t="s">
        <v>1282</v>
      </c>
      <c r="Q2026">
        <v>3</v>
      </c>
      <c r="R2026" t="s">
        <v>1135</v>
      </c>
      <c r="T2026" t="s">
        <v>38</v>
      </c>
      <c r="V2026" t="s">
        <v>921</v>
      </c>
      <c r="W2026" t="s">
        <v>81</v>
      </c>
      <c r="Z2026" t="s">
        <v>1136</v>
      </c>
      <c r="AA2026" t="s">
        <v>1283</v>
      </c>
      <c r="AC2026" t="s">
        <v>1284</v>
      </c>
    </row>
    <row r="2027" spans="1:29" hidden="1" x14ac:dyDescent="0.25">
      <c r="A2027">
        <v>488</v>
      </c>
      <c r="B2027" t="s">
        <v>661</v>
      </c>
      <c r="C2027" t="s">
        <v>77</v>
      </c>
      <c r="D2027" t="s">
        <v>660</v>
      </c>
      <c r="E2027">
        <v>25</v>
      </c>
      <c r="F2027">
        <v>375</v>
      </c>
      <c r="G2027">
        <v>500</v>
      </c>
      <c r="H2027">
        <v>1</v>
      </c>
      <c r="I2027">
        <v>35.82</v>
      </c>
      <c r="J2027">
        <v>35.82</v>
      </c>
      <c r="K2027" t="s">
        <v>1281</v>
      </c>
      <c r="L2027" t="s">
        <v>1282</v>
      </c>
      <c r="Q2027">
        <v>3</v>
      </c>
      <c r="R2027" t="s">
        <v>1135</v>
      </c>
      <c r="T2027" t="s">
        <v>38</v>
      </c>
      <c r="V2027" t="s">
        <v>921</v>
      </c>
      <c r="W2027" t="s">
        <v>81</v>
      </c>
      <c r="Z2027" t="s">
        <v>1136</v>
      </c>
      <c r="AA2027" t="s">
        <v>1283</v>
      </c>
      <c r="AC2027" t="s">
        <v>1284</v>
      </c>
    </row>
    <row r="2028" spans="1:29" hidden="1" x14ac:dyDescent="0.25">
      <c r="A2028">
        <v>489</v>
      </c>
      <c r="B2028" t="s">
        <v>666</v>
      </c>
      <c r="C2028" t="s">
        <v>77</v>
      </c>
      <c r="D2028" t="s">
        <v>664</v>
      </c>
      <c r="E2028">
        <v>25</v>
      </c>
      <c r="F2028">
        <v>250</v>
      </c>
      <c r="G2028">
        <v>300</v>
      </c>
      <c r="H2028">
        <v>8</v>
      </c>
      <c r="I2028">
        <v>13.16</v>
      </c>
      <c r="J2028">
        <v>105.25</v>
      </c>
      <c r="K2028" t="s">
        <v>1281</v>
      </c>
      <c r="L2028" t="s">
        <v>1282</v>
      </c>
      <c r="N2028" t="s">
        <v>228</v>
      </c>
      <c r="Q2028">
        <v>3</v>
      </c>
      <c r="R2028" t="s">
        <v>1135</v>
      </c>
      <c r="T2028" t="s">
        <v>38</v>
      </c>
      <c r="V2028" t="s">
        <v>921</v>
      </c>
      <c r="X2028" t="s">
        <v>81</v>
      </c>
      <c r="Z2028" t="s">
        <v>1136</v>
      </c>
      <c r="AA2028" t="s">
        <v>1283</v>
      </c>
      <c r="AC2028" t="s">
        <v>1284</v>
      </c>
    </row>
    <row r="2029" spans="1:29" hidden="1" x14ac:dyDescent="0.25">
      <c r="A2029">
        <v>490</v>
      </c>
      <c r="B2029" t="s">
        <v>627</v>
      </c>
      <c r="C2029" t="s">
        <v>77</v>
      </c>
      <c r="D2029" t="s">
        <v>1069</v>
      </c>
      <c r="E2029">
        <v>25</v>
      </c>
      <c r="F2029">
        <v>501</v>
      </c>
      <c r="G2029">
        <v>744</v>
      </c>
      <c r="H2029">
        <v>4</v>
      </c>
      <c r="I2029">
        <v>45.45</v>
      </c>
      <c r="J2029">
        <v>181.8</v>
      </c>
      <c r="K2029" t="s">
        <v>1281</v>
      </c>
      <c r="L2029" t="s">
        <v>1282</v>
      </c>
      <c r="N2029" t="s">
        <v>228</v>
      </c>
      <c r="Q2029">
        <v>3</v>
      </c>
      <c r="R2029" t="s">
        <v>1135</v>
      </c>
      <c r="T2029" t="s">
        <v>38</v>
      </c>
      <c r="V2029" t="s">
        <v>921</v>
      </c>
      <c r="X2029" t="s">
        <v>81</v>
      </c>
      <c r="Z2029" t="s">
        <v>1136</v>
      </c>
      <c r="AA2029" t="s">
        <v>1283</v>
      </c>
      <c r="AC2029" t="s">
        <v>1284</v>
      </c>
    </row>
    <row r="2030" spans="1:29" hidden="1" x14ac:dyDescent="0.25">
      <c r="A2030">
        <v>491</v>
      </c>
      <c r="B2030" t="s">
        <v>659</v>
      </c>
      <c r="C2030" t="s">
        <v>77</v>
      </c>
      <c r="D2030" t="s">
        <v>660</v>
      </c>
      <c r="E2030">
        <v>25</v>
      </c>
      <c r="F2030">
        <v>375</v>
      </c>
      <c r="G2030">
        <v>500</v>
      </c>
      <c r="H2030">
        <v>2</v>
      </c>
      <c r="I2030">
        <v>35.82</v>
      </c>
      <c r="J2030">
        <v>71.63</v>
      </c>
      <c r="K2030" t="s">
        <v>1281</v>
      </c>
      <c r="L2030" t="s">
        <v>1282</v>
      </c>
      <c r="Q2030">
        <v>3</v>
      </c>
      <c r="R2030" t="s">
        <v>1135</v>
      </c>
      <c r="T2030" t="s">
        <v>38</v>
      </c>
      <c r="V2030" t="s">
        <v>921</v>
      </c>
      <c r="W2030" t="s">
        <v>81</v>
      </c>
      <c r="Z2030" t="s">
        <v>1136</v>
      </c>
      <c r="AA2030" t="s">
        <v>1283</v>
      </c>
      <c r="AC2030" t="s">
        <v>1284</v>
      </c>
    </row>
    <row r="2031" spans="1:29" hidden="1" x14ac:dyDescent="0.25">
      <c r="A2031">
        <v>492</v>
      </c>
      <c r="B2031" t="s">
        <v>1285</v>
      </c>
      <c r="C2031" t="s">
        <v>77</v>
      </c>
      <c r="D2031" t="s">
        <v>1286</v>
      </c>
      <c r="E2031">
        <v>25</v>
      </c>
      <c r="F2031">
        <v>300</v>
      </c>
      <c r="G2031">
        <v>450</v>
      </c>
      <c r="H2031">
        <v>1</v>
      </c>
      <c r="I2031">
        <v>26.49</v>
      </c>
      <c r="J2031">
        <v>26.49</v>
      </c>
      <c r="K2031" t="s">
        <v>1281</v>
      </c>
      <c r="L2031" t="s">
        <v>1282</v>
      </c>
      <c r="Q2031">
        <v>3</v>
      </c>
      <c r="R2031" t="s">
        <v>1135</v>
      </c>
      <c r="T2031" t="s">
        <v>38</v>
      </c>
      <c r="V2031" t="s">
        <v>921</v>
      </c>
      <c r="Z2031" t="s">
        <v>1136</v>
      </c>
      <c r="AA2031" t="s">
        <v>1283</v>
      </c>
      <c r="AC2031" t="s">
        <v>1284</v>
      </c>
    </row>
    <row r="2032" spans="1:29" hidden="1" x14ac:dyDescent="0.25">
      <c r="A2032">
        <v>493</v>
      </c>
      <c r="B2032" t="s">
        <v>673</v>
      </c>
      <c r="C2032" t="s">
        <v>77</v>
      </c>
      <c r="D2032" t="s">
        <v>674</v>
      </c>
      <c r="E2032">
        <v>30</v>
      </c>
      <c r="F2032">
        <v>390</v>
      </c>
      <c r="G2032">
        <v>670</v>
      </c>
      <c r="H2032">
        <v>2</v>
      </c>
      <c r="I2032">
        <v>55.65</v>
      </c>
      <c r="J2032">
        <v>111.3</v>
      </c>
      <c r="K2032" t="s">
        <v>1287</v>
      </c>
      <c r="L2032" t="s">
        <v>1288</v>
      </c>
      <c r="N2032" t="s">
        <v>228</v>
      </c>
      <c r="Q2032">
        <v>3</v>
      </c>
      <c r="R2032" t="s">
        <v>1135</v>
      </c>
      <c r="T2032" t="s">
        <v>38</v>
      </c>
      <c r="V2032" t="s">
        <v>921</v>
      </c>
      <c r="X2032" t="s">
        <v>81</v>
      </c>
      <c r="Z2032" t="s">
        <v>1136</v>
      </c>
      <c r="AA2032" t="s">
        <v>1289</v>
      </c>
      <c r="AC2032" t="s">
        <v>1290</v>
      </c>
    </row>
    <row r="2033" spans="1:29" hidden="1" x14ac:dyDescent="0.25">
      <c r="A2033">
        <v>494</v>
      </c>
      <c r="B2033" t="s">
        <v>678</v>
      </c>
      <c r="C2033" t="s">
        <v>77</v>
      </c>
      <c r="D2033" t="s">
        <v>679</v>
      </c>
      <c r="E2033">
        <v>30</v>
      </c>
      <c r="F2033">
        <v>290</v>
      </c>
      <c r="G2033">
        <v>670</v>
      </c>
      <c r="H2033">
        <v>4</v>
      </c>
      <c r="I2033">
        <v>41.82</v>
      </c>
      <c r="J2033">
        <v>167.26</v>
      </c>
      <c r="K2033" t="s">
        <v>1287</v>
      </c>
      <c r="L2033" t="s">
        <v>1288</v>
      </c>
      <c r="N2033" t="s">
        <v>228</v>
      </c>
      <c r="Q2033">
        <v>3</v>
      </c>
      <c r="R2033" t="s">
        <v>1135</v>
      </c>
      <c r="T2033" t="s">
        <v>38</v>
      </c>
      <c r="V2033" t="s">
        <v>921</v>
      </c>
      <c r="X2033" t="s">
        <v>81</v>
      </c>
      <c r="Z2033" t="s">
        <v>1136</v>
      </c>
      <c r="AA2033" t="s">
        <v>1289</v>
      </c>
      <c r="AC2033" t="s">
        <v>1290</v>
      </c>
    </row>
    <row r="2034" spans="1:29" hidden="1" x14ac:dyDescent="0.25">
      <c r="A2034">
        <v>495</v>
      </c>
      <c r="B2034" t="s">
        <v>680</v>
      </c>
      <c r="C2034" t="s">
        <v>77</v>
      </c>
      <c r="D2034" t="s">
        <v>674</v>
      </c>
      <c r="E2034">
        <v>30</v>
      </c>
      <c r="F2034">
        <v>390</v>
      </c>
      <c r="G2034">
        <v>670</v>
      </c>
      <c r="H2034">
        <v>2</v>
      </c>
      <c r="I2034">
        <v>55.65</v>
      </c>
      <c r="J2034">
        <v>111.3</v>
      </c>
      <c r="K2034" t="s">
        <v>1287</v>
      </c>
      <c r="L2034" t="s">
        <v>1288</v>
      </c>
      <c r="N2034" t="s">
        <v>228</v>
      </c>
      <c r="Q2034">
        <v>3</v>
      </c>
      <c r="R2034" t="s">
        <v>1135</v>
      </c>
      <c r="T2034" t="s">
        <v>38</v>
      </c>
      <c r="V2034" t="s">
        <v>921</v>
      </c>
      <c r="X2034" t="s">
        <v>81</v>
      </c>
      <c r="Z2034" t="s">
        <v>1136</v>
      </c>
      <c r="AA2034" t="s">
        <v>1289</v>
      </c>
      <c r="AC2034" t="s">
        <v>1290</v>
      </c>
    </row>
    <row r="2035" spans="1:29" hidden="1" x14ac:dyDescent="0.25">
      <c r="A2035">
        <v>496</v>
      </c>
      <c r="B2035" t="s">
        <v>681</v>
      </c>
      <c r="C2035" t="s">
        <v>77</v>
      </c>
      <c r="D2035" t="s">
        <v>679</v>
      </c>
      <c r="E2035">
        <v>30</v>
      </c>
      <c r="F2035">
        <v>290</v>
      </c>
      <c r="G2035">
        <v>670</v>
      </c>
      <c r="H2035">
        <v>4</v>
      </c>
      <c r="I2035">
        <v>41.82</v>
      </c>
      <c r="J2035">
        <v>167.26</v>
      </c>
      <c r="K2035" t="s">
        <v>1287</v>
      </c>
      <c r="L2035" t="s">
        <v>1288</v>
      </c>
      <c r="N2035" t="s">
        <v>228</v>
      </c>
      <c r="Q2035">
        <v>3</v>
      </c>
      <c r="R2035" t="s">
        <v>1135</v>
      </c>
      <c r="T2035" t="s">
        <v>38</v>
      </c>
      <c r="V2035" t="s">
        <v>921</v>
      </c>
      <c r="X2035" t="s">
        <v>81</v>
      </c>
      <c r="Z2035" t="s">
        <v>1136</v>
      </c>
      <c r="AA2035" t="s">
        <v>1289</v>
      </c>
      <c r="AC2035" t="s">
        <v>1290</v>
      </c>
    </row>
    <row r="2036" spans="1:29" hidden="1" x14ac:dyDescent="0.25">
      <c r="A2036">
        <v>497</v>
      </c>
      <c r="B2036" t="s">
        <v>682</v>
      </c>
      <c r="C2036" t="s">
        <v>77</v>
      </c>
      <c r="D2036" t="s">
        <v>674</v>
      </c>
      <c r="E2036">
        <v>30</v>
      </c>
      <c r="F2036">
        <v>390</v>
      </c>
      <c r="G2036">
        <v>670</v>
      </c>
      <c r="H2036">
        <v>2</v>
      </c>
      <c r="I2036">
        <v>55.65</v>
      </c>
      <c r="J2036">
        <v>111.3</v>
      </c>
      <c r="K2036" t="s">
        <v>1287</v>
      </c>
      <c r="L2036" t="s">
        <v>1288</v>
      </c>
      <c r="N2036" t="s">
        <v>228</v>
      </c>
      <c r="Q2036">
        <v>3</v>
      </c>
      <c r="R2036" t="s">
        <v>1135</v>
      </c>
      <c r="T2036" t="s">
        <v>38</v>
      </c>
      <c r="V2036" t="s">
        <v>921</v>
      </c>
      <c r="X2036" t="s">
        <v>81</v>
      </c>
      <c r="Z2036" t="s">
        <v>1136</v>
      </c>
      <c r="AA2036" t="s">
        <v>1289</v>
      </c>
      <c r="AC2036" t="s">
        <v>1290</v>
      </c>
    </row>
    <row r="2037" spans="1:29" hidden="1" x14ac:dyDescent="0.25">
      <c r="A2037">
        <v>498</v>
      </c>
      <c r="B2037" t="s">
        <v>683</v>
      </c>
      <c r="C2037" t="s">
        <v>77</v>
      </c>
      <c r="D2037" t="s">
        <v>679</v>
      </c>
      <c r="E2037">
        <v>30</v>
      </c>
      <c r="F2037">
        <v>290</v>
      </c>
      <c r="G2037">
        <v>670</v>
      </c>
      <c r="H2037">
        <v>4</v>
      </c>
      <c r="I2037">
        <v>41.82</v>
      </c>
      <c r="J2037">
        <v>167.26</v>
      </c>
      <c r="K2037" t="s">
        <v>1287</v>
      </c>
      <c r="L2037" t="s">
        <v>1288</v>
      </c>
      <c r="N2037" t="s">
        <v>228</v>
      </c>
      <c r="Q2037">
        <v>3</v>
      </c>
      <c r="R2037" t="s">
        <v>1135</v>
      </c>
      <c r="T2037" t="s">
        <v>38</v>
      </c>
      <c r="V2037" t="s">
        <v>921</v>
      </c>
      <c r="X2037" t="s">
        <v>81</v>
      </c>
      <c r="Z2037" t="s">
        <v>1136</v>
      </c>
      <c r="AA2037" t="s">
        <v>1289</v>
      </c>
      <c r="AC2037" t="s">
        <v>1290</v>
      </c>
    </row>
    <row r="2038" spans="1:29" hidden="1" x14ac:dyDescent="0.25">
      <c r="A2038">
        <v>499</v>
      </c>
      <c r="B2038" t="s">
        <v>684</v>
      </c>
      <c r="C2038" t="s">
        <v>77</v>
      </c>
      <c r="D2038" t="s">
        <v>674</v>
      </c>
      <c r="E2038">
        <v>30</v>
      </c>
      <c r="F2038">
        <v>390</v>
      </c>
      <c r="G2038">
        <v>670</v>
      </c>
      <c r="H2038">
        <v>2</v>
      </c>
      <c r="I2038">
        <v>55.65</v>
      </c>
      <c r="J2038">
        <v>111.3</v>
      </c>
      <c r="K2038" t="s">
        <v>1287</v>
      </c>
      <c r="L2038" t="s">
        <v>1288</v>
      </c>
      <c r="N2038" t="s">
        <v>228</v>
      </c>
      <c r="Q2038">
        <v>3</v>
      </c>
      <c r="R2038" t="s">
        <v>1135</v>
      </c>
      <c r="T2038" t="s">
        <v>38</v>
      </c>
      <c r="V2038" t="s">
        <v>921</v>
      </c>
      <c r="X2038" t="s">
        <v>81</v>
      </c>
      <c r="Z2038" t="s">
        <v>1136</v>
      </c>
      <c r="AA2038" t="s">
        <v>1289</v>
      </c>
      <c r="AC2038" t="s">
        <v>1290</v>
      </c>
    </row>
    <row r="2039" spans="1:29" hidden="1" x14ac:dyDescent="0.25">
      <c r="A2039">
        <v>500</v>
      </c>
      <c r="B2039" t="s">
        <v>685</v>
      </c>
      <c r="C2039" t="s">
        <v>77</v>
      </c>
      <c r="D2039" t="s">
        <v>679</v>
      </c>
      <c r="E2039">
        <v>30</v>
      </c>
      <c r="F2039">
        <v>290</v>
      </c>
      <c r="G2039">
        <v>670</v>
      </c>
      <c r="H2039">
        <v>4</v>
      </c>
      <c r="I2039">
        <v>41.82</v>
      </c>
      <c r="J2039">
        <v>167.26</v>
      </c>
      <c r="K2039" t="s">
        <v>1287</v>
      </c>
      <c r="L2039" t="s">
        <v>1288</v>
      </c>
      <c r="N2039" t="s">
        <v>228</v>
      </c>
      <c r="Q2039">
        <v>3</v>
      </c>
      <c r="R2039" t="s">
        <v>1135</v>
      </c>
      <c r="T2039" t="s">
        <v>38</v>
      </c>
      <c r="V2039" t="s">
        <v>921</v>
      </c>
      <c r="X2039" t="s">
        <v>81</v>
      </c>
      <c r="Z2039" t="s">
        <v>1136</v>
      </c>
      <c r="AA2039" t="s">
        <v>1289</v>
      </c>
      <c r="AC2039" t="s">
        <v>1290</v>
      </c>
    </row>
    <row r="2040" spans="1:29" hidden="1" x14ac:dyDescent="0.25">
      <c r="A2040">
        <v>501</v>
      </c>
      <c r="B2040" t="s">
        <v>688</v>
      </c>
      <c r="C2040" t="s">
        <v>77</v>
      </c>
      <c r="D2040" t="s">
        <v>689</v>
      </c>
      <c r="E2040">
        <v>30</v>
      </c>
      <c r="F2040">
        <v>260</v>
      </c>
      <c r="G2040">
        <v>400</v>
      </c>
      <c r="H2040">
        <v>2</v>
      </c>
      <c r="I2040">
        <v>16.329999999999998</v>
      </c>
      <c r="J2040">
        <v>32.659999999999997</v>
      </c>
      <c r="K2040" t="s">
        <v>1287</v>
      </c>
      <c r="L2040" t="s">
        <v>1288</v>
      </c>
      <c r="N2040" t="s">
        <v>228</v>
      </c>
      <c r="Q2040">
        <v>3</v>
      </c>
      <c r="R2040" t="s">
        <v>1135</v>
      </c>
      <c r="T2040" t="s">
        <v>38</v>
      </c>
      <c r="V2040" t="s">
        <v>921</v>
      </c>
      <c r="X2040" t="s">
        <v>81</v>
      </c>
      <c r="Z2040" t="s">
        <v>1136</v>
      </c>
      <c r="AA2040" t="s">
        <v>1289</v>
      </c>
      <c r="AC2040" t="s">
        <v>1290</v>
      </c>
    </row>
    <row r="2041" spans="1:29" hidden="1" x14ac:dyDescent="0.25">
      <c r="A2041">
        <v>502</v>
      </c>
      <c r="B2041" t="s">
        <v>690</v>
      </c>
      <c r="C2041" t="s">
        <v>77</v>
      </c>
      <c r="D2041" t="s">
        <v>691</v>
      </c>
      <c r="E2041">
        <v>30</v>
      </c>
      <c r="F2041">
        <v>69</v>
      </c>
      <c r="G2041">
        <v>100</v>
      </c>
      <c r="H2041">
        <v>2</v>
      </c>
      <c r="I2041">
        <v>1.62</v>
      </c>
      <c r="J2041">
        <v>3.25</v>
      </c>
      <c r="K2041" t="s">
        <v>1287</v>
      </c>
      <c r="L2041" t="s">
        <v>1288</v>
      </c>
      <c r="Q2041">
        <v>3</v>
      </c>
      <c r="R2041" t="s">
        <v>1135</v>
      </c>
      <c r="T2041" t="s">
        <v>38</v>
      </c>
      <c r="V2041" t="s">
        <v>921</v>
      </c>
      <c r="W2041" t="s">
        <v>81</v>
      </c>
      <c r="Z2041" t="s">
        <v>1136</v>
      </c>
      <c r="AA2041" t="s">
        <v>1289</v>
      </c>
      <c r="AC2041" t="s">
        <v>1290</v>
      </c>
    </row>
    <row r="2042" spans="1:29" hidden="1" x14ac:dyDescent="0.25">
      <c r="A2042">
        <v>503</v>
      </c>
      <c r="B2042" t="s">
        <v>693</v>
      </c>
      <c r="C2042" t="s">
        <v>77</v>
      </c>
      <c r="D2042" t="s">
        <v>691</v>
      </c>
      <c r="E2042">
        <v>30</v>
      </c>
      <c r="F2042">
        <v>69</v>
      </c>
      <c r="G2042">
        <v>100</v>
      </c>
      <c r="H2042">
        <v>4</v>
      </c>
      <c r="I2042">
        <v>1.62</v>
      </c>
      <c r="J2042">
        <v>6.5</v>
      </c>
      <c r="K2042" t="s">
        <v>1287</v>
      </c>
      <c r="L2042" t="s">
        <v>1288</v>
      </c>
      <c r="Q2042">
        <v>3</v>
      </c>
      <c r="R2042" t="s">
        <v>1135</v>
      </c>
      <c r="T2042" t="s">
        <v>38</v>
      </c>
      <c r="V2042" t="s">
        <v>921</v>
      </c>
      <c r="W2042" t="s">
        <v>81</v>
      </c>
      <c r="Z2042" t="s">
        <v>1136</v>
      </c>
      <c r="AA2042" t="s">
        <v>1289</v>
      </c>
      <c r="AC2042" t="s">
        <v>1290</v>
      </c>
    </row>
    <row r="2043" spans="1:29" hidden="1" x14ac:dyDescent="0.25">
      <c r="A2043">
        <v>504</v>
      </c>
      <c r="B2043" t="s">
        <v>695</v>
      </c>
      <c r="C2043" t="s">
        <v>77</v>
      </c>
      <c r="D2043" t="s">
        <v>689</v>
      </c>
      <c r="E2043">
        <v>30</v>
      </c>
      <c r="F2043">
        <v>260</v>
      </c>
      <c r="G2043">
        <v>400</v>
      </c>
      <c r="H2043">
        <v>2</v>
      </c>
      <c r="I2043">
        <v>16.329999999999998</v>
      </c>
      <c r="J2043">
        <v>32.659999999999997</v>
      </c>
      <c r="K2043" t="s">
        <v>1287</v>
      </c>
      <c r="L2043" t="s">
        <v>1288</v>
      </c>
      <c r="N2043" t="s">
        <v>228</v>
      </c>
      <c r="Q2043">
        <v>3</v>
      </c>
      <c r="R2043" t="s">
        <v>1135</v>
      </c>
      <c r="T2043" t="s">
        <v>38</v>
      </c>
      <c r="V2043" t="s">
        <v>921</v>
      </c>
      <c r="X2043" t="s">
        <v>81</v>
      </c>
      <c r="Z2043" t="s">
        <v>1136</v>
      </c>
      <c r="AA2043" t="s">
        <v>1289</v>
      </c>
      <c r="AC2043" t="s">
        <v>1290</v>
      </c>
    </row>
    <row r="2044" spans="1:29" hidden="1" x14ac:dyDescent="0.25">
      <c r="A2044">
        <v>505</v>
      </c>
      <c r="B2044" t="s">
        <v>696</v>
      </c>
      <c r="C2044" t="s">
        <v>77</v>
      </c>
      <c r="D2044" t="s">
        <v>691</v>
      </c>
      <c r="E2044">
        <v>30</v>
      </c>
      <c r="F2044">
        <v>69</v>
      </c>
      <c r="G2044">
        <v>100</v>
      </c>
      <c r="H2044">
        <v>2</v>
      </c>
      <c r="I2044">
        <v>1.62</v>
      </c>
      <c r="J2044">
        <v>3.25</v>
      </c>
      <c r="K2044" t="s">
        <v>1287</v>
      </c>
      <c r="L2044" t="s">
        <v>1288</v>
      </c>
      <c r="Q2044">
        <v>3</v>
      </c>
      <c r="R2044" t="s">
        <v>1135</v>
      </c>
      <c r="T2044" t="s">
        <v>38</v>
      </c>
      <c r="V2044" t="s">
        <v>921</v>
      </c>
      <c r="W2044" t="s">
        <v>81</v>
      </c>
      <c r="Z2044" t="s">
        <v>1136</v>
      </c>
      <c r="AA2044" t="s">
        <v>1289</v>
      </c>
      <c r="AC2044" t="s">
        <v>1290</v>
      </c>
    </row>
    <row r="2045" spans="1:29" hidden="1" x14ac:dyDescent="0.25">
      <c r="A2045">
        <v>506</v>
      </c>
      <c r="B2045" t="s">
        <v>697</v>
      </c>
      <c r="C2045" t="s">
        <v>77</v>
      </c>
      <c r="D2045" t="s">
        <v>698</v>
      </c>
      <c r="E2045">
        <v>30</v>
      </c>
      <c r="F2045">
        <v>275</v>
      </c>
      <c r="G2045">
        <v>300</v>
      </c>
      <c r="H2045">
        <v>4</v>
      </c>
      <c r="I2045">
        <v>14.01</v>
      </c>
      <c r="J2045">
        <v>56.03</v>
      </c>
      <c r="K2045" t="s">
        <v>1287</v>
      </c>
      <c r="L2045" t="s">
        <v>1288</v>
      </c>
      <c r="N2045" t="s">
        <v>228</v>
      </c>
      <c r="Q2045">
        <v>3</v>
      </c>
      <c r="R2045" t="s">
        <v>1135</v>
      </c>
      <c r="T2045" t="s">
        <v>38</v>
      </c>
      <c r="V2045" t="s">
        <v>921</v>
      </c>
      <c r="X2045" t="s">
        <v>81</v>
      </c>
      <c r="Z2045" t="s">
        <v>1136</v>
      </c>
      <c r="AA2045" t="s">
        <v>1289</v>
      </c>
      <c r="AC2045" t="s">
        <v>1290</v>
      </c>
    </row>
    <row r="2046" spans="1:29" hidden="1" x14ac:dyDescent="0.25">
      <c r="A2046">
        <v>507</v>
      </c>
      <c r="B2046" t="s">
        <v>1291</v>
      </c>
      <c r="C2046" t="s">
        <v>77</v>
      </c>
      <c r="D2046" t="s">
        <v>1292</v>
      </c>
      <c r="E2046">
        <v>30</v>
      </c>
      <c r="F2046">
        <v>300</v>
      </c>
      <c r="G2046">
        <v>450</v>
      </c>
      <c r="H2046">
        <v>1</v>
      </c>
      <c r="I2046">
        <v>31.79</v>
      </c>
      <c r="J2046">
        <v>31.79</v>
      </c>
      <c r="K2046" t="s">
        <v>1287</v>
      </c>
      <c r="L2046" t="s">
        <v>1288</v>
      </c>
      <c r="Q2046">
        <v>3</v>
      </c>
      <c r="R2046" t="s">
        <v>1135</v>
      </c>
      <c r="T2046" t="s">
        <v>38</v>
      </c>
      <c r="V2046" t="s">
        <v>921</v>
      </c>
      <c r="Z2046" t="s">
        <v>1136</v>
      </c>
      <c r="AA2046" t="s">
        <v>1289</v>
      </c>
      <c r="AC2046" t="s">
        <v>1290</v>
      </c>
    </row>
    <row r="2047" spans="1:29" hidden="1" x14ac:dyDescent="0.25">
      <c r="A2047">
        <v>508</v>
      </c>
      <c r="B2047" t="s">
        <v>686</v>
      </c>
      <c r="C2047" t="s">
        <v>77</v>
      </c>
      <c r="D2047" t="s">
        <v>687</v>
      </c>
      <c r="E2047">
        <v>30</v>
      </c>
      <c r="F2047">
        <v>315</v>
      </c>
      <c r="G2047">
        <v>460</v>
      </c>
      <c r="H2047">
        <v>2</v>
      </c>
      <c r="I2047">
        <v>22.86</v>
      </c>
      <c r="J2047">
        <v>45.73</v>
      </c>
      <c r="K2047" t="s">
        <v>1287</v>
      </c>
      <c r="L2047" t="s">
        <v>1288</v>
      </c>
      <c r="N2047" t="s">
        <v>228</v>
      </c>
      <c r="Q2047">
        <v>3</v>
      </c>
      <c r="R2047" t="s">
        <v>1135</v>
      </c>
      <c r="T2047" t="s">
        <v>38</v>
      </c>
      <c r="V2047" t="s">
        <v>921</v>
      </c>
      <c r="X2047" t="s">
        <v>81</v>
      </c>
      <c r="Z2047" t="s">
        <v>1136</v>
      </c>
      <c r="AA2047" t="s">
        <v>1289</v>
      </c>
      <c r="AC2047" t="s">
        <v>1290</v>
      </c>
    </row>
    <row r="2048" spans="1:29" hidden="1" x14ac:dyDescent="0.25">
      <c r="A2048">
        <v>509</v>
      </c>
      <c r="B2048" t="s">
        <v>692</v>
      </c>
      <c r="C2048" t="s">
        <v>77</v>
      </c>
      <c r="D2048" t="s">
        <v>687</v>
      </c>
      <c r="E2048">
        <v>30</v>
      </c>
      <c r="F2048">
        <v>315</v>
      </c>
      <c r="G2048">
        <v>460</v>
      </c>
      <c r="H2048">
        <v>4</v>
      </c>
      <c r="I2048">
        <v>22.86</v>
      </c>
      <c r="J2048">
        <v>91.45</v>
      </c>
      <c r="K2048" t="s">
        <v>1287</v>
      </c>
      <c r="L2048" t="s">
        <v>1288</v>
      </c>
      <c r="N2048" t="s">
        <v>228</v>
      </c>
      <c r="Q2048">
        <v>3</v>
      </c>
      <c r="R2048" t="s">
        <v>1135</v>
      </c>
      <c r="T2048" t="s">
        <v>38</v>
      </c>
      <c r="V2048" t="s">
        <v>921</v>
      </c>
      <c r="X2048" t="s">
        <v>81</v>
      </c>
      <c r="Z2048" t="s">
        <v>1136</v>
      </c>
      <c r="AA2048" t="s">
        <v>1289</v>
      </c>
      <c r="AC2048" t="s">
        <v>1290</v>
      </c>
    </row>
    <row r="2049" spans="1:29" hidden="1" x14ac:dyDescent="0.25">
      <c r="A2049">
        <v>510</v>
      </c>
      <c r="B2049" t="s">
        <v>694</v>
      </c>
      <c r="C2049" t="s">
        <v>77</v>
      </c>
      <c r="D2049" t="s">
        <v>687</v>
      </c>
      <c r="E2049">
        <v>30</v>
      </c>
      <c r="F2049">
        <v>315</v>
      </c>
      <c r="G2049">
        <v>460</v>
      </c>
      <c r="H2049">
        <v>2</v>
      </c>
      <c r="I2049">
        <v>22.86</v>
      </c>
      <c r="J2049">
        <v>45.73</v>
      </c>
      <c r="K2049" t="s">
        <v>1287</v>
      </c>
      <c r="L2049" t="s">
        <v>1288</v>
      </c>
      <c r="N2049" t="s">
        <v>228</v>
      </c>
      <c r="Q2049">
        <v>3</v>
      </c>
      <c r="R2049" t="s">
        <v>1135</v>
      </c>
      <c r="T2049" t="s">
        <v>38</v>
      </c>
      <c r="V2049" t="s">
        <v>921</v>
      </c>
      <c r="X2049" t="s">
        <v>81</v>
      </c>
      <c r="Z2049" t="s">
        <v>1136</v>
      </c>
      <c r="AA2049" t="s">
        <v>1289</v>
      </c>
      <c r="AC2049" t="s">
        <v>1290</v>
      </c>
    </row>
    <row r="2050" spans="1:29" hidden="1" x14ac:dyDescent="0.25">
      <c r="A2050">
        <v>511</v>
      </c>
      <c r="B2050" t="s">
        <v>712</v>
      </c>
      <c r="C2050" t="s">
        <v>700</v>
      </c>
      <c r="D2050" t="s">
        <v>701</v>
      </c>
      <c r="E2050">
        <v>60</v>
      </c>
      <c r="F2050">
        <v>70</v>
      </c>
      <c r="G2050">
        <v>8980</v>
      </c>
      <c r="H2050">
        <v>1</v>
      </c>
      <c r="I2050">
        <v>296.07</v>
      </c>
      <c r="J2050">
        <v>296.07</v>
      </c>
      <c r="K2050" t="s">
        <v>1293</v>
      </c>
      <c r="L2050" t="s">
        <v>1294</v>
      </c>
      <c r="O2050" t="s">
        <v>81</v>
      </c>
      <c r="Q2050">
        <v>3</v>
      </c>
      <c r="R2050" t="s">
        <v>1135</v>
      </c>
      <c r="T2050" t="s">
        <v>38</v>
      </c>
      <c r="V2050" t="s">
        <v>921</v>
      </c>
      <c r="W2050" t="s">
        <v>81</v>
      </c>
      <c r="Z2050" t="s">
        <v>1136</v>
      </c>
      <c r="AA2050" t="s">
        <v>1295</v>
      </c>
      <c r="AC2050" t="s">
        <v>1296</v>
      </c>
    </row>
    <row r="2051" spans="1:29" hidden="1" x14ac:dyDescent="0.25">
      <c r="A2051">
        <v>512</v>
      </c>
      <c r="B2051" t="s">
        <v>710</v>
      </c>
      <c r="C2051" t="s">
        <v>700</v>
      </c>
      <c r="D2051" t="s">
        <v>711</v>
      </c>
      <c r="E2051">
        <v>60</v>
      </c>
      <c r="F2051">
        <v>63</v>
      </c>
      <c r="G2051">
        <v>7588</v>
      </c>
      <c r="H2051">
        <v>1</v>
      </c>
      <c r="I2051">
        <v>214.44</v>
      </c>
      <c r="J2051">
        <v>214.44</v>
      </c>
      <c r="K2051" t="s">
        <v>1297</v>
      </c>
      <c r="L2051" t="s">
        <v>1298</v>
      </c>
      <c r="O2051" t="s">
        <v>81</v>
      </c>
      <c r="Q2051">
        <v>3</v>
      </c>
      <c r="R2051" t="s">
        <v>1135</v>
      </c>
      <c r="T2051" t="s">
        <v>38</v>
      </c>
      <c r="V2051" t="s">
        <v>921</v>
      </c>
      <c r="W2051" t="s">
        <v>81</v>
      </c>
      <c r="Z2051" t="s">
        <v>1136</v>
      </c>
      <c r="AA2051" t="s">
        <v>1299</v>
      </c>
      <c r="AC2051" t="s">
        <v>1300</v>
      </c>
    </row>
    <row r="2052" spans="1:29" hidden="1" x14ac:dyDescent="0.25">
      <c r="A2052">
        <v>513</v>
      </c>
      <c r="B2052" t="s">
        <v>716</v>
      </c>
      <c r="C2052" t="s">
        <v>700</v>
      </c>
      <c r="D2052" t="s">
        <v>717</v>
      </c>
      <c r="E2052">
        <v>60</v>
      </c>
      <c r="F2052">
        <v>70</v>
      </c>
      <c r="G2052">
        <v>7587</v>
      </c>
      <c r="H2052">
        <v>1</v>
      </c>
      <c r="I2052">
        <v>250.16</v>
      </c>
      <c r="J2052">
        <v>250.16</v>
      </c>
      <c r="K2052" t="s">
        <v>1297</v>
      </c>
      <c r="L2052" t="s">
        <v>1298</v>
      </c>
      <c r="O2052" t="s">
        <v>81</v>
      </c>
      <c r="Q2052">
        <v>3</v>
      </c>
      <c r="R2052" t="s">
        <v>1135</v>
      </c>
      <c r="T2052" t="s">
        <v>38</v>
      </c>
      <c r="V2052" t="s">
        <v>921</v>
      </c>
      <c r="W2052" t="s">
        <v>81</v>
      </c>
      <c r="Z2052" t="s">
        <v>1136</v>
      </c>
      <c r="AA2052" t="s">
        <v>1299</v>
      </c>
      <c r="AC2052" t="s">
        <v>1300</v>
      </c>
    </row>
    <row r="2053" spans="1:29" hidden="1" x14ac:dyDescent="0.25">
      <c r="A2053">
        <v>514</v>
      </c>
      <c r="B2053" t="s">
        <v>699</v>
      </c>
      <c r="C2053" t="s">
        <v>700</v>
      </c>
      <c r="D2053" t="s">
        <v>701</v>
      </c>
      <c r="E2053">
        <v>60</v>
      </c>
      <c r="F2053">
        <v>70</v>
      </c>
      <c r="G2053">
        <v>8980</v>
      </c>
      <c r="H2053">
        <v>1</v>
      </c>
      <c r="I2053">
        <v>296.07</v>
      </c>
      <c r="J2053">
        <v>296.07</v>
      </c>
      <c r="K2053" t="s">
        <v>1301</v>
      </c>
      <c r="L2053" t="s">
        <v>1302</v>
      </c>
      <c r="O2053" t="s">
        <v>81</v>
      </c>
      <c r="Q2053">
        <v>3</v>
      </c>
      <c r="R2053" t="s">
        <v>1135</v>
      </c>
      <c r="T2053" t="s">
        <v>38</v>
      </c>
      <c r="V2053" t="s">
        <v>921</v>
      </c>
      <c r="W2053" t="s">
        <v>81</v>
      </c>
      <c r="Z2053" t="s">
        <v>1136</v>
      </c>
      <c r="AA2053" t="s">
        <v>1303</v>
      </c>
      <c r="AC2053" t="s">
        <v>1304</v>
      </c>
    </row>
    <row r="2054" spans="1:29" hidden="1" x14ac:dyDescent="0.25">
      <c r="A2054">
        <v>515</v>
      </c>
      <c r="B2054" t="s">
        <v>706</v>
      </c>
      <c r="C2054" t="s">
        <v>700</v>
      </c>
      <c r="D2054" t="s">
        <v>707</v>
      </c>
      <c r="E2054">
        <v>60</v>
      </c>
      <c r="F2054">
        <v>70</v>
      </c>
      <c r="G2054">
        <v>11303</v>
      </c>
      <c r="H2054">
        <v>1</v>
      </c>
      <c r="I2054">
        <v>372.66</v>
      </c>
      <c r="J2054">
        <v>372.66</v>
      </c>
      <c r="K2054" t="s">
        <v>1301</v>
      </c>
      <c r="L2054" t="s">
        <v>1302</v>
      </c>
      <c r="O2054" t="s">
        <v>81</v>
      </c>
      <c r="Q2054">
        <v>3</v>
      </c>
      <c r="R2054" t="s">
        <v>1135</v>
      </c>
      <c r="T2054" t="s">
        <v>38</v>
      </c>
      <c r="V2054" t="s">
        <v>921</v>
      </c>
      <c r="W2054" t="s">
        <v>81</v>
      </c>
      <c r="Z2054" t="s">
        <v>1136</v>
      </c>
      <c r="AA2054" t="s">
        <v>1303</v>
      </c>
      <c r="AC2054" t="s">
        <v>1304</v>
      </c>
    </row>
    <row r="2055" spans="1:29" hidden="1" x14ac:dyDescent="0.25">
      <c r="A2055">
        <v>516</v>
      </c>
      <c r="B2055" t="s">
        <v>708</v>
      </c>
      <c r="C2055" t="s">
        <v>700</v>
      </c>
      <c r="D2055" t="s">
        <v>709</v>
      </c>
      <c r="E2055">
        <v>60</v>
      </c>
      <c r="F2055">
        <v>68</v>
      </c>
      <c r="G2055">
        <v>12000</v>
      </c>
      <c r="H2055">
        <v>1</v>
      </c>
      <c r="I2055">
        <v>339.12</v>
      </c>
      <c r="J2055">
        <v>339.12</v>
      </c>
      <c r="K2055" t="s">
        <v>1301</v>
      </c>
      <c r="L2055" t="s">
        <v>1302</v>
      </c>
      <c r="O2055" t="s">
        <v>81</v>
      </c>
      <c r="Q2055">
        <v>3</v>
      </c>
      <c r="R2055" t="s">
        <v>1135</v>
      </c>
      <c r="T2055" t="s">
        <v>38</v>
      </c>
      <c r="V2055" t="s">
        <v>921</v>
      </c>
      <c r="W2055" t="s">
        <v>81</v>
      </c>
      <c r="Z2055" t="s">
        <v>1136</v>
      </c>
      <c r="AA2055" t="s">
        <v>1303</v>
      </c>
      <c r="AC2055" t="s">
        <v>1304</v>
      </c>
    </row>
    <row r="2056" spans="1:29" hidden="1" x14ac:dyDescent="0.25">
      <c r="A2056">
        <v>517</v>
      </c>
      <c r="B2056" t="s">
        <v>713</v>
      </c>
      <c r="C2056" t="s">
        <v>700</v>
      </c>
      <c r="D2056" t="s">
        <v>707</v>
      </c>
      <c r="E2056">
        <v>60</v>
      </c>
      <c r="F2056">
        <v>70</v>
      </c>
      <c r="G2056">
        <v>11303</v>
      </c>
      <c r="H2056">
        <v>1</v>
      </c>
      <c r="I2056">
        <v>372.66</v>
      </c>
      <c r="J2056">
        <v>372.66</v>
      </c>
      <c r="K2056" t="s">
        <v>1301</v>
      </c>
      <c r="L2056" t="s">
        <v>1302</v>
      </c>
      <c r="O2056" t="s">
        <v>81</v>
      </c>
      <c r="Q2056">
        <v>3</v>
      </c>
      <c r="R2056" t="s">
        <v>1135</v>
      </c>
      <c r="T2056" t="s">
        <v>38</v>
      </c>
      <c r="V2056" t="s">
        <v>921</v>
      </c>
      <c r="W2056" t="s">
        <v>81</v>
      </c>
      <c r="Z2056" t="s">
        <v>1136</v>
      </c>
      <c r="AA2056" t="s">
        <v>1303</v>
      </c>
      <c r="AC2056" t="s">
        <v>1304</v>
      </c>
    </row>
    <row r="2057" spans="1:29" hidden="1" x14ac:dyDescent="0.25">
      <c r="A2057">
        <v>518</v>
      </c>
      <c r="B2057" t="s">
        <v>714</v>
      </c>
      <c r="C2057" t="s">
        <v>700</v>
      </c>
      <c r="D2057" t="s">
        <v>715</v>
      </c>
      <c r="E2057">
        <v>60</v>
      </c>
      <c r="F2057">
        <v>70</v>
      </c>
      <c r="G2057">
        <v>12000</v>
      </c>
      <c r="H2057">
        <v>1</v>
      </c>
      <c r="I2057">
        <v>395.64</v>
      </c>
      <c r="J2057">
        <v>395.64</v>
      </c>
      <c r="K2057" t="s">
        <v>1301</v>
      </c>
      <c r="L2057" t="s">
        <v>1302</v>
      </c>
      <c r="O2057" t="s">
        <v>81</v>
      </c>
      <c r="Q2057">
        <v>3</v>
      </c>
      <c r="R2057" t="s">
        <v>1135</v>
      </c>
      <c r="T2057" t="s">
        <v>38</v>
      </c>
      <c r="V2057" t="s">
        <v>921</v>
      </c>
      <c r="W2057" t="s">
        <v>81</v>
      </c>
      <c r="Z2057" t="s">
        <v>1136</v>
      </c>
      <c r="AA2057" t="s">
        <v>1303</v>
      </c>
      <c r="AC2057" t="s">
        <v>1304</v>
      </c>
    </row>
    <row r="2058" spans="1:29" hidden="1" x14ac:dyDescent="0.25">
      <c r="A2058">
        <v>519</v>
      </c>
      <c r="B2058" t="s">
        <v>1305</v>
      </c>
      <c r="C2058" t="s">
        <v>700</v>
      </c>
      <c r="D2058" t="s">
        <v>1306</v>
      </c>
      <c r="E2058">
        <v>60</v>
      </c>
      <c r="F2058">
        <v>300</v>
      </c>
      <c r="G2058">
        <v>450</v>
      </c>
      <c r="H2058">
        <v>1</v>
      </c>
      <c r="I2058">
        <v>63.59</v>
      </c>
      <c r="J2058">
        <v>63.59</v>
      </c>
      <c r="K2058" t="s">
        <v>1301</v>
      </c>
      <c r="L2058" t="s">
        <v>1302</v>
      </c>
      <c r="Q2058">
        <v>3</v>
      </c>
      <c r="R2058" t="s">
        <v>1135</v>
      </c>
      <c r="T2058" t="s">
        <v>38</v>
      </c>
      <c r="V2058" t="s">
        <v>921</v>
      </c>
      <c r="Z2058" t="s">
        <v>1136</v>
      </c>
      <c r="AA2058" t="s">
        <v>1303</v>
      </c>
      <c r="AC2058" t="s">
        <v>1304</v>
      </c>
    </row>
    <row r="2059" spans="1:29" x14ac:dyDescent="0.25">
      <c r="A2059">
        <v>1</v>
      </c>
      <c r="B2059" t="s">
        <v>32</v>
      </c>
      <c r="C2059" t="s">
        <v>33</v>
      </c>
      <c r="D2059" t="s">
        <v>34</v>
      </c>
      <c r="E2059">
        <v>2</v>
      </c>
      <c r="F2059">
        <v>1200</v>
      </c>
      <c r="G2059">
        <v>1800</v>
      </c>
      <c r="H2059">
        <v>1</v>
      </c>
      <c r="I2059">
        <v>33.909999999999997</v>
      </c>
      <c r="J2059">
        <v>33.909999999999997</v>
      </c>
      <c r="K2059" t="s">
        <v>35</v>
      </c>
      <c r="L2059" t="s">
        <v>1356</v>
      </c>
      <c r="Q2059">
        <v>4</v>
      </c>
      <c r="R2059" t="s">
        <v>1135</v>
      </c>
      <c r="T2059" t="s">
        <v>38</v>
      </c>
      <c r="V2059" t="s">
        <v>921</v>
      </c>
      <c r="Z2059" t="s">
        <v>1357</v>
      </c>
      <c r="AA2059" t="s">
        <v>39</v>
      </c>
      <c r="AC2059" t="s">
        <v>1358</v>
      </c>
    </row>
    <row r="2060" spans="1:29" x14ac:dyDescent="0.25">
      <c r="A2060">
        <v>2</v>
      </c>
      <c r="B2060" t="s">
        <v>41</v>
      </c>
      <c r="C2060" t="s">
        <v>33</v>
      </c>
      <c r="D2060" t="s">
        <v>34</v>
      </c>
      <c r="E2060">
        <v>2</v>
      </c>
      <c r="F2060">
        <v>1200</v>
      </c>
      <c r="G2060">
        <v>1800</v>
      </c>
      <c r="H2060">
        <v>1</v>
      </c>
      <c r="I2060">
        <v>33.909999999999997</v>
      </c>
      <c r="J2060">
        <v>33.909999999999997</v>
      </c>
      <c r="K2060" t="s">
        <v>35</v>
      </c>
      <c r="L2060" t="s">
        <v>1356</v>
      </c>
      <c r="Q2060">
        <v>4</v>
      </c>
      <c r="R2060" t="s">
        <v>1135</v>
      </c>
      <c r="T2060" t="s">
        <v>38</v>
      </c>
      <c r="V2060" t="s">
        <v>921</v>
      </c>
      <c r="Z2060" t="s">
        <v>1357</v>
      </c>
      <c r="AA2060" t="s">
        <v>39</v>
      </c>
      <c r="AC2060" t="s">
        <v>1358</v>
      </c>
    </row>
    <row r="2061" spans="1:29" x14ac:dyDescent="0.25">
      <c r="A2061">
        <v>3</v>
      </c>
      <c r="B2061" t="s">
        <v>42</v>
      </c>
      <c r="C2061" t="s">
        <v>33</v>
      </c>
      <c r="D2061" t="s">
        <v>35</v>
      </c>
      <c r="E2061">
        <v>2</v>
      </c>
      <c r="F2061">
        <v>1300</v>
      </c>
      <c r="G2061">
        <v>4000</v>
      </c>
      <c r="H2061">
        <v>1</v>
      </c>
      <c r="I2061">
        <v>81.64</v>
      </c>
      <c r="J2061">
        <v>81.64</v>
      </c>
      <c r="K2061" t="s">
        <v>35</v>
      </c>
      <c r="L2061" t="s">
        <v>1359</v>
      </c>
      <c r="Q2061">
        <v>4</v>
      </c>
      <c r="R2061" t="s">
        <v>1135</v>
      </c>
      <c r="T2061" t="s">
        <v>38</v>
      </c>
      <c r="V2061" t="s">
        <v>921</v>
      </c>
      <c r="Z2061" t="s">
        <v>1357</v>
      </c>
      <c r="AA2061" t="s">
        <v>39</v>
      </c>
      <c r="AC2061" t="s">
        <v>1360</v>
      </c>
    </row>
    <row r="2062" spans="1:29" x14ac:dyDescent="0.25">
      <c r="A2062">
        <v>4</v>
      </c>
      <c r="B2062" t="s">
        <v>45</v>
      </c>
      <c r="C2062" t="s">
        <v>33</v>
      </c>
      <c r="D2062" t="s">
        <v>35</v>
      </c>
      <c r="E2062">
        <v>2</v>
      </c>
      <c r="F2062">
        <v>1300</v>
      </c>
      <c r="G2062">
        <v>4000</v>
      </c>
      <c r="H2062">
        <v>1</v>
      </c>
      <c r="I2062">
        <v>81.64</v>
      </c>
      <c r="J2062">
        <v>81.64</v>
      </c>
      <c r="K2062" t="s">
        <v>35</v>
      </c>
      <c r="L2062" t="s">
        <v>1361</v>
      </c>
      <c r="Q2062">
        <v>4</v>
      </c>
      <c r="R2062" t="s">
        <v>1135</v>
      </c>
      <c r="T2062" t="s">
        <v>38</v>
      </c>
      <c r="V2062" t="s">
        <v>921</v>
      </c>
      <c r="Z2062" t="s">
        <v>1357</v>
      </c>
      <c r="AA2062" t="s">
        <v>39</v>
      </c>
      <c r="AC2062" t="s">
        <v>1362</v>
      </c>
    </row>
    <row r="2063" spans="1:29" x14ac:dyDescent="0.25">
      <c r="A2063">
        <v>5</v>
      </c>
      <c r="B2063" t="s">
        <v>48</v>
      </c>
      <c r="C2063" t="s">
        <v>33</v>
      </c>
      <c r="D2063" t="s">
        <v>49</v>
      </c>
      <c r="E2063">
        <v>2</v>
      </c>
      <c r="F2063">
        <v>1060</v>
      </c>
      <c r="G2063">
        <v>4000</v>
      </c>
      <c r="H2063">
        <v>1</v>
      </c>
      <c r="I2063">
        <v>66.569999999999993</v>
      </c>
      <c r="J2063">
        <v>66.569999999999993</v>
      </c>
      <c r="K2063" t="s">
        <v>35</v>
      </c>
      <c r="L2063" t="s">
        <v>1363</v>
      </c>
      <c r="Q2063">
        <v>4</v>
      </c>
      <c r="R2063" t="s">
        <v>1135</v>
      </c>
      <c r="T2063" t="s">
        <v>38</v>
      </c>
      <c r="V2063" t="s">
        <v>921</v>
      </c>
      <c r="Z2063" t="s">
        <v>1357</v>
      </c>
      <c r="AA2063" t="s">
        <v>39</v>
      </c>
      <c r="AC2063" t="s">
        <v>1364</v>
      </c>
    </row>
    <row r="2064" spans="1:29" x14ac:dyDescent="0.25">
      <c r="A2064">
        <v>6</v>
      </c>
      <c r="B2064" t="s">
        <v>52</v>
      </c>
      <c r="C2064" t="s">
        <v>33</v>
      </c>
      <c r="D2064" t="s">
        <v>49</v>
      </c>
      <c r="E2064">
        <v>2</v>
      </c>
      <c r="F2064">
        <v>1060</v>
      </c>
      <c r="G2064">
        <v>4000</v>
      </c>
      <c r="H2064">
        <v>1</v>
      </c>
      <c r="I2064">
        <v>66.569999999999993</v>
      </c>
      <c r="J2064">
        <v>66.569999999999993</v>
      </c>
      <c r="K2064" t="s">
        <v>35</v>
      </c>
      <c r="L2064" t="s">
        <v>1365</v>
      </c>
      <c r="Q2064">
        <v>4</v>
      </c>
      <c r="R2064" t="s">
        <v>1135</v>
      </c>
      <c r="T2064" t="s">
        <v>38</v>
      </c>
      <c r="V2064" t="s">
        <v>921</v>
      </c>
      <c r="Z2064" t="s">
        <v>1357</v>
      </c>
      <c r="AA2064" t="s">
        <v>39</v>
      </c>
      <c r="AC2064" t="s">
        <v>1366</v>
      </c>
    </row>
    <row r="2065" spans="1:29" x14ac:dyDescent="0.25">
      <c r="A2065">
        <v>7</v>
      </c>
      <c r="B2065" t="s">
        <v>55</v>
      </c>
      <c r="C2065" t="s">
        <v>33</v>
      </c>
      <c r="D2065" t="s">
        <v>49</v>
      </c>
      <c r="E2065">
        <v>2</v>
      </c>
      <c r="F2065">
        <v>1060</v>
      </c>
      <c r="G2065">
        <v>4000</v>
      </c>
      <c r="H2065">
        <v>1</v>
      </c>
      <c r="I2065">
        <v>66.569999999999993</v>
      </c>
      <c r="J2065">
        <v>66.569999999999993</v>
      </c>
      <c r="K2065" t="s">
        <v>35</v>
      </c>
      <c r="L2065" t="s">
        <v>1367</v>
      </c>
      <c r="Q2065">
        <v>4</v>
      </c>
      <c r="R2065" t="s">
        <v>1135</v>
      </c>
      <c r="T2065" t="s">
        <v>38</v>
      </c>
      <c r="V2065" t="s">
        <v>921</v>
      </c>
      <c r="Z2065" t="s">
        <v>1357</v>
      </c>
      <c r="AA2065" t="s">
        <v>39</v>
      </c>
      <c r="AC2065" t="s">
        <v>1368</v>
      </c>
    </row>
    <row r="2066" spans="1:29" x14ac:dyDescent="0.25">
      <c r="A2066">
        <v>8</v>
      </c>
      <c r="B2066" t="s">
        <v>58</v>
      </c>
      <c r="C2066" t="s">
        <v>33</v>
      </c>
      <c r="D2066" t="s">
        <v>49</v>
      </c>
      <c r="E2066">
        <v>2</v>
      </c>
      <c r="F2066">
        <v>1060</v>
      </c>
      <c r="G2066">
        <v>4000</v>
      </c>
      <c r="H2066">
        <v>1</v>
      </c>
      <c r="I2066">
        <v>66.569999999999993</v>
      </c>
      <c r="J2066">
        <v>66.569999999999993</v>
      </c>
      <c r="K2066" t="s">
        <v>35</v>
      </c>
      <c r="L2066" t="s">
        <v>1369</v>
      </c>
      <c r="Q2066">
        <v>4</v>
      </c>
      <c r="R2066" t="s">
        <v>1135</v>
      </c>
      <c r="T2066" t="s">
        <v>38</v>
      </c>
      <c r="V2066" t="s">
        <v>921</v>
      </c>
      <c r="Z2066" t="s">
        <v>1357</v>
      </c>
      <c r="AA2066" t="s">
        <v>39</v>
      </c>
      <c r="AC2066" t="s">
        <v>1370</v>
      </c>
    </row>
    <row r="2067" spans="1:29" x14ac:dyDescent="0.25">
      <c r="A2067">
        <v>9</v>
      </c>
      <c r="B2067" t="s">
        <v>61</v>
      </c>
      <c r="C2067" t="s">
        <v>33</v>
      </c>
      <c r="D2067" t="s">
        <v>62</v>
      </c>
      <c r="E2067">
        <v>2</v>
      </c>
      <c r="F2067">
        <v>500</v>
      </c>
      <c r="G2067">
        <v>4000</v>
      </c>
      <c r="H2067">
        <v>1</v>
      </c>
      <c r="I2067">
        <v>31.4</v>
      </c>
      <c r="J2067">
        <v>31.4</v>
      </c>
      <c r="K2067" t="s">
        <v>35</v>
      </c>
      <c r="L2067" t="s">
        <v>1371</v>
      </c>
      <c r="Q2067">
        <v>4</v>
      </c>
      <c r="R2067" t="s">
        <v>1135</v>
      </c>
      <c r="T2067" t="s">
        <v>38</v>
      </c>
      <c r="V2067" t="s">
        <v>921</v>
      </c>
      <c r="Z2067" t="s">
        <v>1357</v>
      </c>
      <c r="AA2067" t="s">
        <v>39</v>
      </c>
      <c r="AC2067" t="s">
        <v>1372</v>
      </c>
    </row>
    <row r="2068" spans="1:29" x14ac:dyDescent="0.25">
      <c r="A2068">
        <v>10</v>
      </c>
      <c r="B2068" t="s">
        <v>65</v>
      </c>
      <c r="C2068" t="s">
        <v>33</v>
      </c>
      <c r="D2068" t="s">
        <v>62</v>
      </c>
      <c r="E2068">
        <v>2</v>
      </c>
      <c r="F2068">
        <v>500</v>
      </c>
      <c r="G2068">
        <v>4000</v>
      </c>
      <c r="H2068">
        <v>1</v>
      </c>
      <c r="I2068">
        <v>31.4</v>
      </c>
      <c r="J2068">
        <v>31.4</v>
      </c>
      <c r="K2068" t="s">
        <v>35</v>
      </c>
      <c r="L2068" t="s">
        <v>1371</v>
      </c>
      <c r="Q2068">
        <v>4</v>
      </c>
      <c r="R2068" t="s">
        <v>1135</v>
      </c>
      <c r="T2068" t="s">
        <v>38</v>
      </c>
      <c r="V2068" t="s">
        <v>921</v>
      </c>
      <c r="Z2068" t="s">
        <v>1357</v>
      </c>
      <c r="AA2068" t="s">
        <v>39</v>
      </c>
      <c r="AC2068" t="s">
        <v>1372</v>
      </c>
    </row>
    <row r="2069" spans="1:29" x14ac:dyDescent="0.25">
      <c r="A2069">
        <v>11</v>
      </c>
      <c r="B2069" t="s">
        <v>66</v>
      </c>
      <c r="C2069" t="s">
        <v>33</v>
      </c>
      <c r="D2069" t="s">
        <v>67</v>
      </c>
      <c r="E2069">
        <v>2</v>
      </c>
      <c r="F2069">
        <v>1060</v>
      </c>
      <c r="G2069">
        <v>1200</v>
      </c>
      <c r="H2069">
        <v>1</v>
      </c>
      <c r="I2069">
        <v>19.97</v>
      </c>
      <c r="J2069">
        <v>19.97</v>
      </c>
      <c r="K2069" t="s">
        <v>35</v>
      </c>
      <c r="L2069" t="s">
        <v>1373</v>
      </c>
      <c r="Q2069">
        <v>4</v>
      </c>
      <c r="R2069" t="s">
        <v>1135</v>
      </c>
      <c r="T2069" t="s">
        <v>38</v>
      </c>
      <c r="V2069" t="s">
        <v>921</v>
      </c>
      <c r="Z2069" t="s">
        <v>1357</v>
      </c>
      <c r="AA2069" t="s">
        <v>39</v>
      </c>
      <c r="AC2069" t="s">
        <v>1374</v>
      </c>
    </row>
    <row r="2070" spans="1:29" x14ac:dyDescent="0.25">
      <c r="A2070">
        <v>12</v>
      </c>
      <c r="B2070" t="s">
        <v>70</v>
      </c>
      <c r="C2070" t="s">
        <v>33</v>
      </c>
      <c r="D2070" t="s">
        <v>71</v>
      </c>
      <c r="E2070">
        <v>2</v>
      </c>
      <c r="F2070">
        <v>500</v>
      </c>
      <c r="G2070">
        <v>1800</v>
      </c>
      <c r="H2070">
        <v>1</v>
      </c>
      <c r="I2070">
        <v>14.13</v>
      </c>
      <c r="J2070">
        <v>14.13</v>
      </c>
      <c r="K2070" t="s">
        <v>35</v>
      </c>
      <c r="L2070" t="s">
        <v>1375</v>
      </c>
      <c r="Q2070">
        <v>4</v>
      </c>
      <c r="R2070" t="s">
        <v>1135</v>
      </c>
      <c r="T2070" t="s">
        <v>38</v>
      </c>
      <c r="V2070" t="s">
        <v>921</v>
      </c>
      <c r="Z2070" t="s">
        <v>1357</v>
      </c>
      <c r="AA2070" t="s">
        <v>39</v>
      </c>
      <c r="AC2070" t="s">
        <v>1376</v>
      </c>
    </row>
    <row r="2071" spans="1:29" x14ac:dyDescent="0.25">
      <c r="A2071">
        <v>13</v>
      </c>
      <c r="B2071" t="s">
        <v>74</v>
      </c>
      <c r="C2071" t="s">
        <v>33</v>
      </c>
      <c r="D2071" t="s">
        <v>67</v>
      </c>
      <c r="E2071">
        <v>2</v>
      </c>
      <c r="F2071">
        <v>1060</v>
      </c>
      <c r="G2071">
        <v>1200</v>
      </c>
      <c r="H2071">
        <v>1</v>
      </c>
      <c r="I2071">
        <v>19.97</v>
      </c>
      <c r="J2071">
        <v>19.97</v>
      </c>
      <c r="K2071" t="s">
        <v>35</v>
      </c>
      <c r="L2071" t="s">
        <v>1375</v>
      </c>
      <c r="Q2071">
        <v>4</v>
      </c>
      <c r="R2071" t="s">
        <v>1135</v>
      </c>
      <c r="T2071" t="s">
        <v>38</v>
      </c>
      <c r="V2071" t="s">
        <v>921</v>
      </c>
      <c r="Z2071" t="s">
        <v>1357</v>
      </c>
      <c r="AA2071" t="s">
        <v>39</v>
      </c>
      <c r="AC2071" t="s">
        <v>1376</v>
      </c>
    </row>
    <row r="2072" spans="1:29" x14ac:dyDescent="0.25">
      <c r="A2072">
        <v>14</v>
      </c>
      <c r="B2072" t="s">
        <v>75</v>
      </c>
      <c r="C2072" t="s">
        <v>33</v>
      </c>
      <c r="D2072" t="s">
        <v>71</v>
      </c>
      <c r="E2072">
        <v>2</v>
      </c>
      <c r="F2072">
        <v>500</v>
      </c>
      <c r="G2072">
        <v>1800</v>
      </c>
      <c r="H2072">
        <v>1</v>
      </c>
      <c r="I2072">
        <v>14.13</v>
      </c>
      <c r="J2072">
        <v>14.13</v>
      </c>
      <c r="K2072" t="s">
        <v>35</v>
      </c>
      <c r="L2072" t="s">
        <v>1375</v>
      </c>
      <c r="Q2072">
        <v>4</v>
      </c>
      <c r="R2072" t="s">
        <v>1135</v>
      </c>
      <c r="T2072" t="s">
        <v>38</v>
      </c>
      <c r="V2072" t="s">
        <v>921</v>
      </c>
      <c r="Z2072" t="s">
        <v>1357</v>
      </c>
      <c r="AA2072" t="s">
        <v>39</v>
      </c>
      <c r="AC2072" t="s">
        <v>1376</v>
      </c>
    </row>
    <row r="2073" spans="1:29" x14ac:dyDescent="0.25">
      <c r="A2073">
        <v>15</v>
      </c>
      <c r="B2073" t="s">
        <v>76</v>
      </c>
      <c r="C2073" t="s">
        <v>77</v>
      </c>
      <c r="D2073" t="s">
        <v>78</v>
      </c>
      <c r="E2073">
        <v>5</v>
      </c>
      <c r="F2073">
        <v>63</v>
      </c>
      <c r="G2073">
        <v>186</v>
      </c>
      <c r="H2073">
        <v>26</v>
      </c>
      <c r="I2073">
        <v>0.46</v>
      </c>
      <c r="J2073">
        <v>11.86</v>
      </c>
      <c r="K2073" t="s">
        <v>1377</v>
      </c>
      <c r="L2073" t="s">
        <v>1378</v>
      </c>
      <c r="Q2073">
        <v>4</v>
      </c>
      <c r="R2073" t="s">
        <v>1135</v>
      </c>
      <c r="T2073" t="s">
        <v>38</v>
      </c>
      <c r="V2073" t="s">
        <v>921</v>
      </c>
      <c r="W2073" t="s">
        <v>81</v>
      </c>
      <c r="Z2073" t="s">
        <v>1357</v>
      </c>
      <c r="AA2073" t="s">
        <v>1379</v>
      </c>
      <c r="AC2073" t="s">
        <v>1380</v>
      </c>
    </row>
    <row r="2074" spans="1:29" x14ac:dyDescent="0.25">
      <c r="A2074">
        <v>16</v>
      </c>
      <c r="B2074" t="s">
        <v>83</v>
      </c>
      <c r="C2074" t="s">
        <v>77</v>
      </c>
      <c r="D2074" t="s">
        <v>84</v>
      </c>
      <c r="E2074">
        <v>5</v>
      </c>
      <c r="F2074">
        <v>43</v>
      </c>
      <c r="G2074">
        <v>86</v>
      </c>
      <c r="H2074">
        <v>112</v>
      </c>
      <c r="I2074">
        <v>0.14000000000000001</v>
      </c>
      <c r="J2074">
        <v>15.82</v>
      </c>
      <c r="K2074" t="s">
        <v>1377</v>
      </c>
      <c r="L2074" t="s">
        <v>1378</v>
      </c>
      <c r="Q2074">
        <v>4</v>
      </c>
      <c r="R2074" t="s">
        <v>1135</v>
      </c>
      <c r="T2074" t="s">
        <v>38</v>
      </c>
      <c r="V2074" t="s">
        <v>921</v>
      </c>
      <c r="W2074" t="s">
        <v>81</v>
      </c>
      <c r="Z2074" t="s">
        <v>1357</v>
      </c>
      <c r="AA2074" t="s">
        <v>1379</v>
      </c>
      <c r="AC2074" t="s">
        <v>1380</v>
      </c>
    </row>
    <row r="2075" spans="1:29" x14ac:dyDescent="0.25">
      <c r="A2075">
        <v>17</v>
      </c>
      <c r="B2075" t="s">
        <v>85</v>
      </c>
      <c r="C2075" t="s">
        <v>77</v>
      </c>
      <c r="D2075" t="s">
        <v>78</v>
      </c>
      <c r="E2075">
        <v>5</v>
      </c>
      <c r="F2075">
        <v>63</v>
      </c>
      <c r="G2075">
        <v>186</v>
      </c>
      <c r="H2075">
        <v>28</v>
      </c>
      <c r="I2075">
        <v>0.46</v>
      </c>
      <c r="J2075">
        <v>12.77</v>
      </c>
      <c r="K2075" t="s">
        <v>1377</v>
      </c>
      <c r="L2075" t="s">
        <v>1378</v>
      </c>
      <c r="Q2075">
        <v>4</v>
      </c>
      <c r="R2075" t="s">
        <v>1135</v>
      </c>
      <c r="T2075" t="s">
        <v>38</v>
      </c>
      <c r="V2075" t="s">
        <v>921</v>
      </c>
      <c r="W2075" t="s">
        <v>81</v>
      </c>
      <c r="Z2075" t="s">
        <v>1357</v>
      </c>
      <c r="AA2075" t="s">
        <v>1379</v>
      </c>
      <c r="AC2075" t="s">
        <v>1380</v>
      </c>
    </row>
    <row r="2076" spans="1:29" x14ac:dyDescent="0.25">
      <c r="A2076">
        <v>18</v>
      </c>
      <c r="B2076" t="s">
        <v>86</v>
      </c>
      <c r="C2076" t="s">
        <v>77</v>
      </c>
      <c r="D2076" t="s">
        <v>84</v>
      </c>
      <c r="E2076">
        <v>5</v>
      </c>
      <c r="F2076">
        <v>43</v>
      </c>
      <c r="G2076">
        <v>86</v>
      </c>
      <c r="H2076">
        <v>120</v>
      </c>
      <c r="I2076">
        <v>0.14000000000000001</v>
      </c>
      <c r="J2076">
        <v>16.95</v>
      </c>
      <c r="K2076" t="s">
        <v>1377</v>
      </c>
      <c r="L2076" t="s">
        <v>1378</v>
      </c>
      <c r="Q2076">
        <v>4</v>
      </c>
      <c r="R2076" t="s">
        <v>1135</v>
      </c>
      <c r="T2076" t="s">
        <v>38</v>
      </c>
      <c r="V2076" t="s">
        <v>921</v>
      </c>
      <c r="W2076" t="s">
        <v>81</v>
      </c>
      <c r="Z2076" t="s">
        <v>1357</v>
      </c>
      <c r="AA2076" t="s">
        <v>1379</v>
      </c>
      <c r="AC2076" t="s">
        <v>1380</v>
      </c>
    </row>
    <row r="2077" spans="1:29" x14ac:dyDescent="0.25">
      <c r="A2077">
        <v>19</v>
      </c>
      <c r="B2077" t="s">
        <v>87</v>
      </c>
      <c r="C2077" t="s">
        <v>77</v>
      </c>
      <c r="D2077" t="s">
        <v>78</v>
      </c>
      <c r="E2077">
        <v>5</v>
      </c>
      <c r="F2077">
        <v>63</v>
      </c>
      <c r="G2077">
        <v>186</v>
      </c>
      <c r="H2077">
        <v>42</v>
      </c>
      <c r="I2077">
        <v>0.46</v>
      </c>
      <c r="J2077">
        <v>19.149999999999999</v>
      </c>
      <c r="K2077" t="s">
        <v>1377</v>
      </c>
      <c r="L2077" t="s">
        <v>1378</v>
      </c>
      <c r="Q2077">
        <v>4</v>
      </c>
      <c r="R2077" t="s">
        <v>1135</v>
      </c>
      <c r="T2077" t="s">
        <v>38</v>
      </c>
      <c r="V2077" t="s">
        <v>921</v>
      </c>
      <c r="W2077" t="s">
        <v>81</v>
      </c>
      <c r="Z2077" t="s">
        <v>1357</v>
      </c>
      <c r="AA2077" t="s">
        <v>1379</v>
      </c>
      <c r="AC2077" t="s">
        <v>1380</v>
      </c>
    </row>
    <row r="2078" spans="1:29" x14ac:dyDescent="0.25">
      <c r="A2078">
        <v>20</v>
      </c>
      <c r="B2078" t="s">
        <v>88</v>
      </c>
      <c r="C2078" t="s">
        <v>77</v>
      </c>
      <c r="D2078" t="s">
        <v>84</v>
      </c>
      <c r="E2078">
        <v>5</v>
      </c>
      <c r="F2078">
        <v>43</v>
      </c>
      <c r="G2078">
        <v>86</v>
      </c>
      <c r="H2078">
        <v>176</v>
      </c>
      <c r="I2078">
        <v>0.14000000000000001</v>
      </c>
      <c r="J2078">
        <v>24.85</v>
      </c>
      <c r="K2078" t="s">
        <v>1377</v>
      </c>
      <c r="L2078" t="s">
        <v>1378</v>
      </c>
      <c r="Q2078">
        <v>4</v>
      </c>
      <c r="R2078" t="s">
        <v>1135</v>
      </c>
      <c r="T2078" t="s">
        <v>38</v>
      </c>
      <c r="V2078" t="s">
        <v>921</v>
      </c>
      <c r="W2078" t="s">
        <v>81</v>
      </c>
      <c r="Z2078" t="s">
        <v>1357</v>
      </c>
      <c r="AA2078" t="s">
        <v>1379</v>
      </c>
      <c r="AC2078" t="s">
        <v>1380</v>
      </c>
    </row>
    <row r="2079" spans="1:29" x14ac:dyDescent="0.25">
      <c r="A2079">
        <v>21</v>
      </c>
      <c r="B2079" t="s">
        <v>89</v>
      </c>
      <c r="C2079" t="s">
        <v>77</v>
      </c>
      <c r="D2079" t="s">
        <v>78</v>
      </c>
      <c r="E2079">
        <v>5</v>
      </c>
      <c r="F2079">
        <v>63</v>
      </c>
      <c r="G2079">
        <v>186</v>
      </c>
      <c r="H2079">
        <v>26</v>
      </c>
      <c r="I2079">
        <v>0.46</v>
      </c>
      <c r="J2079">
        <v>11.86</v>
      </c>
      <c r="K2079" t="s">
        <v>1377</v>
      </c>
      <c r="L2079" t="s">
        <v>1378</v>
      </c>
      <c r="Q2079">
        <v>4</v>
      </c>
      <c r="R2079" t="s">
        <v>1135</v>
      </c>
      <c r="T2079" t="s">
        <v>38</v>
      </c>
      <c r="V2079" t="s">
        <v>921</v>
      </c>
      <c r="W2079" t="s">
        <v>81</v>
      </c>
      <c r="Z2079" t="s">
        <v>1357</v>
      </c>
      <c r="AA2079" t="s">
        <v>1379</v>
      </c>
      <c r="AC2079" t="s">
        <v>1380</v>
      </c>
    </row>
    <row r="2080" spans="1:29" x14ac:dyDescent="0.25">
      <c r="A2080">
        <v>22</v>
      </c>
      <c r="B2080" t="s">
        <v>90</v>
      </c>
      <c r="C2080" t="s">
        <v>77</v>
      </c>
      <c r="D2080" t="s">
        <v>84</v>
      </c>
      <c r="E2080">
        <v>5</v>
      </c>
      <c r="F2080">
        <v>43</v>
      </c>
      <c r="G2080">
        <v>86</v>
      </c>
      <c r="H2080">
        <v>112</v>
      </c>
      <c r="I2080">
        <v>0.14000000000000001</v>
      </c>
      <c r="J2080">
        <v>15.82</v>
      </c>
      <c r="K2080" t="s">
        <v>1377</v>
      </c>
      <c r="L2080" t="s">
        <v>1378</v>
      </c>
      <c r="Q2080">
        <v>4</v>
      </c>
      <c r="R2080" t="s">
        <v>1135</v>
      </c>
      <c r="T2080" t="s">
        <v>38</v>
      </c>
      <c r="V2080" t="s">
        <v>921</v>
      </c>
      <c r="W2080" t="s">
        <v>81</v>
      </c>
      <c r="Z2080" t="s">
        <v>1357</v>
      </c>
      <c r="AA2080" t="s">
        <v>1379</v>
      </c>
      <c r="AC2080" t="s">
        <v>1380</v>
      </c>
    </row>
    <row r="2081" spans="1:29" x14ac:dyDescent="0.25">
      <c r="A2081">
        <v>23</v>
      </c>
      <c r="B2081" t="s">
        <v>91</v>
      </c>
      <c r="C2081" t="s">
        <v>77</v>
      </c>
      <c r="D2081" t="s">
        <v>78</v>
      </c>
      <c r="E2081">
        <v>5</v>
      </c>
      <c r="F2081">
        <v>63</v>
      </c>
      <c r="G2081">
        <v>186</v>
      </c>
      <c r="H2081">
        <v>28</v>
      </c>
      <c r="I2081">
        <v>0.46</v>
      </c>
      <c r="J2081">
        <v>12.77</v>
      </c>
      <c r="K2081" t="s">
        <v>1377</v>
      </c>
      <c r="L2081" t="s">
        <v>1378</v>
      </c>
      <c r="Q2081">
        <v>4</v>
      </c>
      <c r="R2081" t="s">
        <v>1135</v>
      </c>
      <c r="T2081" t="s">
        <v>38</v>
      </c>
      <c r="V2081" t="s">
        <v>921</v>
      </c>
      <c r="W2081" t="s">
        <v>81</v>
      </c>
      <c r="Z2081" t="s">
        <v>1357</v>
      </c>
      <c r="AA2081" t="s">
        <v>1379</v>
      </c>
      <c r="AC2081" t="s">
        <v>1380</v>
      </c>
    </row>
    <row r="2082" spans="1:29" x14ac:dyDescent="0.25">
      <c r="A2082">
        <v>24</v>
      </c>
      <c r="B2082" t="s">
        <v>92</v>
      </c>
      <c r="C2082" t="s">
        <v>77</v>
      </c>
      <c r="D2082" t="s">
        <v>84</v>
      </c>
      <c r="E2082">
        <v>5</v>
      </c>
      <c r="F2082">
        <v>43</v>
      </c>
      <c r="G2082">
        <v>86</v>
      </c>
      <c r="H2082">
        <v>120</v>
      </c>
      <c r="I2082">
        <v>0.14000000000000001</v>
      </c>
      <c r="J2082">
        <v>16.95</v>
      </c>
      <c r="K2082" t="s">
        <v>1377</v>
      </c>
      <c r="L2082" t="s">
        <v>1378</v>
      </c>
      <c r="Q2082">
        <v>4</v>
      </c>
      <c r="R2082" t="s">
        <v>1135</v>
      </c>
      <c r="T2082" t="s">
        <v>38</v>
      </c>
      <c r="V2082" t="s">
        <v>921</v>
      </c>
      <c r="W2082" t="s">
        <v>81</v>
      </c>
      <c r="Z2082" t="s">
        <v>1357</v>
      </c>
      <c r="AA2082" t="s">
        <v>1379</v>
      </c>
      <c r="AC2082" t="s">
        <v>1380</v>
      </c>
    </row>
    <row r="2083" spans="1:29" x14ac:dyDescent="0.25">
      <c r="A2083">
        <v>25</v>
      </c>
      <c r="B2083" t="s">
        <v>93</v>
      </c>
      <c r="C2083" t="s">
        <v>77</v>
      </c>
      <c r="D2083" t="s">
        <v>78</v>
      </c>
      <c r="E2083">
        <v>5</v>
      </c>
      <c r="F2083">
        <v>63</v>
      </c>
      <c r="G2083">
        <v>186</v>
      </c>
      <c r="H2083">
        <v>42</v>
      </c>
      <c r="I2083">
        <v>0.46</v>
      </c>
      <c r="J2083">
        <v>19.149999999999999</v>
      </c>
      <c r="K2083" t="s">
        <v>1377</v>
      </c>
      <c r="L2083" t="s">
        <v>1378</v>
      </c>
      <c r="Q2083">
        <v>4</v>
      </c>
      <c r="R2083" t="s">
        <v>1135</v>
      </c>
      <c r="T2083" t="s">
        <v>38</v>
      </c>
      <c r="V2083" t="s">
        <v>921</v>
      </c>
      <c r="W2083" t="s">
        <v>81</v>
      </c>
      <c r="Z2083" t="s">
        <v>1357</v>
      </c>
      <c r="AA2083" t="s">
        <v>1379</v>
      </c>
      <c r="AC2083" t="s">
        <v>1380</v>
      </c>
    </row>
    <row r="2084" spans="1:29" x14ac:dyDescent="0.25">
      <c r="A2084">
        <v>26</v>
      </c>
      <c r="B2084" t="s">
        <v>94</v>
      </c>
      <c r="C2084" t="s">
        <v>77</v>
      </c>
      <c r="D2084" t="s">
        <v>84</v>
      </c>
      <c r="E2084">
        <v>5</v>
      </c>
      <c r="F2084">
        <v>43</v>
      </c>
      <c r="G2084">
        <v>86</v>
      </c>
      <c r="H2084">
        <v>176</v>
      </c>
      <c r="I2084">
        <v>0.14000000000000001</v>
      </c>
      <c r="J2084">
        <v>24.85</v>
      </c>
      <c r="K2084" t="s">
        <v>1377</v>
      </c>
      <c r="L2084" t="s">
        <v>1378</v>
      </c>
      <c r="Q2084">
        <v>4</v>
      </c>
      <c r="R2084" t="s">
        <v>1135</v>
      </c>
      <c r="T2084" t="s">
        <v>38</v>
      </c>
      <c r="V2084" t="s">
        <v>921</v>
      </c>
      <c r="W2084" t="s">
        <v>81</v>
      </c>
      <c r="Z2084" t="s">
        <v>1357</v>
      </c>
      <c r="AA2084" t="s">
        <v>1379</v>
      </c>
      <c r="AC2084" t="s">
        <v>1380</v>
      </c>
    </row>
    <row r="2085" spans="1:29" x14ac:dyDescent="0.25">
      <c r="A2085">
        <v>27</v>
      </c>
      <c r="B2085" t="s">
        <v>95</v>
      </c>
      <c r="C2085" t="s">
        <v>77</v>
      </c>
      <c r="D2085" t="s">
        <v>96</v>
      </c>
      <c r="E2085">
        <v>6</v>
      </c>
      <c r="F2085">
        <v>328</v>
      </c>
      <c r="G2085">
        <v>1752</v>
      </c>
      <c r="H2085">
        <v>1</v>
      </c>
      <c r="I2085">
        <v>25.59</v>
      </c>
      <c r="J2085">
        <v>25.59</v>
      </c>
      <c r="K2085" t="s">
        <v>97</v>
      </c>
      <c r="L2085" t="s">
        <v>1381</v>
      </c>
      <c r="O2085" t="s">
        <v>81</v>
      </c>
      <c r="P2085" t="s">
        <v>81</v>
      </c>
      <c r="Q2085">
        <v>4</v>
      </c>
      <c r="R2085" t="s">
        <v>1135</v>
      </c>
      <c r="T2085" t="s">
        <v>38</v>
      </c>
      <c r="V2085" t="s">
        <v>921</v>
      </c>
      <c r="Z2085" t="s">
        <v>1357</v>
      </c>
      <c r="AA2085" t="s">
        <v>39</v>
      </c>
      <c r="AC2085" t="s">
        <v>1382</v>
      </c>
    </row>
    <row r="2086" spans="1:29" x14ac:dyDescent="0.25">
      <c r="A2086">
        <v>28</v>
      </c>
      <c r="B2086" t="s">
        <v>100</v>
      </c>
      <c r="C2086" t="s">
        <v>77</v>
      </c>
      <c r="D2086" t="s">
        <v>96</v>
      </c>
      <c r="E2086">
        <v>6</v>
      </c>
      <c r="F2086">
        <v>328</v>
      </c>
      <c r="G2086">
        <v>1752</v>
      </c>
      <c r="H2086">
        <v>1</v>
      </c>
      <c r="I2086">
        <v>25.59</v>
      </c>
      <c r="J2086">
        <v>25.59</v>
      </c>
      <c r="K2086" t="s">
        <v>97</v>
      </c>
      <c r="L2086" t="s">
        <v>1381</v>
      </c>
      <c r="O2086" t="s">
        <v>81</v>
      </c>
      <c r="P2086" t="s">
        <v>81</v>
      </c>
      <c r="Q2086">
        <v>4</v>
      </c>
      <c r="R2086" t="s">
        <v>1135</v>
      </c>
      <c r="T2086" t="s">
        <v>38</v>
      </c>
      <c r="V2086" t="s">
        <v>921</v>
      </c>
      <c r="Z2086" t="s">
        <v>1357</v>
      </c>
      <c r="AA2086" t="s">
        <v>39</v>
      </c>
      <c r="AC2086" t="s">
        <v>1382</v>
      </c>
    </row>
    <row r="2087" spans="1:29" x14ac:dyDescent="0.25">
      <c r="A2087">
        <v>29</v>
      </c>
      <c r="B2087" t="s">
        <v>101</v>
      </c>
      <c r="C2087" t="s">
        <v>77</v>
      </c>
      <c r="D2087" t="s">
        <v>96</v>
      </c>
      <c r="E2087">
        <v>6</v>
      </c>
      <c r="F2087">
        <v>328</v>
      </c>
      <c r="G2087">
        <v>1752</v>
      </c>
      <c r="H2087">
        <v>3</v>
      </c>
      <c r="I2087">
        <v>25.6</v>
      </c>
      <c r="J2087">
        <v>76.790000000000006</v>
      </c>
      <c r="K2087" t="s">
        <v>97</v>
      </c>
      <c r="L2087" t="s">
        <v>1381</v>
      </c>
      <c r="O2087" t="s">
        <v>81</v>
      </c>
      <c r="P2087" t="s">
        <v>81</v>
      </c>
      <c r="Q2087">
        <v>4</v>
      </c>
      <c r="R2087" t="s">
        <v>1135</v>
      </c>
      <c r="T2087" t="s">
        <v>38</v>
      </c>
      <c r="V2087" t="s">
        <v>921</v>
      </c>
      <c r="Z2087" t="s">
        <v>1357</v>
      </c>
      <c r="AA2087" t="s">
        <v>39</v>
      </c>
      <c r="AC2087" t="s">
        <v>1382</v>
      </c>
    </row>
    <row r="2088" spans="1:29" x14ac:dyDescent="0.25">
      <c r="A2088">
        <v>30</v>
      </c>
      <c r="B2088" t="s">
        <v>102</v>
      </c>
      <c r="C2088" t="s">
        <v>77</v>
      </c>
      <c r="D2088" t="s">
        <v>103</v>
      </c>
      <c r="E2088">
        <v>6</v>
      </c>
      <c r="F2088">
        <v>328</v>
      </c>
      <c r="G2088">
        <v>1753</v>
      </c>
      <c r="H2088">
        <v>3</v>
      </c>
      <c r="I2088">
        <v>25.61</v>
      </c>
      <c r="J2088">
        <v>76.83</v>
      </c>
      <c r="K2088" t="s">
        <v>97</v>
      </c>
      <c r="L2088" t="s">
        <v>1381</v>
      </c>
      <c r="O2088" t="s">
        <v>81</v>
      </c>
      <c r="P2088" t="s">
        <v>81</v>
      </c>
      <c r="Q2088">
        <v>4</v>
      </c>
      <c r="R2088" t="s">
        <v>1135</v>
      </c>
      <c r="T2088" t="s">
        <v>38</v>
      </c>
      <c r="V2088" t="s">
        <v>921</v>
      </c>
      <c r="Z2088" t="s">
        <v>1357</v>
      </c>
      <c r="AA2088" t="s">
        <v>39</v>
      </c>
      <c r="AC2088" t="s">
        <v>1382</v>
      </c>
    </row>
    <row r="2089" spans="1:29" x14ac:dyDescent="0.25">
      <c r="A2089">
        <v>31</v>
      </c>
      <c r="B2089" t="s">
        <v>104</v>
      </c>
      <c r="C2089" t="s">
        <v>77</v>
      </c>
      <c r="D2089" t="s">
        <v>96</v>
      </c>
      <c r="E2089">
        <v>6</v>
      </c>
      <c r="F2089">
        <v>328</v>
      </c>
      <c r="G2089">
        <v>1752</v>
      </c>
      <c r="H2089">
        <v>2</v>
      </c>
      <c r="I2089">
        <v>25.59</v>
      </c>
      <c r="J2089">
        <v>51.18</v>
      </c>
      <c r="K2089" t="s">
        <v>97</v>
      </c>
      <c r="L2089" t="s">
        <v>1381</v>
      </c>
      <c r="O2089" t="s">
        <v>81</v>
      </c>
      <c r="P2089" t="s">
        <v>81</v>
      </c>
      <c r="Q2089">
        <v>4</v>
      </c>
      <c r="R2089" t="s">
        <v>1135</v>
      </c>
      <c r="T2089" t="s">
        <v>38</v>
      </c>
      <c r="V2089" t="s">
        <v>921</v>
      </c>
      <c r="Z2089" t="s">
        <v>1357</v>
      </c>
      <c r="AA2089" t="s">
        <v>39</v>
      </c>
      <c r="AC2089" t="s">
        <v>1382</v>
      </c>
    </row>
    <row r="2090" spans="1:29" x14ac:dyDescent="0.25">
      <c r="A2090">
        <v>32</v>
      </c>
      <c r="B2090" t="s">
        <v>105</v>
      </c>
      <c r="C2090" t="s">
        <v>77</v>
      </c>
      <c r="D2090" t="s">
        <v>96</v>
      </c>
      <c r="E2090">
        <v>6</v>
      </c>
      <c r="F2090">
        <v>328</v>
      </c>
      <c r="G2090">
        <v>1752</v>
      </c>
      <c r="H2090">
        <v>1</v>
      </c>
      <c r="I2090">
        <v>25.59</v>
      </c>
      <c r="J2090">
        <v>25.59</v>
      </c>
      <c r="K2090" t="s">
        <v>97</v>
      </c>
      <c r="L2090" t="s">
        <v>1381</v>
      </c>
      <c r="O2090" t="s">
        <v>81</v>
      </c>
      <c r="P2090" t="s">
        <v>81</v>
      </c>
      <c r="Q2090">
        <v>4</v>
      </c>
      <c r="R2090" t="s">
        <v>1135</v>
      </c>
      <c r="T2090" t="s">
        <v>38</v>
      </c>
      <c r="V2090" t="s">
        <v>921</v>
      </c>
      <c r="Z2090" t="s">
        <v>1357</v>
      </c>
      <c r="AA2090" t="s">
        <v>39</v>
      </c>
      <c r="AC2090" t="s">
        <v>1382</v>
      </c>
    </row>
    <row r="2091" spans="1:29" x14ac:dyDescent="0.25">
      <c r="A2091">
        <v>33</v>
      </c>
      <c r="B2091" t="s">
        <v>106</v>
      </c>
      <c r="C2091" t="s">
        <v>77</v>
      </c>
      <c r="D2091" t="s">
        <v>96</v>
      </c>
      <c r="E2091">
        <v>6</v>
      </c>
      <c r="F2091">
        <v>328</v>
      </c>
      <c r="G2091">
        <v>1752</v>
      </c>
      <c r="H2091">
        <v>1</v>
      </c>
      <c r="I2091">
        <v>25.59</v>
      </c>
      <c r="J2091">
        <v>25.59</v>
      </c>
      <c r="K2091" t="s">
        <v>97</v>
      </c>
      <c r="L2091" t="s">
        <v>1381</v>
      </c>
      <c r="O2091" t="s">
        <v>81</v>
      </c>
      <c r="P2091" t="s">
        <v>81</v>
      </c>
      <c r="Q2091">
        <v>4</v>
      </c>
      <c r="R2091" t="s">
        <v>1135</v>
      </c>
      <c r="T2091" t="s">
        <v>38</v>
      </c>
      <c r="V2091" t="s">
        <v>921</v>
      </c>
      <c r="Z2091" t="s">
        <v>1357</v>
      </c>
      <c r="AA2091" t="s">
        <v>39</v>
      </c>
      <c r="AC2091" t="s">
        <v>1382</v>
      </c>
    </row>
    <row r="2092" spans="1:29" x14ac:dyDescent="0.25">
      <c r="A2092">
        <v>34</v>
      </c>
      <c r="B2092" t="s">
        <v>107</v>
      </c>
      <c r="C2092" t="s">
        <v>77</v>
      </c>
      <c r="D2092" t="s">
        <v>96</v>
      </c>
      <c r="E2092">
        <v>6</v>
      </c>
      <c r="F2092">
        <v>328</v>
      </c>
      <c r="G2092">
        <v>1752</v>
      </c>
      <c r="H2092">
        <v>3</v>
      </c>
      <c r="I2092">
        <v>25.6</v>
      </c>
      <c r="J2092">
        <v>76.790000000000006</v>
      </c>
      <c r="K2092" t="s">
        <v>97</v>
      </c>
      <c r="L2092" t="s">
        <v>1381</v>
      </c>
      <c r="O2092" t="s">
        <v>81</v>
      </c>
      <c r="P2092" t="s">
        <v>81</v>
      </c>
      <c r="Q2092">
        <v>4</v>
      </c>
      <c r="R2092" t="s">
        <v>1135</v>
      </c>
      <c r="T2092" t="s">
        <v>38</v>
      </c>
      <c r="V2092" t="s">
        <v>921</v>
      </c>
      <c r="Z2092" t="s">
        <v>1357</v>
      </c>
      <c r="AA2092" t="s">
        <v>39</v>
      </c>
      <c r="AC2092" t="s">
        <v>1382</v>
      </c>
    </row>
    <row r="2093" spans="1:29" x14ac:dyDescent="0.25">
      <c r="A2093">
        <v>35</v>
      </c>
      <c r="B2093" t="s">
        <v>108</v>
      </c>
      <c r="C2093" t="s">
        <v>77</v>
      </c>
      <c r="D2093" t="s">
        <v>103</v>
      </c>
      <c r="E2093">
        <v>6</v>
      </c>
      <c r="F2093">
        <v>328</v>
      </c>
      <c r="G2093">
        <v>1753</v>
      </c>
      <c r="H2093">
        <v>3</v>
      </c>
      <c r="I2093">
        <v>25.61</v>
      </c>
      <c r="J2093">
        <v>76.83</v>
      </c>
      <c r="K2093" t="s">
        <v>97</v>
      </c>
      <c r="L2093" t="s">
        <v>1381</v>
      </c>
      <c r="O2093" t="s">
        <v>81</v>
      </c>
      <c r="P2093" t="s">
        <v>81</v>
      </c>
      <c r="Q2093">
        <v>4</v>
      </c>
      <c r="R2093" t="s">
        <v>1135</v>
      </c>
      <c r="T2093" t="s">
        <v>38</v>
      </c>
      <c r="V2093" t="s">
        <v>921</v>
      </c>
      <c r="Z2093" t="s">
        <v>1357</v>
      </c>
      <c r="AA2093" t="s">
        <v>39</v>
      </c>
      <c r="AC2093" t="s">
        <v>1382</v>
      </c>
    </row>
    <row r="2094" spans="1:29" x14ac:dyDescent="0.25">
      <c r="A2094">
        <v>36</v>
      </c>
      <c r="B2094" t="s">
        <v>109</v>
      </c>
      <c r="C2094" t="s">
        <v>77</v>
      </c>
      <c r="D2094" t="s">
        <v>96</v>
      </c>
      <c r="E2094">
        <v>6</v>
      </c>
      <c r="F2094">
        <v>328</v>
      </c>
      <c r="G2094">
        <v>1752</v>
      </c>
      <c r="H2094">
        <v>2</v>
      </c>
      <c r="I2094">
        <v>25.59</v>
      </c>
      <c r="J2094">
        <v>51.18</v>
      </c>
      <c r="K2094" t="s">
        <v>97</v>
      </c>
      <c r="L2094" t="s">
        <v>1381</v>
      </c>
      <c r="O2094" t="s">
        <v>81</v>
      </c>
      <c r="P2094" t="s">
        <v>81</v>
      </c>
      <c r="Q2094">
        <v>4</v>
      </c>
      <c r="R2094" t="s">
        <v>1135</v>
      </c>
      <c r="T2094" t="s">
        <v>38</v>
      </c>
      <c r="V2094" t="s">
        <v>921</v>
      </c>
      <c r="Z2094" t="s">
        <v>1357</v>
      </c>
      <c r="AA2094" t="s">
        <v>39</v>
      </c>
      <c r="AC2094" t="s">
        <v>1382</v>
      </c>
    </row>
    <row r="2095" spans="1:29" x14ac:dyDescent="0.25">
      <c r="A2095">
        <v>37</v>
      </c>
      <c r="B2095" t="s">
        <v>110</v>
      </c>
      <c r="C2095" t="s">
        <v>77</v>
      </c>
      <c r="D2095" t="s">
        <v>111</v>
      </c>
      <c r="E2095">
        <v>6</v>
      </c>
      <c r="F2095">
        <v>328</v>
      </c>
      <c r="G2095">
        <v>1672</v>
      </c>
      <c r="H2095">
        <v>2</v>
      </c>
      <c r="I2095">
        <v>24.46</v>
      </c>
      <c r="J2095">
        <v>48.91</v>
      </c>
      <c r="K2095" t="s">
        <v>97</v>
      </c>
      <c r="L2095" t="s">
        <v>1381</v>
      </c>
      <c r="O2095" t="s">
        <v>81</v>
      </c>
      <c r="P2095" t="s">
        <v>81</v>
      </c>
      <c r="Q2095">
        <v>4</v>
      </c>
      <c r="R2095" t="s">
        <v>1135</v>
      </c>
      <c r="T2095" t="s">
        <v>38</v>
      </c>
      <c r="V2095" t="s">
        <v>921</v>
      </c>
      <c r="Z2095" t="s">
        <v>1357</v>
      </c>
      <c r="AA2095" t="s">
        <v>39</v>
      </c>
      <c r="AC2095" t="s">
        <v>1382</v>
      </c>
    </row>
    <row r="2096" spans="1:29" x14ac:dyDescent="0.25">
      <c r="A2096">
        <v>38</v>
      </c>
      <c r="B2096" t="s">
        <v>112</v>
      </c>
      <c r="C2096" t="s">
        <v>77</v>
      </c>
      <c r="D2096" t="s">
        <v>113</v>
      </c>
      <c r="E2096">
        <v>6</v>
      </c>
      <c r="F2096">
        <v>328</v>
      </c>
      <c r="G2096">
        <v>1718</v>
      </c>
      <c r="H2096">
        <v>1</v>
      </c>
      <c r="I2096">
        <v>25.11</v>
      </c>
      <c r="J2096">
        <v>25.11</v>
      </c>
      <c r="K2096" t="s">
        <v>97</v>
      </c>
      <c r="L2096" t="s">
        <v>1381</v>
      </c>
      <c r="O2096" t="s">
        <v>81</v>
      </c>
      <c r="P2096" t="s">
        <v>81</v>
      </c>
      <c r="Q2096">
        <v>4</v>
      </c>
      <c r="R2096" t="s">
        <v>1135</v>
      </c>
      <c r="T2096" t="s">
        <v>38</v>
      </c>
      <c r="V2096" t="s">
        <v>921</v>
      </c>
      <c r="Z2096" t="s">
        <v>1357</v>
      </c>
      <c r="AA2096" t="s">
        <v>39</v>
      </c>
      <c r="AC2096" t="s">
        <v>1382</v>
      </c>
    </row>
    <row r="2097" spans="1:29" x14ac:dyDescent="0.25">
      <c r="A2097">
        <v>39</v>
      </c>
      <c r="B2097" t="s">
        <v>114</v>
      </c>
      <c r="C2097" t="s">
        <v>77</v>
      </c>
      <c r="D2097" t="s">
        <v>115</v>
      </c>
      <c r="E2097">
        <v>6</v>
      </c>
      <c r="F2097">
        <v>328</v>
      </c>
      <c r="G2097">
        <v>1729</v>
      </c>
      <c r="H2097">
        <v>5</v>
      </c>
      <c r="I2097">
        <v>25.27</v>
      </c>
      <c r="J2097">
        <v>126.35</v>
      </c>
      <c r="K2097" t="s">
        <v>97</v>
      </c>
      <c r="L2097" t="s">
        <v>1381</v>
      </c>
      <c r="O2097" t="s">
        <v>81</v>
      </c>
      <c r="P2097" t="s">
        <v>81</v>
      </c>
      <c r="Q2097">
        <v>4</v>
      </c>
      <c r="R2097" t="s">
        <v>1135</v>
      </c>
      <c r="T2097" t="s">
        <v>38</v>
      </c>
      <c r="V2097" t="s">
        <v>921</v>
      </c>
      <c r="Z2097" t="s">
        <v>1357</v>
      </c>
      <c r="AA2097" t="s">
        <v>39</v>
      </c>
      <c r="AC2097" t="s">
        <v>1382</v>
      </c>
    </row>
    <row r="2098" spans="1:29" x14ac:dyDescent="0.25">
      <c r="A2098">
        <v>40</v>
      </c>
      <c r="B2098" t="s">
        <v>116</v>
      </c>
      <c r="C2098" t="s">
        <v>77</v>
      </c>
      <c r="D2098" t="s">
        <v>117</v>
      </c>
      <c r="E2098">
        <v>6</v>
      </c>
      <c r="F2098">
        <v>298</v>
      </c>
      <c r="G2098">
        <v>378</v>
      </c>
      <c r="H2098">
        <v>1</v>
      </c>
      <c r="I2098">
        <v>5.27</v>
      </c>
      <c r="J2098">
        <v>5.27</v>
      </c>
      <c r="K2098" t="s">
        <v>97</v>
      </c>
      <c r="L2098" t="s">
        <v>1381</v>
      </c>
      <c r="Q2098">
        <v>4</v>
      </c>
      <c r="R2098" t="s">
        <v>1135</v>
      </c>
      <c r="T2098" t="s">
        <v>38</v>
      </c>
      <c r="V2098" t="s">
        <v>921</v>
      </c>
      <c r="W2098" t="s">
        <v>81</v>
      </c>
      <c r="Z2098" t="s">
        <v>1357</v>
      </c>
      <c r="AA2098" t="s">
        <v>39</v>
      </c>
      <c r="AC2098" t="s">
        <v>1382</v>
      </c>
    </row>
    <row r="2099" spans="1:29" x14ac:dyDescent="0.25">
      <c r="A2099">
        <v>41</v>
      </c>
      <c r="B2099" t="s">
        <v>118</v>
      </c>
      <c r="C2099" t="s">
        <v>77</v>
      </c>
      <c r="D2099" t="s">
        <v>115</v>
      </c>
      <c r="E2099">
        <v>6</v>
      </c>
      <c r="F2099">
        <v>328</v>
      </c>
      <c r="G2099">
        <v>1729</v>
      </c>
      <c r="H2099">
        <v>13</v>
      </c>
      <c r="I2099">
        <v>25.27</v>
      </c>
      <c r="J2099">
        <v>328.51</v>
      </c>
      <c r="K2099" t="s">
        <v>97</v>
      </c>
      <c r="L2099" t="s">
        <v>1383</v>
      </c>
      <c r="O2099" t="s">
        <v>81</v>
      </c>
      <c r="P2099" t="s">
        <v>81</v>
      </c>
      <c r="Q2099">
        <v>4</v>
      </c>
      <c r="R2099" t="s">
        <v>1135</v>
      </c>
      <c r="T2099" t="s">
        <v>38</v>
      </c>
      <c r="V2099" t="s">
        <v>921</v>
      </c>
      <c r="Z2099" t="s">
        <v>1357</v>
      </c>
      <c r="AA2099" t="s">
        <v>39</v>
      </c>
      <c r="AC2099" t="s">
        <v>1384</v>
      </c>
    </row>
    <row r="2100" spans="1:29" x14ac:dyDescent="0.25">
      <c r="A2100">
        <v>42</v>
      </c>
      <c r="B2100" t="s">
        <v>114</v>
      </c>
      <c r="C2100" t="s">
        <v>77</v>
      </c>
      <c r="D2100" t="s">
        <v>115</v>
      </c>
      <c r="E2100">
        <v>6</v>
      </c>
      <c r="F2100">
        <v>328</v>
      </c>
      <c r="G2100">
        <v>1729</v>
      </c>
      <c r="H2100">
        <v>15</v>
      </c>
      <c r="I2100">
        <v>25.27</v>
      </c>
      <c r="J2100">
        <v>379.05</v>
      </c>
      <c r="K2100" t="s">
        <v>97</v>
      </c>
      <c r="L2100" t="s">
        <v>1383</v>
      </c>
      <c r="O2100" t="s">
        <v>81</v>
      </c>
      <c r="P2100" t="s">
        <v>81</v>
      </c>
      <c r="Q2100">
        <v>4</v>
      </c>
      <c r="R2100" t="s">
        <v>1135</v>
      </c>
      <c r="T2100" t="s">
        <v>38</v>
      </c>
      <c r="V2100" t="s">
        <v>921</v>
      </c>
      <c r="Z2100" t="s">
        <v>1357</v>
      </c>
      <c r="AA2100" t="s">
        <v>39</v>
      </c>
      <c r="AC2100" t="s">
        <v>1384</v>
      </c>
    </row>
    <row r="2101" spans="1:29" x14ac:dyDescent="0.25">
      <c r="A2101">
        <v>43</v>
      </c>
      <c r="B2101" t="s">
        <v>121</v>
      </c>
      <c r="C2101" t="s">
        <v>77</v>
      </c>
      <c r="D2101" t="s">
        <v>122</v>
      </c>
      <c r="E2101">
        <v>6</v>
      </c>
      <c r="F2101">
        <v>328</v>
      </c>
      <c r="G2101">
        <v>934</v>
      </c>
      <c r="H2101">
        <v>1</v>
      </c>
      <c r="I2101">
        <v>14.43</v>
      </c>
      <c r="J2101">
        <v>14.43</v>
      </c>
      <c r="K2101" t="s">
        <v>97</v>
      </c>
      <c r="L2101" t="s">
        <v>1383</v>
      </c>
      <c r="O2101" t="s">
        <v>81</v>
      </c>
      <c r="Q2101">
        <v>4</v>
      </c>
      <c r="R2101" t="s">
        <v>1135</v>
      </c>
      <c r="T2101" t="s">
        <v>38</v>
      </c>
      <c r="V2101" t="s">
        <v>921</v>
      </c>
      <c r="Z2101" t="s">
        <v>1357</v>
      </c>
      <c r="AA2101" t="s">
        <v>39</v>
      </c>
      <c r="AC2101" t="s">
        <v>1384</v>
      </c>
    </row>
    <row r="2102" spans="1:29" x14ac:dyDescent="0.25">
      <c r="A2102">
        <v>44</v>
      </c>
      <c r="B2102" t="s">
        <v>123</v>
      </c>
      <c r="C2102" t="s">
        <v>77</v>
      </c>
      <c r="D2102" t="s">
        <v>117</v>
      </c>
      <c r="E2102">
        <v>6</v>
      </c>
      <c r="F2102">
        <v>298</v>
      </c>
      <c r="G2102">
        <v>378</v>
      </c>
      <c r="H2102">
        <v>1</v>
      </c>
      <c r="I2102">
        <v>5.27</v>
      </c>
      <c r="J2102">
        <v>5.27</v>
      </c>
      <c r="K2102" t="s">
        <v>97</v>
      </c>
      <c r="L2102" t="s">
        <v>1383</v>
      </c>
      <c r="Q2102">
        <v>4</v>
      </c>
      <c r="R2102" t="s">
        <v>1135</v>
      </c>
      <c r="T2102" t="s">
        <v>38</v>
      </c>
      <c r="V2102" t="s">
        <v>921</v>
      </c>
      <c r="W2102" t="s">
        <v>81</v>
      </c>
      <c r="Z2102" t="s">
        <v>1357</v>
      </c>
      <c r="AA2102" t="s">
        <v>39</v>
      </c>
      <c r="AC2102" t="s">
        <v>1384</v>
      </c>
    </row>
    <row r="2103" spans="1:29" x14ac:dyDescent="0.25">
      <c r="A2103">
        <v>45</v>
      </c>
      <c r="B2103" t="s">
        <v>124</v>
      </c>
      <c r="C2103" t="s">
        <v>77</v>
      </c>
      <c r="D2103" t="s">
        <v>111</v>
      </c>
      <c r="E2103">
        <v>6</v>
      </c>
      <c r="F2103">
        <v>328</v>
      </c>
      <c r="G2103">
        <v>1672</v>
      </c>
      <c r="H2103">
        <v>2</v>
      </c>
      <c r="I2103">
        <v>24.46</v>
      </c>
      <c r="J2103">
        <v>48.91</v>
      </c>
      <c r="K2103" t="s">
        <v>97</v>
      </c>
      <c r="L2103" t="s">
        <v>1385</v>
      </c>
      <c r="O2103" t="s">
        <v>81</v>
      </c>
      <c r="P2103" t="s">
        <v>81</v>
      </c>
      <c r="Q2103">
        <v>4</v>
      </c>
      <c r="R2103" t="s">
        <v>1135</v>
      </c>
      <c r="T2103" t="s">
        <v>38</v>
      </c>
      <c r="V2103" t="s">
        <v>921</v>
      </c>
      <c r="Z2103" t="s">
        <v>1357</v>
      </c>
      <c r="AA2103" t="s">
        <v>39</v>
      </c>
      <c r="AC2103" t="s">
        <v>1386</v>
      </c>
    </row>
    <row r="2104" spans="1:29" x14ac:dyDescent="0.25">
      <c r="A2104">
        <v>46</v>
      </c>
      <c r="B2104" t="s">
        <v>127</v>
      </c>
      <c r="C2104" t="s">
        <v>77</v>
      </c>
      <c r="D2104" t="s">
        <v>113</v>
      </c>
      <c r="E2104">
        <v>6</v>
      </c>
      <c r="F2104">
        <v>328</v>
      </c>
      <c r="G2104">
        <v>1718</v>
      </c>
      <c r="H2104">
        <v>8</v>
      </c>
      <c r="I2104">
        <v>25.11</v>
      </c>
      <c r="J2104">
        <v>200.91</v>
      </c>
      <c r="K2104" t="s">
        <v>97</v>
      </c>
      <c r="L2104" t="s">
        <v>1385</v>
      </c>
      <c r="O2104" t="s">
        <v>81</v>
      </c>
      <c r="P2104" t="s">
        <v>81</v>
      </c>
      <c r="Q2104">
        <v>4</v>
      </c>
      <c r="R2104" t="s">
        <v>1135</v>
      </c>
      <c r="T2104" t="s">
        <v>38</v>
      </c>
      <c r="V2104" t="s">
        <v>921</v>
      </c>
      <c r="Z2104" t="s">
        <v>1357</v>
      </c>
      <c r="AA2104" t="s">
        <v>39</v>
      </c>
      <c r="AC2104" t="s">
        <v>1386</v>
      </c>
    </row>
    <row r="2105" spans="1:29" x14ac:dyDescent="0.25">
      <c r="A2105">
        <v>47</v>
      </c>
      <c r="B2105" t="s">
        <v>118</v>
      </c>
      <c r="C2105" t="s">
        <v>77</v>
      </c>
      <c r="D2105" t="s">
        <v>115</v>
      </c>
      <c r="E2105">
        <v>6</v>
      </c>
      <c r="F2105">
        <v>328</v>
      </c>
      <c r="G2105">
        <v>1729</v>
      </c>
      <c r="H2105">
        <v>7</v>
      </c>
      <c r="I2105">
        <v>25.27</v>
      </c>
      <c r="J2105">
        <v>176.89</v>
      </c>
      <c r="K2105" t="s">
        <v>97</v>
      </c>
      <c r="L2105" t="s">
        <v>1385</v>
      </c>
      <c r="O2105" t="s">
        <v>81</v>
      </c>
      <c r="P2105" t="s">
        <v>81</v>
      </c>
      <c r="Q2105">
        <v>4</v>
      </c>
      <c r="R2105" t="s">
        <v>1135</v>
      </c>
      <c r="T2105" t="s">
        <v>38</v>
      </c>
      <c r="V2105" t="s">
        <v>921</v>
      </c>
      <c r="Z2105" t="s">
        <v>1357</v>
      </c>
      <c r="AA2105" t="s">
        <v>39</v>
      </c>
      <c r="AC2105" t="s">
        <v>1386</v>
      </c>
    </row>
    <row r="2106" spans="1:29" x14ac:dyDescent="0.25">
      <c r="A2106">
        <v>48</v>
      </c>
      <c r="B2106" t="s">
        <v>112</v>
      </c>
      <c r="C2106" t="s">
        <v>77</v>
      </c>
      <c r="D2106" t="s">
        <v>113</v>
      </c>
      <c r="E2106">
        <v>6</v>
      </c>
      <c r="F2106">
        <v>328</v>
      </c>
      <c r="G2106">
        <v>1718</v>
      </c>
      <c r="H2106">
        <v>7</v>
      </c>
      <c r="I2106">
        <v>25.11</v>
      </c>
      <c r="J2106">
        <v>175.79</v>
      </c>
      <c r="K2106" t="s">
        <v>97</v>
      </c>
      <c r="L2106" t="s">
        <v>1385</v>
      </c>
      <c r="O2106" t="s">
        <v>81</v>
      </c>
      <c r="P2106" t="s">
        <v>81</v>
      </c>
      <c r="Q2106">
        <v>4</v>
      </c>
      <c r="R2106" t="s">
        <v>1135</v>
      </c>
      <c r="T2106" t="s">
        <v>38</v>
      </c>
      <c r="V2106" t="s">
        <v>921</v>
      </c>
      <c r="Z2106" t="s">
        <v>1357</v>
      </c>
      <c r="AA2106" t="s">
        <v>39</v>
      </c>
      <c r="AC2106" t="s">
        <v>1386</v>
      </c>
    </row>
    <row r="2107" spans="1:29" x14ac:dyDescent="0.25">
      <c r="A2107">
        <v>49</v>
      </c>
      <c r="B2107" t="s">
        <v>121</v>
      </c>
      <c r="C2107" t="s">
        <v>77</v>
      </c>
      <c r="D2107" t="s">
        <v>122</v>
      </c>
      <c r="E2107">
        <v>6</v>
      </c>
      <c r="F2107">
        <v>328</v>
      </c>
      <c r="G2107">
        <v>934</v>
      </c>
      <c r="H2107">
        <v>8</v>
      </c>
      <c r="I2107">
        <v>14.43</v>
      </c>
      <c r="J2107">
        <v>115.43</v>
      </c>
      <c r="K2107" t="s">
        <v>97</v>
      </c>
      <c r="L2107" t="s">
        <v>1385</v>
      </c>
      <c r="O2107" t="s">
        <v>81</v>
      </c>
      <c r="Q2107">
        <v>4</v>
      </c>
      <c r="R2107" t="s">
        <v>1135</v>
      </c>
      <c r="T2107" t="s">
        <v>38</v>
      </c>
      <c r="V2107" t="s">
        <v>921</v>
      </c>
      <c r="Z2107" t="s">
        <v>1357</v>
      </c>
      <c r="AA2107" t="s">
        <v>39</v>
      </c>
      <c r="AC2107" t="s">
        <v>1386</v>
      </c>
    </row>
    <row r="2108" spans="1:29" x14ac:dyDescent="0.25">
      <c r="A2108">
        <v>50</v>
      </c>
      <c r="B2108" t="s">
        <v>116</v>
      </c>
      <c r="C2108" t="s">
        <v>77</v>
      </c>
      <c r="D2108" t="s">
        <v>117</v>
      </c>
      <c r="E2108">
        <v>6</v>
      </c>
      <c r="F2108">
        <v>298</v>
      </c>
      <c r="G2108">
        <v>378</v>
      </c>
      <c r="H2108">
        <v>1</v>
      </c>
      <c r="I2108">
        <v>5.27</v>
      </c>
      <c r="J2108">
        <v>5.27</v>
      </c>
      <c r="K2108" t="s">
        <v>97</v>
      </c>
      <c r="L2108" t="s">
        <v>1385</v>
      </c>
      <c r="Q2108">
        <v>4</v>
      </c>
      <c r="R2108" t="s">
        <v>1135</v>
      </c>
      <c r="T2108" t="s">
        <v>38</v>
      </c>
      <c r="V2108" t="s">
        <v>921</v>
      </c>
      <c r="W2108" t="s">
        <v>81</v>
      </c>
      <c r="Z2108" t="s">
        <v>1357</v>
      </c>
      <c r="AA2108" t="s">
        <v>39</v>
      </c>
      <c r="AC2108" t="s">
        <v>1386</v>
      </c>
    </row>
    <row r="2109" spans="1:29" x14ac:dyDescent="0.25">
      <c r="A2109">
        <v>51</v>
      </c>
      <c r="B2109" t="s">
        <v>128</v>
      </c>
      <c r="C2109" t="s">
        <v>77</v>
      </c>
      <c r="D2109" t="s">
        <v>129</v>
      </c>
      <c r="E2109">
        <v>6</v>
      </c>
      <c r="F2109">
        <v>188</v>
      </c>
      <c r="G2109">
        <v>2493</v>
      </c>
      <c r="H2109">
        <v>4</v>
      </c>
      <c r="I2109">
        <v>21.71</v>
      </c>
      <c r="J2109">
        <v>86.83</v>
      </c>
      <c r="K2109" t="s">
        <v>97</v>
      </c>
      <c r="L2109" t="s">
        <v>1387</v>
      </c>
      <c r="O2109" t="s">
        <v>81</v>
      </c>
      <c r="P2109" t="s">
        <v>81</v>
      </c>
      <c r="Q2109">
        <v>4</v>
      </c>
      <c r="R2109" t="s">
        <v>1135</v>
      </c>
      <c r="T2109" t="s">
        <v>38</v>
      </c>
      <c r="V2109" t="s">
        <v>921</v>
      </c>
      <c r="Z2109" t="s">
        <v>1357</v>
      </c>
      <c r="AA2109" t="s">
        <v>39</v>
      </c>
      <c r="AC2109" t="s">
        <v>1388</v>
      </c>
    </row>
    <row r="2110" spans="1:29" x14ac:dyDescent="0.25">
      <c r="A2110">
        <v>52</v>
      </c>
      <c r="B2110" t="s">
        <v>132</v>
      </c>
      <c r="C2110" t="s">
        <v>77</v>
      </c>
      <c r="D2110" t="s">
        <v>133</v>
      </c>
      <c r="E2110">
        <v>6</v>
      </c>
      <c r="F2110">
        <v>188</v>
      </c>
      <c r="G2110">
        <v>2494</v>
      </c>
      <c r="H2110">
        <v>4</v>
      </c>
      <c r="I2110">
        <v>21.71</v>
      </c>
      <c r="J2110">
        <v>86.84</v>
      </c>
      <c r="K2110" t="s">
        <v>97</v>
      </c>
      <c r="L2110" t="s">
        <v>1387</v>
      </c>
      <c r="O2110" t="s">
        <v>81</v>
      </c>
      <c r="P2110" t="s">
        <v>81</v>
      </c>
      <c r="Q2110">
        <v>4</v>
      </c>
      <c r="R2110" t="s">
        <v>1135</v>
      </c>
      <c r="T2110" t="s">
        <v>38</v>
      </c>
      <c r="V2110" t="s">
        <v>921</v>
      </c>
      <c r="Z2110" t="s">
        <v>1357</v>
      </c>
      <c r="AA2110" t="s">
        <v>39</v>
      </c>
      <c r="AC2110" t="s">
        <v>1388</v>
      </c>
    </row>
    <row r="2111" spans="1:29" x14ac:dyDescent="0.25">
      <c r="A2111">
        <v>53</v>
      </c>
      <c r="B2111" t="s">
        <v>134</v>
      </c>
      <c r="C2111" t="s">
        <v>77</v>
      </c>
      <c r="D2111" t="s">
        <v>135</v>
      </c>
      <c r="E2111">
        <v>6</v>
      </c>
      <c r="F2111">
        <v>188</v>
      </c>
      <c r="G2111">
        <v>2491</v>
      </c>
      <c r="H2111">
        <v>12</v>
      </c>
      <c r="I2111">
        <v>21.69</v>
      </c>
      <c r="J2111">
        <v>260.32</v>
      </c>
      <c r="K2111" t="s">
        <v>97</v>
      </c>
      <c r="L2111" t="s">
        <v>1387</v>
      </c>
      <c r="O2111" t="s">
        <v>81</v>
      </c>
      <c r="P2111" t="s">
        <v>81</v>
      </c>
      <c r="Q2111">
        <v>4</v>
      </c>
      <c r="R2111" t="s">
        <v>1135</v>
      </c>
      <c r="T2111" t="s">
        <v>38</v>
      </c>
      <c r="V2111" t="s">
        <v>921</v>
      </c>
      <c r="Z2111" t="s">
        <v>1357</v>
      </c>
      <c r="AA2111" t="s">
        <v>39</v>
      </c>
      <c r="AC2111" t="s">
        <v>1388</v>
      </c>
    </row>
    <row r="2112" spans="1:29" x14ac:dyDescent="0.25">
      <c r="A2112">
        <v>54</v>
      </c>
      <c r="B2112" t="s">
        <v>136</v>
      </c>
      <c r="C2112" t="s">
        <v>77</v>
      </c>
      <c r="D2112" t="s">
        <v>129</v>
      </c>
      <c r="E2112">
        <v>6</v>
      </c>
      <c r="F2112">
        <v>188</v>
      </c>
      <c r="G2112">
        <v>2493</v>
      </c>
      <c r="H2112">
        <v>4</v>
      </c>
      <c r="I2112">
        <v>21.71</v>
      </c>
      <c r="J2112">
        <v>86.83</v>
      </c>
      <c r="K2112" t="s">
        <v>97</v>
      </c>
      <c r="L2112" t="s">
        <v>1387</v>
      </c>
      <c r="O2112" t="s">
        <v>81</v>
      </c>
      <c r="P2112" t="s">
        <v>81</v>
      </c>
      <c r="Q2112">
        <v>4</v>
      </c>
      <c r="R2112" t="s">
        <v>1135</v>
      </c>
      <c r="T2112" t="s">
        <v>38</v>
      </c>
      <c r="V2112" t="s">
        <v>921</v>
      </c>
      <c r="Z2112" t="s">
        <v>1357</v>
      </c>
      <c r="AA2112" t="s">
        <v>39</v>
      </c>
      <c r="AC2112" t="s">
        <v>1388</v>
      </c>
    </row>
    <row r="2113" spans="1:29" x14ac:dyDescent="0.25">
      <c r="A2113">
        <v>55</v>
      </c>
      <c r="B2113" t="s">
        <v>137</v>
      </c>
      <c r="C2113" t="s">
        <v>77</v>
      </c>
      <c r="D2113" t="s">
        <v>133</v>
      </c>
      <c r="E2113">
        <v>6</v>
      </c>
      <c r="F2113">
        <v>188</v>
      </c>
      <c r="G2113">
        <v>2494</v>
      </c>
      <c r="H2113">
        <v>4</v>
      </c>
      <c r="I2113">
        <v>21.71</v>
      </c>
      <c r="J2113">
        <v>86.84</v>
      </c>
      <c r="K2113" t="s">
        <v>97</v>
      </c>
      <c r="L2113" t="s">
        <v>1387</v>
      </c>
      <c r="O2113" t="s">
        <v>81</v>
      </c>
      <c r="P2113" t="s">
        <v>81</v>
      </c>
      <c r="Q2113">
        <v>4</v>
      </c>
      <c r="R2113" t="s">
        <v>1135</v>
      </c>
      <c r="T2113" t="s">
        <v>38</v>
      </c>
      <c r="V2113" t="s">
        <v>921</v>
      </c>
      <c r="Z2113" t="s">
        <v>1357</v>
      </c>
      <c r="AA2113" t="s">
        <v>39</v>
      </c>
      <c r="AC2113" t="s">
        <v>1388</v>
      </c>
    </row>
    <row r="2114" spans="1:29" x14ac:dyDescent="0.25">
      <c r="A2114">
        <v>56</v>
      </c>
      <c r="B2114" t="s">
        <v>138</v>
      </c>
      <c r="C2114" t="s">
        <v>77</v>
      </c>
      <c r="D2114" t="s">
        <v>122</v>
      </c>
      <c r="E2114">
        <v>6</v>
      </c>
      <c r="F2114">
        <v>328</v>
      </c>
      <c r="G2114">
        <v>934</v>
      </c>
      <c r="H2114">
        <v>4</v>
      </c>
      <c r="I2114">
        <v>14.43</v>
      </c>
      <c r="J2114">
        <v>57.72</v>
      </c>
      <c r="K2114" t="s">
        <v>97</v>
      </c>
      <c r="L2114" t="s">
        <v>1387</v>
      </c>
      <c r="O2114" t="s">
        <v>81</v>
      </c>
      <c r="Q2114">
        <v>4</v>
      </c>
      <c r="R2114" t="s">
        <v>1135</v>
      </c>
      <c r="T2114" t="s">
        <v>38</v>
      </c>
      <c r="V2114" t="s">
        <v>921</v>
      </c>
      <c r="Z2114" t="s">
        <v>1357</v>
      </c>
      <c r="AA2114" t="s">
        <v>39</v>
      </c>
      <c r="AC2114" t="s">
        <v>1388</v>
      </c>
    </row>
    <row r="2115" spans="1:29" x14ac:dyDescent="0.25">
      <c r="A2115">
        <v>57</v>
      </c>
      <c r="B2115" t="s">
        <v>139</v>
      </c>
      <c r="C2115" t="s">
        <v>77</v>
      </c>
      <c r="D2115" t="s">
        <v>122</v>
      </c>
      <c r="E2115">
        <v>6</v>
      </c>
      <c r="F2115">
        <v>328</v>
      </c>
      <c r="G2115">
        <v>934</v>
      </c>
      <c r="H2115">
        <v>4</v>
      </c>
      <c r="I2115">
        <v>14.43</v>
      </c>
      <c r="J2115">
        <v>57.72</v>
      </c>
      <c r="K2115" t="s">
        <v>97</v>
      </c>
      <c r="L2115" t="s">
        <v>1387</v>
      </c>
      <c r="O2115" t="s">
        <v>81</v>
      </c>
      <c r="Q2115">
        <v>4</v>
      </c>
      <c r="R2115" t="s">
        <v>1135</v>
      </c>
      <c r="T2115" t="s">
        <v>38</v>
      </c>
      <c r="V2115" t="s">
        <v>921</v>
      </c>
      <c r="Z2115" t="s">
        <v>1357</v>
      </c>
      <c r="AA2115" t="s">
        <v>39</v>
      </c>
      <c r="AC2115" t="s">
        <v>1388</v>
      </c>
    </row>
    <row r="2116" spans="1:29" x14ac:dyDescent="0.25">
      <c r="A2116">
        <v>58</v>
      </c>
      <c r="B2116" t="s">
        <v>140</v>
      </c>
      <c r="C2116" t="s">
        <v>77</v>
      </c>
      <c r="D2116" t="s">
        <v>135</v>
      </c>
      <c r="E2116">
        <v>6</v>
      </c>
      <c r="F2116">
        <v>188</v>
      </c>
      <c r="G2116">
        <v>2491</v>
      </c>
      <c r="H2116">
        <v>18</v>
      </c>
      <c r="I2116">
        <v>21.69</v>
      </c>
      <c r="J2116">
        <v>390.49</v>
      </c>
      <c r="K2116" t="s">
        <v>97</v>
      </c>
      <c r="L2116" t="s">
        <v>1389</v>
      </c>
      <c r="O2116" t="s">
        <v>81</v>
      </c>
      <c r="P2116" t="s">
        <v>81</v>
      </c>
      <c r="Q2116">
        <v>4</v>
      </c>
      <c r="R2116" t="s">
        <v>1135</v>
      </c>
      <c r="T2116" t="s">
        <v>38</v>
      </c>
      <c r="V2116" t="s">
        <v>921</v>
      </c>
      <c r="Z2116" t="s">
        <v>1357</v>
      </c>
      <c r="AA2116" t="s">
        <v>39</v>
      </c>
      <c r="AC2116" t="s">
        <v>1390</v>
      </c>
    </row>
    <row r="2117" spans="1:29" x14ac:dyDescent="0.25">
      <c r="A2117">
        <v>59</v>
      </c>
      <c r="B2117" t="s">
        <v>134</v>
      </c>
      <c r="C2117" t="s">
        <v>77</v>
      </c>
      <c r="D2117" t="s">
        <v>135</v>
      </c>
      <c r="E2117">
        <v>6</v>
      </c>
      <c r="F2117">
        <v>188</v>
      </c>
      <c r="G2117">
        <v>2491</v>
      </c>
      <c r="H2117">
        <v>6</v>
      </c>
      <c r="I2117">
        <v>21.69</v>
      </c>
      <c r="J2117">
        <v>130.16</v>
      </c>
      <c r="K2117" t="s">
        <v>97</v>
      </c>
      <c r="L2117" t="s">
        <v>1389</v>
      </c>
      <c r="O2117" t="s">
        <v>81</v>
      </c>
      <c r="P2117" t="s">
        <v>81</v>
      </c>
      <c r="Q2117">
        <v>4</v>
      </c>
      <c r="R2117" t="s">
        <v>1135</v>
      </c>
      <c r="T2117" t="s">
        <v>38</v>
      </c>
      <c r="V2117" t="s">
        <v>921</v>
      </c>
      <c r="Z2117" t="s">
        <v>1357</v>
      </c>
      <c r="AA2117" t="s">
        <v>39</v>
      </c>
      <c r="AC2117" t="s">
        <v>1390</v>
      </c>
    </row>
    <row r="2118" spans="1:29" x14ac:dyDescent="0.25">
      <c r="A2118">
        <v>60</v>
      </c>
      <c r="B2118" t="s">
        <v>143</v>
      </c>
      <c r="C2118" t="s">
        <v>77</v>
      </c>
      <c r="D2118" t="s">
        <v>135</v>
      </c>
      <c r="E2118">
        <v>6</v>
      </c>
      <c r="F2118">
        <v>188</v>
      </c>
      <c r="G2118">
        <v>2491</v>
      </c>
      <c r="H2118">
        <v>4</v>
      </c>
      <c r="I2118">
        <v>21.69</v>
      </c>
      <c r="J2118">
        <v>86.77</v>
      </c>
      <c r="K2118" t="s">
        <v>97</v>
      </c>
      <c r="L2118" t="s">
        <v>1389</v>
      </c>
      <c r="O2118" t="s">
        <v>81</v>
      </c>
      <c r="P2118" t="s">
        <v>81</v>
      </c>
      <c r="Q2118">
        <v>4</v>
      </c>
      <c r="R2118" t="s">
        <v>1135</v>
      </c>
      <c r="T2118" t="s">
        <v>38</v>
      </c>
      <c r="V2118" t="s">
        <v>921</v>
      </c>
      <c r="Z2118" t="s">
        <v>1357</v>
      </c>
      <c r="AA2118" t="s">
        <v>39</v>
      </c>
      <c r="AC2118" t="s">
        <v>1390</v>
      </c>
    </row>
    <row r="2119" spans="1:29" x14ac:dyDescent="0.25">
      <c r="A2119">
        <v>61</v>
      </c>
      <c r="B2119" t="s">
        <v>144</v>
      </c>
      <c r="C2119" t="s">
        <v>77</v>
      </c>
      <c r="D2119" t="s">
        <v>122</v>
      </c>
      <c r="E2119">
        <v>6</v>
      </c>
      <c r="F2119">
        <v>328</v>
      </c>
      <c r="G2119">
        <v>934</v>
      </c>
      <c r="H2119">
        <v>5</v>
      </c>
      <c r="I2119">
        <v>14.43</v>
      </c>
      <c r="J2119">
        <v>72.150000000000006</v>
      </c>
      <c r="K2119" t="s">
        <v>97</v>
      </c>
      <c r="L2119" t="s">
        <v>1389</v>
      </c>
      <c r="O2119" t="s">
        <v>81</v>
      </c>
      <c r="Q2119">
        <v>4</v>
      </c>
      <c r="R2119" t="s">
        <v>1135</v>
      </c>
      <c r="T2119" t="s">
        <v>38</v>
      </c>
      <c r="V2119" t="s">
        <v>921</v>
      </c>
      <c r="Z2119" t="s">
        <v>1357</v>
      </c>
      <c r="AA2119" t="s">
        <v>39</v>
      </c>
      <c r="AC2119" t="s">
        <v>1390</v>
      </c>
    </row>
    <row r="2120" spans="1:29" x14ac:dyDescent="0.25">
      <c r="A2120">
        <v>62</v>
      </c>
      <c r="B2120" t="s">
        <v>138</v>
      </c>
      <c r="C2120" t="s">
        <v>77</v>
      </c>
      <c r="D2120" t="s">
        <v>122</v>
      </c>
      <c r="E2120">
        <v>6</v>
      </c>
      <c r="F2120">
        <v>328</v>
      </c>
      <c r="G2120">
        <v>934</v>
      </c>
      <c r="H2120">
        <v>3</v>
      </c>
      <c r="I2120">
        <v>14.43</v>
      </c>
      <c r="J2120">
        <v>43.29</v>
      </c>
      <c r="K2120" t="s">
        <v>97</v>
      </c>
      <c r="L2120" t="s">
        <v>1389</v>
      </c>
      <c r="O2120" t="s">
        <v>81</v>
      </c>
      <c r="Q2120">
        <v>4</v>
      </c>
      <c r="R2120" t="s">
        <v>1135</v>
      </c>
      <c r="T2120" t="s">
        <v>38</v>
      </c>
      <c r="V2120" t="s">
        <v>921</v>
      </c>
      <c r="Z2120" t="s">
        <v>1357</v>
      </c>
      <c r="AA2120" t="s">
        <v>39</v>
      </c>
      <c r="AC2120" t="s">
        <v>1390</v>
      </c>
    </row>
    <row r="2121" spans="1:29" x14ac:dyDescent="0.25">
      <c r="A2121">
        <v>63</v>
      </c>
      <c r="B2121" t="s">
        <v>145</v>
      </c>
      <c r="C2121" t="s">
        <v>77</v>
      </c>
      <c r="D2121" t="s">
        <v>135</v>
      </c>
      <c r="E2121">
        <v>6</v>
      </c>
      <c r="F2121">
        <v>188</v>
      </c>
      <c r="G2121">
        <v>2491</v>
      </c>
      <c r="H2121">
        <v>14</v>
      </c>
      <c r="I2121">
        <v>21.69</v>
      </c>
      <c r="J2121">
        <v>303.7</v>
      </c>
      <c r="K2121" t="s">
        <v>97</v>
      </c>
      <c r="L2121" t="s">
        <v>1391</v>
      </c>
      <c r="O2121" t="s">
        <v>81</v>
      </c>
      <c r="P2121" t="s">
        <v>81</v>
      </c>
      <c r="Q2121">
        <v>4</v>
      </c>
      <c r="R2121" t="s">
        <v>1135</v>
      </c>
      <c r="T2121" t="s">
        <v>38</v>
      </c>
      <c r="V2121" t="s">
        <v>921</v>
      </c>
      <c r="Z2121" t="s">
        <v>1357</v>
      </c>
      <c r="AA2121" t="s">
        <v>39</v>
      </c>
      <c r="AC2121" t="s">
        <v>1392</v>
      </c>
    </row>
    <row r="2122" spans="1:29" x14ac:dyDescent="0.25">
      <c r="A2122">
        <v>64</v>
      </c>
      <c r="B2122" t="s">
        <v>148</v>
      </c>
      <c r="C2122" t="s">
        <v>77</v>
      </c>
      <c r="D2122" t="s">
        <v>122</v>
      </c>
      <c r="E2122">
        <v>6</v>
      </c>
      <c r="F2122">
        <v>328</v>
      </c>
      <c r="G2122">
        <v>934</v>
      </c>
      <c r="H2122">
        <v>4</v>
      </c>
      <c r="I2122">
        <v>14.43</v>
      </c>
      <c r="J2122">
        <v>57.72</v>
      </c>
      <c r="K2122" t="s">
        <v>97</v>
      </c>
      <c r="L2122" t="s">
        <v>1391</v>
      </c>
      <c r="O2122" t="s">
        <v>81</v>
      </c>
      <c r="Q2122">
        <v>4</v>
      </c>
      <c r="R2122" t="s">
        <v>1135</v>
      </c>
      <c r="T2122" t="s">
        <v>38</v>
      </c>
      <c r="V2122" t="s">
        <v>921</v>
      </c>
      <c r="Z2122" t="s">
        <v>1357</v>
      </c>
      <c r="AA2122" t="s">
        <v>39</v>
      </c>
      <c r="AC2122" t="s">
        <v>1392</v>
      </c>
    </row>
    <row r="2123" spans="1:29" x14ac:dyDescent="0.25">
      <c r="A2123">
        <v>65</v>
      </c>
      <c r="B2123" t="s">
        <v>143</v>
      </c>
      <c r="C2123" t="s">
        <v>77</v>
      </c>
      <c r="D2123" t="s">
        <v>135</v>
      </c>
      <c r="E2123">
        <v>6</v>
      </c>
      <c r="F2123">
        <v>188</v>
      </c>
      <c r="G2123">
        <v>2491</v>
      </c>
      <c r="H2123">
        <v>14</v>
      </c>
      <c r="I2123">
        <v>21.69</v>
      </c>
      <c r="J2123">
        <v>303.7</v>
      </c>
      <c r="K2123" t="s">
        <v>97</v>
      </c>
      <c r="L2123" t="s">
        <v>1391</v>
      </c>
      <c r="O2123" t="s">
        <v>81</v>
      </c>
      <c r="P2123" t="s">
        <v>81</v>
      </c>
      <c r="Q2123">
        <v>4</v>
      </c>
      <c r="R2123" t="s">
        <v>1135</v>
      </c>
      <c r="T2123" t="s">
        <v>38</v>
      </c>
      <c r="V2123" t="s">
        <v>921</v>
      </c>
      <c r="Z2123" t="s">
        <v>1357</v>
      </c>
      <c r="AA2123" t="s">
        <v>39</v>
      </c>
      <c r="AC2123" t="s">
        <v>1392</v>
      </c>
    </row>
    <row r="2124" spans="1:29" x14ac:dyDescent="0.25">
      <c r="A2124">
        <v>66</v>
      </c>
      <c r="B2124" t="s">
        <v>149</v>
      </c>
      <c r="C2124" t="s">
        <v>77</v>
      </c>
      <c r="D2124" t="s">
        <v>122</v>
      </c>
      <c r="E2124">
        <v>6</v>
      </c>
      <c r="F2124">
        <v>328</v>
      </c>
      <c r="G2124">
        <v>934</v>
      </c>
      <c r="H2124">
        <v>3</v>
      </c>
      <c r="I2124">
        <v>14.43</v>
      </c>
      <c r="J2124">
        <v>43.29</v>
      </c>
      <c r="K2124" t="s">
        <v>97</v>
      </c>
      <c r="L2124" t="s">
        <v>1391</v>
      </c>
      <c r="O2124" t="s">
        <v>81</v>
      </c>
      <c r="Q2124">
        <v>4</v>
      </c>
      <c r="R2124" t="s">
        <v>1135</v>
      </c>
      <c r="T2124" t="s">
        <v>38</v>
      </c>
      <c r="V2124" t="s">
        <v>921</v>
      </c>
      <c r="Z2124" t="s">
        <v>1357</v>
      </c>
      <c r="AA2124" t="s">
        <v>39</v>
      </c>
      <c r="AC2124" t="s">
        <v>1392</v>
      </c>
    </row>
    <row r="2125" spans="1:29" x14ac:dyDescent="0.25">
      <c r="A2125">
        <v>67</v>
      </c>
      <c r="B2125" t="s">
        <v>144</v>
      </c>
      <c r="C2125" t="s">
        <v>77</v>
      </c>
      <c r="D2125" t="s">
        <v>122</v>
      </c>
      <c r="E2125">
        <v>6</v>
      </c>
      <c r="F2125">
        <v>328</v>
      </c>
      <c r="G2125">
        <v>934</v>
      </c>
      <c r="H2125">
        <v>1</v>
      </c>
      <c r="I2125">
        <v>14.43</v>
      </c>
      <c r="J2125">
        <v>14.43</v>
      </c>
      <c r="K2125" t="s">
        <v>97</v>
      </c>
      <c r="L2125" t="s">
        <v>1391</v>
      </c>
      <c r="O2125" t="s">
        <v>81</v>
      </c>
      <c r="Q2125">
        <v>4</v>
      </c>
      <c r="R2125" t="s">
        <v>1135</v>
      </c>
      <c r="T2125" t="s">
        <v>38</v>
      </c>
      <c r="V2125" t="s">
        <v>921</v>
      </c>
      <c r="Z2125" t="s">
        <v>1357</v>
      </c>
      <c r="AA2125" t="s">
        <v>39</v>
      </c>
      <c r="AC2125" t="s">
        <v>1392</v>
      </c>
    </row>
    <row r="2126" spans="1:29" x14ac:dyDescent="0.25">
      <c r="A2126">
        <v>68</v>
      </c>
      <c r="B2126" t="s">
        <v>145</v>
      </c>
      <c r="C2126" t="s">
        <v>77</v>
      </c>
      <c r="D2126" t="s">
        <v>135</v>
      </c>
      <c r="E2126">
        <v>6</v>
      </c>
      <c r="F2126">
        <v>188</v>
      </c>
      <c r="G2126">
        <v>2491</v>
      </c>
      <c r="H2126">
        <v>4</v>
      </c>
      <c r="I2126">
        <v>21.69</v>
      </c>
      <c r="J2126">
        <v>86.77</v>
      </c>
      <c r="K2126" t="s">
        <v>97</v>
      </c>
      <c r="L2126" t="s">
        <v>1393</v>
      </c>
      <c r="O2126" t="s">
        <v>81</v>
      </c>
      <c r="P2126" t="s">
        <v>81</v>
      </c>
      <c r="Q2126">
        <v>4</v>
      </c>
      <c r="R2126" t="s">
        <v>1135</v>
      </c>
      <c r="T2126" t="s">
        <v>38</v>
      </c>
      <c r="V2126" t="s">
        <v>921</v>
      </c>
      <c r="Z2126" t="s">
        <v>1357</v>
      </c>
      <c r="AA2126" t="s">
        <v>39</v>
      </c>
      <c r="AC2126" t="s">
        <v>1394</v>
      </c>
    </row>
    <row r="2127" spans="1:29" x14ac:dyDescent="0.25">
      <c r="A2127">
        <v>69</v>
      </c>
      <c r="B2127" t="s">
        <v>152</v>
      </c>
      <c r="C2127" t="s">
        <v>77</v>
      </c>
      <c r="D2127" t="s">
        <v>135</v>
      </c>
      <c r="E2127">
        <v>6</v>
      </c>
      <c r="F2127">
        <v>188</v>
      </c>
      <c r="G2127">
        <v>2491</v>
      </c>
      <c r="H2127">
        <v>6</v>
      </c>
      <c r="I2127">
        <v>21.69</v>
      </c>
      <c r="J2127">
        <v>130.12</v>
      </c>
      <c r="K2127" t="s">
        <v>97</v>
      </c>
      <c r="L2127" t="s">
        <v>1393</v>
      </c>
      <c r="O2127" t="s">
        <v>81</v>
      </c>
      <c r="P2127" t="s">
        <v>81</v>
      </c>
      <c r="Q2127">
        <v>4</v>
      </c>
      <c r="R2127" t="s">
        <v>1135</v>
      </c>
      <c r="T2127" t="s">
        <v>38</v>
      </c>
      <c r="V2127" t="s">
        <v>921</v>
      </c>
      <c r="Z2127" t="s">
        <v>1357</v>
      </c>
      <c r="AA2127" t="s">
        <v>39</v>
      </c>
      <c r="AC2127" t="s">
        <v>1394</v>
      </c>
    </row>
    <row r="2128" spans="1:29" x14ac:dyDescent="0.25">
      <c r="A2128">
        <v>70</v>
      </c>
      <c r="B2128" t="s">
        <v>153</v>
      </c>
      <c r="C2128" t="s">
        <v>77</v>
      </c>
      <c r="D2128" t="s">
        <v>135</v>
      </c>
      <c r="E2128">
        <v>6</v>
      </c>
      <c r="F2128">
        <v>188</v>
      </c>
      <c r="G2128">
        <v>2491</v>
      </c>
      <c r="H2128">
        <v>18</v>
      </c>
      <c r="I2128">
        <v>21.69</v>
      </c>
      <c r="J2128">
        <v>390.36</v>
      </c>
      <c r="K2128" t="s">
        <v>97</v>
      </c>
      <c r="L2128" t="s">
        <v>1393</v>
      </c>
      <c r="O2128" t="s">
        <v>81</v>
      </c>
      <c r="P2128" t="s">
        <v>81</v>
      </c>
      <c r="Q2128">
        <v>4</v>
      </c>
      <c r="R2128" t="s">
        <v>1135</v>
      </c>
      <c r="T2128" t="s">
        <v>38</v>
      </c>
      <c r="V2128" t="s">
        <v>921</v>
      </c>
      <c r="Z2128" t="s">
        <v>1357</v>
      </c>
      <c r="AA2128" t="s">
        <v>39</v>
      </c>
      <c r="AC2128" t="s">
        <v>1394</v>
      </c>
    </row>
    <row r="2129" spans="1:29" x14ac:dyDescent="0.25">
      <c r="A2129">
        <v>71</v>
      </c>
      <c r="B2129" t="s">
        <v>154</v>
      </c>
      <c r="C2129" t="s">
        <v>77</v>
      </c>
      <c r="D2129" t="s">
        <v>122</v>
      </c>
      <c r="E2129">
        <v>6</v>
      </c>
      <c r="F2129">
        <v>328</v>
      </c>
      <c r="G2129">
        <v>934</v>
      </c>
      <c r="H2129">
        <v>3</v>
      </c>
      <c r="I2129">
        <v>14.43</v>
      </c>
      <c r="J2129">
        <v>43.29</v>
      </c>
      <c r="K2129" t="s">
        <v>97</v>
      </c>
      <c r="L2129" t="s">
        <v>1393</v>
      </c>
      <c r="O2129" t="s">
        <v>81</v>
      </c>
      <c r="Q2129">
        <v>4</v>
      </c>
      <c r="R2129" t="s">
        <v>1135</v>
      </c>
      <c r="T2129" t="s">
        <v>38</v>
      </c>
      <c r="V2129" t="s">
        <v>921</v>
      </c>
      <c r="Z2129" t="s">
        <v>1357</v>
      </c>
      <c r="AA2129" t="s">
        <v>39</v>
      </c>
      <c r="AC2129" t="s">
        <v>1394</v>
      </c>
    </row>
    <row r="2130" spans="1:29" x14ac:dyDescent="0.25">
      <c r="A2130">
        <v>72</v>
      </c>
      <c r="B2130" t="s">
        <v>139</v>
      </c>
      <c r="C2130" t="s">
        <v>77</v>
      </c>
      <c r="D2130" t="s">
        <v>122</v>
      </c>
      <c r="E2130">
        <v>6</v>
      </c>
      <c r="F2130">
        <v>328</v>
      </c>
      <c r="G2130">
        <v>934</v>
      </c>
      <c r="H2130">
        <v>5</v>
      </c>
      <c r="I2130">
        <v>14.43</v>
      </c>
      <c r="J2130">
        <v>72.150000000000006</v>
      </c>
      <c r="K2130" t="s">
        <v>97</v>
      </c>
      <c r="L2130" t="s">
        <v>1393</v>
      </c>
      <c r="O2130" t="s">
        <v>81</v>
      </c>
      <c r="Q2130">
        <v>4</v>
      </c>
      <c r="R2130" t="s">
        <v>1135</v>
      </c>
      <c r="T2130" t="s">
        <v>38</v>
      </c>
      <c r="V2130" t="s">
        <v>921</v>
      </c>
      <c r="Z2130" t="s">
        <v>1357</v>
      </c>
      <c r="AA2130" t="s">
        <v>39</v>
      </c>
      <c r="AC2130" t="s">
        <v>1394</v>
      </c>
    </row>
    <row r="2131" spans="1:29" x14ac:dyDescent="0.25">
      <c r="A2131">
        <v>73</v>
      </c>
      <c r="B2131" t="s">
        <v>152</v>
      </c>
      <c r="C2131" t="s">
        <v>77</v>
      </c>
      <c r="D2131" t="s">
        <v>135</v>
      </c>
      <c r="E2131">
        <v>6</v>
      </c>
      <c r="F2131">
        <v>188</v>
      </c>
      <c r="G2131">
        <v>2491</v>
      </c>
      <c r="H2131">
        <v>12</v>
      </c>
      <c r="I2131">
        <v>21.69</v>
      </c>
      <c r="J2131">
        <v>260.24</v>
      </c>
      <c r="K2131" t="s">
        <v>97</v>
      </c>
      <c r="L2131" t="s">
        <v>1395</v>
      </c>
      <c r="O2131" t="s">
        <v>81</v>
      </c>
      <c r="P2131" t="s">
        <v>81</v>
      </c>
      <c r="Q2131">
        <v>4</v>
      </c>
      <c r="R2131" t="s">
        <v>1135</v>
      </c>
      <c r="T2131" t="s">
        <v>38</v>
      </c>
      <c r="V2131" t="s">
        <v>921</v>
      </c>
      <c r="Z2131" t="s">
        <v>1357</v>
      </c>
      <c r="AA2131" t="s">
        <v>39</v>
      </c>
      <c r="AC2131" t="s">
        <v>1396</v>
      </c>
    </row>
    <row r="2132" spans="1:29" x14ac:dyDescent="0.25">
      <c r="A2132">
        <v>74</v>
      </c>
      <c r="B2132" t="s">
        <v>148</v>
      </c>
      <c r="C2132" t="s">
        <v>77</v>
      </c>
      <c r="D2132" t="s">
        <v>122</v>
      </c>
      <c r="E2132">
        <v>6</v>
      </c>
      <c r="F2132">
        <v>328</v>
      </c>
      <c r="G2132">
        <v>934</v>
      </c>
      <c r="H2132">
        <v>1</v>
      </c>
      <c r="I2132">
        <v>14.43</v>
      </c>
      <c r="J2132">
        <v>14.43</v>
      </c>
      <c r="K2132" t="s">
        <v>97</v>
      </c>
      <c r="L2132" t="s">
        <v>1395</v>
      </c>
      <c r="O2132" t="s">
        <v>81</v>
      </c>
      <c r="Q2132">
        <v>4</v>
      </c>
      <c r="R2132" t="s">
        <v>1135</v>
      </c>
      <c r="T2132" t="s">
        <v>38</v>
      </c>
      <c r="V2132" t="s">
        <v>921</v>
      </c>
      <c r="Z2132" t="s">
        <v>1357</v>
      </c>
      <c r="AA2132" t="s">
        <v>39</v>
      </c>
      <c r="AC2132" t="s">
        <v>1396</v>
      </c>
    </row>
    <row r="2133" spans="1:29" x14ac:dyDescent="0.25">
      <c r="A2133">
        <v>75</v>
      </c>
      <c r="B2133" t="s">
        <v>149</v>
      </c>
      <c r="C2133" t="s">
        <v>77</v>
      </c>
      <c r="D2133" t="s">
        <v>122</v>
      </c>
      <c r="E2133">
        <v>6</v>
      </c>
      <c r="F2133">
        <v>328</v>
      </c>
      <c r="G2133">
        <v>934</v>
      </c>
      <c r="H2133">
        <v>3</v>
      </c>
      <c r="I2133">
        <v>14.43</v>
      </c>
      <c r="J2133">
        <v>43.29</v>
      </c>
      <c r="K2133" t="s">
        <v>97</v>
      </c>
      <c r="L2133" t="s">
        <v>1395</v>
      </c>
      <c r="O2133" t="s">
        <v>81</v>
      </c>
      <c r="Q2133">
        <v>4</v>
      </c>
      <c r="R2133" t="s">
        <v>1135</v>
      </c>
      <c r="T2133" t="s">
        <v>38</v>
      </c>
      <c r="V2133" t="s">
        <v>921</v>
      </c>
      <c r="Z2133" t="s">
        <v>1357</v>
      </c>
      <c r="AA2133" t="s">
        <v>39</v>
      </c>
      <c r="AC2133" t="s">
        <v>1396</v>
      </c>
    </row>
    <row r="2134" spans="1:29" x14ac:dyDescent="0.25">
      <c r="A2134">
        <v>76</v>
      </c>
      <c r="B2134" t="s">
        <v>157</v>
      </c>
      <c r="C2134" t="s">
        <v>77</v>
      </c>
      <c r="D2134" t="s">
        <v>135</v>
      </c>
      <c r="E2134">
        <v>6</v>
      </c>
      <c r="F2134">
        <v>188</v>
      </c>
      <c r="G2134">
        <v>2491</v>
      </c>
      <c r="H2134">
        <v>16</v>
      </c>
      <c r="I2134">
        <v>21.69</v>
      </c>
      <c r="J2134">
        <v>346.99</v>
      </c>
      <c r="K2134" t="s">
        <v>97</v>
      </c>
      <c r="L2134" t="s">
        <v>1395</v>
      </c>
      <c r="O2134" t="s">
        <v>81</v>
      </c>
      <c r="P2134" t="s">
        <v>81</v>
      </c>
      <c r="Q2134">
        <v>4</v>
      </c>
      <c r="R2134" t="s">
        <v>1135</v>
      </c>
      <c r="T2134" t="s">
        <v>38</v>
      </c>
      <c r="V2134" t="s">
        <v>921</v>
      </c>
      <c r="Z2134" t="s">
        <v>1357</v>
      </c>
      <c r="AA2134" t="s">
        <v>39</v>
      </c>
      <c r="AC2134" t="s">
        <v>1396</v>
      </c>
    </row>
    <row r="2135" spans="1:29" x14ac:dyDescent="0.25">
      <c r="A2135">
        <v>77</v>
      </c>
      <c r="B2135" t="s">
        <v>154</v>
      </c>
      <c r="C2135" t="s">
        <v>77</v>
      </c>
      <c r="D2135" t="s">
        <v>122</v>
      </c>
      <c r="E2135">
        <v>6</v>
      </c>
      <c r="F2135">
        <v>328</v>
      </c>
      <c r="G2135">
        <v>934</v>
      </c>
      <c r="H2135">
        <v>4</v>
      </c>
      <c r="I2135">
        <v>14.43</v>
      </c>
      <c r="J2135">
        <v>57.72</v>
      </c>
      <c r="K2135" t="s">
        <v>97</v>
      </c>
      <c r="L2135" t="s">
        <v>1395</v>
      </c>
      <c r="O2135" t="s">
        <v>81</v>
      </c>
      <c r="Q2135">
        <v>4</v>
      </c>
      <c r="R2135" t="s">
        <v>1135</v>
      </c>
      <c r="T2135" t="s">
        <v>38</v>
      </c>
      <c r="V2135" t="s">
        <v>921</v>
      </c>
      <c r="Z2135" t="s">
        <v>1357</v>
      </c>
      <c r="AA2135" t="s">
        <v>39</v>
      </c>
      <c r="AC2135" t="s">
        <v>1396</v>
      </c>
    </row>
    <row r="2136" spans="1:29" x14ac:dyDescent="0.25">
      <c r="A2136">
        <v>78</v>
      </c>
      <c r="B2136" t="s">
        <v>158</v>
      </c>
      <c r="C2136" t="s">
        <v>77</v>
      </c>
      <c r="D2136" t="s">
        <v>159</v>
      </c>
      <c r="E2136">
        <v>6</v>
      </c>
      <c r="F2136">
        <v>328</v>
      </c>
      <c r="G2136">
        <v>894</v>
      </c>
      <c r="H2136">
        <v>2</v>
      </c>
      <c r="I2136">
        <v>13.81</v>
      </c>
      <c r="J2136">
        <v>27.62</v>
      </c>
      <c r="K2136" t="s">
        <v>97</v>
      </c>
      <c r="L2136" t="s">
        <v>1397</v>
      </c>
      <c r="O2136" t="s">
        <v>81</v>
      </c>
      <c r="Q2136">
        <v>4</v>
      </c>
      <c r="R2136" t="s">
        <v>1135</v>
      </c>
      <c r="T2136" t="s">
        <v>38</v>
      </c>
      <c r="V2136" t="s">
        <v>921</v>
      </c>
      <c r="Z2136" t="s">
        <v>1357</v>
      </c>
      <c r="AA2136" t="s">
        <v>39</v>
      </c>
      <c r="AC2136" t="s">
        <v>1398</v>
      </c>
    </row>
    <row r="2137" spans="1:29" x14ac:dyDescent="0.25">
      <c r="A2137">
        <v>79</v>
      </c>
      <c r="B2137" t="s">
        <v>162</v>
      </c>
      <c r="C2137" t="s">
        <v>77</v>
      </c>
      <c r="D2137" t="s">
        <v>135</v>
      </c>
      <c r="E2137">
        <v>6</v>
      </c>
      <c r="F2137">
        <v>188</v>
      </c>
      <c r="G2137">
        <v>2491</v>
      </c>
      <c r="H2137">
        <v>18</v>
      </c>
      <c r="I2137">
        <v>21.69</v>
      </c>
      <c r="J2137">
        <v>390.36</v>
      </c>
      <c r="K2137" t="s">
        <v>97</v>
      </c>
      <c r="L2137" t="s">
        <v>1397</v>
      </c>
      <c r="O2137" t="s">
        <v>81</v>
      </c>
      <c r="P2137" t="s">
        <v>81</v>
      </c>
      <c r="Q2137">
        <v>4</v>
      </c>
      <c r="R2137" t="s">
        <v>1135</v>
      </c>
      <c r="T2137" t="s">
        <v>38</v>
      </c>
      <c r="V2137" t="s">
        <v>921</v>
      </c>
      <c r="Z2137" t="s">
        <v>1357</v>
      </c>
      <c r="AA2137" t="s">
        <v>39</v>
      </c>
      <c r="AC2137" t="s">
        <v>1398</v>
      </c>
    </row>
    <row r="2138" spans="1:29" x14ac:dyDescent="0.25">
      <c r="A2138">
        <v>80</v>
      </c>
      <c r="B2138" t="s">
        <v>163</v>
      </c>
      <c r="C2138" t="s">
        <v>77</v>
      </c>
      <c r="D2138" t="s">
        <v>159</v>
      </c>
      <c r="E2138">
        <v>6</v>
      </c>
      <c r="F2138">
        <v>328</v>
      </c>
      <c r="G2138">
        <v>894</v>
      </c>
      <c r="H2138">
        <v>2</v>
      </c>
      <c r="I2138">
        <v>13.81</v>
      </c>
      <c r="J2138">
        <v>27.62</v>
      </c>
      <c r="K2138" t="s">
        <v>97</v>
      </c>
      <c r="L2138" t="s">
        <v>1397</v>
      </c>
      <c r="O2138" t="s">
        <v>81</v>
      </c>
      <c r="Q2138">
        <v>4</v>
      </c>
      <c r="R2138" t="s">
        <v>1135</v>
      </c>
      <c r="T2138" t="s">
        <v>38</v>
      </c>
      <c r="V2138" t="s">
        <v>921</v>
      </c>
      <c r="Z2138" t="s">
        <v>1357</v>
      </c>
      <c r="AA2138" t="s">
        <v>39</v>
      </c>
      <c r="AC2138" t="s">
        <v>1398</v>
      </c>
    </row>
    <row r="2139" spans="1:29" x14ac:dyDescent="0.25">
      <c r="A2139">
        <v>81</v>
      </c>
      <c r="B2139" t="s">
        <v>164</v>
      </c>
      <c r="C2139" t="s">
        <v>77</v>
      </c>
      <c r="D2139" t="s">
        <v>159</v>
      </c>
      <c r="E2139">
        <v>6</v>
      </c>
      <c r="F2139">
        <v>328</v>
      </c>
      <c r="G2139">
        <v>894</v>
      </c>
      <c r="H2139">
        <v>1</v>
      </c>
      <c r="I2139">
        <v>13.81</v>
      </c>
      <c r="J2139">
        <v>13.81</v>
      </c>
      <c r="K2139" t="s">
        <v>97</v>
      </c>
      <c r="L2139" t="s">
        <v>1397</v>
      </c>
      <c r="O2139" t="s">
        <v>81</v>
      </c>
      <c r="Q2139">
        <v>4</v>
      </c>
      <c r="R2139" t="s">
        <v>1135</v>
      </c>
      <c r="T2139" t="s">
        <v>38</v>
      </c>
      <c r="V2139" t="s">
        <v>921</v>
      </c>
      <c r="Z2139" t="s">
        <v>1357</v>
      </c>
      <c r="AA2139" t="s">
        <v>39</v>
      </c>
      <c r="AC2139" t="s">
        <v>1398</v>
      </c>
    </row>
    <row r="2140" spans="1:29" x14ac:dyDescent="0.25">
      <c r="A2140">
        <v>82</v>
      </c>
      <c r="B2140" t="s">
        <v>165</v>
      </c>
      <c r="C2140" t="s">
        <v>77</v>
      </c>
      <c r="D2140" t="s">
        <v>159</v>
      </c>
      <c r="E2140">
        <v>6</v>
      </c>
      <c r="F2140">
        <v>328</v>
      </c>
      <c r="G2140">
        <v>894</v>
      </c>
      <c r="H2140">
        <v>2</v>
      </c>
      <c r="I2140">
        <v>13.81</v>
      </c>
      <c r="J2140">
        <v>27.62</v>
      </c>
      <c r="K2140" t="s">
        <v>97</v>
      </c>
      <c r="L2140" t="s">
        <v>1397</v>
      </c>
      <c r="O2140" t="s">
        <v>81</v>
      </c>
      <c r="Q2140">
        <v>4</v>
      </c>
      <c r="R2140" t="s">
        <v>1135</v>
      </c>
      <c r="T2140" t="s">
        <v>38</v>
      </c>
      <c r="V2140" t="s">
        <v>921</v>
      </c>
      <c r="Z2140" t="s">
        <v>1357</v>
      </c>
      <c r="AA2140" t="s">
        <v>39</v>
      </c>
      <c r="AC2140" t="s">
        <v>1398</v>
      </c>
    </row>
    <row r="2141" spans="1:29" x14ac:dyDescent="0.25">
      <c r="A2141">
        <v>83</v>
      </c>
      <c r="B2141" t="s">
        <v>157</v>
      </c>
      <c r="C2141" t="s">
        <v>77</v>
      </c>
      <c r="D2141" t="s">
        <v>135</v>
      </c>
      <c r="E2141">
        <v>6</v>
      </c>
      <c r="F2141">
        <v>188</v>
      </c>
      <c r="G2141">
        <v>2491</v>
      </c>
      <c r="H2141">
        <v>2</v>
      </c>
      <c r="I2141">
        <v>21.68</v>
      </c>
      <c r="J2141">
        <v>43.37</v>
      </c>
      <c r="K2141" t="s">
        <v>97</v>
      </c>
      <c r="L2141" t="s">
        <v>1397</v>
      </c>
      <c r="O2141" t="s">
        <v>81</v>
      </c>
      <c r="P2141" t="s">
        <v>81</v>
      </c>
      <c r="Q2141">
        <v>4</v>
      </c>
      <c r="R2141" t="s">
        <v>1135</v>
      </c>
      <c r="T2141" t="s">
        <v>38</v>
      </c>
      <c r="V2141" t="s">
        <v>921</v>
      </c>
      <c r="Z2141" t="s">
        <v>1357</v>
      </c>
      <c r="AA2141" t="s">
        <v>39</v>
      </c>
      <c r="AC2141" t="s">
        <v>1398</v>
      </c>
    </row>
    <row r="2142" spans="1:29" x14ac:dyDescent="0.25">
      <c r="A2142">
        <v>84</v>
      </c>
      <c r="B2142" t="s">
        <v>166</v>
      </c>
      <c r="C2142" t="s">
        <v>77</v>
      </c>
      <c r="D2142" t="s">
        <v>167</v>
      </c>
      <c r="E2142">
        <v>6</v>
      </c>
      <c r="F2142">
        <v>188</v>
      </c>
      <c r="G2142">
        <v>2483</v>
      </c>
      <c r="H2142">
        <v>8</v>
      </c>
      <c r="I2142">
        <v>21.62</v>
      </c>
      <c r="J2142">
        <v>172.99</v>
      </c>
      <c r="K2142" t="s">
        <v>97</v>
      </c>
      <c r="L2142" t="s">
        <v>1397</v>
      </c>
      <c r="O2142" t="s">
        <v>81</v>
      </c>
      <c r="P2142" t="s">
        <v>81</v>
      </c>
      <c r="Q2142">
        <v>4</v>
      </c>
      <c r="R2142" t="s">
        <v>1135</v>
      </c>
      <c r="T2142" t="s">
        <v>38</v>
      </c>
      <c r="V2142" t="s">
        <v>921</v>
      </c>
      <c r="Z2142" t="s">
        <v>1357</v>
      </c>
      <c r="AA2142" t="s">
        <v>39</v>
      </c>
      <c r="AC2142" t="s">
        <v>1398</v>
      </c>
    </row>
    <row r="2143" spans="1:29" x14ac:dyDescent="0.25">
      <c r="A2143">
        <v>85</v>
      </c>
      <c r="B2143" t="s">
        <v>168</v>
      </c>
      <c r="C2143" t="s">
        <v>77</v>
      </c>
      <c r="D2143" t="s">
        <v>159</v>
      </c>
      <c r="E2143">
        <v>6</v>
      </c>
      <c r="F2143">
        <v>328</v>
      </c>
      <c r="G2143">
        <v>894</v>
      </c>
      <c r="H2143">
        <v>2</v>
      </c>
      <c r="I2143">
        <v>13.81</v>
      </c>
      <c r="J2143">
        <v>27.62</v>
      </c>
      <c r="K2143" t="s">
        <v>97</v>
      </c>
      <c r="L2143" t="s">
        <v>1397</v>
      </c>
      <c r="O2143" t="s">
        <v>81</v>
      </c>
      <c r="Q2143">
        <v>4</v>
      </c>
      <c r="R2143" t="s">
        <v>1135</v>
      </c>
      <c r="T2143" t="s">
        <v>38</v>
      </c>
      <c r="V2143" t="s">
        <v>921</v>
      </c>
      <c r="Z2143" t="s">
        <v>1357</v>
      </c>
      <c r="AA2143" t="s">
        <v>39</v>
      </c>
      <c r="AC2143" t="s">
        <v>1398</v>
      </c>
    </row>
    <row r="2144" spans="1:29" x14ac:dyDescent="0.25">
      <c r="A2144">
        <v>86</v>
      </c>
      <c r="B2144" t="s">
        <v>116</v>
      </c>
      <c r="C2144" t="s">
        <v>77</v>
      </c>
      <c r="D2144" t="s">
        <v>117</v>
      </c>
      <c r="E2144">
        <v>6</v>
      </c>
      <c r="F2144">
        <v>298</v>
      </c>
      <c r="G2144">
        <v>378</v>
      </c>
      <c r="H2144">
        <v>1</v>
      </c>
      <c r="I2144">
        <v>5.27</v>
      </c>
      <c r="J2144">
        <v>5.27</v>
      </c>
      <c r="K2144" t="s">
        <v>97</v>
      </c>
      <c r="L2144" t="s">
        <v>1397</v>
      </c>
      <c r="Q2144">
        <v>4</v>
      </c>
      <c r="R2144" t="s">
        <v>1135</v>
      </c>
      <c r="T2144" t="s">
        <v>38</v>
      </c>
      <c r="V2144" t="s">
        <v>921</v>
      </c>
      <c r="W2144" t="s">
        <v>81</v>
      </c>
      <c r="Z2144" t="s">
        <v>1357</v>
      </c>
      <c r="AA2144" t="s">
        <v>39</v>
      </c>
      <c r="AC2144" t="s">
        <v>1398</v>
      </c>
    </row>
    <row r="2145" spans="1:29" x14ac:dyDescent="0.25">
      <c r="A2145">
        <v>87</v>
      </c>
      <c r="B2145" t="s">
        <v>166</v>
      </c>
      <c r="C2145" t="s">
        <v>77</v>
      </c>
      <c r="D2145" t="s">
        <v>167</v>
      </c>
      <c r="E2145">
        <v>6</v>
      </c>
      <c r="F2145">
        <v>188</v>
      </c>
      <c r="G2145">
        <v>2483</v>
      </c>
      <c r="H2145">
        <v>28</v>
      </c>
      <c r="I2145">
        <v>21.62</v>
      </c>
      <c r="J2145">
        <v>605.47</v>
      </c>
      <c r="K2145" t="s">
        <v>97</v>
      </c>
      <c r="L2145" t="s">
        <v>1399</v>
      </c>
      <c r="O2145" t="s">
        <v>81</v>
      </c>
      <c r="P2145" t="s">
        <v>81</v>
      </c>
      <c r="Q2145">
        <v>4</v>
      </c>
      <c r="R2145" t="s">
        <v>1135</v>
      </c>
      <c r="T2145" t="s">
        <v>38</v>
      </c>
      <c r="V2145" t="s">
        <v>921</v>
      </c>
      <c r="Z2145" t="s">
        <v>1357</v>
      </c>
      <c r="AA2145" t="s">
        <v>39</v>
      </c>
      <c r="AC2145" t="s">
        <v>1400</v>
      </c>
    </row>
    <row r="2146" spans="1:29" x14ac:dyDescent="0.25">
      <c r="A2146">
        <v>88</v>
      </c>
      <c r="B2146" t="s">
        <v>116</v>
      </c>
      <c r="C2146" t="s">
        <v>77</v>
      </c>
      <c r="D2146" t="s">
        <v>117</v>
      </c>
      <c r="E2146">
        <v>6</v>
      </c>
      <c r="F2146">
        <v>298</v>
      </c>
      <c r="G2146">
        <v>378</v>
      </c>
      <c r="H2146">
        <v>5</v>
      </c>
      <c r="I2146">
        <v>5.27</v>
      </c>
      <c r="J2146">
        <v>26.34</v>
      </c>
      <c r="K2146" t="s">
        <v>97</v>
      </c>
      <c r="L2146" t="s">
        <v>1399</v>
      </c>
      <c r="Q2146">
        <v>4</v>
      </c>
      <c r="R2146" t="s">
        <v>1135</v>
      </c>
      <c r="T2146" t="s">
        <v>38</v>
      </c>
      <c r="V2146" t="s">
        <v>921</v>
      </c>
      <c r="W2146" t="s">
        <v>81</v>
      </c>
      <c r="Z2146" t="s">
        <v>1357</v>
      </c>
      <c r="AA2146" t="s">
        <v>39</v>
      </c>
      <c r="AC2146" t="s">
        <v>1400</v>
      </c>
    </row>
    <row r="2147" spans="1:29" x14ac:dyDescent="0.25">
      <c r="A2147">
        <v>89</v>
      </c>
      <c r="B2147" t="s">
        <v>123</v>
      </c>
      <c r="C2147" t="s">
        <v>77</v>
      </c>
      <c r="D2147" t="s">
        <v>117</v>
      </c>
      <c r="E2147">
        <v>6</v>
      </c>
      <c r="F2147">
        <v>298</v>
      </c>
      <c r="G2147">
        <v>378</v>
      </c>
      <c r="H2147">
        <v>7</v>
      </c>
      <c r="I2147">
        <v>5.27</v>
      </c>
      <c r="J2147">
        <v>36.869999999999997</v>
      </c>
      <c r="K2147" t="s">
        <v>97</v>
      </c>
      <c r="L2147" t="s">
        <v>1399</v>
      </c>
      <c r="Q2147">
        <v>4</v>
      </c>
      <c r="R2147" t="s">
        <v>1135</v>
      </c>
      <c r="T2147" t="s">
        <v>38</v>
      </c>
      <c r="V2147" t="s">
        <v>921</v>
      </c>
      <c r="W2147" t="s">
        <v>81</v>
      </c>
      <c r="Z2147" t="s">
        <v>1357</v>
      </c>
      <c r="AA2147" t="s">
        <v>39</v>
      </c>
      <c r="AC2147" t="s">
        <v>1400</v>
      </c>
    </row>
    <row r="2148" spans="1:29" x14ac:dyDescent="0.25">
      <c r="A2148">
        <v>90</v>
      </c>
      <c r="B2148" t="s">
        <v>171</v>
      </c>
      <c r="C2148" t="s">
        <v>77</v>
      </c>
      <c r="D2148" t="s">
        <v>117</v>
      </c>
      <c r="E2148">
        <v>6</v>
      </c>
      <c r="F2148">
        <v>298</v>
      </c>
      <c r="G2148">
        <v>378</v>
      </c>
      <c r="H2148">
        <v>14</v>
      </c>
      <c r="I2148">
        <v>5.27</v>
      </c>
      <c r="J2148">
        <v>73.75</v>
      </c>
      <c r="K2148" t="s">
        <v>97</v>
      </c>
      <c r="L2148" t="s">
        <v>1399</v>
      </c>
      <c r="Q2148">
        <v>4</v>
      </c>
      <c r="R2148" t="s">
        <v>1135</v>
      </c>
      <c r="T2148" t="s">
        <v>38</v>
      </c>
      <c r="V2148" t="s">
        <v>921</v>
      </c>
      <c r="W2148" t="s">
        <v>81</v>
      </c>
      <c r="Z2148" t="s">
        <v>1357</v>
      </c>
      <c r="AA2148" t="s">
        <v>39</v>
      </c>
      <c r="AC2148" t="s">
        <v>1400</v>
      </c>
    </row>
    <row r="2149" spans="1:29" x14ac:dyDescent="0.25">
      <c r="A2149">
        <v>91</v>
      </c>
      <c r="B2149" t="s">
        <v>172</v>
      </c>
      <c r="C2149" t="s">
        <v>77</v>
      </c>
      <c r="D2149" t="s">
        <v>167</v>
      </c>
      <c r="E2149">
        <v>6</v>
      </c>
      <c r="F2149">
        <v>188</v>
      </c>
      <c r="G2149">
        <v>2483</v>
      </c>
      <c r="H2149">
        <v>24</v>
      </c>
      <c r="I2149">
        <v>21.62</v>
      </c>
      <c r="J2149">
        <v>518.97</v>
      </c>
      <c r="K2149" t="s">
        <v>97</v>
      </c>
      <c r="L2149" t="s">
        <v>1401</v>
      </c>
      <c r="O2149" t="s">
        <v>81</v>
      </c>
      <c r="P2149" t="s">
        <v>81</v>
      </c>
      <c r="Q2149">
        <v>4</v>
      </c>
      <c r="R2149" t="s">
        <v>1135</v>
      </c>
      <c r="T2149" t="s">
        <v>38</v>
      </c>
      <c r="V2149" t="s">
        <v>921</v>
      </c>
      <c r="Z2149" t="s">
        <v>1357</v>
      </c>
      <c r="AA2149" t="s">
        <v>39</v>
      </c>
      <c r="AC2149" t="s">
        <v>1402</v>
      </c>
    </row>
    <row r="2150" spans="1:29" x14ac:dyDescent="0.25">
      <c r="A2150">
        <v>92</v>
      </c>
      <c r="B2150" t="s">
        <v>166</v>
      </c>
      <c r="C2150" t="s">
        <v>77</v>
      </c>
      <c r="D2150" t="s">
        <v>167</v>
      </c>
      <c r="E2150">
        <v>6</v>
      </c>
      <c r="F2150">
        <v>188</v>
      </c>
      <c r="G2150">
        <v>2483</v>
      </c>
      <c r="H2150">
        <v>4</v>
      </c>
      <c r="I2150">
        <v>21.62</v>
      </c>
      <c r="J2150">
        <v>86.5</v>
      </c>
      <c r="K2150" t="s">
        <v>97</v>
      </c>
      <c r="L2150" t="s">
        <v>1401</v>
      </c>
      <c r="O2150" t="s">
        <v>81</v>
      </c>
      <c r="P2150" t="s">
        <v>81</v>
      </c>
      <c r="Q2150">
        <v>4</v>
      </c>
      <c r="R2150" t="s">
        <v>1135</v>
      </c>
      <c r="T2150" t="s">
        <v>38</v>
      </c>
      <c r="V2150" t="s">
        <v>921</v>
      </c>
      <c r="Z2150" t="s">
        <v>1357</v>
      </c>
      <c r="AA2150" t="s">
        <v>39</v>
      </c>
      <c r="AC2150" t="s">
        <v>1402</v>
      </c>
    </row>
    <row r="2151" spans="1:29" x14ac:dyDescent="0.25">
      <c r="A2151">
        <v>93</v>
      </c>
      <c r="B2151" t="s">
        <v>116</v>
      </c>
      <c r="C2151" t="s">
        <v>77</v>
      </c>
      <c r="D2151" t="s">
        <v>117</v>
      </c>
      <c r="E2151">
        <v>6</v>
      </c>
      <c r="F2151">
        <v>298</v>
      </c>
      <c r="G2151">
        <v>378</v>
      </c>
      <c r="H2151">
        <v>6</v>
      </c>
      <c r="I2151">
        <v>5.27</v>
      </c>
      <c r="J2151">
        <v>31.61</v>
      </c>
      <c r="K2151" t="s">
        <v>97</v>
      </c>
      <c r="L2151" t="s">
        <v>1401</v>
      </c>
      <c r="Q2151">
        <v>4</v>
      </c>
      <c r="R2151" t="s">
        <v>1135</v>
      </c>
      <c r="T2151" t="s">
        <v>38</v>
      </c>
      <c r="V2151" t="s">
        <v>921</v>
      </c>
      <c r="W2151" t="s">
        <v>81</v>
      </c>
      <c r="Z2151" t="s">
        <v>1357</v>
      </c>
      <c r="AA2151" t="s">
        <v>39</v>
      </c>
      <c r="AC2151" t="s">
        <v>1402</v>
      </c>
    </row>
    <row r="2152" spans="1:29" x14ac:dyDescent="0.25">
      <c r="A2152">
        <v>94</v>
      </c>
      <c r="B2152" t="s">
        <v>123</v>
      </c>
      <c r="C2152" t="s">
        <v>77</v>
      </c>
      <c r="D2152" t="s">
        <v>117</v>
      </c>
      <c r="E2152">
        <v>6</v>
      </c>
      <c r="F2152">
        <v>298</v>
      </c>
      <c r="G2152">
        <v>378</v>
      </c>
      <c r="H2152">
        <v>20</v>
      </c>
      <c r="I2152">
        <v>5.27</v>
      </c>
      <c r="J2152">
        <v>105.36</v>
      </c>
      <c r="K2152" t="s">
        <v>97</v>
      </c>
      <c r="L2152" t="s">
        <v>1401</v>
      </c>
      <c r="Q2152">
        <v>4</v>
      </c>
      <c r="R2152" t="s">
        <v>1135</v>
      </c>
      <c r="T2152" t="s">
        <v>38</v>
      </c>
      <c r="V2152" t="s">
        <v>921</v>
      </c>
      <c r="W2152" t="s">
        <v>81</v>
      </c>
      <c r="Z2152" t="s">
        <v>1357</v>
      </c>
      <c r="AA2152" t="s">
        <v>39</v>
      </c>
      <c r="AC2152" t="s">
        <v>1402</v>
      </c>
    </row>
    <row r="2153" spans="1:29" x14ac:dyDescent="0.25">
      <c r="A2153">
        <v>95</v>
      </c>
      <c r="B2153" t="s">
        <v>175</v>
      </c>
      <c r="C2153" t="s">
        <v>77</v>
      </c>
      <c r="D2153" t="s">
        <v>122</v>
      </c>
      <c r="E2153">
        <v>6</v>
      </c>
      <c r="F2153">
        <v>328</v>
      </c>
      <c r="G2153">
        <v>934</v>
      </c>
      <c r="H2153">
        <v>2</v>
      </c>
      <c r="I2153">
        <v>14.43</v>
      </c>
      <c r="J2153">
        <v>28.86</v>
      </c>
      <c r="K2153" t="s">
        <v>97</v>
      </c>
      <c r="L2153" t="s">
        <v>1403</v>
      </c>
      <c r="O2153" t="s">
        <v>81</v>
      </c>
      <c r="Q2153">
        <v>4</v>
      </c>
      <c r="R2153" t="s">
        <v>1135</v>
      </c>
      <c r="T2153" t="s">
        <v>38</v>
      </c>
      <c r="V2153" t="s">
        <v>921</v>
      </c>
      <c r="Z2153" t="s">
        <v>1357</v>
      </c>
      <c r="AA2153" t="s">
        <v>39</v>
      </c>
      <c r="AC2153" t="s">
        <v>1404</v>
      </c>
    </row>
    <row r="2154" spans="1:29" x14ac:dyDescent="0.25">
      <c r="A2154">
        <v>96</v>
      </c>
      <c r="B2154" t="s">
        <v>178</v>
      </c>
      <c r="C2154" t="s">
        <v>77</v>
      </c>
      <c r="D2154" t="s">
        <v>122</v>
      </c>
      <c r="E2154">
        <v>6</v>
      </c>
      <c r="F2154">
        <v>328</v>
      </c>
      <c r="G2154">
        <v>934</v>
      </c>
      <c r="H2154">
        <v>4</v>
      </c>
      <c r="I2154">
        <v>14.43</v>
      </c>
      <c r="J2154">
        <v>57.72</v>
      </c>
      <c r="K2154" t="s">
        <v>97</v>
      </c>
      <c r="L2154" t="s">
        <v>1403</v>
      </c>
      <c r="O2154" t="s">
        <v>81</v>
      </c>
      <c r="Q2154">
        <v>4</v>
      </c>
      <c r="R2154" t="s">
        <v>1135</v>
      </c>
      <c r="T2154" t="s">
        <v>38</v>
      </c>
      <c r="V2154" t="s">
        <v>921</v>
      </c>
      <c r="Z2154" t="s">
        <v>1357</v>
      </c>
      <c r="AA2154" t="s">
        <v>39</v>
      </c>
      <c r="AC2154" t="s">
        <v>1404</v>
      </c>
    </row>
    <row r="2155" spans="1:29" x14ac:dyDescent="0.25">
      <c r="A2155">
        <v>97</v>
      </c>
      <c r="B2155" t="s">
        <v>179</v>
      </c>
      <c r="C2155" t="s">
        <v>77</v>
      </c>
      <c r="D2155" t="s">
        <v>122</v>
      </c>
      <c r="E2155">
        <v>6</v>
      </c>
      <c r="F2155">
        <v>328</v>
      </c>
      <c r="G2155">
        <v>934</v>
      </c>
      <c r="H2155">
        <v>2</v>
      </c>
      <c r="I2155">
        <v>14.43</v>
      </c>
      <c r="J2155">
        <v>28.86</v>
      </c>
      <c r="K2155" t="s">
        <v>97</v>
      </c>
      <c r="L2155" t="s">
        <v>1403</v>
      </c>
      <c r="O2155" t="s">
        <v>81</v>
      </c>
      <c r="Q2155">
        <v>4</v>
      </c>
      <c r="R2155" t="s">
        <v>1135</v>
      </c>
      <c r="T2155" t="s">
        <v>38</v>
      </c>
      <c r="V2155" t="s">
        <v>921</v>
      </c>
      <c r="Z2155" t="s">
        <v>1357</v>
      </c>
      <c r="AA2155" t="s">
        <v>39</v>
      </c>
      <c r="AC2155" t="s">
        <v>1404</v>
      </c>
    </row>
    <row r="2156" spans="1:29" x14ac:dyDescent="0.25">
      <c r="A2156">
        <v>98</v>
      </c>
      <c r="B2156" t="s">
        <v>172</v>
      </c>
      <c r="C2156" t="s">
        <v>77</v>
      </c>
      <c r="D2156" t="s">
        <v>167</v>
      </c>
      <c r="E2156">
        <v>6</v>
      </c>
      <c r="F2156">
        <v>188</v>
      </c>
      <c r="G2156">
        <v>2483</v>
      </c>
      <c r="H2156">
        <v>16</v>
      </c>
      <c r="I2156">
        <v>21.62</v>
      </c>
      <c r="J2156">
        <v>345.98</v>
      </c>
      <c r="K2156" t="s">
        <v>97</v>
      </c>
      <c r="L2156" t="s">
        <v>1403</v>
      </c>
      <c r="O2156" t="s">
        <v>81</v>
      </c>
      <c r="P2156" t="s">
        <v>81</v>
      </c>
      <c r="Q2156">
        <v>4</v>
      </c>
      <c r="R2156" t="s">
        <v>1135</v>
      </c>
      <c r="T2156" t="s">
        <v>38</v>
      </c>
      <c r="V2156" t="s">
        <v>921</v>
      </c>
      <c r="Z2156" t="s">
        <v>1357</v>
      </c>
      <c r="AA2156" t="s">
        <v>39</v>
      </c>
      <c r="AC2156" t="s">
        <v>1404</v>
      </c>
    </row>
    <row r="2157" spans="1:29" x14ac:dyDescent="0.25">
      <c r="A2157">
        <v>99</v>
      </c>
      <c r="B2157" t="s">
        <v>180</v>
      </c>
      <c r="C2157" t="s">
        <v>77</v>
      </c>
      <c r="D2157" t="s">
        <v>167</v>
      </c>
      <c r="E2157">
        <v>6</v>
      </c>
      <c r="F2157">
        <v>188</v>
      </c>
      <c r="G2157">
        <v>2483</v>
      </c>
      <c r="H2157">
        <v>12</v>
      </c>
      <c r="I2157">
        <v>21.62</v>
      </c>
      <c r="J2157">
        <v>259.49</v>
      </c>
      <c r="K2157" t="s">
        <v>97</v>
      </c>
      <c r="L2157" t="s">
        <v>1403</v>
      </c>
      <c r="O2157" t="s">
        <v>81</v>
      </c>
      <c r="P2157" t="s">
        <v>81</v>
      </c>
      <c r="Q2157">
        <v>4</v>
      </c>
      <c r="R2157" t="s">
        <v>1135</v>
      </c>
      <c r="T2157" t="s">
        <v>38</v>
      </c>
      <c r="V2157" t="s">
        <v>921</v>
      </c>
      <c r="Z2157" t="s">
        <v>1357</v>
      </c>
      <c r="AA2157" t="s">
        <v>39</v>
      </c>
      <c r="AC2157" t="s">
        <v>1404</v>
      </c>
    </row>
    <row r="2158" spans="1:29" x14ac:dyDescent="0.25">
      <c r="A2158">
        <v>100</v>
      </c>
      <c r="B2158" t="s">
        <v>175</v>
      </c>
      <c r="C2158" t="s">
        <v>77</v>
      </c>
      <c r="D2158" t="s">
        <v>122</v>
      </c>
      <c r="E2158">
        <v>6</v>
      </c>
      <c r="F2158">
        <v>328</v>
      </c>
      <c r="G2158">
        <v>934</v>
      </c>
      <c r="H2158">
        <v>2</v>
      </c>
      <c r="I2158">
        <v>14.43</v>
      </c>
      <c r="J2158">
        <v>28.86</v>
      </c>
      <c r="K2158" t="s">
        <v>97</v>
      </c>
      <c r="L2158" t="s">
        <v>1405</v>
      </c>
      <c r="O2158" t="s">
        <v>81</v>
      </c>
      <c r="Q2158">
        <v>4</v>
      </c>
      <c r="R2158" t="s">
        <v>1135</v>
      </c>
      <c r="T2158" t="s">
        <v>38</v>
      </c>
      <c r="V2158" t="s">
        <v>921</v>
      </c>
      <c r="Z2158" t="s">
        <v>1357</v>
      </c>
      <c r="AA2158" t="s">
        <v>39</v>
      </c>
      <c r="AC2158" t="s">
        <v>1406</v>
      </c>
    </row>
    <row r="2159" spans="1:29" x14ac:dyDescent="0.25">
      <c r="A2159">
        <v>101</v>
      </c>
      <c r="B2159" t="s">
        <v>178</v>
      </c>
      <c r="C2159" t="s">
        <v>77</v>
      </c>
      <c r="D2159" t="s">
        <v>122</v>
      </c>
      <c r="E2159">
        <v>6</v>
      </c>
      <c r="F2159">
        <v>328</v>
      </c>
      <c r="G2159">
        <v>934</v>
      </c>
      <c r="H2159">
        <v>1</v>
      </c>
      <c r="I2159">
        <v>14.43</v>
      </c>
      <c r="J2159">
        <v>14.43</v>
      </c>
      <c r="K2159" t="s">
        <v>97</v>
      </c>
      <c r="L2159" t="s">
        <v>1405</v>
      </c>
      <c r="O2159" t="s">
        <v>81</v>
      </c>
      <c r="Q2159">
        <v>4</v>
      </c>
      <c r="R2159" t="s">
        <v>1135</v>
      </c>
      <c r="T2159" t="s">
        <v>38</v>
      </c>
      <c r="V2159" t="s">
        <v>921</v>
      </c>
      <c r="Z2159" t="s">
        <v>1357</v>
      </c>
      <c r="AA2159" t="s">
        <v>39</v>
      </c>
      <c r="AC2159" t="s">
        <v>1406</v>
      </c>
    </row>
    <row r="2160" spans="1:29" x14ac:dyDescent="0.25">
      <c r="A2160">
        <v>102</v>
      </c>
      <c r="B2160" t="s">
        <v>179</v>
      </c>
      <c r="C2160" t="s">
        <v>77</v>
      </c>
      <c r="D2160" t="s">
        <v>122</v>
      </c>
      <c r="E2160">
        <v>6</v>
      </c>
      <c r="F2160">
        <v>328</v>
      </c>
      <c r="G2160">
        <v>934</v>
      </c>
      <c r="H2160">
        <v>5</v>
      </c>
      <c r="I2160">
        <v>14.43</v>
      </c>
      <c r="J2160">
        <v>72.150000000000006</v>
      </c>
      <c r="K2160" t="s">
        <v>97</v>
      </c>
      <c r="L2160" t="s">
        <v>1405</v>
      </c>
      <c r="O2160" t="s">
        <v>81</v>
      </c>
      <c r="Q2160">
        <v>4</v>
      </c>
      <c r="R2160" t="s">
        <v>1135</v>
      </c>
      <c r="T2160" t="s">
        <v>38</v>
      </c>
      <c r="V2160" t="s">
        <v>921</v>
      </c>
      <c r="Z2160" t="s">
        <v>1357</v>
      </c>
      <c r="AA2160" t="s">
        <v>39</v>
      </c>
      <c r="AC2160" t="s">
        <v>1406</v>
      </c>
    </row>
    <row r="2161" spans="1:29" x14ac:dyDescent="0.25">
      <c r="A2161">
        <v>103</v>
      </c>
      <c r="B2161" t="s">
        <v>180</v>
      </c>
      <c r="C2161" t="s">
        <v>77</v>
      </c>
      <c r="D2161" t="s">
        <v>167</v>
      </c>
      <c r="E2161">
        <v>6</v>
      </c>
      <c r="F2161">
        <v>188</v>
      </c>
      <c r="G2161">
        <v>2483</v>
      </c>
      <c r="H2161">
        <v>28</v>
      </c>
      <c r="I2161">
        <v>21.62</v>
      </c>
      <c r="J2161">
        <v>605.47</v>
      </c>
      <c r="K2161" t="s">
        <v>97</v>
      </c>
      <c r="L2161" t="s">
        <v>1405</v>
      </c>
      <c r="O2161" t="s">
        <v>81</v>
      </c>
      <c r="P2161" t="s">
        <v>81</v>
      </c>
      <c r="Q2161">
        <v>4</v>
      </c>
      <c r="R2161" t="s">
        <v>1135</v>
      </c>
      <c r="T2161" t="s">
        <v>38</v>
      </c>
      <c r="V2161" t="s">
        <v>921</v>
      </c>
      <c r="Z2161" t="s">
        <v>1357</v>
      </c>
      <c r="AA2161" t="s">
        <v>39</v>
      </c>
      <c r="AC2161" t="s">
        <v>1406</v>
      </c>
    </row>
    <row r="2162" spans="1:29" x14ac:dyDescent="0.25">
      <c r="A2162">
        <v>104</v>
      </c>
      <c r="B2162" t="s">
        <v>175</v>
      </c>
      <c r="C2162" t="s">
        <v>77</v>
      </c>
      <c r="D2162" t="s">
        <v>122</v>
      </c>
      <c r="E2162">
        <v>6</v>
      </c>
      <c r="F2162">
        <v>328</v>
      </c>
      <c r="G2162">
        <v>934</v>
      </c>
      <c r="H2162">
        <v>2</v>
      </c>
      <c r="I2162">
        <v>14.43</v>
      </c>
      <c r="J2162">
        <v>28.86</v>
      </c>
      <c r="K2162" t="s">
        <v>97</v>
      </c>
      <c r="L2162" t="s">
        <v>1407</v>
      </c>
      <c r="O2162" t="s">
        <v>81</v>
      </c>
      <c r="Q2162">
        <v>4</v>
      </c>
      <c r="R2162" t="s">
        <v>1135</v>
      </c>
      <c r="T2162" t="s">
        <v>38</v>
      </c>
      <c r="V2162" t="s">
        <v>921</v>
      </c>
      <c r="Z2162" t="s">
        <v>1357</v>
      </c>
      <c r="AA2162" t="s">
        <v>39</v>
      </c>
      <c r="AC2162" t="s">
        <v>1408</v>
      </c>
    </row>
    <row r="2163" spans="1:29" x14ac:dyDescent="0.25">
      <c r="A2163">
        <v>105</v>
      </c>
      <c r="B2163" t="s">
        <v>178</v>
      </c>
      <c r="C2163" t="s">
        <v>77</v>
      </c>
      <c r="D2163" t="s">
        <v>122</v>
      </c>
      <c r="E2163">
        <v>6</v>
      </c>
      <c r="F2163">
        <v>328</v>
      </c>
      <c r="G2163">
        <v>934</v>
      </c>
      <c r="H2163">
        <v>1</v>
      </c>
      <c r="I2163">
        <v>14.43</v>
      </c>
      <c r="J2163">
        <v>14.43</v>
      </c>
      <c r="K2163" t="s">
        <v>97</v>
      </c>
      <c r="L2163" t="s">
        <v>1407</v>
      </c>
      <c r="O2163" t="s">
        <v>81</v>
      </c>
      <c r="Q2163">
        <v>4</v>
      </c>
      <c r="R2163" t="s">
        <v>1135</v>
      </c>
      <c r="T2163" t="s">
        <v>38</v>
      </c>
      <c r="V2163" t="s">
        <v>921</v>
      </c>
      <c r="Z2163" t="s">
        <v>1357</v>
      </c>
      <c r="AA2163" t="s">
        <v>39</v>
      </c>
      <c r="AC2163" t="s">
        <v>1408</v>
      </c>
    </row>
    <row r="2164" spans="1:29" x14ac:dyDescent="0.25">
      <c r="A2164">
        <v>106</v>
      </c>
      <c r="B2164" t="s">
        <v>179</v>
      </c>
      <c r="C2164" t="s">
        <v>77</v>
      </c>
      <c r="D2164" t="s">
        <v>122</v>
      </c>
      <c r="E2164">
        <v>6</v>
      </c>
      <c r="F2164">
        <v>328</v>
      </c>
      <c r="G2164">
        <v>934</v>
      </c>
      <c r="H2164">
        <v>1</v>
      </c>
      <c r="I2164">
        <v>14.43</v>
      </c>
      <c r="J2164">
        <v>14.43</v>
      </c>
      <c r="K2164" t="s">
        <v>97</v>
      </c>
      <c r="L2164" t="s">
        <v>1407</v>
      </c>
      <c r="O2164" t="s">
        <v>81</v>
      </c>
      <c r="Q2164">
        <v>4</v>
      </c>
      <c r="R2164" t="s">
        <v>1135</v>
      </c>
      <c r="T2164" t="s">
        <v>38</v>
      </c>
      <c r="V2164" t="s">
        <v>921</v>
      </c>
      <c r="Z2164" t="s">
        <v>1357</v>
      </c>
      <c r="AA2164" t="s">
        <v>39</v>
      </c>
      <c r="AC2164" t="s">
        <v>1408</v>
      </c>
    </row>
    <row r="2165" spans="1:29" x14ac:dyDescent="0.25">
      <c r="A2165">
        <v>107</v>
      </c>
      <c r="B2165" t="s">
        <v>185</v>
      </c>
      <c r="C2165" t="s">
        <v>77</v>
      </c>
      <c r="D2165" t="s">
        <v>167</v>
      </c>
      <c r="E2165">
        <v>6</v>
      </c>
      <c r="F2165">
        <v>188</v>
      </c>
      <c r="G2165">
        <v>2483</v>
      </c>
      <c r="H2165">
        <v>28</v>
      </c>
      <c r="I2165">
        <v>21.62</v>
      </c>
      <c r="J2165">
        <v>605.47</v>
      </c>
      <c r="K2165" t="s">
        <v>97</v>
      </c>
      <c r="L2165" t="s">
        <v>1407</v>
      </c>
      <c r="O2165" t="s">
        <v>81</v>
      </c>
      <c r="P2165" t="s">
        <v>81</v>
      </c>
      <c r="Q2165">
        <v>4</v>
      </c>
      <c r="R2165" t="s">
        <v>1135</v>
      </c>
      <c r="T2165" t="s">
        <v>38</v>
      </c>
      <c r="V2165" t="s">
        <v>921</v>
      </c>
      <c r="Z2165" t="s">
        <v>1357</v>
      </c>
      <c r="AA2165" t="s">
        <v>39</v>
      </c>
      <c r="AC2165" t="s">
        <v>1408</v>
      </c>
    </row>
    <row r="2166" spans="1:29" x14ac:dyDescent="0.25">
      <c r="A2166">
        <v>108</v>
      </c>
      <c r="B2166" t="s">
        <v>138</v>
      </c>
      <c r="C2166" t="s">
        <v>77</v>
      </c>
      <c r="D2166" t="s">
        <v>122</v>
      </c>
      <c r="E2166">
        <v>6</v>
      </c>
      <c r="F2166">
        <v>328</v>
      </c>
      <c r="G2166">
        <v>934</v>
      </c>
      <c r="H2166">
        <v>2</v>
      </c>
      <c r="I2166">
        <v>14.43</v>
      </c>
      <c r="J2166">
        <v>28.86</v>
      </c>
      <c r="K2166" t="s">
        <v>97</v>
      </c>
      <c r="L2166" t="s">
        <v>1407</v>
      </c>
      <c r="O2166" t="s">
        <v>81</v>
      </c>
      <c r="Q2166">
        <v>4</v>
      </c>
      <c r="R2166" t="s">
        <v>1135</v>
      </c>
      <c r="T2166" t="s">
        <v>38</v>
      </c>
      <c r="V2166" t="s">
        <v>921</v>
      </c>
      <c r="Z2166" t="s">
        <v>1357</v>
      </c>
      <c r="AA2166" t="s">
        <v>39</v>
      </c>
      <c r="AC2166" t="s">
        <v>1408</v>
      </c>
    </row>
    <row r="2167" spans="1:29" x14ac:dyDescent="0.25">
      <c r="A2167">
        <v>109</v>
      </c>
      <c r="B2167" t="s">
        <v>154</v>
      </c>
      <c r="C2167" t="s">
        <v>77</v>
      </c>
      <c r="D2167" t="s">
        <v>122</v>
      </c>
      <c r="E2167">
        <v>6</v>
      </c>
      <c r="F2167">
        <v>328</v>
      </c>
      <c r="G2167">
        <v>934</v>
      </c>
      <c r="H2167">
        <v>2</v>
      </c>
      <c r="I2167">
        <v>14.43</v>
      </c>
      <c r="J2167">
        <v>28.86</v>
      </c>
      <c r="K2167" t="s">
        <v>97</v>
      </c>
      <c r="L2167" t="s">
        <v>1407</v>
      </c>
      <c r="O2167" t="s">
        <v>81</v>
      </c>
      <c r="Q2167">
        <v>4</v>
      </c>
      <c r="R2167" t="s">
        <v>1135</v>
      </c>
      <c r="T2167" t="s">
        <v>38</v>
      </c>
      <c r="V2167" t="s">
        <v>921</v>
      </c>
      <c r="Z2167" t="s">
        <v>1357</v>
      </c>
      <c r="AA2167" t="s">
        <v>39</v>
      </c>
      <c r="AC2167" t="s">
        <v>1408</v>
      </c>
    </row>
    <row r="2168" spans="1:29" x14ac:dyDescent="0.25">
      <c r="A2168">
        <v>110</v>
      </c>
      <c r="B2168" t="s">
        <v>186</v>
      </c>
      <c r="C2168" t="s">
        <v>77</v>
      </c>
      <c r="D2168" t="s">
        <v>159</v>
      </c>
      <c r="E2168">
        <v>6</v>
      </c>
      <c r="F2168">
        <v>328</v>
      </c>
      <c r="G2168">
        <v>894</v>
      </c>
      <c r="H2168">
        <v>2</v>
      </c>
      <c r="I2168">
        <v>13.81</v>
      </c>
      <c r="J2168">
        <v>27.62</v>
      </c>
      <c r="K2168" t="s">
        <v>97</v>
      </c>
      <c r="L2168" t="s">
        <v>1409</v>
      </c>
      <c r="O2168" t="s">
        <v>81</v>
      </c>
      <c r="Q2168">
        <v>4</v>
      </c>
      <c r="R2168" t="s">
        <v>1135</v>
      </c>
      <c r="T2168" t="s">
        <v>38</v>
      </c>
      <c r="V2168" t="s">
        <v>921</v>
      </c>
      <c r="Z2168" t="s">
        <v>1357</v>
      </c>
      <c r="AA2168" t="s">
        <v>39</v>
      </c>
      <c r="AC2168" t="s">
        <v>1410</v>
      </c>
    </row>
    <row r="2169" spans="1:29" x14ac:dyDescent="0.25">
      <c r="A2169">
        <v>111</v>
      </c>
      <c r="B2169" t="s">
        <v>189</v>
      </c>
      <c r="C2169" t="s">
        <v>77</v>
      </c>
      <c r="D2169" t="s">
        <v>190</v>
      </c>
      <c r="E2169">
        <v>6</v>
      </c>
      <c r="F2169">
        <v>188</v>
      </c>
      <c r="G2169">
        <v>2481</v>
      </c>
      <c r="H2169">
        <v>2</v>
      </c>
      <c r="I2169">
        <v>21.61</v>
      </c>
      <c r="J2169">
        <v>43.22</v>
      </c>
      <c r="K2169" t="s">
        <v>97</v>
      </c>
      <c r="L2169" t="s">
        <v>1409</v>
      </c>
      <c r="O2169" t="s">
        <v>81</v>
      </c>
      <c r="P2169" t="s">
        <v>81</v>
      </c>
      <c r="Q2169">
        <v>4</v>
      </c>
      <c r="R2169" t="s">
        <v>1135</v>
      </c>
      <c r="T2169" t="s">
        <v>38</v>
      </c>
      <c r="V2169" t="s">
        <v>921</v>
      </c>
      <c r="Z2169" t="s">
        <v>1357</v>
      </c>
      <c r="AA2169" t="s">
        <v>39</v>
      </c>
      <c r="AC2169" t="s">
        <v>1410</v>
      </c>
    </row>
    <row r="2170" spans="1:29" x14ac:dyDescent="0.25">
      <c r="A2170">
        <v>112</v>
      </c>
      <c r="B2170" t="s">
        <v>191</v>
      </c>
      <c r="C2170" t="s">
        <v>77</v>
      </c>
      <c r="D2170" t="s">
        <v>190</v>
      </c>
      <c r="E2170">
        <v>6</v>
      </c>
      <c r="F2170">
        <v>188</v>
      </c>
      <c r="G2170">
        <v>2481</v>
      </c>
      <c r="H2170">
        <v>2</v>
      </c>
      <c r="I2170">
        <v>21.61</v>
      </c>
      <c r="J2170">
        <v>43.22</v>
      </c>
      <c r="K2170" t="s">
        <v>97</v>
      </c>
      <c r="L2170" t="s">
        <v>1409</v>
      </c>
      <c r="O2170" t="s">
        <v>81</v>
      </c>
      <c r="P2170" t="s">
        <v>81</v>
      </c>
      <c r="Q2170">
        <v>4</v>
      </c>
      <c r="R2170" t="s">
        <v>1135</v>
      </c>
      <c r="T2170" t="s">
        <v>38</v>
      </c>
      <c r="V2170" t="s">
        <v>921</v>
      </c>
      <c r="Z2170" t="s">
        <v>1357</v>
      </c>
      <c r="AA2170" t="s">
        <v>39</v>
      </c>
      <c r="AC2170" t="s">
        <v>1410</v>
      </c>
    </row>
    <row r="2171" spans="1:29" x14ac:dyDescent="0.25">
      <c r="A2171">
        <v>113</v>
      </c>
      <c r="B2171" t="s">
        <v>192</v>
      </c>
      <c r="C2171" t="s">
        <v>77</v>
      </c>
      <c r="D2171" t="s">
        <v>193</v>
      </c>
      <c r="E2171">
        <v>6</v>
      </c>
      <c r="F2171">
        <v>188</v>
      </c>
      <c r="G2171">
        <v>2480</v>
      </c>
      <c r="H2171">
        <v>2</v>
      </c>
      <c r="I2171">
        <v>21.6</v>
      </c>
      <c r="J2171">
        <v>43.2</v>
      </c>
      <c r="K2171" t="s">
        <v>97</v>
      </c>
      <c r="L2171" t="s">
        <v>1409</v>
      </c>
      <c r="O2171" t="s">
        <v>81</v>
      </c>
      <c r="P2171" t="s">
        <v>81</v>
      </c>
      <c r="Q2171">
        <v>4</v>
      </c>
      <c r="R2171" t="s">
        <v>1135</v>
      </c>
      <c r="T2171" t="s">
        <v>38</v>
      </c>
      <c r="V2171" t="s">
        <v>921</v>
      </c>
      <c r="Z2171" t="s">
        <v>1357</v>
      </c>
      <c r="AA2171" t="s">
        <v>39</v>
      </c>
      <c r="AC2171" t="s">
        <v>1410</v>
      </c>
    </row>
    <row r="2172" spans="1:29" x14ac:dyDescent="0.25">
      <c r="A2172">
        <v>114</v>
      </c>
      <c r="B2172" t="s">
        <v>194</v>
      </c>
      <c r="C2172" t="s">
        <v>77</v>
      </c>
      <c r="D2172" t="s">
        <v>193</v>
      </c>
      <c r="E2172">
        <v>6</v>
      </c>
      <c r="F2172">
        <v>188</v>
      </c>
      <c r="G2172">
        <v>2480</v>
      </c>
      <c r="H2172">
        <v>2</v>
      </c>
      <c r="I2172">
        <v>21.6</v>
      </c>
      <c r="J2172">
        <v>43.21</v>
      </c>
      <c r="K2172" t="s">
        <v>97</v>
      </c>
      <c r="L2172" t="s">
        <v>1409</v>
      </c>
      <c r="O2172" t="s">
        <v>81</v>
      </c>
      <c r="P2172" t="s">
        <v>81</v>
      </c>
      <c r="Q2172">
        <v>4</v>
      </c>
      <c r="R2172" t="s">
        <v>1135</v>
      </c>
      <c r="T2172" t="s">
        <v>38</v>
      </c>
      <c r="V2172" t="s">
        <v>921</v>
      </c>
      <c r="Z2172" t="s">
        <v>1357</v>
      </c>
      <c r="AA2172" t="s">
        <v>39</v>
      </c>
      <c r="AC2172" t="s">
        <v>1410</v>
      </c>
    </row>
    <row r="2173" spans="1:29" x14ac:dyDescent="0.25">
      <c r="A2173">
        <v>115</v>
      </c>
      <c r="B2173" t="s">
        <v>195</v>
      </c>
      <c r="C2173" t="s">
        <v>77</v>
      </c>
      <c r="D2173" t="s">
        <v>122</v>
      </c>
      <c r="E2173">
        <v>6</v>
      </c>
      <c r="F2173">
        <v>328</v>
      </c>
      <c r="G2173">
        <v>934</v>
      </c>
      <c r="H2173">
        <v>2</v>
      </c>
      <c r="I2173">
        <v>14.43</v>
      </c>
      <c r="J2173">
        <v>28.86</v>
      </c>
      <c r="K2173" t="s">
        <v>97</v>
      </c>
      <c r="L2173" t="s">
        <v>1409</v>
      </c>
      <c r="O2173" t="s">
        <v>81</v>
      </c>
      <c r="Q2173">
        <v>4</v>
      </c>
      <c r="R2173" t="s">
        <v>1135</v>
      </c>
      <c r="T2173" t="s">
        <v>38</v>
      </c>
      <c r="V2173" t="s">
        <v>921</v>
      </c>
      <c r="Z2173" t="s">
        <v>1357</v>
      </c>
      <c r="AA2173" t="s">
        <v>39</v>
      </c>
      <c r="AC2173" t="s">
        <v>1410</v>
      </c>
    </row>
    <row r="2174" spans="1:29" x14ac:dyDescent="0.25">
      <c r="A2174">
        <v>116</v>
      </c>
      <c r="B2174" t="s">
        <v>185</v>
      </c>
      <c r="C2174" t="s">
        <v>77</v>
      </c>
      <c r="D2174" t="s">
        <v>167</v>
      </c>
      <c r="E2174">
        <v>6</v>
      </c>
      <c r="F2174">
        <v>188</v>
      </c>
      <c r="G2174">
        <v>2483</v>
      </c>
      <c r="H2174">
        <v>12</v>
      </c>
      <c r="I2174">
        <v>21.62</v>
      </c>
      <c r="J2174">
        <v>259.49</v>
      </c>
      <c r="K2174" t="s">
        <v>97</v>
      </c>
      <c r="L2174" t="s">
        <v>1409</v>
      </c>
      <c r="O2174" t="s">
        <v>81</v>
      </c>
      <c r="P2174" t="s">
        <v>81</v>
      </c>
      <c r="Q2174">
        <v>4</v>
      </c>
      <c r="R2174" t="s">
        <v>1135</v>
      </c>
      <c r="T2174" t="s">
        <v>38</v>
      </c>
      <c r="V2174" t="s">
        <v>921</v>
      </c>
      <c r="Z2174" t="s">
        <v>1357</v>
      </c>
      <c r="AA2174" t="s">
        <v>39</v>
      </c>
      <c r="AC2174" t="s">
        <v>1410</v>
      </c>
    </row>
    <row r="2175" spans="1:29" x14ac:dyDescent="0.25">
      <c r="A2175">
        <v>117</v>
      </c>
      <c r="B2175" t="s">
        <v>164</v>
      </c>
      <c r="C2175" t="s">
        <v>77</v>
      </c>
      <c r="D2175" t="s">
        <v>159</v>
      </c>
      <c r="E2175">
        <v>6</v>
      </c>
      <c r="F2175">
        <v>328</v>
      </c>
      <c r="G2175">
        <v>894</v>
      </c>
      <c r="H2175">
        <v>1</v>
      </c>
      <c r="I2175">
        <v>13.81</v>
      </c>
      <c r="J2175">
        <v>13.81</v>
      </c>
      <c r="K2175" t="s">
        <v>97</v>
      </c>
      <c r="L2175" t="s">
        <v>1409</v>
      </c>
      <c r="O2175" t="s">
        <v>81</v>
      </c>
      <c r="Q2175">
        <v>4</v>
      </c>
      <c r="R2175" t="s">
        <v>1135</v>
      </c>
      <c r="T2175" t="s">
        <v>38</v>
      </c>
      <c r="V2175" t="s">
        <v>921</v>
      </c>
      <c r="Z2175" t="s">
        <v>1357</v>
      </c>
      <c r="AA2175" t="s">
        <v>39</v>
      </c>
      <c r="AC2175" t="s">
        <v>1410</v>
      </c>
    </row>
    <row r="2176" spans="1:29" x14ac:dyDescent="0.25">
      <c r="A2176">
        <v>118</v>
      </c>
      <c r="B2176" t="s">
        <v>196</v>
      </c>
      <c r="C2176" t="s">
        <v>77</v>
      </c>
      <c r="D2176" t="s">
        <v>159</v>
      </c>
      <c r="E2176">
        <v>6</v>
      </c>
      <c r="F2176">
        <v>328</v>
      </c>
      <c r="G2176">
        <v>894</v>
      </c>
      <c r="H2176">
        <v>1</v>
      </c>
      <c r="I2176">
        <v>13.81</v>
      </c>
      <c r="J2176">
        <v>13.81</v>
      </c>
      <c r="K2176" t="s">
        <v>97</v>
      </c>
      <c r="L2176" t="s">
        <v>1409</v>
      </c>
      <c r="O2176" t="s">
        <v>81</v>
      </c>
      <c r="Q2176">
        <v>4</v>
      </c>
      <c r="R2176" t="s">
        <v>1135</v>
      </c>
      <c r="T2176" t="s">
        <v>38</v>
      </c>
      <c r="V2176" t="s">
        <v>921</v>
      </c>
      <c r="Z2176" t="s">
        <v>1357</v>
      </c>
      <c r="AA2176" t="s">
        <v>39</v>
      </c>
      <c r="AC2176" t="s">
        <v>1410</v>
      </c>
    </row>
    <row r="2177" spans="1:29" x14ac:dyDescent="0.25">
      <c r="A2177">
        <v>119</v>
      </c>
      <c r="B2177" t="s">
        <v>197</v>
      </c>
      <c r="C2177" t="s">
        <v>77</v>
      </c>
      <c r="D2177" t="s">
        <v>190</v>
      </c>
      <c r="E2177">
        <v>6</v>
      </c>
      <c r="F2177">
        <v>188</v>
      </c>
      <c r="G2177">
        <v>2481</v>
      </c>
      <c r="H2177">
        <v>2</v>
      </c>
      <c r="I2177">
        <v>21.61</v>
      </c>
      <c r="J2177">
        <v>43.22</v>
      </c>
      <c r="K2177" t="s">
        <v>97</v>
      </c>
      <c r="L2177" t="s">
        <v>1409</v>
      </c>
      <c r="O2177" t="s">
        <v>81</v>
      </c>
      <c r="P2177" t="s">
        <v>81</v>
      </c>
      <c r="Q2177">
        <v>4</v>
      </c>
      <c r="R2177" t="s">
        <v>1135</v>
      </c>
      <c r="T2177" t="s">
        <v>38</v>
      </c>
      <c r="V2177" t="s">
        <v>921</v>
      </c>
      <c r="Z2177" t="s">
        <v>1357</v>
      </c>
      <c r="AA2177" t="s">
        <v>39</v>
      </c>
      <c r="AC2177" t="s">
        <v>1410</v>
      </c>
    </row>
    <row r="2178" spans="1:29" x14ac:dyDescent="0.25">
      <c r="A2178">
        <v>120</v>
      </c>
      <c r="B2178" t="s">
        <v>198</v>
      </c>
      <c r="C2178" t="s">
        <v>77</v>
      </c>
      <c r="D2178" t="s">
        <v>190</v>
      </c>
      <c r="E2178">
        <v>6</v>
      </c>
      <c r="F2178">
        <v>188</v>
      </c>
      <c r="G2178">
        <v>2481</v>
      </c>
      <c r="H2178">
        <v>2</v>
      </c>
      <c r="I2178">
        <v>21.61</v>
      </c>
      <c r="J2178">
        <v>43.22</v>
      </c>
      <c r="K2178" t="s">
        <v>97</v>
      </c>
      <c r="L2178" t="s">
        <v>1409</v>
      </c>
      <c r="O2178" t="s">
        <v>81</v>
      </c>
      <c r="P2178" t="s">
        <v>81</v>
      </c>
      <c r="Q2178">
        <v>4</v>
      </c>
      <c r="R2178" t="s">
        <v>1135</v>
      </c>
      <c r="T2178" t="s">
        <v>38</v>
      </c>
      <c r="V2178" t="s">
        <v>921</v>
      </c>
      <c r="Z2178" t="s">
        <v>1357</v>
      </c>
      <c r="AA2178" t="s">
        <v>39</v>
      </c>
      <c r="AC2178" t="s">
        <v>1410</v>
      </c>
    </row>
    <row r="2179" spans="1:29" x14ac:dyDescent="0.25">
      <c r="A2179">
        <v>121</v>
      </c>
      <c r="B2179" t="s">
        <v>199</v>
      </c>
      <c r="C2179" t="s">
        <v>77</v>
      </c>
      <c r="D2179" t="s">
        <v>193</v>
      </c>
      <c r="E2179">
        <v>6</v>
      </c>
      <c r="F2179">
        <v>188</v>
      </c>
      <c r="G2179">
        <v>2480</v>
      </c>
      <c r="H2179">
        <v>2</v>
      </c>
      <c r="I2179">
        <v>21.6</v>
      </c>
      <c r="J2179">
        <v>43.2</v>
      </c>
      <c r="K2179" t="s">
        <v>97</v>
      </c>
      <c r="L2179" t="s">
        <v>1409</v>
      </c>
      <c r="O2179" t="s">
        <v>81</v>
      </c>
      <c r="P2179" t="s">
        <v>81</v>
      </c>
      <c r="Q2179">
        <v>4</v>
      </c>
      <c r="R2179" t="s">
        <v>1135</v>
      </c>
      <c r="T2179" t="s">
        <v>38</v>
      </c>
      <c r="V2179" t="s">
        <v>921</v>
      </c>
      <c r="Z2179" t="s">
        <v>1357</v>
      </c>
      <c r="AA2179" t="s">
        <v>39</v>
      </c>
      <c r="AC2179" t="s">
        <v>1410</v>
      </c>
    </row>
    <row r="2180" spans="1:29" x14ac:dyDescent="0.25">
      <c r="A2180">
        <v>122</v>
      </c>
      <c r="B2180" t="s">
        <v>200</v>
      </c>
      <c r="C2180" t="s">
        <v>77</v>
      </c>
      <c r="D2180" t="s">
        <v>193</v>
      </c>
      <c r="E2180">
        <v>6</v>
      </c>
      <c r="F2180">
        <v>188</v>
      </c>
      <c r="G2180">
        <v>2480</v>
      </c>
      <c r="H2180">
        <v>2</v>
      </c>
      <c r="I2180">
        <v>21.6</v>
      </c>
      <c r="J2180">
        <v>43.21</v>
      </c>
      <c r="K2180" t="s">
        <v>97</v>
      </c>
      <c r="L2180" t="s">
        <v>1409</v>
      </c>
      <c r="O2180" t="s">
        <v>81</v>
      </c>
      <c r="P2180" t="s">
        <v>81</v>
      </c>
      <c r="Q2180">
        <v>4</v>
      </c>
      <c r="R2180" t="s">
        <v>1135</v>
      </c>
      <c r="T2180" t="s">
        <v>38</v>
      </c>
      <c r="V2180" t="s">
        <v>921</v>
      </c>
      <c r="Z2180" t="s">
        <v>1357</v>
      </c>
      <c r="AA2180" t="s">
        <v>39</v>
      </c>
      <c r="AC2180" t="s">
        <v>1410</v>
      </c>
    </row>
    <row r="2181" spans="1:29" x14ac:dyDescent="0.25">
      <c r="A2181">
        <v>123</v>
      </c>
      <c r="B2181" t="s">
        <v>201</v>
      </c>
      <c r="C2181" t="s">
        <v>77</v>
      </c>
      <c r="D2181" t="s">
        <v>159</v>
      </c>
      <c r="E2181">
        <v>6</v>
      </c>
      <c r="F2181">
        <v>328</v>
      </c>
      <c r="G2181">
        <v>894</v>
      </c>
      <c r="H2181">
        <v>2</v>
      </c>
      <c r="I2181">
        <v>13.81</v>
      </c>
      <c r="J2181">
        <v>27.62</v>
      </c>
      <c r="K2181" t="s">
        <v>97</v>
      </c>
      <c r="L2181" t="s">
        <v>1409</v>
      </c>
      <c r="O2181" t="s">
        <v>81</v>
      </c>
      <c r="Q2181">
        <v>4</v>
      </c>
      <c r="R2181" t="s">
        <v>1135</v>
      </c>
      <c r="T2181" t="s">
        <v>38</v>
      </c>
      <c r="V2181" t="s">
        <v>921</v>
      </c>
      <c r="Z2181" t="s">
        <v>1357</v>
      </c>
      <c r="AA2181" t="s">
        <v>39</v>
      </c>
      <c r="AC2181" t="s">
        <v>1410</v>
      </c>
    </row>
    <row r="2182" spans="1:29" x14ac:dyDescent="0.25">
      <c r="A2182">
        <v>124</v>
      </c>
      <c r="B2182" t="s">
        <v>116</v>
      </c>
      <c r="C2182" t="s">
        <v>77</v>
      </c>
      <c r="D2182" t="s">
        <v>117</v>
      </c>
      <c r="E2182">
        <v>6</v>
      </c>
      <c r="F2182">
        <v>298</v>
      </c>
      <c r="G2182">
        <v>378</v>
      </c>
      <c r="H2182">
        <v>2</v>
      </c>
      <c r="I2182">
        <v>5.27</v>
      </c>
      <c r="J2182">
        <v>10.54</v>
      </c>
      <c r="K2182" t="s">
        <v>97</v>
      </c>
      <c r="L2182" t="s">
        <v>1409</v>
      </c>
      <c r="Q2182">
        <v>4</v>
      </c>
      <c r="R2182" t="s">
        <v>1135</v>
      </c>
      <c r="T2182" t="s">
        <v>38</v>
      </c>
      <c r="V2182" t="s">
        <v>921</v>
      </c>
      <c r="W2182" t="s">
        <v>81</v>
      </c>
      <c r="Z2182" t="s">
        <v>1357</v>
      </c>
      <c r="AA2182" t="s">
        <v>39</v>
      </c>
      <c r="AC2182" t="s">
        <v>1410</v>
      </c>
    </row>
    <row r="2183" spans="1:29" x14ac:dyDescent="0.25">
      <c r="A2183">
        <v>125</v>
      </c>
      <c r="B2183" t="s">
        <v>202</v>
      </c>
      <c r="C2183" t="s">
        <v>77</v>
      </c>
      <c r="D2183" t="s">
        <v>203</v>
      </c>
      <c r="E2183">
        <v>6</v>
      </c>
      <c r="F2183">
        <v>188</v>
      </c>
      <c r="G2183">
        <v>2348</v>
      </c>
      <c r="H2183">
        <v>8</v>
      </c>
      <c r="I2183">
        <v>20.61</v>
      </c>
      <c r="J2183">
        <v>164.9</v>
      </c>
      <c r="K2183" t="s">
        <v>97</v>
      </c>
      <c r="L2183" t="s">
        <v>1411</v>
      </c>
      <c r="O2183" t="s">
        <v>81</v>
      </c>
      <c r="P2183" t="s">
        <v>81</v>
      </c>
      <c r="Q2183">
        <v>4</v>
      </c>
      <c r="R2183" t="s">
        <v>1135</v>
      </c>
      <c r="T2183" t="s">
        <v>38</v>
      </c>
      <c r="V2183" t="s">
        <v>921</v>
      </c>
      <c r="Z2183" t="s">
        <v>1357</v>
      </c>
      <c r="AA2183" t="s">
        <v>39</v>
      </c>
      <c r="AC2183" t="s">
        <v>1412</v>
      </c>
    </row>
    <row r="2184" spans="1:29" x14ac:dyDescent="0.25">
      <c r="A2184">
        <v>126</v>
      </c>
      <c r="B2184" t="s">
        <v>206</v>
      </c>
      <c r="C2184" t="s">
        <v>77</v>
      </c>
      <c r="D2184" t="s">
        <v>203</v>
      </c>
      <c r="E2184">
        <v>6</v>
      </c>
      <c r="F2184">
        <v>188</v>
      </c>
      <c r="G2184">
        <v>2348</v>
      </c>
      <c r="H2184">
        <v>2</v>
      </c>
      <c r="I2184">
        <v>20.62</v>
      </c>
      <c r="J2184">
        <v>41.23</v>
      </c>
      <c r="K2184" t="s">
        <v>97</v>
      </c>
      <c r="L2184" t="s">
        <v>1411</v>
      </c>
      <c r="O2184" t="s">
        <v>81</v>
      </c>
      <c r="P2184" t="s">
        <v>81</v>
      </c>
      <c r="Q2184">
        <v>4</v>
      </c>
      <c r="R2184" t="s">
        <v>1135</v>
      </c>
      <c r="T2184" t="s">
        <v>38</v>
      </c>
      <c r="V2184" t="s">
        <v>921</v>
      </c>
      <c r="Z2184" t="s">
        <v>1357</v>
      </c>
      <c r="AA2184" t="s">
        <v>39</v>
      </c>
      <c r="AC2184" t="s">
        <v>1412</v>
      </c>
    </row>
    <row r="2185" spans="1:29" x14ac:dyDescent="0.25">
      <c r="A2185">
        <v>127</v>
      </c>
      <c r="B2185" t="s">
        <v>207</v>
      </c>
      <c r="C2185" t="s">
        <v>77</v>
      </c>
      <c r="D2185" t="s">
        <v>203</v>
      </c>
      <c r="E2185">
        <v>6</v>
      </c>
      <c r="F2185">
        <v>188</v>
      </c>
      <c r="G2185">
        <v>2348</v>
      </c>
      <c r="H2185">
        <v>1</v>
      </c>
      <c r="I2185">
        <v>20.61</v>
      </c>
      <c r="J2185">
        <v>20.61</v>
      </c>
      <c r="K2185" t="s">
        <v>97</v>
      </c>
      <c r="L2185" t="s">
        <v>1411</v>
      </c>
      <c r="O2185" t="s">
        <v>81</v>
      </c>
      <c r="P2185" t="s">
        <v>81</v>
      </c>
      <c r="Q2185">
        <v>4</v>
      </c>
      <c r="R2185" t="s">
        <v>1135</v>
      </c>
      <c r="T2185" t="s">
        <v>38</v>
      </c>
      <c r="V2185" t="s">
        <v>921</v>
      </c>
      <c r="Z2185" t="s">
        <v>1357</v>
      </c>
      <c r="AA2185" t="s">
        <v>39</v>
      </c>
      <c r="AC2185" t="s">
        <v>1412</v>
      </c>
    </row>
    <row r="2186" spans="1:29" x14ac:dyDescent="0.25">
      <c r="A2186">
        <v>128</v>
      </c>
      <c r="B2186" t="s">
        <v>208</v>
      </c>
      <c r="C2186" t="s">
        <v>77</v>
      </c>
      <c r="D2186" t="s">
        <v>203</v>
      </c>
      <c r="E2186">
        <v>6</v>
      </c>
      <c r="F2186">
        <v>188</v>
      </c>
      <c r="G2186">
        <v>2348</v>
      </c>
      <c r="H2186">
        <v>6</v>
      </c>
      <c r="I2186">
        <v>20.61</v>
      </c>
      <c r="J2186">
        <v>123.67</v>
      </c>
      <c r="K2186" t="s">
        <v>97</v>
      </c>
      <c r="L2186" t="s">
        <v>1411</v>
      </c>
      <c r="O2186" t="s">
        <v>81</v>
      </c>
      <c r="P2186" t="s">
        <v>81</v>
      </c>
      <c r="Q2186">
        <v>4</v>
      </c>
      <c r="R2186" t="s">
        <v>1135</v>
      </c>
      <c r="T2186" t="s">
        <v>38</v>
      </c>
      <c r="V2186" t="s">
        <v>921</v>
      </c>
      <c r="Z2186" t="s">
        <v>1357</v>
      </c>
      <c r="AA2186" t="s">
        <v>39</v>
      </c>
      <c r="AC2186" t="s">
        <v>1412</v>
      </c>
    </row>
    <row r="2187" spans="1:29" x14ac:dyDescent="0.25">
      <c r="A2187">
        <v>129</v>
      </c>
      <c r="B2187" t="s">
        <v>209</v>
      </c>
      <c r="C2187" t="s">
        <v>77</v>
      </c>
      <c r="D2187" t="s">
        <v>203</v>
      </c>
      <c r="E2187">
        <v>6</v>
      </c>
      <c r="F2187">
        <v>188</v>
      </c>
      <c r="G2187">
        <v>2348</v>
      </c>
      <c r="H2187">
        <v>6</v>
      </c>
      <c r="I2187">
        <v>20.61</v>
      </c>
      <c r="J2187">
        <v>123.67</v>
      </c>
      <c r="K2187" t="s">
        <v>97</v>
      </c>
      <c r="L2187" t="s">
        <v>1411</v>
      </c>
      <c r="O2187" t="s">
        <v>81</v>
      </c>
      <c r="P2187" t="s">
        <v>81</v>
      </c>
      <c r="Q2187">
        <v>4</v>
      </c>
      <c r="R2187" t="s">
        <v>1135</v>
      </c>
      <c r="T2187" t="s">
        <v>38</v>
      </c>
      <c r="V2187" t="s">
        <v>921</v>
      </c>
      <c r="Z2187" t="s">
        <v>1357</v>
      </c>
      <c r="AA2187" t="s">
        <v>39</v>
      </c>
      <c r="AC2187" t="s">
        <v>1412</v>
      </c>
    </row>
    <row r="2188" spans="1:29" x14ac:dyDescent="0.25">
      <c r="A2188">
        <v>130</v>
      </c>
      <c r="B2188" t="s">
        <v>210</v>
      </c>
      <c r="C2188" t="s">
        <v>77</v>
      </c>
      <c r="D2188" t="s">
        <v>203</v>
      </c>
      <c r="E2188">
        <v>6</v>
      </c>
      <c r="F2188">
        <v>188</v>
      </c>
      <c r="G2188">
        <v>2348</v>
      </c>
      <c r="H2188">
        <v>8</v>
      </c>
      <c r="I2188">
        <v>20.61</v>
      </c>
      <c r="J2188">
        <v>164.9</v>
      </c>
      <c r="K2188" t="s">
        <v>97</v>
      </c>
      <c r="L2188" t="s">
        <v>1411</v>
      </c>
      <c r="O2188" t="s">
        <v>81</v>
      </c>
      <c r="P2188" t="s">
        <v>81</v>
      </c>
      <c r="Q2188">
        <v>4</v>
      </c>
      <c r="R2188" t="s">
        <v>1135</v>
      </c>
      <c r="T2188" t="s">
        <v>38</v>
      </c>
      <c r="V2188" t="s">
        <v>921</v>
      </c>
      <c r="Z2188" t="s">
        <v>1357</v>
      </c>
      <c r="AA2188" t="s">
        <v>39</v>
      </c>
      <c r="AC2188" t="s">
        <v>1412</v>
      </c>
    </row>
    <row r="2189" spans="1:29" x14ac:dyDescent="0.25">
      <c r="A2189">
        <v>131</v>
      </c>
      <c r="B2189" t="s">
        <v>211</v>
      </c>
      <c r="C2189" t="s">
        <v>77</v>
      </c>
      <c r="D2189" t="s">
        <v>203</v>
      </c>
      <c r="E2189">
        <v>6</v>
      </c>
      <c r="F2189">
        <v>188</v>
      </c>
      <c r="G2189">
        <v>2348</v>
      </c>
      <c r="H2189">
        <v>4</v>
      </c>
      <c r="I2189">
        <v>20.61</v>
      </c>
      <c r="J2189">
        <v>82.45</v>
      </c>
      <c r="K2189" t="s">
        <v>97</v>
      </c>
      <c r="L2189" t="s">
        <v>1411</v>
      </c>
      <c r="O2189" t="s">
        <v>81</v>
      </c>
      <c r="P2189" t="s">
        <v>81</v>
      </c>
      <c r="Q2189">
        <v>4</v>
      </c>
      <c r="R2189" t="s">
        <v>1135</v>
      </c>
      <c r="T2189" t="s">
        <v>38</v>
      </c>
      <c r="V2189" t="s">
        <v>921</v>
      </c>
      <c r="Z2189" t="s">
        <v>1357</v>
      </c>
      <c r="AA2189" t="s">
        <v>39</v>
      </c>
      <c r="AC2189" t="s">
        <v>1412</v>
      </c>
    </row>
    <row r="2190" spans="1:29" x14ac:dyDescent="0.25">
      <c r="A2190">
        <v>132</v>
      </c>
      <c r="B2190" t="s">
        <v>123</v>
      </c>
      <c r="C2190" t="s">
        <v>77</v>
      </c>
      <c r="D2190" t="s">
        <v>117</v>
      </c>
      <c r="E2190">
        <v>6</v>
      </c>
      <c r="F2190">
        <v>298</v>
      </c>
      <c r="G2190">
        <v>378</v>
      </c>
      <c r="H2190">
        <v>2</v>
      </c>
      <c r="I2190">
        <v>5.27</v>
      </c>
      <c r="J2190">
        <v>10.54</v>
      </c>
      <c r="K2190" t="s">
        <v>97</v>
      </c>
      <c r="L2190" t="s">
        <v>1411</v>
      </c>
      <c r="Q2190">
        <v>4</v>
      </c>
      <c r="R2190" t="s">
        <v>1135</v>
      </c>
      <c r="T2190" t="s">
        <v>38</v>
      </c>
      <c r="V2190" t="s">
        <v>921</v>
      </c>
      <c r="W2190" t="s">
        <v>81</v>
      </c>
      <c r="Z2190" t="s">
        <v>1357</v>
      </c>
      <c r="AA2190" t="s">
        <v>39</v>
      </c>
      <c r="AC2190" t="s">
        <v>1412</v>
      </c>
    </row>
    <row r="2191" spans="1:29" x14ac:dyDescent="0.25">
      <c r="A2191">
        <v>133</v>
      </c>
      <c r="B2191" t="s">
        <v>171</v>
      </c>
      <c r="C2191" t="s">
        <v>77</v>
      </c>
      <c r="D2191" t="s">
        <v>117</v>
      </c>
      <c r="E2191">
        <v>6</v>
      </c>
      <c r="F2191">
        <v>298</v>
      </c>
      <c r="G2191">
        <v>378</v>
      </c>
      <c r="H2191">
        <v>1</v>
      </c>
      <c r="I2191">
        <v>5.27</v>
      </c>
      <c r="J2191">
        <v>5.27</v>
      </c>
      <c r="K2191" t="s">
        <v>97</v>
      </c>
      <c r="L2191" t="s">
        <v>1411</v>
      </c>
      <c r="Q2191">
        <v>4</v>
      </c>
      <c r="R2191" t="s">
        <v>1135</v>
      </c>
      <c r="T2191" t="s">
        <v>38</v>
      </c>
      <c r="V2191" t="s">
        <v>921</v>
      </c>
      <c r="W2191" t="s">
        <v>81</v>
      </c>
      <c r="Z2191" t="s">
        <v>1357</v>
      </c>
      <c r="AA2191" t="s">
        <v>39</v>
      </c>
      <c r="AC2191" t="s">
        <v>1412</v>
      </c>
    </row>
    <row r="2192" spans="1:29" x14ac:dyDescent="0.25">
      <c r="A2192">
        <v>134</v>
      </c>
      <c r="B2192" t="s">
        <v>212</v>
      </c>
      <c r="C2192" t="s">
        <v>77</v>
      </c>
      <c r="D2192" t="s">
        <v>203</v>
      </c>
      <c r="E2192">
        <v>6</v>
      </c>
      <c r="F2192">
        <v>188</v>
      </c>
      <c r="G2192">
        <v>2348</v>
      </c>
      <c r="H2192">
        <v>6</v>
      </c>
      <c r="I2192">
        <v>20.61</v>
      </c>
      <c r="J2192">
        <v>123.67</v>
      </c>
      <c r="K2192" t="s">
        <v>97</v>
      </c>
      <c r="L2192" t="s">
        <v>1413</v>
      </c>
      <c r="O2192" t="s">
        <v>81</v>
      </c>
      <c r="P2192" t="s">
        <v>81</v>
      </c>
      <c r="Q2192">
        <v>4</v>
      </c>
      <c r="R2192" t="s">
        <v>1135</v>
      </c>
      <c r="T2192" t="s">
        <v>38</v>
      </c>
      <c r="V2192" t="s">
        <v>921</v>
      </c>
      <c r="Z2192" t="s">
        <v>1357</v>
      </c>
      <c r="AA2192" t="s">
        <v>39</v>
      </c>
      <c r="AC2192" t="s">
        <v>1414</v>
      </c>
    </row>
    <row r="2193" spans="1:29" x14ac:dyDescent="0.25">
      <c r="A2193">
        <v>135</v>
      </c>
      <c r="B2193" t="s">
        <v>215</v>
      </c>
      <c r="C2193" t="s">
        <v>77</v>
      </c>
      <c r="D2193" t="s">
        <v>203</v>
      </c>
      <c r="E2193">
        <v>6</v>
      </c>
      <c r="F2193">
        <v>188</v>
      </c>
      <c r="G2193">
        <v>2348</v>
      </c>
      <c r="H2193">
        <v>6</v>
      </c>
      <c r="I2193">
        <v>20.61</v>
      </c>
      <c r="J2193">
        <v>123.67</v>
      </c>
      <c r="K2193" t="s">
        <v>97</v>
      </c>
      <c r="L2193" t="s">
        <v>1413</v>
      </c>
      <c r="O2193" t="s">
        <v>81</v>
      </c>
      <c r="P2193" t="s">
        <v>81</v>
      </c>
      <c r="Q2193">
        <v>4</v>
      </c>
      <c r="R2193" t="s">
        <v>1135</v>
      </c>
      <c r="T2193" t="s">
        <v>38</v>
      </c>
      <c r="V2193" t="s">
        <v>921</v>
      </c>
      <c r="Z2193" t="s">
        <v>1357</v>
      </c>
      <c r="AA2193" t="s">
        <v>39</v>
      </c>
      <c r="AC2193" t="s">
        <v>1414</v>
      </c>
    </row>
    <row r="2194" spans="1:29" x14ac:dyDescent="0.25">
      <c r="A2194">
        <v>136</v>
      </c>
      <c r="B2194" t="s">
        <v>216</v>
      </c>
      <c r="C2194" t="s">
        <v>77</v>
      </c>
      <c r="D2194" t="s">
        <v>203</v>
      </c>
      <c r="E2194">
        <v>6</v>
      </c>
      <c r="F2194">
        <v>188</v>
      </c>
      <c r="G2194">
        <v>2348</v>
      </c>
      <c r="H2194">
        <v>8</v>
      </c>
      <c r="I2194">
        <v>20.61</v>
      </c>
      <c r="J2194">
        <v>164.9</v>
      </c>
      <c r="K2194" t="s">
        <v>97</v>
      </c>
      <c r="L2194" t="s">
        <v>1413</v>
      </c>
      <c r="O2194" t="s">
        <v>81</v>
      </c>
      <c r="P2194" t="s">
        <v>81</v>
      </c>
      <c r="Q2194">
        <v>4</v>
      </c>
      <c r="R2194" t="s">
        <v>1135</v>
      </c>
      <c r="T2194" t="s">
        <v>38</v>
      </c>
      <c r="V2194" t="s">
        <v>921</v>
      </c>
      <c r="Z2194" t="s">
        <v>1357</v>
      </c>
      <c r="AA2194" t="s">
        <v>39</v>
      </c>
      <c r="AC2194" t="s">
        <v>1414</v>
      </c>
    </row>
    <row r="2195" spans="1:29" x14ac:dyDescent="0.25">
      <c r="A2195">
        <v>137</v>
      </c>
      <c r="B2195" t="s">
        <v>195</v>
      </c>
      <c r="C2195" t="s">
        <v>77</v>
      </c>
      <c r="D2195" t="s">
        <v>122</v>
      </c>
      <c r="E2195">
        <v>6</v>
      </c>
      <c r="F2195">
        <v>328</v>
      </c>
      <c r="G2195">
        <v>934</v>
      </c>
      <c r="H2195">
        <v>7</v>
      </c>
      <c r="I2195">
        <v>14.43</v>
      </c>
      <c r="J2195">
        <v>101</v>
      </c>
      <c r="K2195" t="s">
        <v>97</v>
      </c>
      <c r="L2195" t="s">
        <v>1413</v>
      </c>
      <c r="O2195" t="s">
        <v>81</v>
      </c>
      <c r="Q2195">
        <v>4</v>
      </c>
      <c r="R2195" t="s">
        <v>1135</v>
      </c>
      <c r="T2195" t="s">
        <v>38</v>
      </c>
      <c r="V2195" t="s">
        <v>921</v>
      </c>
      <c r="Z2195" t="s">
        <v>1357</v>
      </c>
      <c r="AA2195" t="s">
        <v>39</v>
      </c>
      <c r="AC2195" t="s">
        <v>1414</v>
      </c>
    </row>
    <row r="2196" spans="1:29" x14ac:dyDescent="0.25">
      <c r="A2196">
        <v>138</v>
      </c>
      <c r="B2196" t="s">
        <v>207</v>
      </c>
      <c r="C2196" t="s">
        <v>77</v>
      </c>
      <c r="D2196" t="s">
        <v>203</v>
      </c>
      <c r="E2196">
        <v>6</v>
      </c>
      <c r="F2196">
        <v>188</v>
      </c>
      <c r="G2196">
        <v>2348</v>
      </c>
      <c r="H2196">
        <v>3</v>
      </c>
      <c r="I2196">
        <v>20.61</v>
      </c>
      <c r="J2196">
        <v>61.84</v>
      </c>
      <c r="K2196" t="s">
        <v>97</v>
      </c>
      <c r="L2196" t="s">
        <v>1413</v>
      </c>
      <c r="O2196" t="s">
        <v>81</v>
      </c>
      <c r="P2196" t="s">
        <v>81</v>
      </c>
      <c r="Q2196">
        <v>4</v>
      </c>
      <c r="R2196" t="s">
        <v>1135</v>
      </c>
      <c r="T2196" t="s">
        <v>38</v>
      </c>
      <c r="V2196" t="s">
        <v>921</v>
      </c>
      <c r="Z2196" t="s">
        <v>1357</v>
      </c>
      <c r="AA2196" t="s">
        <v>39</v>
      </c>
      <c r="AC2196" t="s">
        <v>1414</v>
      </c>
    </row>
    <row r="2197" spans="1:29" x14ac:dyDescent="0.25">
      <c r="A2197">
        <v>139</v>
      </c>
      <c r="B2197" t="s">
        <v>217</v>
      </c>
      <c r="C2197" t="s">
        <v>77</v>
      </c>
      <c r="D2197" t="s">
        <v>122</v>
      </c>
      <c r="E2197">
        <v>6</v>
      </c>
      <c r="F2197">
        <v>328</v>
      </c>
      <c r="G2197">
        <v>934</v>
      </c>
      <c r="H2197">
        <v>9</v>
      </c>
      <c r="I2197">
        <v>14.43</v>
      </c>
      <c r="J2197">
        <v>129.86000000000001</v>
      </c>
      <c r="K2197" t="s">
        <v>97</v>
      </c>
      <c r="L2197" t="s">
        <v>1413</v>
      </c>
      <c r="O2197" t="s">
        <v>81</v>
      </c>
      <c r="Q2197">
        <v>4</v>
      </c>
      <c r="R2197" t="s">
        <v>1135</v>
      </c>
      <c r="T2197" t="s">
        <v>38</v>
      </c>
      <c r="V2197" t="s">
        <v>921</v>
      </c>
      <c r="Z2197" t="s">
        <v>1357</v>
      </c>
      <c r="AA2197" t="s">
        <v>39</v>
      </c>
      <c r="AC2197" t="s">
        <v>1414</v>
      </c>
    </row>
    <row r="2198" spans="1:29" x14ac:dyDescent="0.25">
      <c r="A2198">
        <v>140</v>
      </c>
      <c r="B2198" t="s">
        <v>148</v>
      </c>
      <c r="C2198" t="s">
        <v>77</v>
      </c>
      <c r="D2198" t="s">
        <v>122</v>
      </c>
      <c r="E2198">
        <v>6</v>
      </c>
      <c r="F2198">
        <v>328</v>
      </c>
      <c r="G2198">
        <v>934</v>
      </c>
      <c r="H2198">
        <v>4</v>
      </c>
      <c r="I2198">
        <v>14.43</v>
      </c>
      <c r="J2198">
        <v>57.72</v>
      </c>
      <c r="K2198" t="s">
        <v>97</v>
      </c>
      <c r="L2198" t="s">
        <v>1413</v>
      </c>
      <c r="O2198" t="s">
        <v>81</v>
      </c>
      <c r="Q2198">
        <v>4</v>
      </c>
      <c r="R2198" t="s">
        <v>1135</v>
      </c>
      <c r="T2198" t="s">
        <v>38</v>
      </c>
      <c r="V2198" t="s">
        <v>921</v>
      </c>
      <c r="Z2198" t="s">
        <v>1357</v>
      </c>
      <c r="AA2198" t="s">
        <v>39</v>
      </c>
      <c r="AC2198" t="s">
        <v>1414</v>
      </c>
    </row>
    <row r="2199" spans="1:29" x14ac:dyDescent="0.25">
      <c r="A2199">
        <v>141</v>
      </c>
      <c r="B2199" t="s">
        <v>123</v>
      </c>
      <c r="C2199" t="s">
        <v>77</v>
      </c>
      <c r="D2199" t="s">
        <v>117</v>
      </c>
      <c r="E2199">
        <v>6</v>
      </c>
      <c r="F2199">
        <v>298</v>
      </c>
      <c r="G2199">
        <v>378</v>
      </c>
      <c r="H2199">
        <v>2</v>
      </c>
      <c r="I2199">
        <v>5.27</v>
      </c>
      <c r="J2199">
        <v>10.54</v>
      </c>
      <c r="K2199" t="s">
        <v>97</v>
      </c>
      <c r="L2199" t="s">
        <v>1413</v>
      </c>
      <c r="Q2199">
        <v>4</v>
      </c>
      <c r="R2199" t="s">
        <v>1135</v>
      </c>
      <c r="T2199" t="s">
        <v>38</v>
      </c>
      <c r="V2199" t="s">
        <v>921</v>
      </c>
      <c r="W2199" t="s">
        <v>81</v>
      </c>
      <c r="Z2199" t="s">
        <v>1357</v>
      </c>
      <c r="AA2199" t="s">
        <v>39</v>
      </c>
      <c r="AC2199" t="s">
        <v>1414</v>
      </c>
    </row>
    <row r="2200" spans="1:29" x14ac:dyDescent="0.25">
      <c r="A2200">
        <v>142</v>
      </c>
      <c r="B2200" t="s">
        <v>179</v>
      </c>
      <c r="C2200" t="s">
        <v>77</v>
      </c>
      <c r="D2200" t="s">
        <v>122</v>
      </c>
      <c r="E2200">
        <v>6</v>
      </c>
      <c r="F2200">
        <v>328</v>
      </c>
      <c r="G2200">
        <v>934</v>
      </c>
      <c r="H2200">
        <v>1</v>
      </c>
      <c r="I2200">
        <v>14.43</v>
      </c>
      <c r="J2200">
        <v>14.43</v>
      </c>
      <c r="K2200" t="s">
        <v>985</v>
      </c>
      <c r="L2200" t="s">
        <v>1415</v>
      </c>
      <c r="O2200" t="s">
        <v>81</v>
      </c>
      <c r="Q2200">
        <v>4</v>
      </c>
      <c r="R2200" t="s">
        <v>1135</v>
      </c>
      <c r="T2200" t="s">
        <v>38</v>
      </c>
      <c r="V2200" t="s">
        <v>921</v>
      </c>
      <c r="Z2200" t="s">
        <v>1357</v>
      </c>
      <c r="AA2200" t="s">
        <v>987</v>
      </c>
      <c r="AC2200" t="s">
        <v>1416</v>
      </c>
    </row>
    <row r="2201" spans="1:29" x14ac:dyDescent="0.25">
      <c r="A2201">
        <v>143</v>
      </c>
      <c r="B2201" t="s">
        <v>206</v>
      </c>
      <c r="C2201" t="s">
        <v>77</v>
      </c>
      <c r="D2201" t="s">
        <v>203</v>
      </c>
      <c r="E2201">
        <v>6</v>
      </c>
      <c r="F2201">
        <v>188</v>
      </c>
      <c r="G2201">
        <v>2348</v>
      </c>
      <c r="H2201">
        <v>2</v>
      </c>
      <c r="I2201">
        <v>20.62</v>
      </c>
      <c r="J2201">
        <v>41.23</v>
      </c>
      <c r="K2201" t="s">
        <v>985</v>
      </c>
      <c r="L2201" t="s">
        <v>1415</v>
      </c>
      <c r="O2201" t="s">
        <v>81</v>
      </c>
      <c r="P2201" t="s">
        <v>81</v>
      </c>
      <c r="Q2201">
        <v>4</v>
      </c>
      <c r="R2201" t="s">
        <v>1135</v>
      </c>
      <c r="T2201" t="s">
        <v>38</v>
      </c>
      <c r="V2201" t="s">
        <v>921</v>
      </c>
      <c r="Z2201" t="s">
        <v>1357</v>
      </c>
      <c r="AA2201" t="s">
        <v>987</v>
      </c>
      <c r="AC2201" t="s">
        <v>1416</v>
      </c>
    </row>
    <row r="2202" spans="1:29" x14ac:dyDescent="0.25">
      <c r="A2202">
        <v>144</v>
      </c>
      <c r="B2202" t="s">
        <v>196</v>
      </c>
      <c r="C2202" t="s">
        <v>77</v>
      </c>
      <c r="D2202" t="s">
        <v>159</v>
      </c>
      <c r="E2202">
        <v>6</v>
      </c>
      <c r="F2202">
        <v>328</v>
      </c>
      <c r="G2202">
        <v>894</v>
      </c>
      <c r="H2202">
        <v>1</v>
      </c>
      <c r="I2202">
        <v>13.81</v>
      </c>
      <c r="J2202">
        <v>13.81</v>
      </c>
      <c r="K2202" t="s">
        <v>985</v>
      </c>
      <c r="L2202" t="s">
        <v>1415</v>
      </c>
      <c r="O2202" t="s">
        <v>81</v>
      </c>
      <c r="Q2202">
        <v>4</v>
      </c>
      <c r="R2202" t="s">
        <v>1135</v>
      </c>
      <c r="T2202" t="s">
        <v>38</v>
      </c>
      <c r="V2202" t="s">
        <v>921</v>
      </c>
      <c r="Z2202" t="s">
        <v>1357</v>
      </c>
      <c r="AA2202" t="s">
        <v>987</v>
      </c>
      <c r="AC2202" t="s">
        <v>1416</v>
      </c>
    </row>
    <row r="2203" spans="1:29" x14ac:dyDescent="0.25">
      <c r="A2203">
        <v>145</v>
      </c>
      <c r="B2203" t="s">
        <v>220</v>
      </c>
      <c r="C2203" t="s">
        <v>77</v>
      </c>
      <c r="D2203" t="s">
        <v>203</v>
      </c>
      <c r="E2203">
        <v>6</v>
      </c>
      <c r="F2203">
        <v>188</v>
      </c>
      <c r="G2203">
        <v>2348</v>
      </c>
      <c r="H2203">
        <v>12</v>
      </c>
      <c r="I2203">
        <v>20.61</v>
      </c>
      <c r="J2203">
        <v>247.35</v>
      </c>
      <c r="K2203" t="s">
        <v>985</v>
      </c>
      <c r="L2203" t="s">
        <v>1415</v>
      </c>
      <c r="O2203" t="s">
        <v>81</v>
      </c>
      <c r="P2203" t="s">
        <v>81</v>
      </c>
      <c r="Q2203">
        <v>4</v>
      </c>
      <c r="R2203" t="s">
        <v>1135</v>
      </c>
      <c r="T2203" t="s">
        <v>38</v>
      </c>
      <c r="V2203" t="s">
        <v>921</v>
      </c>
      <c r="Z2203" t="s">
        <v>1357</v>
      </c>
      <c r="AA2203" t="s">
        <v>987</v>
      </c>
      <c r="AC2203" t="s">
        <v>1416</v>
      </c>
    </row>
    <row r="2204" spans="1:29" x14ac:dyDescent="0.25">
      <c r="A2204">
        <v>146</v>
      </c>
      <c r="B2204" t="s">
        <v>116</v>
      </c>
      <c r="C2204" t="s">
        <v>77</v>
      </c>
      <c r="D2204" t="s">
        <v>117</v>
      </c>
      <c r="E2204">
        <v>6</v>
      </c>
      <c r="F2204">
        <v>298</v>
      </c>
      <c r="G2204">
        <v>378</v>
      </c>
      <c r="H2204">
        <v>1</v>
      </c>
      <c r="I2204">
        <v>5.27</v>
      </c>
      <c r="J2204">
        <v>5.27</v>
      </c>
      <c r="K2204" t="s">
        <v>985</v>
      </c>
      <c r="L2204" t="s">
        <v>1415</v>
      </c>
      <c r="Q2204">
        <v>4</v>
      </c>
      <c r="R2204" t="s">
        <v>1135</v>
      </c>
      <c r="T2204" t="s">
        <v>38</v>
      </c>
      <c r="V2204" t="s">
        <v>921</v>
      </c>
      <c r="W2204" t="s">
        <v>81</v>
      </c>
      <c r="Z2204" t="s">
        <v>1357</v>
      </c>
      <c r="AA2204" t="s">
        <v>987</v>
      </c>
      <c r="AC2204" t="s">
        <v>1416</v>
      </c>
    </row>
    <row r="2205" spans="1:29" x14ac:dyDescent="0.25">
      <c r="A2205">
        <v>147</v>
      </c>
      <c r="B2205" t="s">
        <v>123</v>
      </c>
      <c r="C2205" t="s">
        <v>77</v>
      </c>
      <c r="D2205" t="s">
        <v>117</v>
      </c>
      <c r="E2205">
        <v>6</v>
      </c>
      <c r="F2205">
        <v>298</v>
      </c>
      <c r="G2205">
        <v>378</v>
      </c>
      <c r="H2205">
        <v>2</v>
      </c>
      <c r="I2205">
        <v>5.27</v>
      </c>
      <c r="J2205">
        <v>10.54</v>
      </c>
      <c r="K2205" t="s">
        <v>985</v>
      </c>
      <c r="L2205" t="s">
        <v>1415</v>
      </c>
      <c r="Q2205">
        <v>4</v>
      </c>
      <c r="R2205" t="s">
        <v>1135</v>
      </c>
      <c r="T2205" t="s">
        <v>38</v>
      </c>
      <c r="V2205" t="s">
        <v>921</v>
      </c>
      <c r="W2205" t="s">
        <v>81</v>
      </c>
      <c r="Z2205" t="s">
        <v>1357</v>
      </c>
      <c r="AA2205" t="s">
        <v>987</v>
      </c>
      <c r="AC2205" t="s">
        <v>1416</v>
      </c>
    </row>
    <row r="2206" spans="1:29" x14ac:dyDescent="0.25">
      <c r="A2206">
        <v>148</v>
      </c>
      <c r="B2206" t="s">
        <v>171</v>
      </c>
      <c r="C2206" t="s">
        <v>77</v>
      </c>
      <c r="D2206" t="s">
        <v>117</v>
      </c>
      <c r="E2206">
        <v>6</v>
      </c>
      <c r="F2206">
        <v>298</v>
      </c>
      <c r="G2206">
        <v>378</v>
      </c>
      <c r="H2206">
        <v>2</v>
      </c>
      <c r="I2206">
        <v>5.27</v>
      </c>
      <c r="J2206">
        <v>10.54</v>
      </c>
      <c r="K2206" t="s">
        <v>985</v>
      </c>
      <c r="L2206" t="s">
        <v>1415</v>
      </c>
      <c r="Q2206">
        <v>4</v>
      </c>
      <c r="R2206" t="s">
        <v>1135</v>
      </c>
      <c r="T2206" t="s">
        <v>38</v>
      </c>
      <c r="V2206" t="s">
        <v>921</v>
      </c>
      <c r="W2206" t="s">
        <v>81</v>
      </c>
      <c r="Z2206" t="s">
        <v>1357</v>
      </c>
      <c r="AA2206" t="s">
        <v>987</v>
      </c>
      <c r="AC2206" t="s">
        <v>1416</v>
      </c>
    </row>
    <row r="2207" spans="1:29" x14ac:dyDescent="0.25">
      <c r="A2207">
        <v>149</v>
      </c>
      <c r="B2207" t="s">
        <v>221</v>
      </c>
      <c r="C2207" t="s">
        <v>77</v>
      </c>
      <c r="D2207" t="s">
        <v>222</v>
      </c>
      <c r="E2207">
        <v>8</v>
      </c>
      <c r="F2207">
        <v>334</v>
      </c>
      <c r="G2207">
        <v>11992</v>
      </c>
      <c r="H2207">
        <v>4</v>
      </c>
      <c r="I2207">
        <v>245.5</v>
      </c>
      <c r="J2207">
        <v>981.99</v>
      </c>
      <c r="K2207" t="s">
        <v>223</v>
      </c>
      <c r="L2207" t="s">
        <v>1417</v>
      </c>
      <c r="Q2207">
        <v>4</v>
      </c>
      <c r="R2207" t="s">
        <v>1135</v>
      </c>
      <c r="T2207" t="s">
        <v>38</v>
      </c>
      <c r="V2207" t="s">
        <v>921</v>
      </c>
      <c r="Y2207" t="s">
        <v>81</v>
      </c>
      <c r="Z2207" t="s">
        <v>1357</v>
      </c>
      <c r="AA2207" t="s">
        <v>39</v>
      </c>
      <c r="AC2207" t="s">
        <v>1418</v>
      </c>
    </row>
    <row r="2208" spans="1:29" x14ac:dyDescent="0.25">
      <c r="A2208">
        <v>150</v>
      </c>
      <c r="B2208" t="s">
        <v>226</v>
      </c>
      <c r="C2208" t="s">
        <v>77</v>
      </c>
      <c r="D2208" t="s">
        <v>227</v>
      </c>
      <c r="E2208">
        <v>8</v>
      </c>
      <c r="F2208">
        <v>334</v>
      </c>
      <c r="G2208">
        <v>11998</v>
      </c>
      <c r="H2208">
        <v>1</v>
      </c>
      <c r="I2208">
        <v>244.33</v>
      </c>
      <c r="J2208">
        <v>244.33</v>
      </c>
      <c r="K2208" t="s">
        <v>223</v>
      </c>
      <c r="L2208" t="s">
        <v>1417</v>
      </c>
      <c r="N2208" t="s">
        <v>228</v>
      </c>
      <c r="Q2208">
        <v>4</v>
      </c>
      <c r="R2208" t="s">
        <v>1135</v>
      </c>
      <c r="T2208" t="s">
        <v>38</v>
      </c>
      <c r="V2208" t="s">
        <v>921</v>
      </c>
      <c r="Y2208" t="s">
        <v>81</v>
      </c>
      <c r="Z2208" t="s">
        <v>1357</v>
      </c>
      <c r="AA2208" t="s">
        <v>39</v>
      </c>
      <c r="AC2208" t="s">
        <v>1418</v>
      </c>
    </row>
    <row r="2209" spans="1:29" x14ac:dyDescent="0.25">
      <c r="A2209">
        <v>151</v>
      </c>
      <c r="B2209" t="s">
        <v>229</v>
      </c>
      <c r="C2209" t="s">
        <v>77</v>
      </c>
      <c r="D2209" t="s">
        <v>230</v>
      </c>
      <c r="E2209">
        <v>8</v>
      </c>
      <c r="F2209">
        <v>90</v>
      </c>
      <c r="G2209">
        <v>150</v>
      </c>
      <c r="H2209">
        <v>1</v>
      </c>
      <c r="I2209">
        <v>0.62</v>
      </c>
      <c r="J2209">
        <v>0.62</v>
      </c>
      <c r="K2209" t="s">
        <v>223</v>
      </c>
      <c r="L2209" t="s">
        <v>1417</v>
      </c>
      <c r="Q2209">
        <v>4</v>
      </c>
      <c r="R2209" t="s">
        <v>1135</v>
      </c>
      <c r="T2209" t="s">
        <v>38</v>
      </c>
      <c r="V2209" t="s">
        <v>921</v>
      </c>
      <c r="W2209" t="s">
        <v>81</v>
      </c>
      <c r="Z2209" t="s">
        <v>1357</v>
      </c>
      <c r="AA2209" t="s">
        <v>39</v>
      </c>
      <c r="AC2209" t="s">
        <v>1418</v>
      </c>
    </row>
    <row r="2210" spans="1:29" x14ac:dyDescent="0.25">
      <c r="A2210">
        <v>152</v>
      </c>
      <c r="B2210" t="s">
        <v>231</v>
      </c>
      <c r="C2210" t="s">
        <v>77</v>
      </c>
      <c r="D2210" t="s">
        <v>232</v>
      </c>
      <c r="E2210">
        <v>8</v>
      </c>
      <c r="F2210">
        <v>150</v>
      </c>
      <c r="G2210">
        <v>4252</v>
      </c>
      <c r="H2210">
        <v>2</v>
      </c>
      <c r="I2210">
        <v>40.06</v>
      </c>
      <c r="J2210">
        <v>80.11</v>
      </c>
      <c r="K2210" t="s">
        <v>223</v>
      </c>
      <c r="L2210" t="s">
        <v>1417</v>
      </c>
      <c r="Q2210">
        <v>4</v>
      </c>
      <c r="R2210" t="s">
        <v>1135</v>
      </c>
      <c r="T2210" t="s">
        <v>38</v>
      </c>
      <c r="V2210" t="s">
        <v>921</v>
      </c>
      <c r="Y2210" t="s">
        <v>81</v>
      </c>
      <c r="Z2210" t="s">
        <v>1357</v>
      </c>
      <c r="AA2210" t="s">
        <v>39</v>
      </c>
      <c r="AC2210" t="s">
        <v>1418</v>
      </c>
    </row>
    <row r="2211" spans="1:29" x14ac:dyDescent="0.25">
      <c r="A2211">
        <v>153</v>
      </c>
      <c r="B2211" t="s">
        <v>233</v>
      </c>
      <c r="C2211" t="s">
        <v>77</v>
      </c>
      <c r="D2211" t="s">
        <v>234</v>
      </c>
      <c r="E2211">
        <v>8</v>
      </c>
      <c r="F2211">
        <v>150</v>
      </c>
      <c r="G2211">
        <v>6824</v>
      </c>
      <c r="H2211">
        <v>2</v>
      </c>
      <c r="I2211">
        <v>64.28</v>
      </c>
      <c r="J2211">
        <v>128.56</v>
      </c>
      <c r="K2211" t="s">
        <v>223</v>
      </c>
      <c r="L2211" t="s">
        <v>1417</v>
      </c>
      <c r="Q2211">
        <v>4</v>
      </c>
      <c r="R2211" t="s">
        <v>1135</v>
      </c>
      <c r="T2211" t="s">
        <v>38</v>
      </c>
      <c r="V2211" t="s">
        <v>921</v>
      </c>
      <c r="Y2211" t="s">
        <v>81</v>
      </c>
      <c r="Z2211" t="s">
        <v>1357</v>
      </c>
      <c r="AA2211" t="s">
        <v>39</v>
      </c>
      <c r="AC2211" t="s">
        <v>1418</v>
      </c>
    </row>
    <row r="2212" spans="1:29" x14ac:dyDescent="0.25">
      <c r="A2212">
        <v>154</v>
      </c>
      <c r="B2212" t="s">
        <v>235</v>
      </c>
      <c r="C2212" t="s">
        <v>77</v>
      </c>
      <c r="D2212" t="s">
        <v>236</v>
      </c>
      <c r="E2212">
        <v>8</v>
      </c>
      <c r="F2212">
        <v>150</v>
      </c>
      <c r="G2212">
        <v>792</v>
      </c>
      <c r="H2212">
        <v>2</v>
      </c>
      <c r="I2212">
        <v>7.46</v>
      </c>
      <c r="J2212">
        <v>14.92</v>
      </c>
      <c r="K2212" t="s">
        <v>223</v>
      </c>
      <c r="L2212" t="s">
        <v>1417</v>
      </c>
      <c r="Q2212">
        <v>4</v>
      </c>
      <c r="R2212" t="s">
        <v>1135</v>
      </c>
      <c r="T2212" t="s">
        <v>38</v>
      </c>
      <c r="V2212" t="s">
        <v>921</v>
      </c>
      <c r="Y2212" t="s">
        <v>81</v>
      </c>
      <c r="Z2212" t="s">
        <v>1357</v>
      </c>
      <c r="AA2212" t="s">
        <v>39</v>
      </c>
      <c r="AC2212" t="s">
        <v>1418</v>
      </c>
    </row>
    <row r="2213" spans="1:29" x14ac:dyDescent="0.25">
      <c r="A2213">
        <v>155</v>
      </c>
      <c r="B2213" t="s">
        <v>237</v>
      </c>
      <c r="C2213" t="s">
        <v>77</v>
      </c>
      <c r="D2213" t="s">
        <v>238</v>
      </c>
      <c r="E2213">
        <v>8</v>
      </c>
      <c r="F2213">
        <v>148</v>
      </c>
      <c r="G2213">
        <v>441</v>
      </c>
      <c r="H2213">
        <v>1</v>
      </c>
      <c r="I2213">
        <v>4.0999999999999996</v>
      </c>
      <c r="J2213">
        <v>4.0999999999999996</v>
      </c>
      <c r="K2213" t="s">
        <v>223</v>
      </c>
      <c r="L2213" t="s">
        <v>1419</v>
      </c>
      <c r="Q2213">
        <v>4</v>
      </c>
      <c r="R2213" t="s">
        <v>1135</v>
      </c>
      <c r="T2213" t="s">
        <v>38</v>
      </c>
      <c r="V2213" t="s">
        <v>921</v>
      </c>
      <c r="W2213" t="s">
        <v>81</v>
      </c>
      <c r="Z2213" t="s">
        <v>1357</v>
      </c>
      <c r="AA2213" t="s">
        <v>39</v>
      </c>
      <c r="AC2213" t="s">
        <v>1420</v>
      </c>
    </row>
    <row r="2214" spans="1:29" x14ac:dyDescent="0.25">
      <c r="A2214">
        <v>156</v>
      </c>
      <c r="B2214" t="s">
        <v>241</v>
      </c>
      <c r="C2214" t="s">
        <v>77</v>
      </c>
      <c r="D2214" t="s">
        <v>242</v>
      </c>
      <c r="E2214">
        <v>8</v>
      </c>
      <c r="F2214">
        <v>156</v>
      </c>
      <c r="G2214">
        <v>465</v>
      </c>
      <c r="H2214">
        <v>1</v>
      </c>
      <c r="I2214">
        <v>4.55</v>
      </c>
      <c r="J2214">
        <v>4.55</v>
      </c>
      <c r="K2214" t="s">
        <v>223</v>
      </c>
      <c r="L2214" t="s">
        <v>1419</v>
      </c>
      <c r="Q2214">
        <v>4</v>
      </c>
      <c r="R2214" t="s">
        <v>1135</v>
      </c>
      <c r="T2214" t="s">
        <v>38</v>
      </c>
      <c r="V2214" t="s">
        <v>921</v>
      </c>
      <c r="W2214" t="s">
        <v>81</v>
      </c>
      <c r="Z2214" t="s">
        <v>1357</v>
      </c>
      <c r="AA2214" t="s">
        <v>39</v>
      </c>
      <c r="AC2214" t="s">
        <v>1420</v>
      </c>
    </row>
    <row r="2215" spans="1:29" x14ac:dyDescent="0.25">
      <c r="A2215">
        <v>157</v>
      </c>
      <c r="B2215" t="s">
        <v>243</v>
      </c>
      <c r="C2215" t="s">
        <v>77</v>
      </c>
      <c r="D2215" t="s">
        <v>244</v>
      </c>
      <c r="E2215">
        <v>8</v>
      </c>
      <c r="F2215">
        <v>464</v>
      </c>
      <c r="G2215">
        <v>12000</v>
      </c>
      <c r="H2215">
        <v>1</v>
      </c>
      <c r="I2215">
        <v>332.54</v>
      </c>
      <c r="J2215">
        <v>332.54</v>
      </c>
      <c r="K2215" t="s">
        <v>223</v>
      </c>
      <c r="L2215" t="s">
        <v>1419</v>
      </c>
      <c r="N2215" t="s">
        <v>228</v>
      </c>
      <c r="Q2215">
        <v>4</v>
      </c>
      <c r="R2215" t="s">
        <v>1135</v>
      </c>
      <c r="T2215" t="s">
        <v>38</v>
      </c>
      <c r="V2215" t="s">
        <v>921</v>
      </c>
      <c r="Y2215" t="s">
        <v>81</v>
      </c>
      <c r="Z2215" t="s">
        <v>1357</v>
      </c>
      <c r="AA2215" t="s">
        <v>39</v>
      </c>
      <c r="AC2215" t="s">
        <v>1420</v>
      </c>
    </row>
    <row r="2216" spans="1:29" x14ac:dyDescent="0.25">
      <c r="A2216">
        <v>158</v>
      </c>
      <c r="B2216" t="s">
        <v>245</v>
      </c>
      <c r="C2216" t="s">
        <v>77</v>
      </c>
      <c r="D2216" t="s">
        <v>246</v>
      </c>
      <c r="E2216">
        <v>8</v>
      </c>
      <c r="F2216">
        <v>342</v>
      </c>
      <c r="G2216">
        <v>11990</v>
      </c>
      <c r="H2216">
        <v>1</v>
      </c>
      <c r="I2216">
        <v>244.16</v>
      </c>
      <c r="J2216">
        <v>244.16</v>
      </c>
      <c r="K2216" t="s">
        <v>223</v>
      </c>
      <c r="L2216" t="s">
        <v>1419</v>
      </c>
      <c r="N2216" t="s">
        <v>228</v>
      </c>
      <c r="Q2216">
        <v>4</v>
      </c>
      <c r="R2216" t="s">
        <v>1135</v>
      </c>
      <c r="T2216" t="s">
        <v>38</v>
      </c>
      <c r="V2216" t="s">
        <v>921</v>
      </c>
      <c r="Y2216" t="s">
        <v>81</v>
      </c>
      <c r="Z2216" t="s">
        <v>1357</v>
      </c>
      <c r="AA2216" t="s">
        <v>39</v>
      </c>
      <c r="AC2216" t="s">
        <v>1420</v>
      </c>
    </row>
    <row r="2217" spans="1:29" x14ac:dyDescent="0.25">
      <c r="A2217">
        <v>159</v>
      </c>
      <c r="B2217" t="s">
        <v>226</v>
      </c>
      <c r="C2217" t="s">
        <v>77</v>
      </c>
      <c r="D2217" t="s">
        <v>227</v>
      </c>
      <c r="E2217">
        <v>8</v>
      </c>
      <c r="F2217">
        <v>334</v>
      </c>
      <c r="G2217">
        <v>11998</v>
      </c>
      <c r="H2217">
        <v>3</v>
      </c>
      <c r="I2217">
        <v>244.33</v>
      </c>
      <c r="J2217">
        <v>732.99</v>
      </c>
      <c r="K2217" t="s">
        <v>223</v>
      </c>
      <c r="L2217" t="s">
        <v>1419</v>
      </c>
      <c r="N2217" t="s">
        <v>228</v>
      </c>
      <c r="Q2217">
        <v>4</v>
      </c>
      <c r="R2217" t="s">
        <v>1135</v>
      </c>
      <c r="T2217" t="s">
        <v>38</v>
      </c>
      <c r="V2217" t="s">
        <v>921</v>
      </c>
      <c r="Y2217" t="s">
        <v>81</v>
      </c>
      <c r="Z2217" t="s">
        <v>1357</v>
      </c>
      <c r="AA2217" t="s">
        <v>39</v>
      </c>
      <c r="AC2217" t="s">
        <v>1420</v>
      </c>
    </row>
    <row r="2218" spans="1:29" x14ac:dyDescent="0.25">
      <c r="A2218">
        <v>160</v>
      </c>
      <c r="B2218" t="s">
        <v>231</v>
      </c>
      <c r="C2218" t="s">
        <v>77</v>
      </c>
      <c r="D2218" t="s">
        <v>232</v>
      </c>
      <c r="E2218">
        <v>8</v>
      </c>
      <c r="F2218">
        <v>150</v>
      </c>
      <c r="G2218">
        <v>4252</v>
      </c>
      <c r="H2218">
        <v>1</v>
      </c>
      <c r="I2218">
        <v>40.049999999999997</v>
      </c>
      <c r="J2218">
        <v>40.049999999999997</v>
      </c>
      <c r="K2218" t="s">
        <v>223</v>
      </c>
      <c r="L2218" t="s">
        <v>1419</v>
      </c>
      <c r="Q2218">
        <v>4</v>
      </c>
      <c r="R2218" t="s">
        <v>1135</v>
      </c>
      <c r="T2218" t="s">
        <v>38</v>
      </c>
      <c r="V2218" t="s">
        <v>921</v>
      </c>
      <c r="Y2218" t="s">
        <v>81</v>
      </c>
      <c r="Z2218" t="s">
        <v>1357</v>
      </c>
      <c r="AA2218" t="s">
        <v>39</v>
      </c>
      <c r="AC2218" t="s">
        <v>1420</v>
      </c>
    </row>
    <row r="2219" spans="1:29" x14ac:dyDescent="0.25">
      <c r="A2219">
        <v>161</v>
      </c>
      <c r="B2219" t="s">
        <v>233</v>
      </c>
      <c r="C2219" t="s">
        <v>77</v>
      </c>
      <c r="D2219" t="s">
        <v>234</v>
      </c>
      <c r="E2219">
        <v>8</v>
      </c>
      <c r="F2219">
        <v>150</v>
      </c>
      <c r="G2219">
        <v>6824</v>
      </c>
      <c r="H2219">
        <v>1</v>
      </c>
      <c r="I2219">
        <v>64.28</v>
      </c>
      <c r="J2219">
        <v>64.28</v>
      </c>
      <c r="K2219" t="s">
        <v>223</v>
      </c>
      <c r="L2219" t="s">
        <v>1419</v>
      </c>
      <c r="Q2219">
        <v>4</v>
      </c>
      <c r="R2219" t="s">
        <v>1135</v>
      </c>
      <c r="T2219" t="s">
        <v>38</v>
      </c>
      <c r="V2219" t="s">
        <v>921</v>
      </c>
      <c r="Y2219" t="s">
        <v>81</v>
      </c>
      <c r="Z2219" t="s">
        <v>1357</v>
      </c>
      <c r="AA2219" t="s">
        <v>39</v>
      </c>
      <c r="AC2219" t="s">
        <v>1420</v>
      </c>
    </row>
    <row r="2220" spans="1:29" x14ac:dyDescent="0.25">
      <c r="A2220">
        <v>162</v>
      </c>
      <c r="B2220" t="s">
        <v>243</v>
      </c>
      <c r="C2220" t="s">
        <v>77</v>
      </c>
      <c r="D2220" t="s">
        <v>244</v>
      </c>
      <c r="E2220">
        <v>8</v>
      </c>
      <c r="F2220">
        <v>464</v>
      </c>
      <c r="G2220">
        <v>12000</v>
      </c>
      <c r="H2220">
        <v>1</v>
      </c>
      <c r="I2220">
        <v>332.54</v>
      </c>
      <c r="J2220">
        <v>332.54</v>
      </c>
      <c r="K2220" t="s">
        <v>223</v>
      </c>
      <c r="L2220" t="s">
        <v>1421</v>
      </c>
      <c r="N2220" t="s">
        <v>228</v>
      </c>
      <c r="Q2220">
        <v>4</v>
      </c>
      <c r="R2220" t="s">
        <v>1135</v>
      </c>
      <c r="T2220" t="s">
        <v>38</v>
      </c>
      <c r="V2220" t="s">
        <v>921</v>
      </c>
      <c r="Y2220" t="s">
        <v>81</v>
      </c>
      <c r="Z2220" t="s">
        <v>1357</v>
      </c>
      <c r="AA2220" t="s">
        <v>39</v>
      </c>
      <c r="AC2220" t="s">
        <v>1422</v>
      </c>
    </row>
    <row r="2221" spans="1:29" x14ac:dyDescent="0.25">
      <c r="A2221">
        <v>163</v>
      </c>
      <c r="B2221" t="s">
        <v>249</v>
      </c>
      <c r="C2221" t="s">
        <v>77</v>
      </c>
      <c r="D2221" t="s">
        <v>250</v>
      </c>
      <c r="E2221">
        <v>8</v>
      </c>
      <c r="F2221">
        <v>347</v>
      </c>
      <c r="G2221">
        <v>12000</v>
      </c>
      <c r="H2221">
        <v>4</v>
      </c>
      <c r="I2221">
        <v>244.38</v>
      </c>
      <c r="J2221">
        <v>977.5</v>
      </c>
      <c r="K2221" t="s">
        <v>223</v>
      </c>
      <c r="L2221" t="s">
        <v>1421</v>
      </c>
      <c r="N2221" t="s">
        <v>228</v>
      </c>
      <c r="Q2221">
        <v>4</v>
      </c>
      <c r="R2221" t="s">
        <v>1135</v>
      </c>
      <c r="T2221" t="s">
        <v>38</v>
      </c>
      <c r="V2221" t="s">
        <v>921</v>
      </c>
      <c r="Y2221" t="s">
        <v>81</v>
      </c>
      <c r="Z2221" t="s">
        <v>1357</v>
      </c>
      <c r="AA2221" t="s">
        <v>39</v>
      </c>
      <c r="AC2221" t="s">
        <v>1422</v>
      </c>
    </row>
    <row r="2222" spans="1:29" x14ac:dyDescent="0.25">
      <c r="A2222">
        <v>164</v>
      </c>
      <c r="B2222" t="s">
        <v>229</v>
      </c>
      <c r="C2222" t="s">
        <v>77</v>
      </c>
      <c r="D2222" t="s">
        <v>230</v>
      </c>
      <c r="E2222">
        <v>8</v>
      </c>
      <c r="F2222">
        <v>90</v>
      </c>
      <c r="G2222">
        <v>150</v>
      </c>
      <c r="H2222">
        <v>1</v>
      </c>
      <c r="I2222">
        <v>0.62</v>
      </c>
      <c r="J2222">
        <v>0.62</v>
      </c>
      <c r="K2222" t="s">
        <v>223</v>
      </c>
      <c r="L2222" t="s">
        <v>1421</v>
      </c>
      <c r="Q2222">
        <v>4</v>
      </c>
      <c r="R2222" t="s">
        <v>1135</v>
      </c>
      <c r="T2222" t="s">
        <v>38</v>
      </c>
      <c r="V2222" t="s">
        <v>921</v>
      </c>
      <c r="W2222" t="s">
        <v>81</v>
      </c>
      <c r="Z2222" t="s">
        <v>1357</v>
      </c>
      <c r="AA2222" t="s">
        <v>39</v>
      </c>
      <c r="AC2222" t="s">
        <v>1422</v>
      </c>
    </row>
    <row r="2223" spans="1:29" x14ac:dyDescent="0.25">
      <c r="A2223">
        <v>165</v>
      </c>
      <c r="B2223" t="s">
        <v>231</v>
      </c>
      <c r="C2223" t="s">
        <v>77</v>
      </c>
      <c r="D2223" t="s">
        <v>232</v>
      </c>
      <c r="E2223">
        <v>8</v>
      </c>
      <c r="F2223">
        <v>150</v>
      </c>
      <c r="G2223">
        <v>4252</v>
      </c>
      <c r="H2223">
        <v>1</v>
      </c>
      <c r="I2223">
        <v>40.049999999999997</v>
      </c>
      <c r="J2223">
        <v>40.049999999999997</v>
      </c>
      <c r="K2223" t="s">
        <v>223</v>
      </c>
      <c r="L2223" t="s">
        <v>1421</v>
      </c>
      <c r="Q2223">
        <v>4</v>
      </c>
      <c r="R2223" t="s">
        <v>1135</v>
      </c>
      <c r="T2223" t="s">
        <v>38</v>
      </c>
      <c r="V2223" t="s">
        <v>921</v>
      </c>
      <c r="Y2223" t="s">
        <v>81</v>
      </c>
      <c r="Z2223" t="s">
        <v>1357</v>
      </c>
      <c r="AA2223" t="s">
        <v>39</v>
      </c>
      <c r="AC2223" t="s">
        <v>1422</v>
      </c>
    </row>
    <row r="2224" spans="1:29" x14ac:dyDescent="0.25">
      <c r="A2224">
        <v>166</v>
      </c>
      <c r="B2224" t="s">
        <v>233</v>
      </c>
      <c r="C2224" t="s">
        <v>77</v>
      </c>
      <c r="D2224" t="s">
        <v>234</v>
      </c>
      <c r="E2224">
        <v>8</v>
      </c>
      <c r="F2224">
        <v>150</v>
      </c>
      <c r="G2224">
        <v>6824</v>
      </c>
      <c r="H2224">
        <v>1</v>
      </c>
      <c r="I2224">
        <v>64.28</v>
      </c>
      <c r="J2224">
        <v>64.28</v>
      </c>
      <c r="K2224" t="s">
        <v>223</v>
      </c>
      <c r="L2224" t="s">
        <v>1421</v>
      </c>
      <c r="Q2224">
        <v>4</v>
      </c>
      <c r="R2224" t="s">
        <v>1135</v>
      </c>
      <c r="T2224" t="s">
        <v>38</v>
      </c>
      <c r="V2224" t="s">
        <v>921</v>
      </c>
      <c r="Y2224" t="s">
        <v>81</v>
      </c>
      <c r="Z2224" t="s">
        <v>1357</v>
      </c>
      <c r="AA2224" t="s">
        <v>39</v>
      </c>
      <c r="AC2224" t="s">
        <v>1422</v>
      </c>
    </row>
    <row r="2225" spans="1:29" x14ac:dyDescent="0.25">
      <c r="A2225">
        <v>167</v>
      </c>
      <c r="B2225" t="s">
        <v>235</v>
      </c>
      <c r="C2225" t="s">
        <v>77</v>
      </c>
      <c r="D2225" t="s">
        <v>236</v>
      </c>
      <c r="E2225">
        <v>8</v>
      </c>
      <c r="F2225">
        <v>150</v>
      </c>
      <c r="G2225">
        <v>792</v>
      </c>
      <c r="H2225">
        <v>1</v>
      </c>
      <c r="I2225">
        <v>7.46</v>
      </c>
      <c r="J2225">
        <v>7.46</v>
      </c>
      <c r="K2225" t="s">
        <v>223</v>
      </c>
      <c r="L2225" t="s">
        <v>1421</v>
      </c>
      <c r="Q2225">
        <v>4</v>
      </c>
      <c r="R2225" t="s">
        <v>1135</v>
      </c>
      <c r="T2225" t="s">
        <v>38</v>
      </c>
      <c r="V2225" t="s">
        <v>921</v>
      </c>
      <c r="Y2225" t="s">
        <v>81</v>
      </c>
      <c r="Z2225" t="s">
        <v>1357</v>
      </c>
      <c r="AA2225" t="s">
        <v>39</v>
      </c>
      <c r="AC2225" t="s">
        <v>1422</v>
      </c>
    </row>
    <row r="2226" spans="1:29" x14ac:dyDescent="0.25">
      <c r="A2226">
        <v>168</v>
      </c>
      <c r="B2226" t="s">
        <v>251</v>
      </c>
      <c r="C2226" t="s">
        <v>77</v>
      </c>
      <c r="D2226" t="s">
        <v>252</v>
      </c>
      <c r="E2226">
        <v>8</v>
      </c>
      <c r="F2226">
        <v>459</v>
      </c>
      <c r="G2226">
        <v>11977</v>
      </c>
      <c r="H2226">
        <v>1</v>
      </c>
      <c r="I2226">
        <v>331.9</v>
      </c>
      <c r="J2226">
        <v>331.9</v>
      </c>
      <c r="K2226" t="s">
        <v>223</v>
      </c>
      <c r="L2226" t="s">
        <v>1423</v>
      </c>
      <c r="N2226" t="s">
        <v>228</v>
      </c>
      <c r="Q2226">
        <v>4</v>
      </c>
      <c r="R2226" t="s">
        <v>1135</v>
      </c>
      <c r="T2226" t="s">
        <v>38</v>
      </c>
      <c r="V2226" t="s">
        <v>921</v>
      </c>
      <c r="Y2226" t="s">
        <v>81</v>
      </c>
      <c r="Z2226" t="s">
        <v>1357</v>
      </c>
      <c r="AA2226" t="s">
        <v>39</v>
      </c>
      <c r="AC2226" t="s">
        <v>1424</v>
      </c>
    </row>
    <row r="2227" spans="1:29" x14ac:dyDescent="0.25">
      <c r="A2227">
        <v>169</v>
      </c>
      <c r="B2227" t="s">
        <v>255</v>
      </c>
      <c r="C2227" t="s">
        <v>77</v>
      </c>
      <c r="D2227" t="s">
        <v>246</v>
      </c>
      <c r="E2227">
        <v>8</v>
      </c>
      <c r="F2227">
        <v>342</v>
      </c>
      <c r="G2227">
        <v>11990</v>
      </c>
      <c r="H2227">
        <v>3</v>
      </c>
      <c r="I2227">
        <v>244.16</v>
      </c>
      <c r="J2227">
        <v>732.47</v>
      </c>
      <c r="K2227" t="s">
        <v>223</v>
      </c>
      <c r="L2227" t="s">
        <v>1423</v>
      </c>
      <c r="N2227" t="s">
        <v>228</v>
      </c>
      <c r="Q2227">
        <v>4</v>
      </c>
      <c r="R2227" t="s">
        <v>1135</v>
      </c>
      <c r="T2227" t="s">
        <v>38</v>
      </c>
      <c r="V2227" t="s">
        <v>921</v>
      </c>
      <c r="Y2227" t="s">
        <v>81</v>
      </c>
      <c r="Z2227" t="s">
        <v>1357</v>
      </c>
      <c r="AA2227" t="s">
        <v>39</v>
      </c>
      <c r="AC2227" t="s">
        <v>1424</v>
      </c>
    </row>
    <row r="2228" spans="1:29" x14ac:dyDescent="0.25">
      <c r="A2228">
        <v>170</v>
      </c>
      <c r="B2228" t="s">
        <v>256</v>
      </c>
      <c r="C2228" t="s">
        <v>77</v>
      </c>
      <c r="D2228" t="s">
        <v>257</v>
      </c>
      <c r="E2228">
        <v>8</v>
      </c>
      <c r="F2228">
        <v>458</v>
      </c>
      <c r="G2228">
        <v>11977</v>
      </c>
      <c r="H2228">
        <v>1</v>
      </c>
      <c r="I2228">
        <v>331.9</v>
      </c>
      <c r="J2228">
        <v>331.9</v>
      </c>
      <c r="K2228" t="s">
        <v>223</v>
      </c>
      <c r="L2228" t="s">
        <v>1423</v>
      </c>
      <c r="N2228" t="s">
        <v>228</v>
      </c>
      <c r="Q2228">
        <v>4</v>
      </c>
      <c r="R2228" t="s">
        <v>1135</v>
      </c>
      <c r="T2228" t="s">
        <v>38</v>
      </c>
      <c r="V2228" t="s">
        <v>921</v>
      </c>
      <c r="Y2228" t="s">
        <v>81</v>
      </c>
      <c r="Z2228" t="s">
        <v>1357</v>
      </c>
      <c r="AA2228" t="s">
        <v>39</v>
      </c>
      <c r="AC2228" t="s">
        <v>1424</v>
      </c>
    </row>
    <row r="2229" spans="1:29" x14ac:dyDescent="0.25">
      <c r="A2229">
        <v>171</v>
      </c>
      <c r="B2229" t="s">
        <v>255</v>
      </c>
      <c r="C2229" t="s">
        <v>77</v>
      </c>
      <c r="D2229" t="s">
        <v>246</v>
      </c>
      <c r="E2229">
        <v>8</v>
      </c>
      <c r="F2229">
        <v>342</v>
      </c>
      <c r="G2229">
        <v>11990</v>
      </c>
      <c r="H2229">
        <v>1</v>
      </c>
      <c r="I2229">
        <v>244.16</v>
      </c>
      <c r="J2229">
        <v>244.16</v>
      </c>
      <c r="K2229" t="s">
        <v>223</v>
      </c>
      <c r="L2229" t="s">
        <v>1425</v>
      </c>
      <c r="N2229" t="s">
        <v>228</v>
      </c>
      <c r="Q2229">
        <v>4</v>
      </c>
      <c r="R2229" t="s">
        <v>1135</v>
      </c>
      <c r="T2229" t="s">
        <v>38</v>
      </c>
      <c r="V2229" t="s">
        <v>921</v>
      </c>
      <c r="Y2229" t="s">
        <v>81</v>
      </c>
      <c r="Z2229" t="s">
        <v>1357</v>
      </c>
      <c r="AA2229" t="s">
        <v>39</v>
      </c>
      <c r="AC2229" t="s">
        <v>1426</v>
      </c>
    </row>
    <row r="2230" spans="1:29" x14ac:dyDescent="0.25">
      <c r="A2230">
        <v>172</v>
      </c>
      <c r="B2230" t="s">
        <v>245</v>
      </c>
      <c r="C2230" t="s">
        <v>77</v>
      </c>
      <c r="D2230" t="s">
        <v>246</v>
      </c>
      <c r="E2230">
        <v>8</v>
      </c>
      <c r="F2230">
        <v>342</v>
      </c>
      <c r="G2230">
        <v>11990</v>
      </c>
      <c r="H2230">
        <v>2</v>
      </c>
      <c r="I2230">
        <v>244.16</v>
      </c>
      <c r="J2230">
        <v>488.31</v>
      </c>
      <c r="K2230" t="s">
        <v>223</v>
      </c>
      <c r="L2230" t="s">
        <v>1425</v>
      </c>
      <c r="N2230" t="s">
        <v>228</v>
      </c>
      <c r="Q2230">
        <v>4</v>
      </c>
      <c r="R2230" t="s">
        <v>1135</v>
      </c>
      <c r="T2230" t="s">
        <v>38</v>
      </c>
      <c r="V2230" t="s">
        <v>921</v>
      </c>
      <c r="Y2230" t="s">
        <v>81</v>
      </c>
      <c r="Z2230" t="s">
        <v>1357</v>
      </c>
      <c r="AA2230" t="s">
        <v>39</v>
      </c>
      <c r="AC2230" t="s">
        <v>1426</v>
      </c>
    </row>
    <row r="2231" spans="1:29" x14ac:dyDescent="0.25">
      <c r="A2231">
        <v>173</v>
      </c>
      <c r="B2231" t="s">
        <v>260</v>
      </c>
      <c r="C2231" t="s">
        <v>77</v>
      </c>
      <c r="D2231" t="s">
        <v>261</v>
      </c>
      <c r="E2231">
        <v>8</v>
      </c>
      <c r="F2231">
        <v>451</v>
      </c>
      <c r="G2231">
        <v>12000</v>
      </c>
      <c r="H2231">
        <v>2</v>
      </c>
      <c r="I2231">
        <v>332.59</v>
      </c>
      <c r="J2231">
        <v>665.18</v>
      </c>
      <c r="K2231" t="s">
        <v>223</v>
      </c>
      <c r="L2231" t="s">
        <v>1425</v>
      </c>
      <c r="N2231" t="s">
        <v>228</v>
      </c>
      <c r="Q2231">
        <v>4</v>
      </c>
      <c r="R2231" t="s">
        <v>1135</v>
      </c>
      <c r="T2231" t="s">
        <v>38</v>
      </c>
      <c r="V2231" t="s">
        <v>921</v>
      </c>
      <c r="Y2231" t="s">
        <v>81</v>
      </c>
      <c r="Z2231" t="s">
        <v>1357</v>
      </c>
      <c r="AA2231" t="s">
        <v>39</v>
      </c>
      <c r="AC2231" t="s">
        <v>1426</v>
      </c>
    </row>
    <row r="2232" spans="1:29" x14ac:dyDescent="0.25">
      <c r="A2232">
        <v>174</v>
      </c>
      <c r="B2232" t="s">
        <v>262</v>
      </c>
      <c r="C2232" t="s">
        <v>77</v>
      </c>
      <c r="D2232" t="s">
        <v>222</v>
      </c>
      <c r="E2232">
        <v>8</v>
      </c>
      <c r="F2232">
        <v>334</v>
      </c>
      <c r="G2232">
        <v>11992</v>
      </c>
      <c r="H2232">
        <v>4</v>
      </c>
      <c r="I2232">
        <v>245.5</v>
      </c>
      <c r="J2232">
        <v>981.99</v>
      </c>
      <c r="K2232" t="s">
        <v>223</v>
      </c>
      <c r="L2232" t="s">
        <v>1427</v>
      </c>
      <c r="Q2232">
        <v>4</v>
      </c>
      <c r="R2232" t="s">
        <v>1135</v>
      </c>
      <c r="T2232" t="s">
        <v>38</v>
      </c>
      <c r="V2232" t="s">
        <v>921</v>
      </c>
      <c r="Y2232" t="s">
        <v>81</v>
      </c>
      <c r="Z2232" t="s">
        <v>1357</v>
      </c>
      <c r="AA2232" t="s">
        <v>39</v>
      </c>
      <c r="AC2232" t="s">
        <v>1428</v>
      </c>
    </row>
    <row r="2233" spans="1:29" x14ac:dyDescent="0.25">
      <c r="A2233">
        <v>175</v>
      </c>
      <c r="B2233" t="s">
        <v>245</v>
      </c>
      <c r="C2233" t="s">
        <v>77</v>
      </c>
      <c r="D2233" t="s">
        <v>246</v>
      </c>
      <c r="E2233">
        <v>8</v>
      </c>
      <c r="F2233">
        <v>342</v>
      </c>
      <c r="G2233">
        <v>11990</v>
      </c>
      <c r="H2233">
        <v>1</v>
      </c>
      <c r="I2233">
        <v>244.16</v>
      </c>
      <c r="J2233">
        <v>244.16</v>
      </c>
      <c r="K2233" t="s">
        <v>223</v>
      </c>
      <c r="L2233" t="s">
        <v>1427</v>
      </c>
      <c r="N2233" t="s">
        <v>228</v>
      </c>
      <c r="Q2233">
        <v>4</v>
      </c>
      <c r="R2233" t="s">
        <v>1135</v>
      </c>
      <c r="T2233" t="s">
        <v>38</v>
      </c>
      <c r="V2233" t="s">
        <v>921</v>
      </c>
      <c r="Y2233" t="s">
        <v>81</v>
      </c>
      <c r="Z2233" t="s">
        <v>1357</v>
      </c>
      <c r="AA2233" t="s">
        <v>39</v>
      </c>
      <c r="AC2233" t="s">
        <v>1428</v>
      </c>
    </row>
    <row r="2234" spans="1:29" x14ac:dyDescent="0.25">
      <c r="A2234">
        <v>176</v>
      </c>
      <c r="B2234" t="s">
        <v>265</v>
      </c>
      <c r="C2234" t="s">
        <v>77</v>
      </c>
      <c r="D2234" t="s">
        <v>266</v>
      </c>
      <c r="E2234">
        <v>8</v>
      </c>
      <c r="F2234">
        <v>124</v>
      </c>
      <c r="G2234">
        <v>4252</v>
      </c>
      <c r="H2234">
        <v>2</v>
      </c>
      <c r="I2234">
        <v>33.11</v>
      </c>
      <c r="J2234">
        <v>66.22</v>
      </c>
      <c r="K2234" t="s">
        <v>223</v>
      </c>
      <c r="L2234" t="s">
        <v>1427</v>
      </c>
      <c r="Q2234">
        <v>4</v>
      </c>
      <c r="R2234" t="s">
        <v>1135</v>
      </c>
      <c r="T2234" t="s">
        <v>38</v>
      </c>
      <c r="V2234" t="s">
        <v>921</v>
      </c>
      <c r="Y2234" t="s">
        <v>81</v>
      </c>
      <c r="Z2234" t="s">
        <v>1357</v>
      </c>
      <c r="AA2234" t="s">
        <v>39</v>
      </c>
      <c r="AC2234" t="s">
        <v>1428</v>
      </c>
    </row>
    <row r="2235" spans="1:29" x14ac:dyDescent="0.25">
      <c r="A2235">
        <v>177</v>
      </c>
      <c r="B2235" t="s">
        <v>267</v>
      </c>
      <c r="C2235" t="s">
        <v>77</v>
      </c>
      <c r="D2235" t="s">
        <v>268</v>
      </c>
      <c r="E2235">
        <v>8</v>
      </c>
      <c r="F2235">
        <v>124</v>
      </c>
      <c r="G2235">
        <v>6824</v>
      </c>
      <c r="H2235">
        <v>2</v>
      </c>
      <c r="I2235">
        <v>53.14</v>
      </c>
      <c r="J2235">
        <v>106.28</v>
      </c>
      <c r="K2235" t="s">
        <v>223</v>
      </c>
      <c r="L2235" t="s">
        <v>1427</v>
      </c>
      <c r="Q2235">
        <v>4</v>
      </c>
      <c r="R2235" t="s">
        <v>1135</v>
      </c>
      <c r="T2235" t="s">
        <v>38</v>
      </c>
      <c r="V2235" t="s">
        <v>921</v>
      </c>
      <c r="Y2235" t="s">
        <v>81</v>
      </c>
      <c r="Z2235" t="s">
        <v>1357</v>
      </c>
      <c r="AA2235" t="s">
        <v>39</v>
      </c>
      <c r="AC2235" t="s">
        <v>1428</v>
      </c>
    </row>
    <row r="2236" spans="1:29" x14ac:dyDescent="0.25">
      <c r="A2236">
        <v>178</v>
      </c>
      <c r="B2236" t="s">
        <v>235</v>
      </c>
      <c r="C2236" t="s">
        <v>77</v>
      </c>
      <c r="D2236" t="s">
        <v>236</v>
      </c>
      <c r="E2236">
        <v>8</v>
      </c>
      <c r="F2236">
        <v>150</v>
      </c>
      <c r="G2236">
        <v>792</v>
      </c>
      <c r="H2236">
        <v>1</v>
      </c>
      <c r="I2236">
        <v>7.46</v>
      </c>
      <c r="J2236">
        <v>7.46</v>
      </c>
      <c r="K2236" t="s">
        <v>223</v>
      </c>
      <c r="L2236" t="s">
        <v>1427</v>
      </c>
      <c r="Q2236">
        <v>4</v>
      </c>
      <c r="R2236" t="s">
        <v>1135</v>
      </c>
      <c r="T2236" t="s">
        <v>38</v>
      </c>
      <c r="V2236" t="s">
        <v>921</v>
      </c>
      <c r="Y2236" t="s">
        <v>81</v>
      </c>
      <c r="Z2236" t="s">
        <v>1357</v>
      </c>
      <c r="AA2236" t="s">
        <v>39</v>
      </c>
      <c r="AC2236" t="s">
        <v>1428</v>
      </c>
    </row>
    <row r="2237" spans="1:29" x14ac:dyDescent="0.25">
      <c r="A2237">
        <v>179</v>
      </c>
      <c r="B2237" t="s">
        <v>269</v>
      </c>
      <c r="C2237" t="s">
        <v>77</v>
      </c>
      <c r="D2237" t="s">
        <v>270</v>
      </c>
      <c r="E2237">
        <v>8</v>
      </c>
      <c r="F2237">
        <v>124</v>
      </c>
      <c r="G2237">
        <v>792</v>
      </c>
      <c r="H2237">
        <v>1</v>
      </c>
      <c r="I2237">
        <v>6.17</v>
      </c>
      <c r="J2237">
        <v>6.17</v>
      </c>
      <c r="K2237" t="s">
        <v>223</v>
      </c>
      <c r="L2237" t="s">
        <v>1427</v>
      </c>
      <c r="Q2237">
        <v>4</v>
      </c>
      <c r="R2237" t="s">
        <v>1135</v>
      </c>
      <c r="T2237" t="s">
        <v>38</v>
      </c>
      <c r="V2237" t="s">
        <v>921</v>
      </c>
      <c r="Y2237" t="s">
        <v>81</v>
      </c>
      <c r="Z2237" t="s">
        <v>1357</v>
      </c>
      <c r="AA2237" t="s">
        <v>39</v>
      </c>
      <c r="AC2237" t="s">
        <v>1428</v>
      </c>
    </row>
    <row r="2238" spans="1:29" x14ac:dyDescent="0.25">
      <c r="A2238">
        <v>180</v>
      </c>
      <c r="B2238" t="s">
        <v>251</v>
      </c>
      <c r="C2238" t="s">
        <v>77</v>
      </c>
      <c r="D2238" t="s">
        <v>252</v>
      </c>
      <c r="E2238">
        <v>8</v>
      </c>
      <c r="F2238">
        <v>459</v>
      </c>
      <c r="G2238">
        <v>11977</v>
      </c>
      <c r="H2238">
        <v>1</v>
      </c>
      <c r="I2238">
        <v>331.9</v>
      </c>
      <c r="J2238">
        <v>331.9</v>
      </c>
      <c r="K2238" t="s">
        <v>223</v>
      </c>
      <c r="L2238" t="s">
        <v>1429</v>
      </c>
      <c r="N2238" t="s">
        <v>228</v>
      </c>
      <c r="Q2238">
        <v>4</v>
      </c>
      <c r="R2238" t="s">
        <v>1135</v>
      </c>
      <c r="T2238" t="s">
        <v>38</v>
      </c>
      <c r="V2238" t="s">
        <v>921</v>
      </c>
      <c r="Y2238" t="s">
        <v>81</v>
      </c>
      <c r="Z2238" t="s">
        <v>1357</v>
      </c>
      <c r="AA2238" t="s">
        <v>39</v>
      </c>
      <c r="AC2238" t="s">
        <v>1430</v>
      </c>
    </row>
    <row r="2239" spans="1:29" x14ac:dyDescent="0.25">
      <c r="A2239">
        <v>181</v>
      </c>
      <c r="B2239" t="s">
        <v>256</v>
      </c>
      <c r="C2239" t="s">
        <v>77</v>
      </c>
      <c r="D2239" t="s">
        <v>257</v>
      </c>
      <c r="E2239">
        <v>8</v>
      </c>
      <c r="F2239">
        <v>458</v>
      </c>
      <c r="G2239">
        <v>11977</v>
      </c>
      <c r="H2239">
        <v>1</v>
      </c>
      <c r="I2239">
        <v>331.9</v>
      </c>
      <c r="J2239">
        <v>331.9</v>
      </c>
      <c r="K2239" t="s">
        <v>223</v>
      </c>
      <c r="L2239" t="s">
        <v>1429</v>
      </c>
      <c r="N2239" t="s">
        <v>228</v>
      </c>
      <c r="Q2239">
        <v>4</v>
      </c>
      <c r="R2239" t="s">
        <v>1135</v>
      </c>
      <c r="T2239" t="s">
        <v>38</v>
      </c>
      <c r="V2239" t="s">
        <v>921</v>
      </c>
      <c r="Y2239" t="s">
        <v>81</v>
      </c>
      <c r="Z2239" t="s">
        <v>1357</v>
      </c>
      <c r="AA2239" t="s">
        <v>39</v>
      </c>
      <c r="AC2239" t="s">
        <v>1430</v>
      </c>
    </row>
    <row r="2240" spans="1:29" x14ac:dyDescent="0.25">
      <c r="A2240">
        <v>182</v>
      </c>
      <c r="B2240" t="s">
        <v>273</v>
      </c>
      <c r="C2240" t="s">
        <v>77</v>
      </c>
      <c r="D2240" t="s">
        <v>274</v>
      </c>
      <c r="E2240">
        <v>8</v>
      </c>
      <c r="F2240">
        <v>448</v>
      </c>
      <c r="G2240">
        <v>7587</v>
      </c>
      <c r="H2240">
        <v>2</v>
      </c>
      <c r="I2240">
        <v>211.05</v>
      </c>
      <c r="J2240">
        <v>422.1</v>
      </c>
      <c r="K2240" t="s">
        <v>223</v>
      </c>
      <c r="L2240" t="s">
        <v>1429</v>
      </c>
      <c r="N2240" t="s">
        <v>228</v>
      </c>
      <c r="Q2240">
        <v>4</v>
      </c>
      <c r="R2240" t="s">
        <v>1135</v>
      </c>
      <c r="T2240" t="s">
        <v>38</v>
      </c>
      <c r="V2240" t="s">
        <v>921</v>
      </c>
      <c r="Y2240" t="s">
        <v>81</v>
      </c>
      <c r="Z2240" t="s">
        <v>1357</v>
      </c>
      <c r="AA2240" t="s">
        <v>39</v>
      </c>
      <c r="AC2240" t="s">
        <v>1430</v>
      </c>
    </row>
    <row r="2241" spans="1:29" x14ac:dyDescent="0.25">
      <c r="A2241">
        <v>183</v>
      </c>
      <c r="B2241" t="s">
        <v>265</v>
      </c>
      <c r="C2241" t="s">
        <v>77</v>
      </c>
      <c r="D2241" t="s">
        <v>266</v>
      </c>
      <c r="E2241">
        <v>8</v>
      </c>
      <c r="F2241">
        <v>124</v>
      </c>
      <c r="G2241">
        <v>4252</v>
      </c>
      <c r="H2241">
        <v>2</v>
      </c>
      <c r="I2241">
        <v>33.11</v>
      </c>
      <c r="J2241">
        <v>66.22</v>
      </c>
      <c r="K2241" t="s">
        <v>223</v>
      </c>
      <c r="L2241" t="s">
        <v>1429</v>
      </c>
      <c r="Q2241">
        <v>4</v>
      </c>
      <c r="R2241" t="s">
        <v>1135</v>
      </c>
      <c r="T2241" t="s">
        <v>38</v>
      </c>
      <c r="V2241" t="s">
        <v>921</v>
      </c>
      <c r="Y2241" t="s">
        <v>81</v>
      </c>
      <c r="Z2241" t="s">
        <v>1357</v>
      </c>
      <c r="AA2241" t="s">
        <v>39</v>
      </c>
      <c r="AC2241" t="s">
        <v>1430</v>
      </c>
    </row>
    <row r="2242" spans="1:29" x14ac:dyDescent="0.25">
      <c r="A2242">
        <v>184</v>
      </c>
      <c r="B2242" t="s">
        <v>275</v>
      </c>
      <c r="C2242" t="s">
        <v>77</v>
      </c>
      <c r="D2242" t="s">
        <v>276</v>
      </c>
      <c r="E2242">
        <v>8</v>
      </c>
      <c r="F2242">
        <v>150</v>
      </c>
      <c r="G2242">
        <v>2972</v>
      </c>
      <c r="H2242">
        <v>1</v>
      </c>
      <c r="I2242">
        <v>28</v>
      </c>
      <c r="J2242">
        <v>28</v>
      </c>
      <c r="K2242" t="s">
        <v>223</v>
      </c>
      <c r="L2242" t="s">
        <v>1429</v>
      </c>
      <c r="Q2242">
        <v>4</v>
      </c>
      <c r="R2242" t="s">
        <v>1135</v>
      </c>
      <c r="T2242" t="s">
        <v>38</v>
      </c>
      <c r="V2242" t="s">
        <v>921</v>
      </c>
      <c r="Y2242" t="s">
        <v>81</v>
      </c>
      <c r="Z2242" t="s">
        <v>1357</v>
      </c>
      <c r="AA2242" t="s">
        <v>39</v>
      </c>
      <c r="AC2242" t="s">
        <v>1430</v>
      </c>
    </row>
    <row r="2243" spans="1:29" x14ac:dyDescent="0.25">
      <c r="A2243">
        <v>185</v>
      </c>
      <c r="B2243" t="s">
        <v>277</v>
      </c>
      <c r="C2243" t="s">
        <v>77</v>
      </c>
      <c r="D2243" t="s">
        <v>278</v>
      </c>
      <c r="E2243">
        <v>8</v>
      </c>
      <c r="F2243">
        <v>124</v>
      </c>
      <c r="G2243">
        <v>2972</v>
      </c>
      <c r="H2243">
        <v>4</v>
      </c>
      <c r="I2243">
        <v>23.14</v>
      </c>
      <c r="J2243">
        <v>92.57</v>
      </c>
      <c r="K2243" t="s">
        <v>223</v>
      </c>
      <c r="L2243" t="s">
        <v>1429</v>
      </c>
      <c r="Q2243">
        <v>4</v>
      </c>
      <c r="R2243" t="s">
        <v>1135</v>
      </c>
      <c r="T2243" t="s">
        <v>38</v>
      </c>
      <c r="V2243" t="s">
        <v>921</v>
      </c>
      <c r="Y2243" t="s">
        <v>81</v>
      </c>
      <c r="Z2243" t="s">
        <v>1357</v>
      </c>
      <c r="AA2243" t="s">
        <v>39</v>
      </c>
      <c r="AC2243" t="s">
        <v>1430</v>
      </c>
    </row>
    <row r="2244" spans="1:29" x14ac:dyDescent="0.25">
      <c r="A2244">
        <v>186</v>
      </c>
      <c r="B2244" t="s">
        <v>279</v>
      </c>
      <c r="C2244" t="s">
        <v>77</v>
      </c>
      <c r="D2244" t="s">
        <v>278</v>
      </c>
      <c r="E2244">
        <v>8</v>
      </c>
      <c r="F2244">
        <v>124</v>
      </c>
      <c r="G2244">
        <v>2972</v>
      </c>
      <c r="H2244">
        <v>1</v>
      </c>
      <c r="I2244">
        <v>23.14</v>
      </c>
      <c r="J2244">
        <v>23.14</v>
      </c>
      <c r="K2244" t="s">
        <v>223</v>
      </c>
      <c r="L2244" t="s">
        <v>1429</v>
      </c>
      <c r="Q2244">
        <v>4</v>
      </c>
      <c r="R2244" t="s">
        <v>1135</v>
      </c>
      <c r="T2244" t="s">
        <v>38</v>
      </c>
      <c r="V2244" t="s">
        <v>921</v>
      </c>
      <c r="Y2244" t="s">
        <v>81</v>
      </c>
      <c r="Z2244" t="s">
        <v>1357</v>
      </c>
      <c r="AA2244" t="s">
        <v>39</v>
      </c>
      <c r="AC2244" t="s">
        <v>1430</v>
      </c>
    </row>
    <row r="2245" spans="1:29" x14ac:dyDescent="0.25">
      <c r="A2245">
        <v>187</v>
      </c>
      <c r="B2245" t="s">
        <v>280</v>
      </c>
      <c r="C2245" t="s">
        <v>77</v>
      </c>
      <c r="D2245" t="s">
        <v>281</v>
      </c>
      <c r="E2245">
        <v>8</v>
      </c>
      <c r="F2245">
        <v>124</v>
      </c>
      <c r="G2245">
        <v>601</v>
      </c>
      <c r="H2245">
        <v>1</v>
      </c>
      <c r="I2245">
        <v>4.68</v>
      </c>
      <c r="J2245">
        <v>4.68</v>
      </c>
      <c r="K2245" t="s">
        <v>223</v>
      </c>
      <c r="L2245" t="s">
        <v>1429</v>
      </c>
      <c r="Q2245">
        <v>4</v>
      </c>
      <c r="R2245" t="s">
        <v>1135</v>
      </c>
      <c r="T2245" t="s">
        <v>38</v>
      </c>
      <c r="V2245" t="s">
        <v>921</v>
      </c>
      <c r="Y2245" t="s">
        <v>81</v>
      </c>
      <c r="Z2245" t="s">
        <v>1357</v>
      </c>
      <c r="AA2245" t="s">
        <v>39</v>
      </c>
      <c r="AC2245" t="s">
        <v>1430</v>
      </c>
    </row>
    <row r="2246" spans="1:29" x14ac:dyDescent="0.25">
      <c r="A2246">
        <v>188</v>
      </c>
      <c r="B2246" t="s">
        <v>282</v>
      </c>
      <c r="C2246" t="s">
        <v>77</v>
      </c>
      <c r="D2246" t="s">
        <v>283</v>
      </c>
      <c r="E2246">
        <v>8</v>
      </c>
      <c r="F2246">
        <v>150</v>
      </c>
      <c r="G2246">
        <v>1381</v>
      </c>
      <c r="H2246">
        <v>1</v>
      </c>
      <c r="I2246">
        <v>13.01</v>
      </c>
      <c r="J2246">
        <v>13.01</v>
      </c>
      <c r="K2246" t="s">
        <v>223</v>
      </c>
      <c r="L2246" t="s">
        <v>1429</v>
      </c>
      <c r="Q2246">
        <v>4</v>
      </c>
      <c r="R2246" t="s">
        <v>1135</v>
      </c>
      <c r="T2246" t="s">
        <v>38</v>
      </c>
      <c r="V2246" t="s">
        <v>921</v>
      </c>
      <c r="Y2246" t="s">
        <v>81</v>
      </c>
      <c r="Z2246" t="s">
        <v>1357</v>
      </c>
      <c r="AA2246" t="s">
        <v>39</v>
      </c>
      <c r="AC2246" t="s">
        <v>1430</v>
      </c>
    </row>
    <row r="2247" spans="1:29" x14ac:dyDescent="0.25">
      <c r="A2247">
        <v>189</v>
      </c>
      <c r="B2247" t="s">
        <v>284</v>
      </c>
      <c r="C2247" t="s">
        <v>77</v>
      </c>
      <c r="D2247" t="s">
        <v>285</v>
      </c>
      <c r="E2247">
        <v>8</v>
      </c>
      <c r="F2247">
        <v>124</v>
      </c>
      <c r="G2247">
        <v>1381</v>
      </c>
      <c r="H2247">
        <v>4</v>
      </c>
      <c r="I2247">
        <v>10.76</v>
      </c>
      <c r="J2247">
        <v>43.02</v>
      </c>
      <c r="K2247" t="s">
        <v>223</v>
      </c>
      <c r="L2247" t="s">
        <v>1429</v>
      </c>
      <c r="Q2247">
        <v>4</v>
      </c>
      <c r="R2247" t="s">
        <v>1135</v>
      </c>
      <c r="T2247" t="s">
        <v>38</v>
      </c>
      <c r="V2247" t="s">
        <v>921</v>
      </c>
      <c r="Y2247" t="s">
        <v>81</v>
      </c>
      <c r="Z2247" t="s">
        <v>1357</v>
      </c>
      <c r="AA2247" t="s">
        <v>39</v>
      </c>
      <c r="AC2247" t="s">
        <v>1430</v>
      </c>
    </row>
    <row r="2248" spans="1:29" x14ac:dyDescent="0.25">
      <c r="A2248">
        <v>190</v>
      </c>
      <c r="B2248" t="s">
        <v>267</v>
      </c>
      <c r="C2248" t="s">
        <v>77</v>
      </c>
      <c r="D2248" t="s">
        <v>268</v>
      </c>
      <c r="E2248">
        <v>8</v>
      </c>
      <c r="F2248">
        <v>124</v>
      </c>
      <c r="G2248">
        <v>6824</v>
      </c>
      <c r="H2248">
        <v>1</v>
      </c>
      <c r="I2248">
        <v>53.14</v>
      </c>
      <c r="J2248">
        <v>53.14</v>
      </c>
      <c r="K2248" t="s">
        <v>223</v>
      </c>
      <c r="L2248" t="s">
        <v>1429</v>
      </c>
      <c r="Q2248">
        <v>4</v>
      </c>
      <c r="R2248" t="s">
        <v>1135</v>
      </c>
      <c r="T2248" t="s">
        <v>38</v>
      </c>
      <c r="V2248" t="s">
        <v>921</v>
      </c>
      <c r="Y2248" t="s">
        <v>81</v>
      </c>
      <c r="Z2248" t="s">
        <v>1357</v>
      </c>
      <c r="AA2248" t="s">
        <v>39</v>
      </c>
      <c r="AC2248" t="s">
        <v>1430</v>
      </c>
    </row>
    <row r="2249" spans="1:29" x14ac:dyDescent="0.25">
      <c r="A2249">
        <v>191</v>
      </c>
      <c r="B2249" t="s">
        <v>269</v>
      </c>
      <c r="C2249" t="s">
        <v>77</v>
      </c>
      <c r="D2249" t="s">
        <v>270</v>
      </c>
      <c r="E2249">
        <v>8</v>
      </c>
      <c r="F2249">
        <v>124</v>
      </c>
      <c r="G2249">
        <v>792</v>
      </c>
      <c r="H2249">
        <v>2</v>
      </c>
      <c r="I2249">
        <v>6.16</v>
      </c>
      <c r="J2249">
        <v>12.33</v>
      </c>
      <c r="K2249" t="s">
        <v>223</v>
      </c>
      <c r="L2249" t="s">
        <v>1429</v>
      </c>
      <c r="Q2249">
        <v>4</v>
      </c>
      <c r="R2249" t="s">
        <v>1135</v>
      </c>
      <c r="T2249" t="s">
        <v>38</v>
      </c>
      <c r="V2249" t="s">
        <v>921</v>
      </c>
      <c r="Y2249" t="s">
        <v>81</v>
      </c>
      <c r="Z2249" t="s">
        <v>1357</v>
      </c>
      <c r="AA2249" t="s">
        <v>39</v>
      </c>
      <c r="AC2249" t="s">
        <v>1430</v>
      </c>
    </row>
    <row r="2250" spans="1:29" x14ac:dyDescent="0.25">
      <c r="A2250">
        <v>192</v>
      </c>
      <c r="B2250" t="s">
        <v>286</v>
      </c>
      <c r="C2250" t="s">
        <v>77</v>
      </c>
      <c r="D2250" t="s">
        <v>287</v>
      </c>
      <c r="E2250">
        <v>8</v>
      </c>
      <c r="F2250">
        <v>450</v>
      </c>
      <c r="G2250">
        <v>12007</v>
      </c>
      <c r="H2250">
        <v>2</v>
      </c>
      <c r="I2250">
        <v>334.02</v>
      </c>
      <c r="J2250">
        <v>668.05</v>
      </c>
      <c r="K2250" t="s">
        <v>223</v>
      </c>
      <c r="L2250" t="s">
        <v>1431</v>
      </c>
      <c r="Q2250">
        <v>4</v>
      </c>
      <c r="R2250" t="s">
        <v>1135</v>
      </c>
      <c r="T2250" t="s">
        <v>38</v>
      </c>
      <c r="V2250" t="s">
        <v>921</v>
      </c>
      <c r="Y2250" t="s">
        <v>81</v>
      </c>
      <c r="Z2250" t="s">
        <v>1357</v>
      </c>
      <c r="AA2250" t="s">
        <v>39</v>
      </c>
      <c r="AC2250" t="s">
        <v>1432</v>
      </c>
    </row>
    <row r="2251" spans="1:29" x14ac:dyDescent="0.25">
      <c r="A2251">
        <v>193</v>
      </c>
      <c r="B2251" t="s">
        <v>290</v>
      </c>
      <c r="C2251" t="s">
        <v>77</v>
      </c>
      <c r="D2251" t="s">
        <v>287</v>
      </c>
      <c r="E2251">
        <v>8</v>
      </c>
      <c r="F2251">
        <v>450</v>
      </c>
      <c r="G2251">
        <v>12007</v>
      </c>
      <c r="H2251">
        <v>2</v>
      </c>
      <c r="I2251">
        <v>334.02</v>
      </c>
      <c r="J2251">
        <v>668.05</v>
      </c>
      <c r="K2251" t="s">
        <v>223</v>
      </c>
      <c r="L2251" t="s">
        <v>1431</v>
      </c>
      <c r="Q2251">
        <v>4</v>
      </c>
      <c r="R2251" t="s">
        <v>1135</v>
      </c>
      <c r="T2251" t="s">
        <v>38</v>
      </c>
      <c r="V2251" t="s">
        <v>921</v>
      </c>
      <c r="Y2251" t="s">
        <v>81</v>
      </c>
      <c r="Z2251" t="s">
        <v>1357</v>
      </c>
      <c r="AA2251" t="s">
        <v>39</v>
      </c>
      <c r="AC2251" t="s">
        <v>1432</v>
      </c>
    </row>
    <row r="2252" spans="1:29" x14ac:dyDescent="0.25">
      <c r="A2252">
        <v>194</v>
      </c>
      <c r="B2252" t="s">
        <v>229</v>
      </c>
      <c r="C2252" t="s">
        <v>77</v>
      </c>
      <c r="D2252" t="s">
        <v>230</v>
      </c>
      <c r="E2252">
        <v>8</v>
      </c>
      <c r="F2252">
        <v>90</v>
      </c>
      <c r="G2252">
        <v>150</v>
      </c>
      <c r="H2252">
        <v>1</v>
      </c>
      <c r="I2252">
        <v>0.62</v>
      </c>
      <c r="J2252">
        <v>0.62</v>
      </c>
      <c r="K2252" t="s">
        <v>223</v>
      </c>
      <c r="L2252" t="s">
        <v>1431</v>
      </c>
      <c r="Q2252">
        <v>4</v>
      </c>
      <c r="R2252" t="s">
        <v>1135</v>
      </c>
      <c r="T2252" t="s">
        <v>38</v>
      </c>
      <c r="V2252" t="s">
        <v>921</v>
      </c>
      <c r="W2252" t="s">
        <v>81</v>
      </c>
      <c r="Z2252" t="s">
        <v>1357</v>
      </c>
      <c r="AA2252" t="s">
        <v>39</v>
      </c>
      <c r="AC2252" t="s">
        <v>1432</v>
      </c>
    </row>
    <row r="2253" spans="1:29" x14ac:dyDescent="0.25">
      <c r="A2253">
        <v>195</v>
      </c>
      <c r="B2253" t="s">
        <v>275</v>
      </c>
      <c r="C2253" t="s">
        <v>77</v>
      </c>
      <c r="D2253" t="s">
        <v>276</v>
      </c>
      <c r="E2253">
        <v>8</v>
      </c>
      <c r="F2253">
        <v>150</v>
      </c>
      <c r="G2253">
        <v>2972</v>
      </c>
      <c r="H2253">
        <v>3</v>
      </c>
      <c r="I2253">
        <v>28</v>
      </c>
      <c r="J2253">
        <v>83.99</v>
      </c>
      <c r="K2253" t="s">
        <v>223</v>
      </c>
      <c r="L2253" t="s">
        <v>1431</v>
      </c>
      <c r="Q2253">
        <v>4</v>
      </c>
      <c r="R2253" t="s">
        <v>1135</v>
      </c>
      <c r="T2253" t="s">
        <v>38</v>
      </c>
      <c r="V2253" t="s">
        <v>921</v>
      </c>
      <c r="Y2253" t="s">
        <v>81</v>
      </c>
      <c r="Z2253" t="s">
        <v>1357</v>
      </c>
      <c r="AA2253" t="s">
        <v>39</v>
      </c>
      <c r="AC2253" t="s">
        <v>1432</v>
      </c>
    </row>
    <row r="2254" spans="1:29" x14ac:dyDescent="0.25">
      <c r="A2254">
        <v>196</v>
      </c>
      <c r="B2254" t="s">
        <v>291</v>
      </c>
      <c r="C2254" t="s">
        <v>77</v>
      </c>
      <c r="D2254" t="s">
        <v>276</v>
      </c>
      <c r="E2254">
        <v>8</v>
      </c>
      <c r="F2254">
        <v>150</v>
      </c>
      <c r="G2254">
        <v>2972</v>
      </c>
      <c r="H2254">
        <v>1</v>
      </c>
      <c r="I2254">
        <v>28</v>
      </c>
      <c r="J2254">
        <v>28</v>
      </c>
      <c r="K2254" t="s">
        <v>223</v>
      </c>
      <c r="L2254" t="s">
        <v>1431</v>
      </c>
      <c r="Q2254">
        <v>4</v>
      </c>
      <c r="R2254" t="s">
        <v>1135</v>
      </c>
      <c r="T2254" t="s">
        <v>38</v>
      </c>
      <c r="V2254" t="s">
        <v>921</v>
      </c>
      <c r="Y2254" t="s">
        <v>81</v>
      </c>
      <c r="Z2254" t="s">
        <v>1357</v>
      </c>
      <c r="AA2254" t="s">
        <v>39</v>
      </c>
      <c r="AC2254" t="s">
        <v>1432</v>
      </c>
    </row>
    <row r="2255" spans="1:29" x14ac:dyDescent="0.25">
      <c r="A2255">
        <v>197</v>
      </c>
      <c r="B2255" t="s">
        <v>292</v>
      </c>
      <c r="C2255" t="s">
        <v>77</v>
      </c>
      <c r="D2255" t="s">
        <v>293</v>
      </c>
      <c r="E2255">
        <v>8</v>
      </c>
      <c r="F2255">
        <v>446</v>
      </c>
      <c r="G2255">
        <v>7588</v>
      </c>
      <c r="H2255">
        <v>2</v>
      </c>
      <c r="I2255">
        <v>211.08</v>
      </c>
      <c r="J2255">
        <v>422.16</v>
      </c>
      <c r="K2255" t="s">
        <v>223</v>
      </c>
      <c r="L2255" t="s">
        <v>1433</v>
      </c>
      <c r="N2255" t="s">
        <v>228</v>
      </c>
      <c r="Q2255">
        <v>4</v>
      </c>
      <c r="R2255" t="s">
        <v>1135</v>
      </c>
      <c r="T2255" t="s">
        <v>38</v>
      </c>
      <c r="V2255" t="s">
        <v>921</v>
      </c>
      <c r="Y2255" t="s">
        <v>81</v>
      </c>
      <c r="Z2255" t="s">
        <v>1357</v>
      </c>
      <c r="AA2255" t="s">
        <v>39</v>
      </c>
      <c r="AC2255" t="s">
        <v>1434</v>
      </c>
    </row>
    <row r="2256" spans="1:29" x14ac:dyDescent="0.25">
      <c r="A2256">
        <v>198</v>
      </c>
      <c r="B2256" t="s">
        <v>296</v>
      </c>
      <c r="C2256" t="s">
        <v>77</v>
      </c>
      <c r="D2256" t="s">
        <v>297</v>
      </c>
      <c r="E2256">
        <v>8</v>
      </c>
      <c r="F2256">
        <v>329</v>
      </c>
      <c r="G2256">
        <v>7565</v>
      </c>
      <c r="H2256">
        <v>2</v>
      </c>
      <c r="I2256">
        <v>154.86000000000001</v>
      </c>
      <c r="J2256">
        <v>309.73</v>
      </c>
      <c r="K2256" t="s">
        <v>223</v>
      </c>
      <c r="L2256" t="s">
        <v>1433</v>
      </c>
      <c r="N2256" t="s">
        <v>228</v>
      </c>
      <c r="Q2256">
        <v>4</v>
      </c>
      <c r="R2256" t="s">
        <v>1135</v>
      </c>
      <c r="T2256" t="s">
        <v>38</v>
      </c>
      <c r="V2256" t="s">
        <v>921</v>
      </c>
      <c r="Y2256" t="s">
        <v>81</v>
      </c>
      <c r="Z2256" t="s">
        <v>1357</v>
      </c>
      <c r="AA2256" t="s">
        <v>39</v>
      </c>
      <c r="AC2256" t="s">
        <v>1434</v>
      </c>
    </row>
    <row r="2257" spans="1:29" x14ac:dyDescent="0.25">
      <c r="A2257">
        <v>199</v>
      </c>
      <c r="B2257" t="s">
        <v>298</v>
      </c>
      <c r="C2257" t="s">
        <v>77</v>
      </c>
      <c r="D2257" t="s">
        <v>299</v>
      </c>
      <c r="E2257">
        <v>8</v>
      </c>
      <c r="F2257">
        <v>329</v>
      </c>
      <c r="G2257">
        <v>7566</v>
      </c>
      <c r="H2257">
        <v>1</v>
      </c>
      <c r="I2257">
        <v>154.88</v>
      </c>
      <c r="J2257">
        <v>154.88</v>
      </c>
      <c r="K2257" t="s">
        <v>223</v>
      </c>
      <c r="L2257" t="s">
        <v>1433</v>
      </c>
      <c r="N2257" t="s">
        <v>228</v>
      </c>
      <c r="Q2257">
        <v>4</v>
      </c>
      <c r="R2257" t="s">
        <v>1135</v>
      </c>
      <c r="T2257" t="s">
        <v>38</v>
      </c>
      <c r="V2257" t="s">
        <v>921</v>
      </c>
      <c r="Y2257" t="s">
        <v>81</v>
      </c>
      <c r="Z2257" t="s">
        <v>1357</v>
      </c>
      <c r="AA2257" t="s">
        <v>39</v>
      </c>
      <c r="AC2257" t="s">
        <v>1434</v>
      </c>
    </row>
    <row r="2258" spans="1:29" x14ac:dyDescent="0.25">
      <c r="A2258">
        <v>200</v>
      </c>
      <c r="B2258" t="s">
        <v>300</v>
      </c>
      <c r="C2258" t="s">
        <v>77</v>
      </c>
      <c r="D2258" t="s">
        <v>301</v>
      </c>
      <c r="E2258">
        <v>8</v>
      </c>
      <c r="F2258">
        <v>66</v>
      </c>
      <c r="G2258">
        <v>150</v>
      </c>
      <c r="H2258">
        <v>3</v>
      </c>
      <c r="I2258">
        <v>0.46</v>
      </c>
      <c r="J2258">
        <v>1.38</v>
      </c>
      <c r="K2258" t="s">
        <v>223</v>
      </c>
      <c r="L2258" t="s">
        <v>1433</v>
      </c>
      <c r="Q2258">
        <v>4</v>
      </c>
      <c r="R2258" t="s">
        <v>1135</v>
      </c>
      <c r="T2258" t="s">
        <v>38</v>
      </c>
      <c r="V2258" t="s">
        <v>921</v>
      </c>
      <c r="W2258" t="s">
        <v>81</v>
      </c>
      <c r="Z2258" t="s">
        <v>1357</v>
      </c>
      <c r="AA2258" t="s">
        <v>39</v>
      </c>
      <c r="AC2258" t="s">
        <v>1434</v>
      </c>
    </row>
    <row r="2259" spans="1:29" x14ac:dyDescent="0.25">
      <c r="A2259">
        <v>201</v>
      </c>
      <c r="B2259" t="s">
        <v>302</v>
      </c>
      <c r="C2259" t="s">
        <v>77</v>
      </c>
      <c r="D2259" t="s">
        <v>301</v>
      </c>
      <c r="E2259">
        <v>8</v>
      </c>
      <c r="F2259">
        <v>66</v>
      </c>
      <c r="G2259">
        <v>150</v>
      </c>
      <c r="H2259">
        <v>6</v>
      </c>
      <c r="I2259">
        <v>0.46</v>
      </c>
      <c r="J2259">
        <v>2.77</v>
      </c>
      <c r="K2259" t="s">
        <v>223</v>
      </c>
      <c r="L2259" t="s">
        <v>1433</v>
      </c>
      <c r="Q2259">
        <v>4</v>
      </c>
      <c r="R2259" t="s">
        <v>1135</v>
      </c>
      <c r="T2259" t="s">
        <v>38</v>
      </c>
      <c r="V2259" t="s">
        <v>921</v>
      </c>
      <c r="W2259" t="s">
        <v>81</v>
      </c>
      <c r="Z2259" t="s">
        <v>1357</v>
      </c>
      <c r="AA2259" t="s">
        <v>39</v>
      </c>
      <c r="AC2259" t="s">
        <v>1434</v>
      </c>
    </row>
    <row r="2260" spans="1:29" x14ac:dyDescent="0.25">
      <c r="A2260">
        <v>202</v>
      </c>
      <c r="B2260" t="s">
        <v>303</v>
      </c>
      <c r="C2260" t="s">
        <v>77</v>
      </c>
      <c r="D2260" t="s">
        <v>301</v>
      </c>
      <c r="E2260">
        <v>8</v>
      </c>
      <c r="F2260">
        <v>66</v>
      </c>
      <c r="G2260">
        <v>150</v>
      </c>
      <c r="H2260">
        <v>3</v>
      </c>
      <c r="I2260">
        <v>0.46</v>
      </c>
      <c r="J2260">
        <v>1.38</v>
      </c>
      <c r="K2260" t="s">
        <v>223</v>
      </c>
      <c r="L2260" t="s">
        <v>1433</v>
      </c>
      <c r="Q2260">
        <v>4</v>
      </c>
      <c r="R2260" t="s">
        <v>1135</v>
      </c>
      <c r="T2260" t="s">
        <v>38</v>
      </c>
      <c r="V2260" t="s">
        <v>921</v>
      </c>
      <c r="W2260" t="s">
        <v>81</v>
      </c>
      <c r="Z2260" t="s">
        <v>1357</v>
      </c>
      <c r="AA2260" t="s">
        <v>39</v>
      </c>
      <c r="AC2260" t="s">
        <v>1434</v>
      </c>
    </row>
    <row r="2261" spans="1:29" x14ac:dyDescent="0.25">
      <c r="A2261">
        <v>203</v>
      </c>
      <c r="B2261" t="s">
        <v>304</v>
      </c>
      <c r="C2261" t="s">
        <v>77</v>
      </c>
      <c r="D2261" t="s">
        <v>305</v>
      </c>
      <c r="E2261">
        <v>8</v>
      </c>
      <c r="F2261">
        <v>150</v>
      </c>
      <c r="G2261">
        <v>1882</v>
      </c>
      <c r="H2261">
        <v>6</v>
      </c>
      <c r="I2261">
        <v>17.73</v>
      </c>
      <c r="J2261">
        <v>106.37</v>
      </c>
      <c r="K2261" t="s">
        <v>223</v>
      </c>
      <c r="L2261" t="s">
        <v>1433</v>
      </c>
      <c r="Q2261">
        <v>4</v>
      </c>
      <c r="R2261" t="s">
        <v>1135</v>
      </c>
      <c r="T2261" t="s">
        <v>38</v>
      </c>
      <c r="V2261" t="s">
        <v>921</v>
      </c>
      <c r="Y2261" t="s">
        <v>81</v>
      </c>
      <c r="Z2261" t="s">
        <v>1357</v>
      </c>
      <c r="AA2261" t="s">
        <v>39</v>
      </c>
      <c r="AC2261" t="s">
        <v>1434</v>
      </c>
    </row>
    <row r="2262" spans="1:29" x14ac:dyDescent="0.25">
      <c r="A2262">
        <v>204</v>
      </c>
      <c r="B2262" t="s">
        <v>306</v>
      </c>
      <c r="C2262" t="s">
        <v>77</v>
      </c>
      <c r="D2262" t="s">
        <v>307</v>
      </c>
      <c r="E2262">
        <v>8</v>
      </c>
      <c r="F2262">
        <v>124</v>
      </c>
      <c r="G2262">
        <v>1882</v>
      </c>
      <c r="H2262">
        <v>2</v>
      </c>
      <c r="I2262">
        <v>14.66</v>
      </c>
      <c r="J2262">
        <v>29.31</v>
      </c>
      <c r="K2262" t="s">
        <v>223</v>
      </c>
      <c r="L2262" t="s">
        <v>1433</v>
      </c>
      <c r="Q2262">
        <v>4</v>
      </c>
      <c r="R2262" t="s">
        <v>1135</v>
      </c>
      <c r="T2262" t="s">
        <v>38</v>
      </c>
      <c r="V2262" t="s">
        <v>921</v>
      </c>
      <c r="Y2262" t="s">
        <v>81</v>
      </c>
      <c r="Z2262" t="s">
        <v>1357</v>
      </c>
      <c r="AA2262" t="s">
        <v>39</v>
      </c>
      <c r="AC2262" t="s">
        <v>1434</v>
      </c>
    </row>
    <row r="2263" spans="1:29" x14ac:dyDescent="0.25">
      <c r="A2263">
        <v>205</v>
      </c>
      <c r="B2263" t="s">
        <v>291</v>
      </c>
      <c r="C2263" t="s">
        <v>77</v>
      </c>
      <c r="D2263" t="s">
        <v>276</v>
      </c>
      <c r="E2263">
        <v>8</v>
      </c>
      <c r="F2263">
        <v>150</v>
      </c>
      <c r="G2263">
        <v>2972</v>
      </c>
      <c r="H2263">
        <v>3</v>
      </c>
      <c r="I2263">
        <v>28</v>
      </c>
      <c r="J2263">
        <v>83.99</v>
      </c>
      <c r="K2263" t="s">
        <v>223</v>
      </c>
      <c r="L2263" t="s">
        <v>1433</v>
      </c>
      <c r="Q2263">
        <v>4</v>
      </c>
      <c r="R2263" t="s">
        <v>1135</v>
      </c>
      <c r="T2263" t="s">
        <v>38</v>
      </c>
      <c r="V2263" t="s">
        <v>921</v>
      </c>
      <c r="Y2263" t="s">
        <v>81</v>
      </c>
      <c r="Z2263" t="s">
        <v>1357</v>
      </c>
      <c r="AA2263" t="s">
        <v>39</v>
      </c>
      <c r="AC2263" t="s">
        <v>1434</v>
      </c>
    </row>
    <row r="2264" spans="1:29" x14ac:dyDescent="0.25">
      <c r="A2264">
        <v>206</v>
      </c>
      <c r="B2264" t="s">
        <v>279</v>
      </c>
      <c r="C2264" t="s">
        <v>77</v>
      </c>
      <c r="D2264" t="s">
        <v>278</v>
      </c>
      <c r="E2264">
        <v>8</v>
      </c>
      <c r="F2264">
        <v>124</v>
      </c>
      <c r="G2264">
        <v>2972</v>
      </c>
      <c r="H2264">
        <v>3</v>
      </c>
      <c r="I2264">
        <v>23.14</v>
      </c>
      <c r="J2264">
        <v>69.430000000000007</v>
      </c>
      <c r="K2264" t="s">
        <v>223</v>
      </c>
      <c r="L2264" t="s">
        <v>1433</v>
      </c>
      <c r="Q2264">
        <v>4</v>
      </c>
      <c r="R2264" t="s">
        <v>1135</v>
      </c>
      <c r="T2264" t="s">
        <v>38</v>
      </c>
      <c r="V2264" t="s">
        <v>921</v>
      </c>
      <c r="Y2264" t="s">
        <v>81</v>
      </c>
      <c r="Z2264" t="s">
        <v>1357</v>
      </c>
      <c r="AA2264" t="s">
        <v>39</v>
      </c>
      <c r="AC2264" t="s">
        <v>1434</v>
      </c>
    </row>
    <row r="2265" spans="1:29" x14ac:dyDescent="0.25">
      <c r="A2265">
        <v>207</v>
      </c>
      <c r="B2265" t="s">
        <v>308</v>
      </c>
      <c r="C2265" t="s">
        <v>77</v>
      </c>
      <c r="D2265" t="s">
        <v>309</v>
      </c>
      <c r="E2265">
        <v>8</v>
      </c>
      <c r="F2265">
        <v>150</v>
      </c>
      <c r="G2265">
        <v>2523</v>
      </c>
      <c r="H2265">
        <v>2</v>
      </c>
      <c r="I2265">
        <v>23.76</v>
      </c>
      <c r="J2265">
        <v>47.53</v>
      </c>
      <c r="K2265" t="s">
        <v>223</v>
      </c>
      <c r="L2265" t="s">
        <v>1433</v>
      </c>
      <c r="Q2265">
        <v>4</v>
      </c>
      <c r="R2265" t="s">
        <v>1135</v>
      </c>
      <c r="T2265" t="s">
        <v>38</v>
      </c>
      <c r="V2265" t="s">
        <v>921</v>
      </c>
      <c r="Y2265" t="s">
        <v>81</v>
      </c>
      <c r="Z2265" t="s">
        <v>1357</v>
      </c>
      <c r="AA2265" t="s">
        <v>39</v>
      </c>
      <c r="AC2265" t="s">
        <v>1434</v>
      </c>
    </row>
    <row r="2266" spans="1:29" x14ac:dyDescent="0.25">
      <c r="A2266">
        <v>208</v>
      </c>
      <c r="B2266" t="s">
        <v>310</v>
      </c>
      <c r="C2266" t="s">
        <v>77</v>
      </c>
      <c r="D2266" t="s">
        <v>311</v>
      </c>
      <c r="E2266">
        <v>8</v>
      </c>
      <c r="F2266">
        <v>124</v>
      </c>
      <c r="G2266">
        <v>2523</v>
      </c>
      <c r="H2266">
        <v>2</v>
      </c>
      <c r="I2266">
        <v>19.64</v>
      </c>
      <c r="J2266">
        <v>39.29</v>
      </c>
      <c r="K2266" t="s">
        <v>223</v>
      </c>
      <c r="L2266" t="s">
        <v>1433</v>
      </c>
      <c r="Q2266">
        <v>4</v>
      </c>
      <c r="R2266" t="s">
        <v>1135</v>
      </c>
      <c r="T2266" t="s">
        <v>38</v>
      </c>
      <c r="V2266" t="s">
        <v>921</v>
      </c>
      <c r="Y2266" t="s">
        <v>81</v>
      </c>
      <c r="Z2266" t="s">
        <v>1357</v>
      </c>
      <c r="AA2266" t="s">
        <v>39</v>
      </c>
      <c r="AC2266" t="s">
        <v>1434</v>
      </c>
    </row>
    <row r="2267" spans="1:29" x14ac:dyDescent="0.25">
      <c r="A2267">
        <v>209</v>
      </c>
      <c r="B2267" t="s">
        <v>312</v>
      </c>
      <c r="C2267" t="s">
        <v>77</v>
      </c>
      <c r="D2267" t="s">
        <v>309</v>
      </c>
      <c r="E2267">
        <v>8</v>
      </c>
      <c r="F2267">
        <v>150</v>
      </c>
      <c r="G2267">
        <v>2523</v>
      </c>
      <c r="H2267">
        <v>4</v>
      </c>
      <c r="I2267">
        <v>23.77</v>
      </c>
      <c r="J2267">
        <v>95.07</v>
      </c>
      <c r="K2267" t="s">
        <v>223</v>
      </c>
      <c r="L2267" t="s">
        <v>1433</v>
      </c>
      <c r="Q2267">
        <v>4</v>
      </c>
      <c r="R2267" t="s">
        <v>1135</v>
      </c>
      <c r="T2267" t="s">
        <v>38</v>
      </c>
      <c r="V2267" t="s">
        <v>921</v>
      </c>
      <c r="Y2267" t="s">
        <v>81</v>
      </c>
      <c r="Z2267" t="s">
        <v>1357</v>
      </c>
      <c r="AA2267" t="s">
        <v>39</v>
      </c>
      <c r="AC2267" t="s">
        <v>1434</v>
      </c>
    </row>
    <row r="2268" spans="1:29" x14ac:dyDescent="0.25">
      <c r="A2268">
        <v>210</v>
      </c>
      <c r="B2268" t="s">
        <v>280</v>
      </c>
      <c r="C2268" t="s">
        <v>77</v>
      </c>
      <c r="D2268" t="s">
        <v>281</v>
      </c>
      <c r="E2268">
        <v>8</v>
      </c>
      <c r="F2268">
        <v>124</v>
      </c>
      <c r="G2268">
        <v>601</v>
      </c>
      <c r="H2268">
        <v>3</v>
      </c>
      <c r="I2268">
        <v>4.68</v>
      </c>
      <c r="J2268">
        <v>14.04</v>
      </c>
      <c r="K2268" t="s">
        <v>223</v>
      </c>
      <c r="L2268" t="s">
        <v>1433</v>
      </c>
      <c r="Q2268">
        <v>4</v>
      </c>
      <c r="R2268" t="s">
        <v>1135</v>
      </c>
      <c r="T2268" t="s">
        <v>38</v>
      </c>
      <c r="V2268" t="s">
        <v>921</v>
      </c>
      <c r="Y2268" t="s">
        <v>81</v>
      </c>
      <c r="Z2268" t="s">
        <v>1357</v>
      </c>
      <c r="AA2268" t="s">
        <v>39</v>
      </c>
      <c r="AC2268" t="s">
        <v>1434</v>
      </c>
    </row>
    <row r="2269" spans="1:29" x14ac:dyDescent="0.25">
      <c r="A2269">
        <v>211</v>
      </c>
      <c r="B2269" t="s">
        <v>282</v>
      </c>
      <c r="C2269" t="s">
        <v>77</v>
      </c>
      <c r="D2269" t="s">
        <v>283</v>
      </c>
      <c r="E2269">
        <v>8</v>
      </c>
      <c r="F2269">
        <v>150</v>
      </c>
      <c r="G2269">
        <v>1381</v>
      </c>
      <c r="H2269">
        <v>3</v>
      </c>
      <c r="I2269">
        <v>13.01</v>
      </c>
      <c r="J2269">
        <v>39.03</v>
      </c>
      <c r="K2269" t="s">
        <v>223</v>
      </c>
      <c r="L2269" t="s">
        <v>1433</v>
      </c>
      <c r="Q2269">
        <v>4</v>
      </c>
      <c r="R2269" t="s">
        <v>1135</v>
      </c>
      <c r="T2269" t="s">
        <v>38</v>
      </c>
      <c r="V2269" t="s">
        <v>921</v>
      </c>
      <c r="Y2269" t="s">
        <v>81</v>
      </c>
      <c r="Z2269" t="s">
        <v>1357</v>
      </c>
      <c r="AA2269" t="s">
        <v>39</v>
      </c>
      <c r="AC2269" t="s">
        <v>1434</v>
      </c>
    </row>
    <row r="2270" spans="1:29" x14ac:dyDescent="0.25">
      <c r="A2270">
        <v>212</v>
      </c>
      <c r="B2270" t="s">
        <v>269</v>
      </c>
      <c r="C2270" t="s">
        <v>77</v>
      </c>
      <c r="D2270" t="s">
        <v>270</v>
      </c>
      <c r="E2270">
        <v>8</v>
      </c>
      <c r="F2270">
        <v>124</v>
      </c>
      <c r="G2270">
        <v>792</v>
      </c>
      <c r="H2270">
        <v>3</v>
      </c>
      <c r="I2270">
        <v>6.17</v>
      </c>
      <c r="J2270">
        <v>18.5</v>
      </c>
      <c r="K2270" t="s">
        <v>223</v>
      </c>
      <c r="L2270" t="s">
        <v>1433</v>
      </c>
      <c r="Q2270">
        <v>4</v>
      </c>
      <c r="R2270" t="s">
        <v>1135</v>
      </c>
      <c r="T2270" t="s">
        <v>38</v>
      </c>
      <c r="V2270" t="s">
        <v>921</v>
      </c>
      <c r="Y2270" t="s">
        <v>81</v>
      </c>
      <c r="Z2270" t="s">
        <v>1357</v>
      </c>
      <c r="AA2270" t="s">
        <v>39</v>
      </c>
      <c r="AC2270" t="s">
        <v>1434</v>
      </c>
    </row>
    <row r="2271" spans="1:29" x14ac:dyDescent="0.25">
      <c r="A2271">
        <v>213</v>
      </c>
      <c r="B2271" t="s">
        <v>313</v>
      </c>
      <c r="C2271" t="s">
        <v>77</v>
      </c>
      <c r="D2271" t="s">
        <v>314</v>
      </c>
      <c r="E2271">
        <v>8</v>
      </c>
      <c r="F2271">
        <v>158</v>
      </c>
      <c r="G2271">
        <v>228</v>
      </c>
      <c r="H2271">
        <v>18</v>
      </c>
      <c r="I2271">
        <v>2.25</v>
      </c>
      <c r="J2271">
        <v>40.5</v>
      </c>
      <c r="K2271" t="s">
        <v>223</v>
      </c>
      <c r="L2271" t="s">
        <v>1435</v>
      </c>
      <c r="Q2271">
        <v>4</v>
      </c>
      <c r="R2271" t="s">
        <v>1135</v>
      </c>
      <c r="T2271" t="s">
        <v>38</v>
      </c>
      <c r="V2271" t="s">
        <v>921</v>
      </c>
      <c r="W2271" t="s">
        <v>81</v>
      </c>
      <c r="Z2271" t="s">
        <v>1357</v>
      </c>
      <c r="AA2271" t="s">
        <v>39</v>
      </c>
      <c r="AC2271" t="s">
        <v>1436</v>
      </c>
    </row>
    <row r="2272" spans="1:29" x14ac:dyDescent="0.25">
      <c r="A2272">
        <v>214</v>
      </c>
      <c r="B2272" t="s">
        <v>317</v>
      </c>
      <c r="C2272" t="s">
        <v>77</v>
      </c>
      <c r="D2272" t="s">
        <v>318</v>
      </c>
      <c r="E2272">
        <v>8</v>
      </c>
      <c r="F2272">
        <v>206</v>
      </c>
      <c r="G2272">
        <v>465</v>
      </c>
      <c r="H2272">
        <v>1</v>
      </c>
      <c r="I2272">
        <v>6.01</v>
      </c>
      <c r="J2272">
        <v>6.01</v>
      </c>
      <c r="K2272" t="s">
        <v>223</v>
      </c>
      <c r="L2272" t="s">
        <v>1435</v>
      </c>
      <c r="Q2272">
        <v>4</v>
      </c>
      <c r="R2272" t="s">
        <v>1135</v>
      </c>
      <c r="T2272" t="s">
        <v>38</v>
      </c>
      <c r="V2272" t="s">
        <v>921</v>
      </c>
      <c r="W2272" t="s">
        <v>81</v>
      </c>
      <c r="Z2272" t="s">
        <v>1357</v>
      </c>
      <c r="AA2272" t="s">
        <v>39</v>
      </c>
      <c r="AC2272" t="s">
        <v>1436</v>
      </c>
    </row>
    <row r="2273" spans="1:29" x14ac:dyDescent="0.25">
      <c r="A2273">
        <v>215</v>
      </c>
      <c r="B2273" t="s">
        <v>319</v>
      </c>
      <c r="C2273" t="s">
        <v>77</v>
      </c>
      <c r="D2273" t="s">
        <v>320</v>
      </c>
      <c r="E2273">
        <v>8</v>
      </c>
      <c r="F2273">
        <v>196</v>
      </c>
      <c r="G2273">
        <v>340</v>
      </c>
      <c r="H2273">
        <v>2</v>
      </c>
      <c r="I2273">
        <v>4.18</v>
      </c>
      <c r="J2273">
        <v>8.36</v>
      </c>
      <c r="K2273" t="s">
        <v>223</v>
      </c>
      <c r="L2273" t="s">
        <v>1435</v>
      </c>
      <c r="Q2273">
        <v>4</v>
      </c>
      <c r="R2273" t="s">
        <v>1135</v>
      </c>
      <c r="T2273" t="s">
        <v>38</v>
      </c>
      <c r="V2273" t="s">
        <v>921</v>
      </c>
      <c r="W2273" t="s">
        <v>81</v>
      </c>
      <c r="Z2273" t="s">
        <v>1357</v>
      </c>
      <c r="AA2273" t="s">
        <v>39</v>
      </c>
      <c r="AC2273" t="s">
        <v>1436</v>
      </c>
    </row>
    <row r="2274" spans="1:29" x14ac:dyDescent="0.25">
      <c r="A2274">
        <v>216</v>
      </c>
      <c r="B2274" t="s">
        <v>321</v>
      </c>
      <c r="C2274" t="s">
        <v>77</v>
      </c>
      <c r="D2274" t="s">
        <v>322</v>
      </c>
      <c r="E2274">
        <v>8</v>
      </c>
      <c r="F2274">
        <v>148</v>
      </c>
      <c r="G2274">
        <v>324</v>
      </c>
      <c r="H2274">
        <v>2</v>
      </c>
      <c r="I2274">
        <v>3.01</v>
      </c>
      <c r="J2274">
        <v>6.02</v>
      </c>
      <c r="K2274" t="s">
        <v>223</v>
      </c>
      <c r="L2274" t="s">
        <v>1435</v>
      </c>
      <c r="Q2274">
        <v>4</v>
      </c>
      <c r="R2274" t="s">
        <v>1135</v>
      </c>
      <c r="T2274" t="s">
        <v>38</v>
      </c>
      <c r="V2274" t="s">
        <v>921</v>
      </c>
      <c r="W2274" t="s">
        <v>81</v>
      </c>
      <c r="Z2274" t="s">
        <v>1357</v>
      </c>
      <c r="AA2274" t="s">
        <v>39</v>
      </c>
      <c r="AC2274" t="s">
        <v>1436</v>
      </c>
    </row>
    <row r="2275" spans="1:29" x14ac:dyDescent="0.25">
      <c r="A2275">
        <v>217</v>
      </c>
      <c r="B2275" t="s">
        <v>323</v>
      </c>
      <c r="C2275" t="s">
        <v>77</v>
      </c>
      <c r="D2275" t="s">
        <v>324</v>
      </c>
      <c r="E2275">
        <v>8</v>
      </c>
      <c r="F2275">
        <v>160</v>
      </c>
      <c r="G2275">
        <v>340</v>
      </c>
      <c r="H2275">
        <v>2</v>
      </c>
      <c r="I2275">
        <v>3.42</v>
      </c>
      <c r="J2275">
        <v>6.83</v>
      </c>
      <c r="K2275" t="s">
        <v>223</v>
      </c>
      <c r="L2275" t="s">
        <v>1435</v>
      </c>
      <c r="Q2275">
        <v>4</v>
      </c>
      <c r="R2275" t="s">
        <v>1135</v>
      </c>
      <c r="T2275" t="s">
        <v>38</v>
      </c>
      <c r="V2275" t="s">
        <v>921</v>
      </c>
      <c r="W2275" t="s">
        <v>81</v>
      </c>
      <c r="Z2275" t="s">
        <v>1357</v>
      </c>
      <c r="AA2275" t="s">
        <v>39</v>
      </c>
      <c r="AC2275" t="s">
        <v>1436</v>
      </c>
    </row>
    <row r="2276" spans="1:29" x14ac:dyDescent="0.25">
      <c r="A2276">
        <v>218</v>
      </c>
      <c r="B2276" t="s">
        <v>325</v>
      </c>
      <c r="C2276" t="s">
        <v>77</v>
      </c>
      <c r="D2276" t="s">
        <v>238</v>
      </c>
      <c r="E2276">
        <v>8</v>
      </c>
      <c r="F2276">
        <v>148</v>
      </c>
      <c r="G2276">
        <v>441</v>
      </c>
      <c r="H2276">
        <v>1</v>
      </c>
      <c r="I2276">
        <v>4.0999999999999996</v>
      </c>
      <c r="J2276">
        <v>4.0999999999999996</v>
      </c>
      <c r="K2276" t="s">
        <v>223</v>
      </c>
      <c r="L2276" t="s">
        <v>1435</v>
      </c>
      <c r="Q2276">
        <v>4</v>
      </c>
      <c r="R2276" t="s">
        <v>1135</v>
      </c>
      <c r="T2276" t="s">
        <v>38</v>
      </c>
      <c r="V2276" t="s">
        <v>921</v>
      </c>
      <c r="W2276" t="s">
        <v>81</v>
      </c>
      <c r="Z2276" t="s">
        <v>1357</v>
      </c>
      <c r="AA2276" t="s">
        <v>39</v>
      </c>
      <c r="AC2276" t="s">
        <v>1436</v>
      </c>
    </row>
    <row r="2277" spans="1:29" x14ac:dyDescent="0.25">
      <c r="A2277">
        <v>219</v>
      </c>
      <c r="B2277" t="s">
        <v>326</v>
      </c>
      <c r="C2277" t="s">
        <v>77</v>
      </c>
      <c r="D2277" t="s">
        <v>322</v>
      </c>
      <c r="E2277">
        <v>8</v>
      </c>
      <c r="F2277">
        <v>148</v>
      </c>
      <c r="G2277">
        <v>324</v>
      </c>
      <c r="H2277">
        <v>2</v>
      </c>
      <c r="I2277">
        <v>3.01</v>
      </c>
      <c r="J2277">
        <v>6.02</v>
      </c>
      <c r="K2277" t="s">
        <v>223</v>
      </c>
      <c r="L2277" t="s">
        <v>1435</v>
      </c>
      <c r="Q2277">
        <v>4</v>
      </c>
      <c r="R2277" t="s">
        <v>1135</v>
      </c>
      <c r="T2277" t="s">
        <v>38</v>
      </c>
      <c r="V2277" t="s">
        <v>921</v>
      </c>
      <c r="W2277" t="s">
        <v>81</v>
      </c>
      <c r="Z2277" t="s">
        <v>1357</v>
      </c>
      <c r="AA2277" t="s">
        <v>39</v>
      </c>
      <c r="AC2277" t="s">
        <v>1436</v>
      </c>
    </row>
    <row r="2278" spans="1:29" x14ac:dyDescent="0.25">
      <c r="A2278">
        <v>220</v>
      </c>
      <c r="B2278" t="s">
        <v>327</v>
      </c>
      <c r="C2278" t="s">
        <v>77</v>
      </c>
      <c r="D2278" t="s">
        <v>238</v>
      </c>
      <c r="E2278">
        <v>8</v>
      </c>
      <c r="F2278">
        <v>148</v>
      </c>
      <c r="G2278">
        <v>441</v>
      </c>
      <c r="H2278">
        <v>2</v>
      </c>
      <c r="I2278">
        <v>4.0999999999999996</v>
      </c>
      <c r="J2278">
        <v>8.19</v>
      </c>
      <c r="K2278" t="s">
        <v>223</v>
      </c>
      <c r="L2278" t="s">
        <v>1435</v>
      </c>
      <c r="Q2278">
        <v>4</v>
      </c>
      <c r="R2278" t="s">
        <v>1135</v>
      </c>
      <c r="T2278" t="s">
        <v>38</v>
      </c>
      <c r="V2278" t="s">
        <v>921</v>
      </c>
      <c r="W2278" t="s">
        <v>81</v>
      </c>
      <c r="Z2278" t="s">
        <v>1357</v>
      </c>
      <c r="AA2278" t="s">
        <v>39</v>
      </c>
      <c r="AC2278" t="s">
        <v>1436</v>
      </c>
    </row>
    <row r="2279" spans="1:29" x14ac:dyDescent="0.25">
      <c r="A2279">
        <v>221</v>
      </c>
      <c r="B2279" t="s">
        <v>328</v>
      </c>
      <c r="C2279" t="s">
        <v>77</v>
      </c>
      <c r="D2279" t="s">
        <v>322</v>
      </c>
      <c r="E2279">
        <v>8</v>
      </c>
      <c r="F2279">
        <v>148</v>
      </c>
      <c r="G2279">
        <v>324</v>
      </c>
      <c r="H2279">
        <v>4</v>
      </c>
      <c r="I2279">
        <v>3.01</v>
      </c>
      <c r="J2279">
        <v>12.03</v>
      </c>
      <c r="K2279" t="s">
        <v>223</v>
      </c>
      <c r="L2279" t="s">
        <v>1435</v>
      </c>
      <c r="Q2279">
        <v>4</v>
      </c>
      <c r="R2279" t="s">
        <v>1135</v>
      </c>
      <c r="T2279" t="s">
        <v>38</v>
      </c>
      <c r="V2279" t="s">
        <v>921</v>
      </c>
      <c r="W2279" t="s">
        <v>81</v>
      </c>
      <c r="Z2279" t="s">
        <v>1357</v>
      </c>
      <c r="AA2279" t="s">
        <v>39</v>
      </c>
      <c r="AC2279" t="s">
        <v>1436</v>
      </c>
    </row>
    <row r="2280" spans="1:29" x14ac:dyDescent="0.25">
      <c r="A2280">
        <v>222</v>
      </c>
      <c r="B2280" t="s">
        <v>296</v>
      </c>
      <c r="C2280" t="s">
        <v>77</v>
      </c>
      <c r="D2280" t="s">
        <v>297</v>
      </c>
      <c r="E2280">
        <v>8</v>
      </c>
      <c r="F2280">
        <v>329</v>
      </c>
      <c r="G2280">
        <v>7565</v>
      </c>
      <c r="H2280">
        <v>2</v>
      </c>
      <c r="I2280">
        <v>154.86000000000001</v>
      </c>
      <c r="J2280">
        <v>309.73</v>
      </c>
      <c r="K2280" t="s">
        <v>223</v>
      </c>
      <c r="L2280" t="s">
        <v>1435</v>
      </c>
      <c r="N2280" t="s">
        <v>228</v>
      </c>
      <c r="Q2280">
        <v>4</v>
      </c>
      <c r="R2280" t="s">
        <v>1135</v>
      </c>
      <c r="T2280" t="s">
        <v>38</v>
      </c>
      <c r="V2280" t="s">
        <v>921</v>
      </c>
      <c r="Y2280" t="s">
        <v>81</v>
      </c>
      <c r="Z2280" t="s">
        <v>1357</v>
      </c>
      <c r="AA2280" t="s">
        <v>39</v>
      </c>
      <c r="AC2280" t="s">
        <v>1436</v>
      </c>
    </row>
    <row r="2281" spans="1:29" x14ac:dyDescent="0.25">
      <c r="A2281">
        <v>223</v>
      </c>
      <c r="B2281" t="s">
        <v>329</v>
      </c>
      <c r="C2281" t="s">
        <v>77</v>
      </c>
      <c r="D2281" t="s">
        <v>318</v>
      </c>
      <c r="E2281">
        <v>8</v>
      </c>
      <c r="F2281">
        <v>206</v>
      </c>
      <c r="G2281">
        <v>465</v>
      </c>
      <c r="H2281">
        <v>1</v>
      </c>
      <c r="I2281">
        <v>6.01</v>
      </c>
      <c r="J2281">
        <v>6.01</v>
      </c>
      <c r="K2281" t="s">
        <v>223</v>
      </c>
      <c r="L2281" t="s">
        <v>1435</v>
      </c>
      <c r="Q2281">
        <v>4</v>
      </c>
      <c r="R2281" t="s">
        <v>1135</v>
      </c>
      <c r="T2281" t="s">
        <v>38</v>
      </c>
      <c r="V2281" t="s">
        <v>921</v>
      </c>
      <c r="W2281" t="s">
        <v>81</v>
      </c>
      <c r="Z2281" t="s">
        <v>1357</v>
      </c>
      <c r="AA2281" t="s">
        <v>39</v>
      </c>
      <c r="AC2281" t="s">
        <v>1436</v>
      </c>
    </row>
    <row r="2282" spans="1:29" x14ac:dyDescent="0.25">
      <c r="A2282">
        <v>224</v>
      </c>
      <c r="B2282" t="s">
        <v>330</v>
      </c>
      <c r="C2282" t="s">
        <v>77</v>
      </c>
      <c r="D2282" t="s">
        <v>320</v>
      </c>
      <c r="E2282">
        <v>8</v>
      </c>
      <c r="F2282">
        <v>196</v>
      </c>
      <c r="G2282">
        <v>340</v>
      </c>
      <c r="H2282">
        <v>2</v>
      </c>
      <c r="I2282">
        <v>4.18</v>
      </c>
      <c r="J2282">
        <v>8.36</v>
      </c>
      <c r="K2282" t="s">
        <v>223</v>
      </c>
      <c r="L2282" t="s">
        <v>1435</v>
      </c>
      <c r="Q2282">
        <v>4</v>
      </c>
      <c r="R2282" t="s">
        <v>1135</v>
      </c>
      <c r="T2282" t="s">
        <v>38</v>
      </c>
      <c r="V2282" t="s">
        <v>921</v>
      </c>
      <c r="W2282" t="s">
        <v>81</v>
      </c>
      <c r="Z2282" t="s">
        <v>1357</v>
      </c>
      <c r="AA2282" t="s">
        <v>39</v>
      </c>
      <c r="AC2282" t="s">
        <v>1436</v>
      </c>
    </row>
    <row r="2283" spans="1:29" x14ac:dyDescent="0.25">
      <c r="A2283">
        <v>225</v>
      </c>
      <c r="B2283" t="s">
        <v>331</v>
      </c>
      <c r="C2283" t="s">
        <v>77</v>
      </c>
      <c r="D2283" t="s">
        <v>238</v>
      </c>
      <c r="E2283">
        <v>8</v>
      </c>
      <c r="F2283">
        <v>148</v>
      </c>
      <c r="G2283">
        <v>441</v>
      </c>
      <c r="H2283">
        <v>1</v>
      </c>
      <c r="I2283">
        <v>4.0999999999999996</v>
      </c>
      <c r="J2283">
        <v>4.0999999999999996</v>
      </c>
      <c r="K2283" t="s">
        <v>223</v>
      </c>
      <c r="L2283" t="s">
        <v>1435</v>
      </c>
      <c r="Q2283">
        <v>4</v>
      </c>
      <c r="R2283" t="s">
        <v>1135</v>
      </c>
      <c r="T2283" t="s">
        <v>38</v>
      </c>
      <c r="V2283" t="s">
        <v>921</v>
      </c>
      <c r="W2283" t="s">
        <v>81</v>
      </c>
      <c r="Z2283" t="s">
        <v>1357</v>
      </c>
      <c r="AA2283" t="s">
        <v>39</v>
      </c>
      <c r="AC2283" t="s">
        <v>1436</v>
      </c>
    </row>
    <row r="2284" spans="1:29" x14ac:dyDescent="0.25">
      <c r="A2284">
        <v>226</v>
      </c>
      <c r="B2284" t="s">
        <v>332</v>
      </c>
      <c r="C2284" t="s">
        <v>77</v>
      </c>
      <c r="D2284" t="s">
        <v>322</v>
      </c>
      <c r="E2284">
        <v>8</v>
      </c>
      <c r="F2284">
        <v>148</v>
      </c>
      <c r="G2284">
        <v>324</v>
      </c>
      <c r="H2284">
        <v>2</v>
      </c>
      <c r="I2284">
        <v>3.01</v>
      </c>
      <c r="J2284">
        <v>6.02</v>
      </c>
      <c r="K2284" t="s">
        <v>223</v>
      </c>
      <c r="L2284" t="s">
        <v>1435</v>
      </c>
      <c r="Q2284">
        <v>4</v>
      </c>
      <c r="R2284" t="s">
        <v>1135</v>
      </c>
      <c r="T2284" t="s">
        <v>38</v>
      </c>
      <c r="V2284" t="s">
        <v>921</v>
      </c>
      <c r="W2284" t="s">
        <v>81</v>
      </c>
      <c r="Z2284" t="s">
        <v>1357</v>
      </c>
      <c r="AA2284" t="s">
        <v>39</v>
      </c>
      <c r="AC2284" t="s">
        <v>1436</v>
      </c>
    </row>
    <row r="2285" spans="1:29" x14ac:dyDescent="0.25">
      <c r="A2285">
        <v>227</v>
      </c>
      <c r="B2285" t="s">
        <v>333</v>
      </c>
      <c r="C2285" t="s">
        <v>77</v>
      </c>
      <c r="D2285" t="s">
        <v>242</v>
      </c>
      <c r="E2285">
        <v>8</v>
      </c>
      <c r="F2285">
        <v>156</v>
      </c>
      <c r="G2285">
        <v>465</v>
      </c>
      <c r="H2285">
        <v>1</v>
      </c>
      <c r="I2285">
        <v>4.55</v>
      </c>
      <c r="J2285">
        <v>4.55</v>
      </c>
      <c r="K2285" t="s">
        <v>223</v>
      </c>
      <c r="L2285" t="s">
        <v>1435</v>
      </c>
      <c r="Q2285">
        <v>4</v>
      </c>
      <c r="R2285" t="s">
        <v>1135</v>
      </c>
      <c r="T2285" t="s">
        <v>38</v>
      </c>
      <c r="V2285" t="s">
        <v>921</v>
      </c>
      <c r="W2285" t="s">
        <v>81</v>
      </c>
      <c r="Z2285" t="s">
        <v>1357</v>
      </c>
      <c r="AA2285" t="s">
        <v>39</v>
      </c>
      <c r="AC2285" t="s">
        <v>1436</v>
      </c>
    </row>
    <row r="2286" spans="1:29" x14ac:dyDescent="0.25">
      <c r="A2286">
        <v>228</v>
      </c>
      <c r="B2286" t="s">
        <v>334</v>
      </c>
      <c r="C2286" t="s">
        <v>77</v>
      </c>
      <c r="D2286" t="s">
        <v>324</v>
      </c>
      <c r="E2286">
        <v>8</v>
      </c>
      <c r="F2286">
        <v>160</v>
      </c>
      <c r="G2286">
        <v>340</v>
      </c>
      <c r="H2286">
        <v>2</v>
      </c>
      <c r="I2286">
        <v>3.42</v>
      </c>
      <c r="J2286">
        <v>6.83</v>
      </c>
      <c r="K2286" t="s">
        <v>223</v>
      </c>
      <c r="L2286" t="s">
        <v>1435</v>
      </c>
      <c r="Q2286">
        <v>4</v>
      </c>
      <c r="R2286" t="s">
        <v>1135</v>
      </c>
      <c r="T2286" t="s">
        <v>38</v>
      </c>
      <c r="V2286" t="s">
        <v>921</v>
      </c>
      <c r="W2286" t="s">
        <v>81</v>
      </c>
      <c r="Z2286" t="s">
        <v>1357</v>
      </c>
      <c r="AA2286" t="s">
        <v>39</v>
      </c>
      <c r="AC2286" t="s">
        <v>1436</v>
      </c>
    </row>
    <row r="2287" spans="1:29" x14ac:dyDescent="0.25">
      <c r="A2287">
        <v>229</v>
      </c>
      <c r="B2287" t="s">
        <v>335</v>
      </c>
      <c r="C2287" t="s">
        <v>77</v>
      </c>
      <c r="D2287" t="s">
        <v>238</v>
      </c>
      <c r="E2287">
        <v>8</v>
      </c>
      <c r="F2287">
        <v>148</v>
      </c>
      <c r="G2287">
        <v>441</v>
      </c>
      <c r="H2287">
        <v>1</v>
      </c>
      <c r="I2287">
        <v>4.0999999999999996</v>
      </c>
      <c r="J2287">
        <v>4.0999999999999996</v>
      </c>
      <c r="K2287" t="s">
        <v>223</v>
      </c>
      <c r="L2287" t="s">
        <v>1435</v>
      </c>
      <c r="Q2287">
        <v>4</v>
      </c>
      <c r="R2287" t="s">
        <v>1135</v>
      </c>
      <c r="T2287" t="s">
        <v>38</v>
      </c>
      <c r="V2287" t="s">
        <v>921</v>
      </c>
      <c r="W2287" t="s">
        <v>81</v>
      </c>
      <c r="Z2287" t="s">
        <v>1357</v>
      </c>
      <c r="AA2287" t="s">
        <v>39</v>
      </c>
      <c r="AC2287" t="s">
        <v>1436</v>
      </c>
    </row>
    <row r="2288" spans="1:29" x14ac:dyDescent="0.25">
      <c r="A2288">
        <v>230</v>
      </c>
      <c r="B2288" t="s">
        <v>336</v>
      </c>
      <c r="C2288" t="s">
        <v>77</v>
      </c>
      <c r="D2288" t="s">
        <v>322</v>
      </c>
      <c r="E2288">
        <v>8</v>
      </c>
      <c r="F2288">
        <v>148</v>
      </c>
      <c r="G2288">
        <v>324</v>
      </c>
      <c r="H2288">
        <v>2</v>
      </c>
      <c r="I2288">
        <v>3.01</v>
      </c>
      <c r="J2288">
        <v>6.02</v>
      </c>
      <c r="K2288" t="s">
        <v>223</v>
      </c>
      <c r="L2288" t="s">
        <v>1435</v>
      </c>
      <c r="Q2288">
        <v>4</v>
      </c>
      <c r="R2288" t="s">
        <v>1135</v>
      </c>
      <c r="T2288" t="s">
        <v>38</v>
      </c>
      <c r="V2288" t="s">
        <v>921</v>
      </c>
      <c r="W2288" t="s">
        <v>81</v>
      </c>
      <c r="Z2288" t="s">
        <v>1357</v>
      </c>
      <c r="AA2288" t="s">
        <v>39</v>
      </c>
      <c r="AC2288" t="s">
        <v>1436</v>
      </c>
    </row>
    <row r="2289" spans="1:29" x14ac:dyDescent="0.25">
      <c r="A2289">
        <v>231</v>
      </c>
      <c r="B2289" t="s">
        <v>337</v>
      </c>
      <c r="C2289" t="s">
        <v>77</v>
      </c>
      <c r="D2289" t="s">
        <v>238</v>
      </c>
      <c r="E2289">
        <v>8</v>
      </c>
      <c r="F2289">
        <v>148</v>
      </c>
      <c r="G2289">
        <v>441</v>
      </c>
      <c r="H2289">
        <v>2</v>
      </c>
      <c r="I2289">
        <v>4.0999999999999996</v>
      </c>
      <c r="J2289">
        <v>8.19</v>
      </c>
      <c r="K2289" t="s">
        <v>223</v>
      </c>
      <c r="L2289" t="s">
        <v>1435</v>
      </c>
      <c r="Q2289">
        <v>4</v>
      </c>
      <c r="R2289" t="s">
        <v>1135</v>
      </c>
      <c r="T2289" t="s">
        <v>38</v>
      </c>
      <c r="V2289" t="s">
        <v>921</v>
      </c>
      <c r="W2289" t="s">
        <v>81</v>
      </c>
      <c r="Z2289" t="s">
        <v>1357</v>
      </c>
      <c r="AA2289" t="s">
        <v>39</v>
      </c>
      <c r="AC2289" t="s">
        <v>1436</v>
      </c>
    </row>
    <row r="2290" spans="1:29" x14ac:dyDescent="0.25">
      <c r="A2290">
        <v>232</v>
      </c>
      <c r="B2290" t="s">
        <v>338</v>
      </c>
      <c r="C2290" t="s">
        <v>77</v>
      </c>
      <c r="D2290" t="s">
        <v>322</v>
      </c>
      <c r="E2290">
        <v>8</v>
      </c>
      <c r="F2290">
        <v>148</v>
      </c>
      <c r="G2290">
        <v>324</v>
      </c>
      <c r="H2290">
        <v>4</v>
      </c>
      <c r="I2290">
        <v>3.01</v>
      </c>
      <c r="J2290">
        <v>12.03</v>
      </c>
      <c r="K2290" t="s">
        <v>223</v>
      </c>
      <c r="L2290" t="s">
        <v>1435</v>
      </c>
      <c r="Q2290">
        <v>4</v>
      </c>
      <c r="R2290" t="s">
        <v>1135</v>
      </c>
      <c r="T2290" t="s">
        <v>38</v>
      </c>
      <c r="V2290" t="s">
        <v>921</v>
      </c>
      <c r="W2290" t="s">
        <v>81</v>
      </c>
      <c r="Z2290" t="s">
        <v>1357</v>
      </c>
      <c r="AA2290" t="s">
        <v>39</v>
      </c>
      <c r="AC2290" t="s">
        <v>1436</v>
      </c>
    </row>
    <row r="2291" spans="1:29" x14ac:dyDescent="0.25">
      <c r="A2291">
        <v>233</v>
      </c>
      <c r="B2291" t="s">
        <v>298</v>
      </c>
      <c r="C2291" t="s">
        <v>77</v>
      </c>
      <c r="D2291" t="s">
        <v>299</v>
      </c>
      <c r="E2291">
        <v>8</v>
      </c>
      <c r="F2291">
        <v>329</v>
      </c>
      <c r="G2291">
        <v>7566</v>
      </c>
      <c r="H2291">
        <v>3</v>
      </c>
      <c r="I2291">
        <v>154.88</v>
      </c>
      <c r="J2291">
        <v>464.63</v>
      </c>
      <c r="K2291" t="s">
        <v>223</v>
      </c>
      <c r="L2291" t="s">
        <v>1435</v>
      </c>
      <c r="N2291" t="s">
        <v>228</v>
      </c>
      <c r="Q2291">
        <v>4</v>
      </c>
      <c r="R2291" t="s">
        <v>1135</v>
      </c>
      <c r="T2291" t="s">
        <v>38</v>
      </c>
      <c r="V2291" t="s">
        <v>921</v>
      </c>
      <c r="Y2291" t="s">
        <v>81</v>
      </c>
      <c r="Z2291" t="s">
        <v>1357</v>
      </c>
      <c r="AA2291" t="s">
        <v>39</v>
      </c>
      <c r="AC2291" t="s">
        <v>1436</v>
      </c>
    </row>
    <row r="2292" spans="1:29" x14ac:dyDescent="0.25">
      <c r="A2292">
        <v>234</v>
      </c>
      <c r="B2292" t="s">
        <v>339</v>
      </c>
      <c r="C2292" t="s">
        <v>77</v>
      </c>
      <c r="D2292" t="s">
        <v>340</v>
      </c>
      <c r="E2292">
        <v>8</v>
      </c>
      <c r="F2292">
        <v>142</v>
      </c>
      <c r="G2292">
        <v>1799</v>
      </c>
      <c r="H2292">
        <v>1</v>
      </c>
      <c r="I2292">
        <v>16.04</v>
      </c>
      <c r="J2292">
        <v>16.04</v>
      </c>
      <c r="K2292" t="s">
        <v>223</v>
      </c>
      <c r="L2292" t="s">
        <v>1435</v>
      </c>
      <c r="O2292" t="s">
        <v>81</v>
      </c>
      <c r="Q2292">
        <v>4</v>
      </c>
      <c r="R2292" t="s">
        <v>1135</v>
      </c>
      <c r="T2292" t="s">
        <v>38</v>
      </c>
      <c r="V2292" t="s">
        <v>921</v>
      </c>
      <c r="Z2292" t="s">
        <v>1357</v>
      </c>
      <c r="AA2292" t="s">
        <v>39</v>
      </c>
      <c r="AC2292" t="s">
        <v>1436</v>
      </c>
    </row>
    <row r="2293" spans="1:29" x14ac:dyDescent="0.25">
      <c r="A2293">
        <v>235</v>
      </c>
      <c r="B2293" t="s">
        <v>341</v>
      </c>
      <c r="C2293" t="s">
        <v>77</v>
      </c>
      <c r="D2293" t="s">
        <v>342</v>
      </c>
      <c r="E2293">
        <v>8</v>
      </c>
      <c r="F2293">
        <v>74</v>
      </c>
      <c r="G2293">
        <v>172</v>
      </c>
      <c r="H2293">
        <v>2</v>
      </c>
      <c r="I2293">
        <v>0.54</v>
      </c>
      <c r="J2293">
        <v>1.07</v>
      </c>
      <c r="K2293" t="s">
        <v>223</v>
      </c>
      <c r="L2293" t="s">
        <v>1435</v>
      </c>
      <c r="Q2293">
        <v>4</v>
      </c>
      <c r="R2293" t="s">
        <v>1135</v>
      </c>
      <c r="T2293" t="s">
        <v>38</v>
      </c>
      <c r="V2293" t="s">
        <v>921</v>
      </c>
      <c r="W2293" t="s">
        <v>81</v>
      </c>
      <c r="Z2293" t="s">
        <v>1357</v>
      </c>
      <c r="AA2293" t="s">
        <v>39</v>
      </c>
      <c r="AC2293" t="s">
        <v>1436</v>
      </c>
    </row>
    <row r="2294" spans="1:29" x14ac:dyDescent="0.25">
      <c r="A2294">
        <v>236</v>
      </c>
      <c r="B2294" t="s">
        <v>343</v>
      </c>
      <c r="C2294" t="s">
        <v>77</v>
      </c>
      <c r="D2294" t="s">
        <v>230</v>
      </c>
      <c r="E2294">
        <v>8</v>
      </c>
      <c r="F2294">
        <v>90</v>
      </c>
      <c r="G2294">
        <v>150</v>
      </c>
      <c r="H2294">
        <v>6</v>
      </c>
      <c r="I2294">
        <v>0.62</v>
      </c>
      <c r="J2294">
        <v>3.71</v>
      </c>
      <c r="K2294" t="s">
        <v>223</v>
      </c>
      <c r="L2294" t="s">
        <v>1435</v>
      </c>
      <c r="Q2294">
        <v>4</v>
      </c>
      <c r="R2294" t="s">
        <v>1135</v>
      </c>
      <c r="T2294" t="s">
        <v>38</v>
      </c>
      <c r="V2294" t="s">
        <v>921</v>
      </c>
      <c r="W2294" t="s">
        <v>81</v>
      </c>
      <c r="Z2294" t="s">
        <v>1357</v>
      </c>
      <c r="AA2294" t="s">
        <v>39</v>
      </c>
      <c r="AC2294" t="s">
        <v>1436</v>
      </c>
    </row>
    <row r="2295" spans="1:29" x14ac:dyDescent="0.25">
      <c r="A2295">
        <v>237</v>
      </c>
      <c r="B2295" t="s">
        <v>344</v>
      </c>
      <c r="C2295" t="s">
        <v>77</v>
      </c>
      <c r="D2295" t="s">
        <v>340</v>
      </c>
      <c r="E2295">
        <v>8</v>
      </c>
      <c r="F2295">
        <v>142</v>
      </c>
      <c r="G2295">
        <v>1799</v>
      </c>
      <c r="H2295">
        <v>2</v>
      </c>
      <c r="I2295">
        <v>16.05</v>
      </c>
      <c r="J2295">
        <v>32.090000000000003</v>
      </c>
      <c r="K2295" t="s">
        <v>223</v>
      </c>
      <c r="L2295" t="s">
        <v>1435</v>
      </c>
      <c r="O2295" t="s">
        <v>81</v>
      </c>
      <c r="Q2295">
        <v>4</v>
      </c>
      <c r="R2295" t="s">
        <v>1135</v>
      </c>
      <c r="T2295" t="s">
        <v>38</v>
      </c>
      <c r="V2295" t="s">
        <v>921</v>
      </c>
      <c r="Z2295" t="s">
        <v>1357</v>
      </c>
      <c r="AA2295" t="s">
        <v>39</v>
      </c>
      <c r="AC2295" t="s">
        <v>1436</v>
      </c>
    </row>
    <row r="2296" spans="1:29" x14ac:dyDescent="0.25">
      <c r="A2296">
        <v>238</v>
      </c>
      <c r="B2296" t="s">
        <v>229</v>
      </c>
      <c r="C2296" t="s">
        <v>77</v>
      </c>
      <c r="D2296" t="s">
        <v>230</v>
      </c>
      <c r="E2296">
        <v>8</v>
      </c>
      <c r="F2296">
        <v>90</v>
      </c>
      <c r="G2296">
        <v>150</v>
      </c>
      <c r="H2296">
        <v>9</v>
      </c>
      <c r="I2296">
        <v>0.62</v>
      </c>
      <c r="J2296">
        <v>5.57</v>
      </c>
      <c r="K2296" t="s">
        <v>223</v>
      </c>
      <c r="L2296" t="s">
        <v>1435</v>
      </c>
      <c r="Q2296">
        <v>4</v>
      </c>
      <c r="R2296" t="s">
        <v>1135</v>
      </c>
      <c r="T2296" t="s">
        <v>38</v>
      </c>
      <c r="V2296" t="s">
        <v>921</v>
      </c>
      <c r="W2296" t="s">
        <v>81</v>
      </c>
      <c r="Z2296" t="s">
        <v>1357</v>
      </c>
      <c r="AA2296" t="s">
        <v>39</v>
      </c>
      <c r="AC2296" t="s">
        <v>1436</v>
      </c>
    </row>
    <row r="2297" spans="1:29" x14ac:dyDescent="0.25">
      <c r="A2297">
        <v>239</v>
      </c>
      <c r="B2297" t="s">
        <v>345</v>
      </c>
      <c r="C2297" t="s">
        <v>77</v>
      </c>
      <c r="D2297" t="s">
        <v>340</v>
      </c>
      <c r="E2297">
        <v>8</v>
      </c>
      <c r="F2297">
        <v>142</v>
      </c>
      <c r="G2297">
        <v>1799</v>
      </c>
      <c r="H2297">
        <v>1</v>
      </c>
      <c r="I2297">
        <v>16.04</v>
      </c>
      <c r="J2297">
        <v>16.04</v>
      </c>
      <c r="K2297" t="s">
        <v>223</v>
      </c>
      <c r="L2297" t="s">
        <v>1435</v>
      </c>
      <c r="O2297" t="s">
        <v>81</v>
      </c>
      <c r="Q2297">
        <v>4</v>
      </c>
      <c r="R2297" t="s">
        <v>1135</v>
      </c>
      <c r="T2297" t="s">
        <v>38</v>
      </c>
      <c r="V2297" t="s">
        <v>921</v>
      </c>
      <c r="Z2297" t="s">
        <v>1357</v>
      </c>
      <c r="AA2297" t="s">
        <v>39</v>
      </c>
      <c r="AC2297" t="s">
        <v>1436</v>
      </c>
    </row>
    <row r="2298" spans="1:29" x14ac:dyDescent="0.25">
      <c r="A2298">
        <v>240</v>
      </c>
      <c r="B2298" t="s">
        <v>346</v>
      </c>
      <c r="C2298" t="s">
        <v>77</v>
      </c>
      <c r="D2298" t="s">
        <v>342</v>
      </c>
      <c r="E2298">
        <v>8</v>
      </c>
      <c r="F2298">
        <v>74</v>
      </c>
      <c r="G2298">
        <v>172</v>
      </c>
      <c r="H2298">
        <v>3</v>
      </c>
      <c r="I2298">
        <v>0.53</v>
      </c>
      <c r="J2298">
        <v>1.6</v>
      </c>
      <c r="K2298" t="s">
        <v>223</v>
      </c>
      <c r="L2298" t="s">
        <v>1435</v>
      </c>
      <c r="Q2298">
        <v>4</v>
      </c>
      <c r="R2298" t="s">
        <v>1135</v>
      </c>
      <c r="T2298" t="s">
        <v>38</v>
      </c>
      <c r="V2298" t="s">
        <v>921</v>
      </c>
      <c r="W2298" t="s">
        <v>81</v>
      </c>
      <c r="Z2298" t="s">
        <v>1357</v>
      </c>
      <c r="AA2298" t="s">
        <v>39</v>
      </c>
      <c r="AC2298" t="s">
        <v>1436</v>
      </c>
    </row>
    <row r="2299" spans="1:29" x14ac:dyDescent="0.25">
      <c r="A2299">
        <v>241</v>
      </c>
      <c r="B2299" t="s">
        <v>347</v>
      </c>
      <c r="C2299" t="s">
        <v>77</v>
      </c>
      <c r="D2299" t="s">
        <v>230</v>
      </c>
      <c r="E2299">
        <v>8</v>
      </c>
      <c r="F2299">
        <v>90</v>
      </c>
      <c r="G2299">
        <v>150</v>
      </c>
      <c r="H2299">
        <v>5</v>
      </c>
      <c r="I2299">
        <v>0.62</v>
      </c>
      <c r="J2299">
        <v>3.09</v>
      </c>
      <c r="K2299" t="s">
        <v>223</v>
      </c>
      <c r="L2299" t="s">
        <v>1435</v>
      </c>
      <c r="Q2299">
        <v>4</v>
      </c>
      <c r="R2299" t="s">
        <v>1135</v>
      </c>
      <c r="T2299" t="s">
        <v>38</v>
      </c>
      <c r="V2299" t="s">
        <v>921</v>
      </c>
      <c r="W2299" t="s">
        <v>81</v>
      </c>
      <c r="Z2299" t="s">
        <v>1357</v>
      </c>
      <c r="AA2299" t="s">
        <v>39</v>
      </c>
      <c r="AC2299" t="s">
        <v>1436</v>
      </c>
    </row>
    <row r="2300" spans="1:29" x14ac:dyDescent="0.25">
      <c r="A2300">
        <v>242</v>
      </c>
      <c r="B2300" t="s">
        <v>348</v>
      </c>
      <c r="C2300" t="s">
        <v>77</v>
      </c>
      <c r="D2300" t="s">
        <v>314</v>
      </c>
      <c r="E2300">
        <v>8</v>
      </c>
      <c r="F2300">
        <v>158</v>
      </c>
      <c r="G2300">
        <v>228</v>
      </c>
      <c r="H2300">
        <v>27</v>
      </c>
      <c r="I2300">
        <v>2.21</v>
      </c>
      <c r="J2300">
        <v>59.73</v>
      </c>
      <c r="K2300" t="s">
        <v>223</v>
      </c>
      <c r="L2300" t="s">
        <v>1435</v>
      </c>
      <c r="Q2300">
        <v>4</v>
      </c>
      <c r="R2300" t="s">
        <v>1135</v>
      </c>
      <c r="T2300" t="s">
        <v>38</v>
      </c>
      <c r="V2300" t="s">
        <v>921</v>
      </c>
      <c r="W2300" t="s">
        <v>81</v>
      </c>
      <c r="Z2300" t="s">
        <v>1357</v>
      </c>
      <c r="AA2300" t="s">
        <v>39</v>
      </c>
      <c r="AC2300" t="s">
        <v>1436</v>
      </c>
    </row>
    <row r="2301" spans="1:29" x14ac:dyDescent="0.25">
      <c r="A2301">
        <v>243</v>
      </c>
      <c r="B2301" t="s">
        <v>306</v>
      </c>
      <c r="C2301" t="s">
        <v>77</v>
      </c>
      <c r="D2301" t="s">
        <v>307</v>
      </c>
      <c r="E2301">
        <v>8</v>
      </c>
      <c r="F2301">
        <v>124</v>
      </c>
      <c r="G2301">
        <v>1882</v>
      </c>
      <c r="H2301">
        <v>4</v>
      </c>
      <c r="I2301">
        <v>14.66</v>
      </c>
      <c r="J2301">
        <v>58.62</v>
      </c>
      <c r="K2301" t="s">
        <v>223</v>
      </c>
      <c r="L2301" t="s">
        <v>1435</v>
      </c>
      <c r="Q2301">
        <v>4</v>
      </c>
      <c r="R2301" t="s">
        <v>1135</v>
      </c>
      <c r="T2301" t="s">
        <v>38</v>
      </c>
      <c r="V2301" t="s">
        <v>921</v>
      </c>
      <c r="Y2301" t="s">
        <v>81</v>
      </c>
      <c r="Z2301" t="s">
        <v>1357</v>
      </c>
      <c r="AA2301" t="s">
        <v>39</v>
      </c>
      <c r="AC2301" t="s">
        <v>1436</v>
      </c>
    </row>
    <row r="2302" spans="1:29" x14ac:dyDescent="0.25">
      <c r="A2302">
        <v>244</v>
      </c>
      <c r="B2302" t="s">
        <v>308</v>
      </c>
      <c r="C2302" t="s">
        <v>77</v>
      </c>
      <c r="D2302" t="s">
        <v>309</v>
      </c>
      <c r="E2302">
        <v>8</v>
      </c>
      <c r="F2302">
        <v>150</v>
      </c>
      <c r="G2302">
        <v>2523</v>
      </c>
      <c r="H2302">
        <v>2</v>
      </c>
      <c r="I2302">
        <v>23.76</v>
      </c>
      <c r="J2302">
        <v>47.53</v>
      </c>
      <c r="K2302" t="s">
        <v>223</v>
      </c>
      <c r="L2302" t="s">
        <v>1435</v>
      </c>
      <c r="Q2302">
        <v>4</v>
      </c>
      <c r="R2302" t="s">
        <v>1135</v>
      </c>
      <c r="T2302" t="s">
        <v>38</v>
      </c>
      <c r="V2302" t="s">
        <v>921</v>
      </c>
      <c r="Y2302" t="s">
        <v>81</v>
      </c>
      <c r="Z2302" t="s">
        <v>1357</v>
      </c>
      <c r="AA2302" t="s">
        <v>39</v>
      </c>
      <c r="AC2302" t="s">
        <v>1436</v>
      </c>
    </row>
    <row r="2303" spans="1:29" x14ac:dyDescent="0.25">
      <c r="A2303">
        <v>245</v>
      </c>
      <c r="B2303" t="s">
        <v>310</v>
      </c>
      <c r="C2303" t="s">
        <v>77</v>
      </c>
      <c r="D2303" t="s">
        <v>311</v>
      </c>
      <c r="E2303">
        <v>8</v>
      </c>
      <c r="F2303">
        <v>124</v>
      </c>
      <c r="G2303">
        <v>2523</v>
      </c>
      <c r="H2303">
        <v>2</v>
      </c>
      <c r="I2303">
        <v>19.64</v>
      </c>
      <c r="J2303">
        <v>39.29</v>
      </c>
      <c r="K2303" t="s">
        <v>223</v>
      </c>
      <c r="L2303" t="s">
        <v>1435</v>
      </c>
      <c r="Q2303">
        <v>4</v>
      </c>
      <c r="R2303" t="s">
        <v>1135</v>
      </c>
      <c r="T2303" t="s">
        <v>38</v>
      </c>
      <c r="V2303" t="s">
        <v>921</v>
      </c>
      <c r="Y2303" t="s">
        <v>81</v>
      </c>
      <c r="Z2303" t="s">
        <v>1357</v>
      </c>
      <c r="AA2303" t="s">
        <v>39</v>
      </c>
      <c r="AC2303" t="s">
        <v>1436</v>
      </c>
    </row>
    <row r="2304" spans="1:29" x14ac:dyDescent="0.25">
      <c r="A2304">
        <v>246</v>
      </c>
      <c r="B2304" t="s">
        <v>349</v>
      </c>
      <c r="C2304" t="s">
        <v>77</v>
      </c>
      <c r="D2304" t="s">
        <v>311</v>
      </c>
      <c r="E2304">
        <v>8</v>
      </c>
      <c r="F2304">
        <v>124</v>
      </c>
      <c r="G2304">
        <v>2523</v>
      </c>
      <c r="H2304">
        <v>4</v>
      </c>
      <c r="I2304">
        <v>19.649999999999999</v>
      </c>
      <c r="J2304">
        <v>78.59</v>
      </c>
      <c r="K2304" t="s">
        <v>223</v>
      </c>
      <c r="L2304" t="s">
        <v>1435</v>
      </c>
      <c r="Q2304">
        <v>4</v>
      </c>
      <c r="R2304" t="s">
        <v>1135</v>
      </c>
      <c r="T2304" t="s">
        <v>38</v>
      </c>
      <c r="V2304" t="s">
        <v>921</v>
      </c>
      <c r="Y2304" t="s">
        <v>81</v>
      </c>
      <c r="Z2304" t="s">
        <v>1357</v>
      </c>
      <c r="AA2304" t="s">
        <v>39</v>
      </c>
      <c r="AC2304" t="s">
        <v>1436</v>
      </c>
    </row>
    <row r="2305" spans="1:29" x14ac:dyDescent="0.25">
      <c r="A2305">
        <v>247</v>
      </c>
      <c r="B2305" t="s">
        <v>350</v>
      </c>
      <c r="C2305" t="s">
        <v>77</v>
      </c>
      <c r="D2305" t="s">
        <v>351</v>
      </c>
      <c r="E2305">
        <v>8</v>
      </c>
      <c r="F2305">
        <v>150</v>
      </c>
      <c r="G2305">
        <v>601</v>
      </c>
      <c r="H2305">
        <v>4</v>
      </c>
      <c r="I2305">
        <v>5.66</v>
      </c>
      <c r="J2305">
        <v>22.65</v>
      </c>
      <c r="K2305" t="s">
        <v>223</v>
      </c>
      <c r="L2305" t="s">
        <v>1435</v>
      </c>
      <c r="Q2305">
        <v>4</v>
      </c>
      <c r="R2305" t="s">
        <v>1135</v>
      </c>
      <c r="T2305" t="s">
        <v>38</v>
      </c>
      <c r="V2305" t="s">
        <v>921</v>
      </c>
      <c r="Y2305" t="s">
        <v>81</v>
      </c>
      <c r="Z2305" t="s">
        <v>1357</v>
      </c>
      <c r="AA2305" t="s">
        <v>39</v>
      </c>
      <c r="AC2305" t="s">
        <v>1436</v>
      </c>
    </row>
    <row r="2306" spans="1:29" x14ac:dyDescent="0.25">
      <c r="A2306">
        <v>248</v>
      </c>
      <c r="B2306" t="s">
        <v>267</v>
      </c>
      <c r="C2306" t="s">
        <v>77</v>
      </c>
      <c r="D2306" t="s">
        <v>268</v>
      </c>
      <c r="E2306">
        <v>8</v>
      </c>
      <c r="F2306">
        <v>124</v>
      </c>
      <c r="G2306">
        <v>6824</v>
      </c>
      <c r="H2306">
        <v>1</v>
      </c>
      <c r="I2306">
        <v>53.14</v>
      </c>
      <c r="J2306">
        <v>53.14</v>
      </c>
      <c r="K2306" t="s">
        <v>223</v>
      </c>
      <c r="L2306" t="s">
        <v>1435</v>
      </c>
      <c r="Q2306">
        <v>4</v>
      </c>
      <c r="R2306" t="s">
        <v>1135</v>
      </c>
      <c r="T2306" t="s">
        <v>38</v>
      </c>
      <c r="V2306" t="s">
        <v>921</v>
      </c>
      <c r="Y2306" t="s">
        <v>81</v>
      </c>
      <c r="Z2306" t="s">
        <v>1357</v>
      </c>
      <c r="AA2306" t="s">
        <v>39</v>
      </c>
      <c r="AC2306" t="s">
        <v>1436</v>
      </c>
    </row>
    <row r="2307" spans="1:29" x14ac:dyDescent="0.25">
      <c r="A2307">
        <v>249</v>
      </c>
      <c r="B2307" t="s">
        <v>235</v>
      </c>
      <c r="C2307" t="s">
        <v>77</v>
      </c>
      <c r="D2307" t="s">
        <v>236</v>
      </c>
      <c r="E2307">
        <v>8</v>
      </c>
      <c r="F2307">
        <v>150</v>
      </c>
      <c r="G2307">
        <v>792</v>
      </c>
      <c r="H2307">
        <v>2</v>
      </c>
      <c r="I2307">
        <v>7.46</v>
      </c>
      <c r="J2307">
        <v>14.92</v>
      </c>
      <c r="K2307" t="s">
        <v>223</v>
      </c>
      <c r="L2307" t="s">
        <v>1435</v>
      </c>
      <c r="Q2307">
        <v>4</v>
      </c>
      <c r="R2307" t="s">
        <v>1135</v>
      </c>
      <c r="T2307" t="s">
        <v>38</v>
      </c>
      <c r="V2307" t="s">
        <v>921</v>
      </c>
      <c r="Y2307" t="s">
        <v>81</v>
      </c>
      <c r="Z2307" t="s">
        <v>1357</v>
      </c>
      <c r="AA2307" t="s">
        <v>39</v>
      </c>
      <c r="AC2307" t="s">
        <v>1436</v>
      </c>
    </row>
    <row r="2308" spans="1:29" x14ac:dyDescent="0.25">
      <c r="A2308">
        <v>250</v>
      </c>
      <c r="B2308" t="s">
        <v>352</v>
      </c>
      <c r="C2308" t="s">
        <v>77</v>
      </c>
      <c r="D2308" t="s">
        <v>340</v>
      </c>
      <c r="E2308">
        <v>8</v>
      </c>
      <c r="F2308">
        <v>142</v>
      </c>
      <c r="G2308">
        <v>1799</v>
      </c>
      <c r="H2308">
        <v>2</v>
      </c>
      <c r="I2308">
        <v>16.05</v>
      </c>
      <c r="J2308">
        <v>32.090000000000003</v>
      </c>
      <c r="K2308" t="s">
        <v>223</v>
      </c>
      <c r="L2308" t="s">
        <v>1435</v>
      </c>
      <c r="O2308" t="s">
        <v>81</v>
      </c>
      <c r="Q2308">
        <v>4</v>
      </c>
      <c r="R2308" t="s">
        <v>1135</v>
      </c>
      <c r="T2308" t="s">
        <v>38</v>
      </c>
      <c r="V2308" t="s">
        <v>921</v>
      </c>
      <c r="Z2308" t="s">
        <v>1357</v>
      </c>
      <c r="AA2308" t="s">
        <v>39</v>
      </c>
      <c r="AC2308" t="s">
        <v>1436</v>
      </c>
    </row>
    <row r="2309" spans="1:29" x14ac:dyDescent="0.25">
      <c r="A2309">
        <v>251</v>
      </c>
      <c r="B2309" t="s">
        <v>341</v>
      </c>
      <c r="C2309" t="s">
        <v>77</v>
      </c>
      <c r="D2309" t="s">
        <v>342</v>
      </c>
      <c r="E2309">
        <v>8</v>
      </c>
      <c r="F2309">
        <v>74</v>
      </c>
      <c r="G2309">
        <v>172</v>
      </c>
      <c r="H2309">
        <v>1</v>
      </c>
      <c r="I2309">
        <v>0.53</v>
      </c>
      <c r="J2309">
        <v>0.53</v>
      </c>
      <c r="K2309" t="s">
        <v>1437</v>
      </c>
      <c r="L2309" t="s">
        <v>1438</v>
      </c>
      <c r="Q2309">
        <v>4</v>
      </c>
      <c r="R2309" t="s">
        <v>1135</v>
      </c>
      <c r="T2309" t="s">
        <v>38</v>
      </c>
      <c r="V2309" t="s">
        <v>921</v>
      </c>
      <c r="W2309" t="s">
        <v>81</v>
      </c>
      <c r="Z2309" t="s">
        <v>1357</v>
      </c>
      <c r="AA2309" t="s">
        <v>1439</v>
      </c>
      <c r="AC2309" t="s">
        <v>1440</v>
      </c>
    </row>
    <row r="2310" spans="1:29" x14ac:dyDescent="0.25">
      <c r="A2310">
        <v>252</v>
      </c>
      <c r="B2310" t="s">
        <v>357</v>
      </c>
      <c r="C2310" t="s">
        <v>77</v>
      </c>
      <c r="D2310" t="s">
        <v>342</v>
      </c>
      <c r="E2310">
        <v>8</v>
      </c>
      <c r="F2310">
        <v>74</v>
      </c>
      <c r="G2310">
        <v>172</v>
      </c>
      <c r="H2310">
        <v>6</v>
      </c>
      <c r="I2310">
        <v>0.53</v>
      </c>
      <c r="J2310">
        <v>3.2</v>
      </c>
      <c r="K2310" t="s">
        <v>1437</v>
      </c>
      <c r="L2310" t="s">
        <v>1438</v>
      </c>
      <c r="Q2310">
        <v>4</v>
      </c>
      <c r="R2310" t="s">
        <v>1135</v>
      </c>
      <c r="T2310" t="s">
        <v>38</v>
      </c>
      <c r="V2310" t="s">
        <v>921</v>
      </c>
      <c r="W2310" t="s">
        <v>81</v>
      </c>
      <c r="Z2310" t="s">
        <v>1357</v>
      </c>
      <c r="AA2310" t="s">
        <v>1439</v>
      </c>
      <c r="AC2310" t="s">
        <v>1440</v>
      </c>
    </row>
    <row r="2311" spans="1:29" x14ac:dyDescent="0.25">
      <c r="A2311">
        <v>253</v>
      </c>
      <c r="B2311" t="s">
        <v>347</v>
      </c>
      <c r="C2311" t="s">
        <v>77</v>
      </c>
      <c r="D2311" t="s">
        <v>230</v>
      </c>
      <c r="E2311">
        <v>8</v>
      </c>
      <c r="F2311">
        <v>90</v>
      </c>
      <c r="G2311">
        <v>150</v>
      </c>
      <c r="H2311">
        <v>1</v>
      </c>
      <c r="I2311">
        <v>0.62</v>
      </c>
      <c r="J2311">
        <v>0.62</v>
      </c>
      <c r="K2311" t="s">
        <v>1437</v>
      </c>
      <c r="L2311" t="s">
        <v>1438</v>
      </c>
      <c r="Q2311">
        <v>4</v>
      </c>
      <c r="R2311" t="s">
        <v>1135</v>
      </c>
      <c r="T2311" t="s">
        <v>38</v>
      </c>
      <c r="V2311" t="s">
        <v>921</v>
      </c>
      <c r="W2311" t="s">
        <v>81</v>
      </c>
      <c r="Z2311" t="s">
        <v>1357</v>
      </c>
      <c r="AA2311" t="s">
        <v>1439</v>
      </c>
      <c r="AC2311" t="s">
        <v>1440</v>
      </c>
    </row>
    <row r="2312" spans="1:29" x14ac:dyDescent="0.25">
      <c r="A2312">
        <v>254</v>
      </c>
      <c r="B2312" t="s">
        <v>348</v>
      </c>
      <c r="C2312" t="s">
        <v>77</v>
      </c>
      <c r="D2312" t="s">
        <v>314</v>
      </c>
      <c r="E2312">
        <v>8</v>
      </c>
      <c r="F2312">
        <v>158</v>
      </c>
      <c r="G2312">
        <v>228</v>
      </c>
      <c r="H2312">
        <v>3</v>
      </c>
      <c r="I2312">
        <v>2.21</v>
      </c>
      <c r="J2312">
        <v>6.64</v>
      </c>
      <c r="K2312" t="s">
        <v>1437</v>
      </c>
      <c r="L2312" t="s">
        <v>1438</v>
      </c>
      <c r="Q2312">
        <v>4</v>
      </c>
      <c r="R2312" t="s">
        <v>1135</v>
      </c>
      <c r="T2312" t="s">
        <v>38</v>
      </c>
      <c r="V2312" t="s">
        <v>921</v>
      </c>
      <c r="W2312" t="s">
        <v>81</v>
      </c>
      <c r="Z2312" t="s">
        <v>1357</v>
      </c>
      <c r="AA2312" t="s">
        <v>1439</v>
      </c>
      <c r="AC2312" t="s">
        <v>1440</v>
      </c>
    </row>
    <row r="2313" spans="1:29" x14ac:dyDescent="0.25">
      <c r="A2313">
        <v>255</v>
      </c>
      <c r="B2313" t="s">
        <v>358</v>
      </c>
      <c r="C2313" t="s">
        <v>77</v>
      </c>
      <c r="D2313" t="s">
        <v>359</v>
      </c>
      <c r="E2313">
        <v>10</v>
      </c>
      <c r="F2313">
        <v>350</v>
      </c>
      <c r="G2313">
        <v>12000</v>
      </c>
      <c r="H2313">
        <v>1</v>
      </c>
      <c r="I2313">
        <v>329.7</v>
      </c>
      <c r="J2313">
        <v>329.7</v>
      </c>
      <c r="K2313" t="s">
        <v>360</v>
      </c>
      <c r="L2313" t="s">
        <v>1441</v>
      </c>
      <c r="P2313" t="s">
        <v>81</v>
      </c>
      <c r="Q2313">
        <v>4</v>
      </c>
      <c r="R2313" t="s">
        <v>1135</v>
      </c>
      <c r="T2313" t="s">
        <v>38</v>
      </c>
      <c r="V2313" t="s">
        <v>921</v>
      </c>
      <c r="Y2313" t="s">
        <v>81</v>
      </c>
      <c r="Z2313" t="s">
        <v>1357</v>
      </c>
      <c r="AA2313" t="s">
        <v>39</v>
      </c>
      <c r="AC2313" t="s">
        <v>1442</v>
      </c>
    </row>
    <row r="2314" spans="1:29" x14ac:dyDescent="0.25">
      <c r="A2314">
        <v>256</v>
      </c>
      <c r="B2314" t="s">
        <v>363</v>
      </c>
      <c r="C2314" t="s">
        <v>77</v>
      </c>
      <c r="D2314" t="s">
        <v>359</v>
      </c>
      <c r="E2314">
        <v>10</v>
      </c>
      <c r="F2314">
        <v>350</v>
      </c>
      <c r="G2314">
        <v>12000</v>
      </c>
      <c r="H2314">
        <v>1</v>
      </c>
      <c r="I2314">
        <v>329.7</v>
      </c>
      <c r="J2314">
        <v>329.7</v>
      </c>
      <c r="K2314" t="s">
        <v>360</v>
      </c>
      <c r="L2314" t="s">
        <v>1441</v>
      </c>
      <c r="P2314" t="s">
        <v>81</v>
      </c>
      <c r="Q2314">
        <v>4</v>
      </c>
      <c r="R2314" t="s">
        <v>1135</v>
      </c>
      <c r="T2314" t="s">
        <v>38</v>
      </c>
      <c r="V2314" t="s">
        <v>921</v>
      </c>
      <c r="Y2314" t="s">
        <v>81</v>
      </c>
      <c r="Z2314" t="s">
        <v>1357</v>
      </c>
      <c r="AA2314" t="s">
        <v>39</v>
      </c>
      <c r="AC2314" t="s">
        <v>1442</v>
      </c>
    </row>
    <row r="2315" spans="1:29" x14ac:dyDescent="0.25">
      <c r="A2315">
        <v>257</v>
      </c>
      <c r="B2315" t="s">
        <v>364</v>
      </c>
      <c r="C2315" t="s">
        <v>77</v>
      </c>
      <c r="D2315" t="s">
        <v>365</v>
      </c>
      <c r="E2315">
        <v>10</v>
      </c>
      <c r="F2315">
        <v>380</v>
      </c>
      <c r="G2315">
        <v>12000</v>
      </c>
      <c r="H2315">
        <v>2</v>
      </c>
      <c r="I2315">
        <v>357.96</v>
      </c>
      <c r="J2315">
        <v>715.91</v>
      </c>
      <c r="K2315" t="s">
        <v>360</v>
      </c>
      <c r="L2315" t="s">
        <v>1441</v>
      </c>
      <c r="Q2315">
        <v>4</v>
      </c>
      <c r="R2315" t="s">
        <v>1135</v>
      </c>
      <c r="T2315" t="s">
        <v>38</v>
      </c>
      <c r="V2315" t="s">
        <v>921</v>
      </c>
      <c r="Y2315" t="s">
        <v>81</v>
      </c>
      <c r="Z2315" t="s">
        <v>1357</v>
      </c>
      <c r="AA2315" t="s">
        <v>39</v>
      </c>
      <c r="AC2315" t="s">
        <v>1442</v>
      </c>
    </row>
    <row r="2316" spans="1:29" x14ac:dyDescent="0.25">
      <c r="A2316">
        <v>258</v>
      </c>
      <c r="B2316" t="s">
        <v>366</v>
      </c>
      <c r="C2316" t="s">
        <v>77</v>
      </c>
      <c r="D2316" t="s">
        <v>365</v>
      </c>
      <c r="E2316">
        <v>10</v>
      </c>
      <c r="F2316">
        <v>380</v>
      </c>
      <c r="G2316">
        <v>12000</v>
      </c>
      <c r="H2316">
        <v>2</v>
      </c>
      <c r="I2316">
        <v>357.96</v>
      </c>
      <c r="J2316">
        <v>715.91</v>
      </c>
      <c r="K2316" t="s">
        <v>360</v>
      </c>
      <c r="L2316" t="s">
        <v>1443</v>
      </c>
      <c r="Q2316">
        <v>4</v>
      </c>
      <c r="R2316" t="s">
        <v>1135</v>
      </c>
      <c r="T2316" t="s">
        <v>38</v>
      </c>
      <c r="V2316" t="s">
        <v>921</v>
      </c>
      <c r="Y2316" t="s">
        <v>81</v>
      </c>
      <c r="Z2316" t="s">
        <v>1357</v>
      </c>
      <c r="AA2316" t="s">
        <v>39</v>
      </c>
      <c r="AC2316" t="s">
        <v>1444</v>
      </c>
    </row>
    <row r="2317" spans="1:29" x14ac:dyDescent="0.25">
      <c r="A2317">
        <v>259</v>
      </c>
      <c r="B2317" t="s">
        <v>369</v>
      </c>
      <c r="C2317" t="s">
        <v>77</v>
      </c>
      <c r="D2317" t="s">
        <v>359</v>
      </c>
      <c r="E2317">
        <v>10</v>
      </c>
      <c r="F2317">
        <v>350</v>
      </c>
      <c r="G2317">
        <v>12000</v>
      </c>
      <c r="H2317">
        <v>1</v>
      </c>
      <c r="I2317">
        <v>329.7</v>
      </c>
      <c r="J2317">
        <v>329.7</v>
      </c>
      <c r="K2317" t="s">
        <v>360</v>
      </c>
      <c r="L2317" t="s">
        <v>1443</v>
      </c>
      <c r="P2317" t="s">
        <v>81</v>
      </c>
      <c r="Q2317">
        <v>4</v>
      </c>
      <c r="R2317" t="s">
        <v>1135</v>
      </c>
      <c r="T2317" t="s">
        <v>38</v>
      </c>
      <c r="V2317" t="s">
        <v>921</v>
      </c>
      <c r="Y2317" t="s">
        <v>81</v>
      </c>
      <c r="Z2317" t="s">
        <v>1357</v>
      </c>
      <c r="AA2317" t="s">
        <v>39</v>
      </c>
      <c r="AC2317" t="s">
        <v>1444</v>
      </c>
    </row>
    <row r="2318" spans="1:29" x14ac:dyDescent="0.25">
      <c r="A2318">
        <v>260</v>
      </c>
      <c r="B2318" t="s">
        <v>370</v>
      </c>
      <c r="C2318" t="s">
        <v>77</v>
      </c>
      <c r="D2318" t="s">
        <v>359</v>
      </c>
      <c r="E2318">
        <v>10</v>
      </c>
      <c r="F2318">
        <v>350</v>
      </c>
      <c r="G2318">
        <v>12000</v>
      </c>
      <c r="H2318">
        <v>1</v>
      </c>
      <c r="I2318">
        <v>329.7</v>
      </c>
      <c r="J2318">
        <v>329.7</v>
      </c>
      <c r="K2318" t="s">
        <v>360</v>
      </c>
      <c r="L2318" t="s">
        <v>1443</v>
      </c>
      <c r="P2318" t="s">
        <v>81</v>
      </c>
      <c r="Q2318">
        <v>4</v>
      </c>
      <c r="R2318" t="s">
        <v>1135</v>
      </c>
      <c r="T2318" t="s">
        <v>38</v>
      </c>
      <c r="V2318" t="s">
        <v>921</v>
      </c>
      <c r="Y2318" t="s">
        <v>81</v>
      </c>
      <c r="Z2318" t="s">
        <v>1357</v>
      </c>
      <c r="AA2318" t="s">
        <v>39</v>
      </c>
      <c r="AC2318" t="s">
        <v>1444</v>
      </c>
    </row>
    <row r="2319" spans="1:29" x14ac:dyDescent="0.25">
      <c r="A2319">
        <v>261</v>
      </c>
      <c r="B2319" t="s">
        <v>371</v>
      </c>
      <c r="C2319" t="s">
        <v>77</v>
      </c>
      <c r="D2319" t="s">
        <v>359</v>
      </c>
      <c r="E2319">
        <v>10</v>
      </c>
      <c r="F2319">
        <v>350</v>
      </c>
      <c r="G2319">
        <v>12000</v>
      </c>
      <c r="H2319">
        <v>2</v>
      </c>
      <c r="I2319">
        <v>329.7</v>
      </c>
      <c r="J2319">
        <v>659.41</v>
      </c>
      <c r="K2319" t="s">
        <v>360</v>
      </c>
      <c r="L2319" t="s">
        <v>1445</v>
      </c>
      <c r="P2319" t="s">
        <v>81</v>
      </c>
      <c r="Q2319">
        <v>4</v>
      </c>
      <c r="R2319" t="s">
        <v>1135</v>
      </c>
      <c r="T2319" t="s">
        <v>38</v>
      </c>
      <c r="V2319" t="s">
        <v>921</v>
      </c>
      <c r="Y2319" t="s">
        <v>81</v>
      </c>
      <c r="Z2319" t="s">
        <v>1357</v>
      </c>
      <c r="AA2319" t="s">
        <v>39</v>
      </c>
      <c r="AC2319" t="s">
        <v>1446</v>
      </c>
    </row>
    <row r="2320" spans="1:29" x14ac:dyDescent="0.25">
      <c r="A2320">
        <v>262</v>
      </c>
      <c r="B2320" t="s">
        <v>366</v>
      </c>
      <c r="C2320" t="s">
        <v>77</v>
      </c>
      <c r="D2320" t="s">
        <v>365</v>
      </c>
      <c r="E2320">
        <v>10</v>
      </c>
      <c r="F2320">
        <v>380</v>
      </c>
      <c r="G2320">
        <v>12000</v>
      </c>
      <c r="H2320">
        <v>2</v>
      </c>
      <c r="I2320">
        <v>357.96</v>
      </c>
      <c r="J2320">
        <v>715.91</v>
      </c>
      <c r="K2320" t="s">
        <v>360</v>
      </c>
      <c r="L2320" t="s">
        <v>1445</v>
      </c>
      <c r="Q2320">
        <v>4</v>
      </c>
      <c r="R2320" t="s">
        <v>1135</v>
      </c>
      <c r="T2320" t="s">
        <v>38</v>
      </c>
      <c r="V2320" t="s">
        <v>921</v>
      </c>
      <c r="Y2320" t="s">
        <v>81</v>
      </c>
      <c r="Z2320" t="s">
        <v>1357</v>
      </c>
      <c r="AA2320" t="s">
        <v>39</v>
      </c>
      <c r="AC2320" t="s">
        <v>1446</v>
      </c>
    </row>
    <row r="2321" spans="1:29" x14ac:dyDescent="0.25">
      <c r="A2321">
        <v>263</v>
      </c>
      <c r="B2321" t="s">
        <v>374</v>
      </c>
      <c r="C2321" t="s">
        <v>77</v>
      </c>
      <c r="D2321" t="s">
        <v>365</v>
      </c>
      <c r="E2321">
        <v>10</v>
      </c>
      <c r="F2321">
        <v>380</v>
      </c>
      <c r="G2321">
        <v>12000</v>
      </c>
      <c r="H2321">
        <v>2</v>
      </c>
      <c r="I2321">
        <v>357.96</v>
      </c>
      <c r="J2321">
        <v>715.91</v>
      </c>
      <c r="K2321" t="s">
        <v>360</v>
      </c>
      <c r="L2321" t="s">
        <v>1447</v>
      </c>
      <c r="Q2321">
        <v>4</v>
      </c>
      <c r="R2321" t="s">
        <v>1135</v>
      </c>
      <c r="T2321" t="s">
        <v>38</v>
      </c>
      <c r="V2321" t="s">
        <v>921</v>
      </c>
      <c r="Y2321" t="s">
        <v>81</v>
      </c>
      <c r="Z2321" t="s">
        <v>1357</v>
      </c>
      <c r="AA2321" t="s">
        <v>39</v>
      </c>
      <c r="AC2321" t="s">
        <v>1448</v>
      </c>
    </row>
    <row r="2322" spans="1:29" x14ac:dyDescent="0.25">
      <c r="A2322">
        <v>264</v>
      </c>
      <c r="B2322" t="s">
        <v>377</v>
      </c>
      <c r="C2322" t="s">
        <v>77</v>
      </c>
      <c r="D2322" t="s">
        <v>378</v>
      </c>
      <c r="E2322">
        <v>10</v>
      </c>
      <c r="F2322">
        <v>230</v>
      </c>
      <c r="G2322">
        <v>12000</v>
      </c>
      <c r="H2322">
        <v>3</v>
      </c>
      <c r="I2322">
        <v>216.66</v>
      </c>
      <c r="J2322">
        <v>649.98</v>
      </c>
      <c r="K2322" t="s">
        <v>360</v>
      </c>
      <c r="L2322" t="s">
        <v>1447</v>
      </c>
      <c r="Q2322">
        <v>4</v>
      </c>
      <c r="R2322" t="s">
        <v>1135</v>
      </c>
      <c r="T2322" t="s">
        <v>38</v>
      </c>
      <c r="V2322" t="s">
        <v>921</v>
      </c>
      <c r="Y2322" t="s">
        <v>81</v>
      </c>
      <c r="Z2322" t="s">
        <v>1357</v>
      </c>
      <c r="AA2322" t="s">
        <v>39</v>
      </c>
      <c r="AC2322" t="s">
        <v>1448</v>
      </c>
    </row>
    <row r="2323" spans="1:29" x14ac:dyDescent="0.25">
      <c r="A2323">
        <v>265</v>
      </c>
      <c r="B2323" t="s">
        <v>379</v>
      </c>
      <c r="C2323" t="s">
        <v>77</v>
      </c>
      <c r="D2323" t="s">
        <v>380</v>
      </c>
      <c r="E2323">
        <v>10</v>
      </c>
      <c r="F2323">
        <v>230</v>
      </c>
      <c r="G2323">
        <v>9518</v>
      </c>
      <c r="H2323">
        <v>2</v>
      </c>
      <c r="I2323">
        <v>171.84</v>
      </c>
      <c r="J2323">
        <v>343.69</v>
      </c>
      <c r="K2323" t="s">
        <v>360</v>
      </c>
      <c r="L2323" t="s">
        <v>1449</v>
      </c>
      <c r="Q2323">
        <v>4</v>
      </c>
      <c r="R2323" t="s">
        <v>1135</v>
      </c>
      <c r="T2323" t="s">
        <v>38</v>
      </c>
      <c r="V2323" t="s">
        <v>921</v>
      </c>
      <c r="Y2323" t="s">
        <v>81</v>
      </c>
      <c r="Z2323" t="s">
        <v>1357</v>
      </c>
      <c r="AA2323" t="s">
        <v>39</v>
      </c>
      <c r="AC2323" t="s">
        <v>1450</v>
      </c>
    </row>
    <row r="2324" spans="1:29" x14ac:dyDescent="0.25">
      <c r="A2324">
        <v>266</v>
      </c>
      <c r="B2324" t="s">
        <v>383</v>
      </c>
      <c r="C2324" t="s">
        <v>77</v>
      </c>
      <c r="D2324" t="s">
        <v>384</v>
      </c>
      <c r="E2324">
        <v>10</v>
      </c>
      <c r="F2324">
        <v>375</v>
      </c>
      <c r="G2324">
        <v>500</v>
      </c>
      <c r="H2324">
        <v>4</v>
      </c>
      <c r="I2324">
        <v>14.72</v>
      </c>
      <c r="J2324">
        <v>58.88</v>
      </c>
      <c r="K2324" t="s">
        <v>360</v>
      </c>
      <c r="L2324" t="s">
        <v>1449</v>
      </c>
      <c r="Q2324">
        <v>4</v>
      </c>
      <c r="R2324" t="s">
        <v>1135</v>
      </c>
      <c r="T2324" t="s">
        <v>38</v>
      </c>
      <c r="V2324" t="s">
        <v>921</v>
      </c>
      <c r="W2324" t="s">
        <v>81</v>
      </c>
      <c r="Z2324" t="s">
        <v>1357</v>
      </c>
      <c r="AA2324" t="s">
        <v>39</v>
      </c>
      <c r="AC2324" t="s">
        <v>1450</v>
      </c>
    </row>
    <row r="2325" spans="1:29" x14ac:dyDescent="0.25">
      <c r="A2325">
        <v>267</v>
      </c>
      <c r="B2325" t="s">
        <v>385</v>
      </c>
      <c r="C2325" t="s">
        <v>77</v>
      </c>
      <c r="D2325" t="s">
        <v>384</v>
      </c>
      <c r="E2325">
        <v>10</v>
      </c>
      <c r="F2325">
        <v>375</v>
      </c>
      <c r="G2325">
        <v>500</v>
      </c>
      <c r="H2325">
        <v>2</v>
      </c>
      <c r="I2325">
        <v>14.72</v>
      </c>
      <c r="J2325">
        <v>29.44</v>
      </c>
      <c r="K2325" t="s">
        <v>360</v>
      </c>
      <c r="L2325" t="s">
        <v>1449</v>
      </c>
      <c r="Q2325">
        <v>4</v>
      </c>
      <c r="R2325" t="s">
        <v>1135</v>
      </c>
      <c r="T2325" t="s">
        <v>38</v>
      </c>
      <c r="V2325" t="s">
        <v>921</v>
      </c>
      <c r="W2325" t="s">
        <v>81</v>
      </c>
      <c r="Z2325" t="s">
        <v>1357</v>
      </c>
      <c r="AA2325" t="s">
        <v>39</v>
      </c>
      <c r="AC2325" t="s">
        <v>1450</v>
      </c>
    </row>
    <row r="2326" spans="1:29" x14ac:dyDescent="0.25">
      <c r="A2326">
        <v>268</v>
      </c>
      <c r="B2326" t="s">
        <v>386</v>
      </c>
      <c r="C2326" t="s">
        <v>77</v>
      </c>
      <c r="D2326" t="s">
        <v>387</v>
      </c>
      <c r="E2326">
        <v>10</v>
      </c>
      <c r="F2326">
        <v>148</v>
      </c>
      <c r="G2326">
        <v>441</v>
      </c>
      <c r="H2326">
        <v>1</v>
      </c>
      <c r="I2326">
        <v>5.0599999999999996</v>
      </c>
      <c r="J2326">
        <v>5.0599999999999996</v>
      </c>
      <c r="K2326" t="s">
        <v>360</v>
      </c>
      <c r="L2326" t="s">
        <v>1449</v>
      </c>
      <c r="Q2326">
        <v>4</v>
      </c>
      <c r="R2326" t="s">
        <v>1135</v>
      </c>
      <c r="T2326" t="s">
        <v>38</v>
      </c>
      <c r="V2326" t="s">
        <v>921</v>
      </c>
      <c r="W2326" t="s">
        <v>81</v>
      </c>
      <c r="Z2326" t="s">
        <v>1357</v>
      </c>
      <c r="AA2326" t="s">
        <v>39</v>
      </c>
      <c r="AC2326" t="s">
        <v>1450</v>
      </c>
    </row>
    <row r="2327" spans="1:29" x14ac:dyDescent="0.25">
      <c r="A2327">
        <v>269</v>
      </c>
      <c r="B2327" t="s">
        <v>388</v>
      </c>
      <c r="C2327" t="s">
        <v>77</v>
      </c>
      <c r="D2327" t="s">
        <v>359</v>
      </c>
      <c r="E2327">
        <v>10</v>
      </c>
      <c r="F2327">
        <v>350</v>
      </c>
      <c r="G2327">
        <v>12000</v>
      </c>
      <c r="H2327">
        <v>2</v>
      </c>
      <c r="I2327">
        <v>329.7</v>
      </c>
      <c r="J2327">
        <v>659.41</v>
      </c>
      <c r="K2327" t="s">
        <v>360</v>
      </c>
      <c r="L2327" t="s">
        <v>1449</v>
      </c>
      <c r="P2327" t="s">
        <v>81</v>
      </c>
      <c r="Q2327">
        <v>4</v>
      </c>
      <c r="R2327" t="s">
        <v>1135</v>
      </c>
      <c r="T2327" t="s">
        <v>38</v>
      </c>
      <c r="V2327" t="s">
        <v>921</v>
      </c>
      <c r="Y2327" t="s">
        <v>81</v>
      </c>
      <c r="Z2327" t="s">
        <v>1357</v>
      </c>
      <c r="AA2327" t="s">
        <v>39</v>
      </c>
      <c r="AC2327" t="s">
        <v>1450</v>
      </c>
    </row>
    <row r="2328" spans="1:29" x14ac:dyDescent="0.25">
      <c r="A2328">
        <v>270</v>
      </c>
      <c r="B2328" t="s">
        <v>377</v>
      </c>
      <c r="C2328" t="s">
        <v>77</v>
      </c>
      <c r="D2328" t="s">
        <v>378</v>
      </c>
      <c r="E2328">
        <v>10</v>
      </c>
      <c r="F2328">
        <v>230</v>
      </c>
      <c r="G2328">
        <v>12000</v>
      </c>
      <c r="H2328">
        <v>1</v>
      </c>
      <c r="I2328">
        <v>216.66</v>
      </c>
      <c r="J2328">
        <v>216.66</v>
      </c>
      <c r="K2328" t="s">
        <v>360</v>
      </c>
      <c r="L2328" t="s">
        <v>1449</v>
      </c>
      <c r="Q2328">
        <v>4</v>
      </c>
      <c r="R2328" t="s">
        <v>1135</v>
      </c>
      <c r="T2328" t="s">
        <v>38</v>
      </c>
      <c r="V2328" t="s">
        <v>921</v>
      </c>
      <c r="Y2328" t="s">
        <v>81</v>
      </c>
      <c r="Z2328" t="s">
        <v>1357</v>
      </c>
      <c r="AA2328" t="s">
        <v>39</v>
      </c>
      <c r="AC2328" t="s">
        <v>1450</v>
      </c>
    </row>
    <row r="2329" spans="1:29" x14ac:dyDescent="0.25">
      <c r="A2329">
        <v>271</v>
      </c>
      <c r="B2329" t="s">
        <v>389</v>
      </c>
      <c r="C2329" t="s">
        <v>77</v>
      </c>
      <c r="D2329" t="s">
        <v>390</v>
      </c>
      <c r="E2329">
        <v>10</v>
      </c>
      <c r="F2329">
        <v>200</v>
      </c>
      <c r="G2329">
        <v>9518</v>
      </c>
      <c r="H2329">
        <v>3</v>
      </c>
      <c r="I2329">
        <v>149.43</v>
      </c>
      <c r="J2329">
        <v>448.3</v>
      </c>
      <c r="K2329" t="s">
        <v>360</v>
      </c>
      <c r="L2329" t="s">
        <v>1451</v>
      </c>
      <c r="Q2329">
        <v>4</v>
      </c>
      <c r="R2329" t="s">
        <v>1135</v>
      </c>
      <c r="T2329" t="s">
        <v>38</v>
      </c>
      <c r="V2329" t="s">
        <v>921</v>
      </c>
      <c r="Y2329" t="s">
        <v>81</v>
      </c>
      <c r="Z2329" t="s">
        <v>1357</v>
      </c>
      <c r="AA2329" t="s">
        <v>39</v>
      </c>
      <c r="AC2329" t="s">
        <v>1452</v>
      </c>
    </row>
    <row r="2330" spans="1:29" x14ac:dyDescent="0.25">
      <c r="A2330">
        <v>272</v>
      </c>
      <c r="B2330" t="s">
        <v>379</v>
      </c>
      <c r="C2330" t="s">
        <v>77</v>
      </c>
      <c r="D2330" t="s">
        <v>380</v>
      </c>
      <c r="E2330">
        <v>10</v>
      </c>
      <c r="F2330">
        <v>230</v>
      </c>
      <c r="G2330">
        <v>9518</v>
      </c>
      <c r="H2330">
        <v>2</v>
      </c>
      <c r="I2330">
        <v>171.84</v>
      </c>
      <c r="J2330">
        <v>343.69</v>
      </c>
      <c r="K2330" t="s">
        <v>360</v>
      </c>
      <c r="L2330" t="s">
        <v>1451</v>
      </c>
      <c r="Q2330">
        <v>4</v>
      </c>
      <c r="R2330" t="s">
        <v>1135</v>
      </c>
      <c r="T2330" t="s">
        <v>38</v>
      </c>
      <c r="V2330" t="s">
        <v>921</v>
      </c>
      <c r="Y2330" t="s">
        <v>81</v>
      </c>
      <c r="Z2330" t="s">
        <v>1357</v>
      </c>
      <c r="AA2330" t="s">
        <v>39</v>
      </c>
      <c r="AC2330" t="s">
        <v>1452</v>
      </c>
    </row>
    <row r="2331" spans="1:29" x14ac:dyDescent="0.25">
      <c r="A2331">
        <v>273</v>
      </c>
      <c r="B2331" t="s">
        <v>393</v>
      </c>
      <c r="C2331" t="s">
        <v>77</v>
      </c>
      <c r="D2331" t="s">
        <v>394</v>
      </c>
      <c r="E2331">
        <v>10</v>
      </c>
      <c r="F2331">
        <v>240</v>
      </c>
      <c r="G2331">
        <v>375</v>
      </c>
      <c r="H2331">
        <v>4</v>
      </c>
      <c r="I2331">
        <v>7.06</v>
      </c>
      <c r="J2331">
        <v>28.26</v>
      </c>
      <c r="K2331" t="s">
        <v>360</v>
      </c>
      <c r="L2331" t="s">
        <v>1451</v>
      </c>
      <c r="Q2331">
        <v>4</v>
      </c>
      <c r="R2331" t="s">
        <v>1135</v>
      </c>
      <c r="T2331" t="s">
        <v>38</v>
      </c>
      <c r="V2331" t="s">
        <v>921</v>
      </c>
      <c r="W2331" t="s">
        <v>81</v>
      </c>
      <c r="Z2331" t="s">
        <v>1357</v>
      </c>
      <c r="AA2331" t="s">
        <v>39</v>
      </c>
      <c r="AC2331" t="s">
        <v>1452</v>
      </c>
    </row>
    <row r="2332" spans="1:29" x14ac:dyDescent="0.25">
      <c r="A2332">
        <v>274</v>
      </c>
      <c r="B2332" t="s">
        <v>395</v>
      </c>
      <c r="C2332" t="s">
        <v>77</v>
      </c>
      <c r="D2332" t="s">
        <v>394</v>
      </c>
      <c r="E2332">
        <v>10</v>
      </c>
      <c r="F2332">
        <v>240</v>
      </c>
      <c r="G2332">
        <v>375</v>
      </c>
      <c r="H2332">
        <v>2</v>
      </c>
      <c r="I2332">
        <v>7.06</v>
      </c>
      <c r="J2332">
        <v>14.13</v>
      </c>
      <c r="K2332" t="s">
        <v>360</v>
      </c>
      <c r="L2332" t="s">
        <v>1451</v>
      </c>
      <c r="Q2332">
        <v>4</v>
      </c>
      <c r="R2332" t="s">
        <v>1135</v>
      </c>
      <c r="T2332" t="s">
        <v>38</v>
      </c>
      <c r="V2332" t="s">
        <v>921</v>
      </c>
      <c r="W2332" t="s">
        <v>81</v>
      </c>
      <c r="Z2332" t="s">
        <v>1357</v>
      </c>
      <c r="AA2332" t="s">
        <v>39</v>
      </c>
      <c r="AC2332" t="s">
        <v>1452</v>
      </c>
    </row>
    <row r="2333" spans="1:29" x14ac:dyDescent="0.25">
      <c r="A2333">
        <v>275</v>
      </c>
      <c r="B2333" t="s">
        <v>396</v>
      </c>
      <c r="C2333" t="s">
        <v>77</v>
      </c>
      <c r="D2333" t="s">
        <v>397</v>
      </c>
      <c r="E2333">
        <v>10</v>
      </c>
      <c r="F2333">
        <v>86</v>
      </c>
      <c r="G2333">
        <v>338</v>
      </c>
      <c r="H2333">
        <v>4</v>
      </c>
      <c r="I2333">
        <v>2.2599999999999998</v>
      </c>
      <c r="J2333">
        <v>9.06</v>
      </c>
      <c r="K2333" t="s">
        <v>360</v>
      </c>
      <c r="L2333" t="s">
        <v>1451</v>
      </c>
      <c r="Q2333">
        <v>4</v>
      </c>
      <c r="R2333" t="s">
        <v>1135</v>
      </c>
      <c r="T2333" t="s">
        <v>38</v>
      </c>
      <c r="V2333" t="s">
        <v>921</v>
      </c>
      <c r="W2333" t="s">
        <v>81</v>
      </c>
      <c r="Z2333" t="s">
        <v>1357</v>
      </c>
      <c r="AA2333" t="s">
        <v>39</v>
      </c>
      <c r="AC2333" t="s">
        <v>1452</v>
      </c>
    </row>
    <row r="2334" spans="1:29" x14ac:dyDescent="0.25">
      <c r="A2334">
        <v>276</v>
      </c>
      <c r="B2334" t="s">
        <v>386</v>
      </c>
      <c r="C2334" t="s">
        <v>77</v>
      </c>
      <c r="D2334" t="s">
        <v>387</v>
      </c>
      <c r="E2334">
        <v>10</v>
      </c>
      <c r="F2334">
        <v>148</v>
      </c>
      <c r="G2334">
        <v>441</v>
      </c>
      <c r="H2334">
        <v>12</v>
      </c>
      <c r="I2334">
        <v>5.0599999999999996</v>
      </c>
      <c r="J2334">
        <v>60.73</v>
      </c>
      <c r="K2334" t="s">
        <v>360</v>
      </c>
      <c r="L2334" t="s">
        <v>1451</v>
      </c>
      <c r="Q2334">
        <v>4</v>
      </c>
      <c r="R2334" t="s">
        <v>1135</v>
      </c>
      <c r="T2334" t="s">
        <v>38</v>
      </c>
      <c r="V2334" t="s">
        <v>921</v>
      </c>
      <c r="W2334" t="s">
        <v>81</v>
      </c>
      <c r="Z2334" t="s">
        <v>1357</v>
      </c>
      <c r="AA2334" t="s">
        <v>39</v>
      </c>
      <c r="AC2334" t="s">
        <v>1452</v>
      </c>
    </row>
    <row r="2335" spans="1:29" x14ac:dyDescent="0.25">
      <c r="A2335">
        <v>277</v>
      </c>
      <c r="B2335" t="s">
        <v>398</v>
      </c>
      <c r="C2335" t="s">
        <v>77</v>
      </c>
      <c r="D2335" t="s">
        <v>399</v>
      </c>
      <c r="E2335">
        <v>10</v>
      </c>
      <c r="F2335">
        <v>200</v>
      </c>
      <c r="G2335">
        <v>250</v>
      </c>
      <c r="H2335">
        <v>1</v>
      </c>
      <c r="I2335">
        <v>3.93</v>
      </c>
      <c r="J2335">
        <v>3.93</v>
      </c>
      <c r="K2335" t="s">
        <v>360</v>
      </c>
      <c r="L2335" t="s">
        <v>1451</v>
      </c>
      <c r="Q2335">
        <v>4</v>
      </c>
      <c r="R2335" t="s">
        <v>1135</v>
      </c>
      <c r="T2335" t="s">
        <v>38</v>
      </c>
      <c r="V2335" t="s">
        <v>921</v>
      </c>
      <c r="W2335" t="s">
        <v>81</v>
      </c>
      <c r="Z2335" t="s">
        <v>1357</v>
      </c>
      <c r="AA2335" t="s">
        <v>39</v>
      </c>
      <c r="AC2335" t="s">
        <v>1452</v>
      </c>
    </row>
    <row r="2336" spans="1:29" x14ac:dyDescent="0.25">
      <c r="A2336">
        <v>278</v>
      </c>
      <c r="B2336" t="s">
        <v>400</v>
      </c>
      <c r="C2336" t="s">
        <v>77</v>
      </c>
      <c r="D2336" t="s">
        <v>387</v>
      </c>
      <c r="E2336">
        <v>10</v>
      </c>
      <c r="F2336">
        <v>148</v>
      </c>
      <c r="G2336">
        <v>441</v>
      </c>
      <c r="H2336">
        <v>10</v>
      </c>
      <c r="I2336">
        <v>5.0599999999999996</v>
      </c>
      <c r="J2336">
        <v>50.61</v>
      </c>
      <c r="K2336" t="s">
        <v>360</v>
      </c>
      <c r="L2336" t="s">
        <v>1451</v>
      </c>
      <c r="Q2336">
        <v>4</v>
      </c>
      <c r="R2336" t="s">
        <v>1135</v>
      </c>
      <c r="T2336" t="s">
        <v>38</v>
      </c>
      <c r="V2336" t="s">
        <v>921</v>
      </c>
      <c r="W2336" t="s">
        <v>81</v>
      </c>
      <c r="Z2336" t="s">
        <v>1357</v>
      </c>
      <c r="AA2336" t="s">
        <v>39</v>
      </c>
      <c r="AC2336" t="s">
        <v>1452</v>
      </c>
    </row>
    <row r="2337" spans="1:29" x14ac:dyDescent="0.25">
      <c r="A2337">
        <v>279</v>
      </c>
      <c r="B2337" t="s">
        <v>401</v>
      </c>
      <c r="C2337" t="s">
        <v>77</v>
      </c>
      <c r="D2337" t="s">
        <v>402</v>
      </c>
      <c r="E2337">
        <v>10</v>
      </c>
      <c r="F2337">
        <v>80</v>
      </c>
      <c r="G2337">
        <v>120</v>
      </c>
      <c r="H2337">
        <v>2</v>
      </c>
      <c r="I2337">
        <v>0.72</v>
      </c>
      <c r="J2337">
        <v>1.45</v>
      </c>
      <c r="K2337" t="s">
        <v>360</v>
      </c>
      <c r="L2337" t="s">
        <v>1451</v>
      </c>
      <c r="N2337" t="s">
        <v>228</v>
      </c>
      <c r="Q2337">
        <v>4</v>
      </c>
      <c r="R2337" t="s">
        <v>1135</v>
      </c>
      <c r="T2337" t="s">
        <v>38</v>
      </c>
      <c r="V2337" t="s">
        <v>921</v>
      </c>
      <c r="W2337" t="s">
        <v>81</v>
      </c>
      <c r="Z2337" t="s">
        <v>1357</v>
      </c>
      <c r="AA2337" t="s">
        <v>39</v>
      </c>
      <c r="AC2337" t="s">
        <v>1452</v>
      </c>
    </row>
    <row r="2338" spans="1:29" x14ac:dyDescent="0.25">
      <c r="A2338">
        <v>280</v>
      </c>
      <c r="B2338" t="s">
        <v>403</v>
      </c>
      <c r="C2338" t="s">
        <v>77</v>
      </c>
      <c r="D2338" t="s">
        <v>387</v>
      </c>
      <c r="E2338">
        <v>10</v>
      </c>
      <c r="F2338">
        <v>148</v>
      </c>
      <c r="G2338">
        <v>441</v>
      </c>
      <c r="H2338">
        <v>21</v>
      </c>
      <c r="I2338">
        <v>5.0599999999999996</v>
      </c>
      <c r="J2338">
        <v>106.28</v>
      </c>
      <c r="K2338" t="s">
        <v>360</v>
      </c>
      <c r="L2338" t="s">
        <v>1451</v>
      </c>
      <c r="Q2338">
        <v>4</v>
      </c>
      <c r="R2338" t="s">
        <v>1135</v>
      </c>
      <c r="T2338" t="s">
        <v>38</v>
      </c>
      <c r="V2338" t="s">
        <v>921</v>
      </c>
      <c r="W2338" t="s">
        <v>81</v>
      </c>
      <c r="Z2338" t="s">
        <v>1357</v>
      </c>
      <c r="AA2338" t="s">
        <v>39</v>
      </c>
      <c r="AC2338" t="s">
        <v>1452</v>
      </c>
    </row>
    <row r="2339" spans="1:29" x14ac:dyDescent="0.25">
      <c r="A2339">
        <v>281</v>
      </c>
      <c r="B2339" t="s">
        <v>404</v>
      </c>
      <c r="C2339" t="s">
        <v>77</v>
      </c>
      <c r="D2339" t="s">
        <v>405</v>
      </c>
      <c r="E2339">
        <v>10</v>
      </c>
      <c r="F2339">
        <v>120</v>
      </c>
      <c r="G2339">
        <v>220</v>
      </c>
      <c r="H2339">
        <v>1</v>
      </c>
      <c r="I2339">
        <v>2.0099999999999998</v>
      </c>
      <c r="J2339">
        <v>2.0099999999999998</v>
      </c>
      <c r="K2339" t="s">
        <v>360</v>
      </c>
      <c r="L2339" t="s">
        <v>1451</v>
      </c>
      <c r="N2339" t="s">
        <v>228</v>
      </c>
      <c r="Q2339">
        <v>4</v>
      </c>
      <c r="R2339" t="s">
        <v>1135</v>
      </c>
      <c r="T2339" t="s">
        <v>38</v>
      </c>
      <c r="V2339" t="s">
        <v>921</v>
      </c>
      <c r="W2339" t="s">
        <v>81</v>
      </c>
      <c r="Z2339" t="s">
        <v>1357</v>
      </c>
      <c r="AA2339" t="s">
        <v>39</v>
      </c>
      <c r="AC2339" t="s">
        <v>1452</v>
      </c>
    </row>
    <row r="2340" spans="1:29" x14ac:dyDescent="0.25">
      <c r="A2340">
        <v>282</v>
      </c>
      <c r="B2340" t="s">
        <v>406</v>
      </c>
      <c r="C2340" t="s">
        <v>77</v>
      </c>
      <c r="D2340" t="s">
        <v>407</v>
      </c>
      <c r="E2340">
        <v>10</v>
      </c>
      <c r="F2340">
        <v>380</v>
      </c>
      <c r="G2340">
        <v>4577</v>
      </c>
      <c r="H2340">
        <v>2</v>
      </c>
      <c r="I2340">
        <v>135.07</v>
      </c>
      <c r="J2340">
        <v>270.14999999999998</v>
      </c>
      <c r="K2340" t="s">
        <v>360</v>
      </c>
      <c r="L2340" t="s">
        <v>1451</v>
      </c>
      <c r="Q2340">
        <v>4</v>
      </c>
      <c r="R2340" t="s">
        <v>1135</v>
      </c>
      <c r="T2340" t="s">
        <v>38</v>
      </c>
      <c r="V2340" t="s">
        <v>921</v>
      </c>
      <c r="Y2340" t="s">
        <v>81</v>
      </c>
      <c r="Z2340" t="s">
        <v>1357</v>
      </c>
      <c r="AA2340" t="s">
        <v>39</v>
      </c>
      <c r="AC2340" t="s">
        <v>1452</v>
      </c>
    </row>
    <row r="2341" spans="1:29" x14ac:dyDescent="0.25">
      <c r="A2341">
        <v>283</v>
      </c>
      <c r="B2341" t="s">
        <v>408</v>
      </c>
      <c r="C2341" t="s">
        <v>77</v>
      </c>
      <c r="D2341" t="s">
        <v>397</v>
      </c>
      <c r="E2341">
        <v>10</v>
      </c>
      <c r="F2341">
        <v>86</v>
      </c>
      <c r="G2341">
        <v>338</v>
      </c>
      <c r="H2341">
        <v>16</v>
      </c>
      <c r="I2341">
        <v>2.2599999999999998</v>
      </c>
      <c r="J2341">
        <v>36.229999999999997</v>
      </c>
      <c r="K2341" t="s">
        <v>360</v>
      </c>
      <c r="L2341" t="s">
        <v>1453</v>
      </c>
      <c r="Q2341">
        <v>4</v>
      </c>
      <c r="R2341" t="s">
        <v>1135</v>
      </c>
      <c r="T2341" t="s">
        <v>38</v>
      </c>
      <c r="V2341" t="s">
        <v>921</v>
      </c>
      <c r="W2341" t="s">
        <v>81</v>
      </c>
      <c r="Z2341" t="s">
        <v>1357</v>
      </c>
      <c r="AA2341" t="s">
        <v>39</v>
      </c>
      <c r="AC2341" t="s">
        <v>1454</v>
      </c>
    </row>
    <row r="2342" spans="1:29" x14ac:dyDescent="0.25">
      <c r="A2342">
        <v>284</v>
      </c>
      <c r="B2342" t="s">
        <v>411</v>
      </c>
      <c r="C2342" t="s">
        <v>77</v>
      </c>
      <c r="D2342" t="s">
        <v>412</v>
      </c>
      <c r="E2342">
        <v>10</v>
      </c>
      <c r="F2342">
        <v>532</v>
      </c>
      <c r="G2342">
        <v>4080</v>
      </c>
      <c r="H2342">
        <v>2</v>
      </c>
      <c r="I2342">
        <v>168.27</v>
      </c>
      <c r="J2342">
        <v>336.54</v>
      </c>
      <c r="K2342" t="s">
        <v>360</v>
      </c>
      <c r="L2342" t="s">
        <v>1453</v>
      </c>
      <c r="O2342" t="s">
        <v>81</v>
      </c>
      <c r="P2342" t="s">
        <v>81</v>
      </c>
      <c r="Q2342">
        <v>4</v>
      </c>
      <c r="R2342" t="s">
        <v>1135</v>
      </c>
      <c r="T2342" t="s">
        <v>38</v>
      </c>
      <c r="V2342" t="s">
        <v>921</v>
      </c>
      <c r="Z2342" t="s">
        <v>1357</v>
      </c>
      <c r="AA2342" t="s">
        <v>39</v>
      </c>
      <c r="AC2342" t="s">
        <v>1454</v>
      </c>
    </row>
    <row r="2343" spans="1:29" x14ac:dyDescent="0.25">
      <c r="A2343">
        <v>285</v>
      </c>
      <c r="B2343" t="s">
        <v>396</v>
      </c>
      <c r="C2343" t="s">
        <v>77</v>
      </c>
      <c r="D2343" t="s">
        <v>397</v>
      </c>
      <c r="E2343">
        <v>10</v>
      </c>
      <c r="F2343">
        <v>86</v>
      </c>
      <c r="G2343">
        <v>338</v>
      </c>
      <c r="H2343">
        <v>4</v>
      </c>
      <c r="I2343">
        <v>2.2599999999999998</v>
      </c>
      <c r="J2343">
        <v>9.06</v>
      </c>
      <c r="K2343" t="s">
        <v>360</v>
      </c>
      <c r="L2343" t="s">
        <v>1453</v>
      </c>
      <c r="Q2343">
        <v>4</v>
      </c>
      <c r="R2343" t="s">
        <v>1135</v>
      </c>
      <c r="T2343" t="s">
        <v>38</v>
      </c>
      <c r="V2343" t="s">
        <v>921</v>
      </c>
      <c r="W2343" t="s">
        <v>81</v>
      </c>
      <c r="Z2343" t="s">
        <v>1357</v>
      </c>
      <c r="AA2343" t="s">
        <v>39</v>
      </c>
      <c r="AC2343" t="s">
        <v>1454</v>
      </c>
    </row>
    <row r="2344" spans="1:29" x14ac:dyDescent="0.25">
      <c r="A2344">
        <v>286</v>
      </c>
      <c r="B2344" t="s">
        <v>401</v>
      </c>
      <c r="C2344" t="s">
        <v>77</v>
      </c>
      <c r="D2344" t="s">
        <v>402</v>
      </c>
      <c r="E2344">
        <v>10</v>
      </c>
      <c r="F2344">
        <v>80</v>
      </c>
      <c r="G2344">
        <v>120</v>
      </c>
      <c r="H2344">
        <v>1</v>
      </c>
      <c r="I2344">
        <v>0.72</v>
      </c>
      <c r="J2344">
        <v>0.72</v>
      </c>
      <c r="K2344" t="s">
        <v>360</v>
      </c>
      <c r="L2344" t="s">
        <v>1453</v>
      </c>
      <c r="N2344" t="s">
        <v>228</v>
      </c>
      <c r="Q2344">
        <v>4</v>
      </c>
      <c r="R2344" t="s">
        <v>1135</v>
      </c>
      <c r="T2344" t="s">
        <v>38</v>
      </c>
      <c r="V2344" t="s">
        <v>921</v>
      </c>
      <c r="W2344" t="s">
        <v>81</v>
      </c>
      <c r="Z2344" t="s">
        <v>1357</v>
      </c>
      <c r="AA2344" t="s">
        <v>39</v>
      </c>
      <c r="AC2344" t="s">
        <v>1454</v>
      </c>
    </row>
    <row r="2345" spans="1:29" x14ac:dyDescent="0.25">
      <c r="A2345">
        <v>287</v>
      </c>
      <c r="B2345" t="s">
        <v>413</v>
      </c>
      <c r="C2345" t="s">
        <v>77</v>
      </c>
      <c r="D2345" t="s">
        <v>414</v>
      </c>
      <c r="E2345">
        <v>10</v>
      </c>
      <c r="F2345">
        <v>100</v>
      </c>
      <c r="G2345">
        <v>100</v>
      </c>
      <c r="H2345">
        <v>2</v>
      </c>
      <c r="I2345">
        <v>0.4</v>
      </c>
      <c r="J2345">
        <v>0.79</v>
      </c>
      <c r="K2345" t="s">
        <v>360</v>
      </c>
      <c r="L2345" t="s">
        <v>1453</v>
      </c>
      <c r="N2345" t="s">
        <v>228</v>
      </c>
      <c r="Q2345">
        <v>4</v>
      </c>
      <c r="R2345" t="s">
        <v>1135</v>
      </c>
      <c r="T2345" t="s">
        <v>38</v>
      </c>
      <c r="V2345" t="s">
        <v>921</v>
      </c>
      <c r="X2345" t="s">
        <v>81</v>
      </c>
      <c r="Z2345" t="s">
        <v>1357</v>
      </c>
      <c r="AA2345" t="s">
        <v>39</v>
      </c>
      <c r="AC2345" t="s">
        <v>1454</v>
      </c>
    </row>
    <row r="2346" spans="1:29" x14ac:dyDescent="0.25">
      <c r="A2346">
        <v>288</v>
      </c>
      <c r="B2346" t="s">
        <v>415</v>
      </c>
      <c r="C2346" t="s">
        <v>77</v>
      </c>
      <c r="D2346" t="s">
        <v>414</v>
      </c>
      <c r="E2346">
        <v>10</v>
      </c>
      <c r="F2346">
        <v>100</v>
      </c>
      <c r="G2346">
        <v>100</v>
      </c>
      <c r="H2346">
        <v>4</v>
      </c>
      <c r="I2346">
        <v>0.4</v>
      </c>
      <c r="J2346">
        <v>1.58</v>
      </c>
      <c r="K2346" t="s">
        <v>360</v>
      </c>
      <c r="L2346" t="s">
        <v>1453</v>
      </c>
      <c r="N2346" t="s">
        <v>228</v>
      </c>
      <c r="Q2346">
        <v>4</v>
      </c>
      <c r="R2346" t="s">
        <v>1135</v>
      </c>
      <c r="T2346" t="s">
        <v>38</v>
      </c>
      <c r="V2346" t="s">
        <v>921</v>
      </c>
      <c r="X2346" t="s">
        <v>81</v>
      </c>
      <c r="Z2346" t="s">
        <v>1357</v>
      </c>
      <c r="AA2346" t="s">
        <v>39</v>
      </c>
      <c r="AC2346" t="s">
        <v>1454</v>
      </c>
    </row>
    <row r="2347" spans="1:29" x14ac:dyDescent="0.25">
      <c r="A2347">
        <v>289</v>
      </c>
      <c r="B2347" t="s">
        <v>404</v>
      </c>
      <c r="C2347" t="s">
        <v>77</v>
      </c>
      <c r="D2347" t="s">
        <v>405</v>
      </c>
      <c r="E2347">
        <v>10</v>
      </c>
      <c r="F2347">
        <v>120</v>
      </c>
      <c r="G2347">
        <v>220</v>
      </c>
      <c r="H2347">
        <v>5</v>
      </c>
      <c r="I2347">
        <v>2.0099999999999998</v>
      </c>
      <c r="J2347">
        <v>10.06</v>
      </c>
      <c r="K2347" t="s">
        <v>360</v>
      </c>
      <c r="L2347" t="s">
        <v>1453</v>
      </c>
      <c r="N2347" t="s">
        <v>228</v>
      </c>
      <c r="Q2347">
        <v>4</v>
      </c>
      <c r="R2347" t="s">
        <v>1135</v>
      </c>
      <c r="T2347" t="s">
        <v>38</v>
      </c>
      <c r="V2347" t="s">
        <v>921</v>
      </c>
      <c r="W2347" t="s">
        <v>81</v>
      </c>
      <c r="Z2347" t="s">
        <v>1357</v>
      </c>
      <c r="AA2347" t="s">
        <v>39</v>
      </c>
      <c r="AC2347" t="s">
        <v>1454</v>
      </c>
    </row>
    <row r="2348" spans="1:29" x14ac:dyDescent="0.25">
      <c r="A2348">
        <v>290</v>
      </c>
      <c r="B2348" t="s">
        <v>416</v>
      </c>
      <c r="C2348" t="s">
        <v>77</v>
      </c>
      <c r="D2348" t="s">
        <v>414</v>
      </c>
      <c r="E2348">
        <v>10</v>
      </c>
      <c r="F2348">
        <v>100</v>
      </c>
      <c r="G2348">
        <v>100</v>
      </c>
      <c r="H2348">
        <v>1</v>
      </c>
      <c r="I2348">
        <v>0.39</v>
      </c>
      <c r="J2348">
        <v>0.39</v>
      </c>
      <c r="K2348" t="s">
        <v>360</v>
      </c>
      <c r="L2348" t="s">
        <v>1453</v>
      </c>
      <c r="N2348" t="s">
        <v>228</v>
      </c>
      <c r="Q2348">
        <v>4</v>
      </c>
      <c r="R2348" t="s">
        <v>1135</v>
      </c>
      <c r="T2348" t="s">
        <v>38</v>
      </c>
      <c r="V2348" t="s">
        <v>921</v>
      </c>
      <c r="X2348" t="s">
        <v>81</v>
      </c>
      <c r="Z2348" t="s">
        <v>1357</v>
      </c>
      <c r="AA2348" t="s">
        <v>39</v>
      </c>
      <c r="AC2348" t="s">
        <v>1454</v>
      </c>
    </row>
    <row r="2349" spans="1:29" x14ac:dyDescent="0.25">
      <c r="A2349">
        <v>291</v>
      </c>
      <c r="B2349" t="s">
        <v>417</v>
      </c>
      <c r="C2349" t="s">
        <v>77</v>
      </c>
      <c r="D2349" t="s">
        <v>418</v>
      </c>
      <c r="E2349">
        <v>10</v>
      </c>
      <c r="F2349">
        <v>200</v>
      </c>
      <c r="G2349">
        <v>12000</v>
      </c>
      <c r="H2349">
        <v>4</v>
      </c>
      <c r="I2349">
        <v>188.4</v>
      </c>
      <c r="J2349">
        <v>753.62</v>
      </c>
      <c r="K2349" t="s">
        <v>360</v>
      </c>
      <c r="L2349" t="s">
        <v>1453</v>
      </c>
      <c r="Q2349">
        <v>4</v>
      </c>
      <c r="R2349" t="s">
        <v>1135</v>
      </c>
      <c r="T2349" t="s">
        <v>38</v>
      </c>
      <c r="V2349" t="s">
        <v>921</v>
      </c>
      <c r="Y2349" t="s">
        <v>81</v>
      </c>
      <c r="Z2349" t="s">
        <v>1357</v>
      </c>
      <c r="AA2349" t="s">
        <v>39</v>
      </c>
      <c r="AC2349" t="s">
        <v>1454</v>
      </c>
    </row>
    <row r="2350" spans="1:29" x14ac:dyDescent="0.25">
      <c r="A2350">
        <v>292</v>
      </c>
      <c r="B2350" t="s">
        <v>419</v>
      </c>
      <c r="C2350" t="s">
        <v>77</v>
      </c>
      <c r="D2350" t="s">
        <v>420</v>
      </c>
      <c r="E2350">
        <v>10</v>
      </c>
      <c r="F2350">
        <v>200</v>
      </c>
      <c r="G2350">
        <v>3586</v>
      </c>
      <c r="H2350">
        <v>2</v>
      </c>
      <c r="I2350">
        <v>56.3</v>
      </c>
      <c r="J2350">
        <v>112.6</v>
      </c>
      <c r="K2350" t="s">
        <v>360</v>
      </c>
      <c r="L2350" t="s">
        <v>1453</v>
      </c>
      <c r="Q2350">
        <v>4</v>
      </c>
      <c r="R2350" t="s">
        <v>1135</v>
      </c>
      <c r="T2350" t="s">
        <v>38</v>
      </c>
      <c r="V2350" t="s">
        <v>921</v>
      </c>
      <c r="Y2350" t="s">
        <v>81</v>
      </c>
      <c r="Z2350" t="s">
        <v>1357</v>
      </c>
      <c r="AA2350" t="s">
        <v>39</v>
      </c>
      <c r="AC2350" t="s">
        <v>1454</v>
      </c>
    </row>
    <row r="2351" spans="1:29" x14ac:dyDescent="0.25">
      <c r="A2351">
        <v>293</v>
      </c>
      <c r="B2351" t="s">
        <v>421</v>
      </c>
      <c r="C2351" t="s">
        <v>77</v>
      </c>
      <c r="D2351" t="s">
        <v>422</v>
      </c>
      <c r="E2351">
        <v>10</v>
      </c>
      <c r="F2351">
        <v>230</v>
      </c>
      <c r="G2351">
        <v>3586</v>
      </c>
      <c r="H2351">
        <v>1</v>
      </c>
      <c r="I2351">
        <v>64.75</v>
      </c>
      <c r="J2351">
        <v>64.75</v>
      </c>
      <c r="K2351" t="s">
        <v>360</v>
      </c>
      <c r="L2351" t="s">
        <v>1453</v>
      </c>
      <c r="Q2351">
        <v>4</v>
      </c>
      <c r="R2351" t="s">
        <v>1135</v>
      </c>
      <c r="T2351" t="s">
        <v>38</v>
      </c>
      <c r="V2351" t="s">
        <v>921</v>
      </c>
      <c r="Y2351" t="s">
        <v>81</v>
      </c>
      <c r="Z2351" t="s">
        <v>1357</v>
      </c>
      <c r="AA2351" t="s">
        <v>39</v>
      </c>
      <c r="AC2351" t="s">
        <v>1454</v>
      </c>
    </row>
    <row r="2352" spans="1:29" x14ac:dyDescent="0.25">
      <c r="A2352">
        <v>294</v>
      </c>
      <c r="B2352" t="s">
        <v>423</v>
      </c>
      <c r="C2352" t="s">
        <v>77</v>
      </c>
      <c r="D2352" t="s">
        <v>414</v>
      </c>
      <c r="E2352">
        <v>10</v>
      </c>
      <c r="F2352">
        <v>100</v>
      </c>
      <c r="G2352">
        <v>100</v>
      </c>
      <c r="H2352">
        <v>4</v>
      </c>
      <c r="I2352">
        <v>0.4</v>
      </c>
      <c r="J2352">
        <v>1.58</v>
      </c>
      <c r="K2352" t="s">
        <v>360</v>
      </c>
      <c r="L2352" t="s">
        <v>1453</v>
      </c>
      <c r="N2352" t="s">
        <v>228</v>
      </c>
      <c r="Q2352">
        <v>4</v>
      </c>
      <c r="R2352" t="s">
        <v>1135</v>
      </c>
      <c r="T2352" t="s">
        <v>38</v>
      </c>
      <c r="V2352" t="s">
        <v>921</v>
      </c>
      <c r="X2352" t="s">
        <v>81</v>
      </c>
      <c r="Z2352" t="s">
        <v>1357</v>
      </c>
      <c r="AA2352" t="s">
        <v>39</v>
      </c>
      <c r="AC2352" t="s">
        <v>1454</v>
      </c>
    </row>
    <row r="2353" spans="1:29" x14ac:dyDescent="0.25">
      <c r="A2353">
        <v>295</v>
      </c>
      <c r="B2353" t="s">
        <v>389</v>
      </c>
      <c r="C2353" t="s">
        <v>77</v>
      </c>
      <c r="D2353" t="s">
        <v>390</v>
      </c>
      <c r="E2353">
        <v>10</v>
      </c>
      <c r="F2353">
        <v>200</v>
      </c>
      <c r="G2353">
        <v>9518</v>
      </c>
      <c r="H2353">
        <v>1</v>
      </c>
      <c r="I2353">
        <v>149.43</v>
      </c>
      <c r="J2353">
        <v>149.43</v>
      </c>
      <c r="K2353" t="s">
        <v>360</v>
      </c>
      <c r="L2353" t="s">
        <v>1455</v>
      </c>
      <c r="Q2353">
        <v>4</v>
      </c>
      <c r="R2353" t="s">
        <v>1135</v>
      </c>
      <c r="T2353" t="s">
        <v>38</v>
      </c>
      <c r="V2353" t="s">
        <v>921</v>
      </c>
      <c r="Y2353" t="s">
        <v>81</v>
      </c>
      <c r="Z2353" t="s">
        <v>1357</v>
      </c>
      <c r="AA2353" t="s">
        <v>39</v>
      </c>
      <c r="AC2353" t="s">
        <v>1456</v>
      </c>
    </row>
    <row r="2354" spans="1:29" x14ac:dyDescent="0.25">
      <c r="A2354">
        <v>296</v>
      </c>
      <c r="B2354" t="s">
        <v>426</v>
      </c>
      <c r="C2354" t="s">
        <v>77</v>
      </c>
      <c r="D2354" t="s">
        <v>412</v>
      </c>
      <c r="E2354">
        <v>10</v>
      </c>
      <c r="F2354">
        <v>532</v>
      </c>
      <c r="G2354">
        <v>4080</v>
      </c>
      <c r="H2354">
        <v>2</v>
      </c>
      <c r="I2354">
        <v>168.27</v>
      </c>
      <c r="J2354">
        <v>336.54</v>
      </c>
      <c r="K2354" t="s">
        <v>360</v>
      </c>
      <c r="L2354" t="s">
        <v>1455</v>
      </c>
      <c r="O2354" t="s">
        <v>81</v>
      </c>
      <c r="P2354" t="s">
        <v>81</v>
      </c>
      <c r="Q2354">
        <v>4</v>
      </c>
      <c r="R2354" t="s">
        <v>1135</v>
      </c>
      <c r="T2354" t="s">
        <v>38</v>
      </c>
      <c r="V2354" t="s">
        <v>921</v>
      </c>
      <c r="Z2354" t="s">
        <v>1357</v>
      </c>
      <c r="AA2354" t="s">
        <v>39</v>
      </c>
      <c r="AC2354" t="s">
        <v>1456</v>
      </c>
    </row>
    <row r="2355" spans="1:29" x14ac:dyDescent="0.25">
      <c r="A2355">
        <v>297</v>
      </c>
      <c r="B2355" t="s">
        <v>427</v>
      </c>
      <c r="C2355" t="s">
        <v>77</v>
      </c>
      <c r="D2355" t="s">
        <v>428</v>
      </c>
      <c r="E2355">
        <v>10</v>
      </c>
      <c r="F2355">
        <v>280</v>
      </c>
      <c r="G2355">
        <v>349</v>
      </c>
      <c r="H2355">
        <v>8</v>
      </c>
      <c r="I2355">
        <v>5.3</v>
      </c>
      <c r="J2355">
        <v>42.42</v>
      </c>
      <c r="K2355" t="s">
        <v>360</v>
      </c>
      <c r="L2355" t="s">
        <v>1455</v>
      </c>
      <c r="Q2355">
        <v>4</v>
      </c>
      <c r="R2355" t="s">
        <v>1135</v>
      </c>
      <c r="T2355" t="s">
        <v>38</v>
      </c>
      <c r="V2355" t="s">
        <v>921</v>
      </c>
      <c r="W2355" t="s">
        <v>81</v>
      </c>
      <c r="Z2355" t="s">
        <v>1357</v>
      </c>
      <c r="AA2355" t="s">
        <v>39</v>
      </c>
      <c r="AC2355" t="s">
        <v>1456</v>
      </c>
    </row>
    <row r="2356" spans="1:29" x14ac:dyDescent="0.25">
      <c r="A2356">
        <v>298</v>
      </c>
      <c r="B2356" t="s">
        <v>429</v>
      </c>
      <c r="C2356" t="s">
        <v>77</v>
      </c>
      <c r="D2356" t="s">
        <v>402</v>
      </c>
      <c r="E2356">
        <v>10</v>
      </c>
      <c r="F2356">
        <v>80</v>
      </c>
      <c r="G2356">
        <v>120</v>
      </c>
      <c r="H2356">
        <v>1</v>
      </c>
      <c r="I2356">
        <v>0.72</v>
      </c>
      <c r="J2356">
        <v>0.72</v>
      </c>
      <c r="K2356" t="s">
        <v>360</v>
      </c>
      <c r="L2356" t="s">
        <v>1455</v>
      </c>
      <c r="N2356" t="s">
        <v>228</v>
      </c>
      <c r="Q2356">
        <v>4</v>
      </c>
      <c r="R2356" t="s">
        <v>1135</v>
      </c>
      <c r="T2356" t="s">
        <v>38</v>
      </c>
      <c r="V2356" t="s">
        <v>921</v>
      </c>
      <c r="W2356" t="s">
        <v>81</v>
      </c>
      <c r="Z2356" t="s">
        <v>1357</v>
      </c>
      <c r="AA2356" t="s">
        <v>39</v>
      </c>
      <c r="AC2356" t="s">
        <v>1456</v>
      </c>
    </row>
    <row r="2357" spans="1:29" x14ac:dyDescent="0.25">
      <c r="A2357">
        <v>299</v>
      </c>
      <c r="B2357" t="s">
        <v>430</v>
      </c>
      <c r="C2357" t="s">
        <v>77</v>
      </c>
      <c r="D2357" t="s">
        <v>431</v>
      </c>
      <c r="E2357">
        <v>10</v>
      </c>
      <c r="F2357">
        <v>120</v>
      </c>
      <c r="G2357">
        <v>250</v>
      </c>
      <c r="H2357">
        <v>1</v>
      </c>
      <c r="I2357">
        <v>2.36</v>
      </c>
      <c r="J2357">
        <v>2.36</v>
      </c>
      <c r="K2357" t="s">
        <v>360</v>
      </c>
      <c r="L2357" t="s">
        <v>1455</v>
      </c>
      <c r="Q2357">
        <v>4</v>
      </c>
      <c r="R2357" t="s">
        <v>1135</v>
      </c>
      <c r="T2357" t="s">
        <v>38</v>
      </c>
      <c r="V2357" t="s">
        <v>921</v>
      </c>
      <c r="W2357" t="s">
        <v>81</v>
      </c>
      <c r="Z2357" t="s">
        <v>1357</v>
      </c>
      <c r="AA2357" t="s">
        <v>39</v>
      </c>
      <c r="AC2357" t="s">
        <v>1456</v>
      </c>
    </row>
    <row r="2358" spans="1:29" x14ac:dyDescent="0.25">
      <c r="A2358">
        <v>300</v>
      </c>
      <c r="B2358" t="s">
        <v>432</v>
      </c>
      <c r="C2358" t="s">
        <v>77</v>
      </c>
      <c r="D2358" t="s">
        <v>433</v>
      </c>
      <c r="E2358">
        <v>10</v>
      </c>
      <c r="F2358">
        <v>105</v>
      </c>
      <c r="G2358">
        <v>195</v>
      </c>
      <c r="H2358">
        <v>1</v>
      </c>
      <c r="I2358">
        <v>1.02</v>
      </c>
      <c r="J2358">
        <v>1.02</v>
      </c>
      <c r="K2358" t="s">
        <v>360</v>
      </c>
      <c r="L2358" t="s">
        <v>1455</v>
      </c>
      <c r="Q2358">
        <v>4</v>
      </c>
      <c r="R2358" t="s">
        <v>1135</v>
      </c>
      <c r="T2358" t="s">
        <v>38</v>
      </c>
      <c r="V2358" t="s">
        <v>921</v>
      </c>
      <c r="W2358" t="s">
        <v>81</v>
      </c>
      <c r="Z2358" t="s">
        <v>1357</v>
      </c>
      <c r="AA2358" t="s">
        <v>39</v>
      </c>
      <c r="AC2358" t="s">
        <v>1456</v>
      </c>
    </row>
    <row r="2359" spans="1:29" x14ac:dyDescent="0.25">
      <c r="A2359">
        <v>301</v>
      </c>
      <c r="B2359" t="s">
        <v>434</v>
      </c>
      <c r="C2359" t="s">
        <v>77</v>
      </c>
      <c r="D2359" t="s">
        <v>435</v>
      </c>
      <c r="E2359">
        <v>10</v>
      </c>
      <c r="F2359">
        <v>148</v>
      </c>
      <c r="G2359">
        <v>324</v>
      </c>
      <c r="H2359">
        <v>2</v>
      </c>
      <c r="I2359">
        <v>3.7</v>
      </c>
      <c r="J2359">
        <v>7.4</v>
      </c>
      <c r="K2359" t="s">
        <v>360</v>
      </c>
      <c r="L2359" t="s">
        <v>1455</v>
      </c>
      <c r="Q2359">
        <v>4</v>
      </c>
      <c r="R2359" t="s">
        <v>1135</v>
      </c>
      <c r="T2359" t="s">
        <v>38</v>
      </c>
      <c r="V2359" t="s">
        <v>921</v>
      </c>
      <c r="W2359" t="s">
        <v>81</v>
      </c>
      <c r="Z2359" t="s">
        <v>1357</v>
      </c>
      <c r="AA2359" t="s">
        <v>39</v>
      </c>
      <c r="AC2359" t="s">
        <v>1456</v>
      </c>
    </row>
    <row r="2360" spans="1:29" x14ac:dyDescent="0.25">
      <c r="A2360">
        <v>302</v>
      </c>
      <c r="B2360" t="s">
        <v>436</v>
      </c>
      <c r="C2360" t="s">
        <v>77</v>
      </c>
      <c r="D2360" t="s">
        <v>387</v>
      </c>
      <c r="E2360">
        <v>10</v>
      </c>
      <c r="F2360">
        <v>148</v>
      </c>
      <c r="G2360">
        <v>441</v>
      </c>
      <c r="H2360">
        <v>9</v>
      </c>
      <c r="I2360">
        <v>5.0599999999999996</v>
      </c>
      <c r="J2360">
        <v>45.55</v>
      </c>
      <c r="K2360" t="s">
        <v>360</v>
      </c>
      <c r="L2360" t="s">
        <v>1455</v>
      </c>
      <c r="Q2360">
        <v>4</v>
      </c>
      <c r="R2360" t="s">
        <v>1135</v>
      </c>
      <c r="T2360" t="s">
        <v>38</v>
      </c>
      <c r="V2360" t="s">
        <v>921</v>
      </c>
      <c r="W2360" t="s">
        <v>81</v>
      </c>
      <c r="Z2360" t="s">
        <v>1357</v>
      </c>
      <c r="AA2360" t="s">
        <v>39</v>
      </c>
      <c r="AC2360" t="s">
        <v>1456</v>
      </c>
    </row>
    <row r="2361" spans="1:29" x14ac:dyDescent="0.25">
      <c r="A2361">
        <v>303</v>
      </c>
      <c r="B2361" t="s">
        <v>437</v>
      </c>
      <c r="C2361" t="s">
        <v>77</v>
      </c>
      <c r="D2361" t="s">
        <v>387</v>
      </c>
      <c r="E2361">
        <v>10</v>
      </c>
      <c r="F2361">
        <v>148</v>
      </c>
      <c r="G2361">
        <v>441</v>
      </c>
      <c r="H2361">
        <v>13</v>
      </c>
      <c r="I2361">
        <v>5.0599999999999996</v>
      </c>
      <c r="J2361">
        <v>65.790000000000006</v>
      </c>
      <c r="K2361" t="s">
        <v>360</v>
      </c>
      <c r="L2361" t="s">
        <v>1455</v>
      </c>
      <c r="Q2361">
        <v>4</v>
      </c>
      <c r="R2361" t="s">
        <v>1135</v>
      </c>
      <c r="T2361" t="s">
        <v>38</v>
      </c>
      <c r="V2361" t="s">
        <v>921</v>
      </c>
      <c r="W2361" t="s">
        <v>81</v>
      </c>
      <c r="Z2361" t="s">
        <v>1357</v>
      </c>
      <c r="AA2361" t="s">
        <v>39</v>
      </c>
      <c r="AC2361" t="s">
        <v>1456</v>
      </c>
    </row>
    <row r="2362" spans="1:29" x14ac:dyDescent="0.25">
      <c r="A2362">
        <v>304</v>
      </c>
      <c r="B2362" t="s">
        <v>400</v>
      </c>
      <c r="C2362" t="s">
        <v>77</v>
      </c>
      <c r="D2362" t="s">
        <v>387</v>
      </c>
      <c r="E2362">
        <v>10</v>
      </c>
      <c r="F2362">
        <v>148</v>
      </c>
      <c r="G2362">
        <v>441</v>
      </c>
      <c r="H2362">
        <v>2</v>
      </c>
      <c r="I2362">
        <v>5.0599999999999996</v>
      </c>
      <c r="J2362">
        <v>10.119999999999999</v>
      </c>
      <c r="K2362" t="s">
        <v>360</v>
      </c>
      <c r="L2362" t="s">
        <v>1455</v>
      </c>
      <c r="Q2362">
        <v>4</v>
      </c>
      <c r="R2362" t="s">
        <v>1135</v>
      </c>
      <c r="T2362" t="s">
        <v>38</v>
      </c>
      <c r="V2362" t="s">
        <v>921</v>
      </c>
      <c r="W2362" t="s">
        <v>81</v>
      </c>
      <c r="Z2362" t="s">
        <v>1357</v>
      </c>
      <c r="AA2362" t="s">
        <v>39</v>
      </c>
      <c r="AC2362" t="s">
        <v>1456</v>
      </c>
    </row>
    <row r="2363" spans="1:29" x14ac:dyDescent="0.25">
      <c r="A2363">
        <v>305</v>
      </c>
      <c r="B2363" t="s">
        <v>401</v>
      </c>
      <c r="C2363" t="s">
        <v>77</v>
      </c>
      <c r="D2363" t="s">
        <v>402</v>
      </c>
      <c r="E2363">
        <v>10</v>
      </c>
      <c r="F2363">
        <v>80</v>
      </c>
      <c r="G2363">
        <v>120</v>
      </c>
      <c r="H2363">
        <v>5</v>
      </c>
      <c r="I2363">
        <v>0.72</v>
      </c>
      <c r="J2363">
        <v>3.62</v>
      </c>
      <c r="K2363" t="s">
        <v>360</v>
      </c>
      <c r="L2363" t="s">
        <v>1455</v>
      </c>
      <c r="N2363" t="s">
        <v>228</v>
      </c>
      <c r="Q2363">
        <v>4</v>
      </c>
      <c r="R2363" t="s">
        <v>1135</v>
      </c>
      <c r="T2363" t="s">
        <v>38</v>
      </c>
      <c r="V2363" t="s">
        <v>921</v>
      </c>
      <c r="W2363" t="s">
        <v>81</v>
      </c>
      <c r="Z2363" t="s">
        <v>1357</v>
      </c>
      <c r="AA2363" t="s">
        <v>39</v>
      </c>
      <c r="AC2363" t="s">
        <v>1456</v>
      </c>
    </row>
    <row r="2364" spans="1:29" x14ac:dyDescent="0.25">
      <c r="A2364">
        <v>306</v>
      </c>
      <c r="B2364" t="s">
        <v>438</v>
      </c>
      <c r="C2364" t="s">
        <v>77</v>
      </c>
      <c r="D2364" t="s">
        <v>405</v>
      </c>
      <c r="E2364">
        <v>10</v>
      </c>
      <c r="F2364">
        <v>120</v>
      </c>
      <c r="G2364">
        <v>220</v>
      </c>
      <c r="H2364">
        <v>6</v>
      </c>
      <c r="I2364">
        <v>2.0099999999999998</v>
      </c>
      <c r="J2364">
        <v>12.08</v>
      </c>
      <c r="K2364" t="s">
        <v>360</v>
      </c>
      <c r="L2364" t="s">
        <v>1455</v>
      </c>
      <c r="N2364" t="s">
        <v>228</v>
      </c>
      <c r="Q2364">
        <v>4</v>
      </c>
      <c r="R2364" t="s">
        <v>1135</v>
      </c>
      <c r="T2364" t="s">
        <v>38</v>
      </c>
      <c r="V2364" t="s">
        <v>921</v>
      </c>
      <c r="W2364" t="s">
        <v>81</v>
      </c>
      <c r="Z2364" t="s">
        <v>1357</v>
      </c>
      <c r="AA2364" t="s">
        <v>39</v>
      </c>
      <c r="AC2364" t="s">
        <v>1456</v>
      </c>
    </row>
    <row r="2365" spans="1:29" x14ac:dyDescent="0.25">
      <c r="A2365">
        <v>307</v>
      </c>
      <c r="B2365" t="s">
        <v>439</v>
      </c>
      <c r="C2365" t="s">
        <v>77</v>
      </c>
      <c r="D2365" t="s">
        <v>440</v>
      </c>
      <c r="E2365">
        <v>10</v>
      </c>
      <c r="F2365">
        <v>350</v>
      </c>
      <c r="G2365">
        <v>4580</v>
      </c>
      <c r="H2365">
        <v>1</v>
      </c>
      <c r="I2365">
        <v>125.84</v>
      </c>
      <c r="J2365">
        <v>125.84</v>
      </c>
      <c r="K2365" t="s">
        <v>360</v>
      </c>
      <c r="L2365" t="s">
        <v>1455</v>
      </c>
      <c r="P2365" t="s">
        <v>81</v>
      </c>
      <c r="Q2365">
        <v>4</v>
      </c>
      <c r="R2365" t="s">
        <v>1135</v>
      </c>
      <c r="T2365" t="s">
        <v>38</v>
      </c>
      <c r="V2365" t="s">
        <v>921</v>
      </c>
      <c r="Y2365" t="s">
        <v>81</v>
      </c>
      <c r="Z2365" t="s">
        <v>1357</v>
      </c>
      <c r="AA2365" t="s">
        <v>39</v>
      </c>
      <c r="AC2365" t="s">
        <v>1456</v>
      </c>
    </row>
    <row r="2366" spans="1:29" x14ac:dyDescent="0.25">
      <c r="A2366">
        <v>308</v>
      </c>
      <c r="B2366" t="s">
        <v>441</v>
      </c>
      <c r="C2366" t="s">
        <v>77</v>
      </c>
      <c r="D2366" t="s">
        <v>407</v>
      </c>
      <c r="E2366">
        <v>10</v>
      </c>
      <c r="F2366">
        <v>380</v>
      </c>
      <c r="G2366">
        <v>4577</v>
      </c>
      <c r="H2366">
        <v>2</v>
      </c>
      <c r="I2366">
        <v>135.07</v>
      </c>
      <c r="J2366">
        <v>270.14999999999998</v>
      </c>
      <c r="K2366" t="s">
        <v>360</v>
      </c>
      <c r="L2366" t="s">
        <v>1455</v>
      </c>
      <c r="Q2366">
        <v>4</v>
      </c>
      <c r="R2366" t="s">
        <v>1135</v>
      </c>
      <c r="T2366" t="s">
        <v>38</v>
      </c>
      <c r="V2366" t="s">
        <v>921</v>
      </c>
      <c r="Y2366" t="s">
        <v>81</v>
      </c>
      <c r="Z2366" t="s">
        <v>1357</v>
      </c>
      <c r="AA2366" t="s">
        <v>39</v>
      </c>
      <c r="AC2366" t="s">
        <v>1456</v>
      </c>
    </row>
    <row r="2367" spans="1:29" x14ac:dyDescent="0.25">
      <c r="A2367">
        <v>309</v>
      </c>
      <c r="B2367" t="s">
        <v>404</v>
      </c>
      <c r="C2367" t="s">
        <v>77</v>
      </c>
      <c r="D2367" t="s">
        <v>405</v>
      </c>
      <c r="E2367">
        <v>10</v>
      </c>
      <c r="F2367">
        <v>120</v>
      </c>
      <c r="G2367">
        <v>220</v>
      </c>
      <c r="H2367">
        <v>5</v>
      </c>
      <c r="I2367">
        <v>2.0099999999999998</v>
      </c>
      <c r="J2367">
        <v>10.06</v>
      </c>
      <c r="K2367" t="s">
        <v>360</v>
      </c>
      <c r="L2367" t="s">
        <v>1455</v>
      </c>
      <c r="N2367" t="s">
        <v>228</v>
      </c>
      <c r="Q2367">
        <v>4</v>
      </c>
      <c r="R2367" t="s">
        <v>1135</v>
      </c>
      <c r="T2367" t="s">
        <v>38</v>
      </c>
      <c r="V2367" t="s">
        <v>921</v>
      </c>
      <c r="W2367" t="s">
        <v>81</v>
      </c>
      <c r="Z2367" t="s">
        <v>1357</v>
      </c>
      <c r="AA2367" t="s">
        <v>39</v>
      </c>
      <c r="AC2367" t="s">
        <v>1456</v>
      </c>
    </row>
    <row r="2368" spans="1:29" x14ac:dyDescent="0.25">
      <c r="A2368">
        <v>310</v>
      </c>
      <c r="B2368" t="s">
        <v>442</v>
      </c>
      <c r="C2368" t="s">
        <v>77</v>
      </c>
      <c r="D2368" t="s">
        <v>440</v>
      </c>
      <c r="E2368">
        <v>10</v>
      </c>
      <c r="F2368">
        <v>350</v>
      </c>
      <c r="G2368">
        <v>4580</v>
      </c>
      <c r="H2368">
        <v>1</v>
      </c>
      <c r="I2368">
        <v>125.84</v>
      </c>
      <c r="J2368">
        <v>125.84</v>
      </c>
      <c r="K2368" t="s">
        <v>360</v>
      </c>
      <c r="L2368" t="s">
        <v>1455</v>
      </c>
      <c r="P2368" t="s">
        <v>81</v>
      </c>
      <c r="Q2368">
        <v>4</v>
      </c>
      <c r="R2368" t="s">
        <v>1135</v>
      </c>
      <c r="T2368" t="s">
        <v>38</v>
      </c>
      <c r="V2368" t="s">
        <v>921</v>
      </c>
      <c r="Y2368" t="s">
        <v>81</v>
      </c>
      <c r="Z2368" t="s">
        <v>1357</v>
      </c>
      <c r="AA2368" t="s">
        <v>39</v>
      </c>
      <c r="AC2368" t="s">
        <v>1456</v>
      </c>
    </row>
    <row r="2369" spans="1:29" x14ac:dyDescent="0.25">
      <c r="A2369">
        <v>311</v>
      </c>
      <c r="B2369" t="s">
        <v>416</v>
      </c>
      <c r="C2369" t="s">
        <v>77</v>
      </c>
      <c r="D2369" t="s">
        <v>414</v>
      </c>
      <c r="E2369">
        <v>10</v>
      </c>
      <c r="F2369">
        <v>100</v>
      </c>
      <c r="G2369">
        <v>100</v>
      </c>
      <c r="H2369">
        <v>1</v>
      </c>
      <c r="I2369">
        <v>0.39</v>
      </c>
      <c r="J2369">
        <v>0.39</v>
      </c>
      <c r="K2369" t="s">
        <v>360</v>
      </c>
      <c r="L2369" t="s">
        <v>1455</v>
      </c>
      <c r="N2369" t="s">
        <v>228</v>
      </c>
      <c r="Q2369">
        <v>4</v>
      </c>
      <c r="R2369" t="s">
        <v>1135</v>
      </c>
      <c r="T2369" t="s">
        <v>38</v>
      </c>
      <c r="V2369" t="s">
        <v>921</v>
      </c>
      <c r="X2369" t="s">
        <v>81</v>
      </c>
      <c r="Z2369" t="s">
        <v>1357</v>
      </c>
      <c r="AA2369" t="s">
        <v>39</v>
      </c>
      <c r="AC2369" t="s">
        <v>1456</v>
      </c>
    </row>
    <row r="2370" spans="1:29" x14ac:dyDescent="0.25">
      <c r="A2370">
        <v>312</v>
      </c>
      <c r="B2370" t="s">
        <v>421</v>
      </c>
      <c r="C2370" t="s">
        <v>77</v>
      </c>
      <c r="D2370" t="s">
        <v>422</v>
      </c>
      <c r="E2370">
        <v>10</v>
      </c>
      <c r="F2370">
        <v>230</v>
      </c>
      <c r="G2370">
        <v>3586</v>
      </c>
      <c r="H2370">
        <v>2</v>
      </c>
      <c r="I2370">
        <v>64.739999999999995</v>
      </c>
      <c r="J2370">
        <v>129.49</v>
      </c>
      <c r="K2370" t="s">
        <v>360</v>
      </c>
      <c r="L2370" t="s">
        <v>1455</v>
      </c>
      <c r="Q2370">
        <v>4</v>
      </c>
      <c r="R2370" t="s">
        <v>1135</v>
      </c>
      <c r="T2370" t="s">
        <v>38</v>
      </c>
      <c r="V2370" t="s">
        <v>921</v>
      </c>
      <c r="Y2370" t="s">
        <v>81</v>
      </c>
      <c r="Z2370" t="s">
        <v>1357</v>
      </c>
      <c r="AA2370" t="s">
        <v>39</v>
      </c>
      <c r="AC2370" t="s">
        <v>1456</v>
      </c>
    </row>
    <row r="2371" spans="1:29" x14ac:dyDescent="0.25">
      <c r="A2371">
        <v>313</v>
      </c>
      <c r="B2371" t="s">
        <v>429</v>
      </c>
      <c r="C2371" t="s">
        <v>77</v>
      </c>
      <c r="D2371" t="s">
        <v>402</v>
      </c>
      <c r="E2371">
        <v>10</v>
      </c>
      <c r="F2371">
        <v>80</v>
      </c>
      <c r="G2371">
        <v>120</v>
      </c>
      <c r="H2371">
        <v>1</v>
      </c>
      <c r="I2371">
        <v>0.72</v>
      </c>
      <c r="J2371">
        <v>0.72</v>
      </c>
      <c r="K2371" t="s">
        <v>360</v>
      </c>
      <c r="L2371" t="s">
        <v>1457</v>
      </c>
      <c r="N2371" t="s">
        <v>228</v>
      </c>
      <c r="Q2371">
        <v>4</v>
      </c>
      <c r="R2371" t="s">
        <v>1135</v>
      </c>
      <c r="T2371" t="s">
        <v>38</v>
      </c>
      <c r="V2371" t="s">
        <v>921</v>
      </c>
      <c r="W2371" t="s">
        <v>81</v>
      </c>
      <c r="Z2371" t="s">
        <v>1357</v>
      </c>
      <c r="AA2371" t="s">
        <v>39</v>
      </c>
      <c r="AC2371" t="s">
        <v>1458</v>
      </c>
    </row>
    <row r="2372" spans="1:29" x14ac:dyDescent="0.25">
      <c r="A2372">
        <v>314</v>
      </c>
      <c r="B2372" t="s">
        <v>445</v>
      </c>
      <c r="C2372" t="s">
        <v>77</v>
      </c>
      <c r="D2372" t="s">
        <v>435</v>
      </c>
      <c r="E2372">
        <v>10</v>
      </c>
      <c r="F2372">
        <v>148</v>
      </c>
      <c r="G2372">
        <v>324</v>
      </c>
      <c r="H2372">
        <v>26</v>
      </c>
      <c r="I2372">
        <v>3.7</v>
      </c>
      <c r="J2372">
        <v>96.24</v>
      </c>
      <c r="K2372" t="s">
        <v>360</v>
      </c>
      <c r="L2372" t="s">
        <v>1457</v>
      </c>
      <c r="Q2372">
        <v>4</v>
      </c>
      <c r="R2372" t="s">
        <v>1135</v>
      </c>
      <c r="T2372" t="s">
        <v>38</v>
      </c>
      <c r="V2372" t="s">
        <v>921</v>
      </c>
      <c r="W2372" t="s">
        <v>81</v>
      </c>
      <c r="Z2372" t="s">
        <v>1357</v>
      </c>
      <c r="AA2372" t="s">
        <v>39</v>
      </c>
      <c r="AC2372" t="s">
        <v>1458</v>
      </c>
    </row>
    <row r="2373" spans="1:29" x14ac:dyDescent="0.25">
      <c r="A2373">
        <v>315</v>
      </c>
      <c r="B2373" t="s">
        <v>446</v>
      </c>
      <c r="C2373" t="s">
        <v>77</v>
      </c>
      <c r="D2373" t="s">
        <v>387</v>
      </c>
      <c r="E2373">
        <v>10</v>
      </c>
      <c r="F2373">
        <v>148</v>
      </c>
      <c r="G2373">
        <v>441</v>
      </c>
      <c r="H2373">
        <v>8</v>
      </c>
      <c r="I2373">
        <v>5.0599999999999996</v>
      </c>
      <c r="J2373">
        <v>40.49</v>
      </c>
      <c r="K2373" t="s">
        <v>360</v>
      </c>
      <c r="L2373" t="s">
        <v>1457</v>
      </c>
      <c r="Q2373">
        <v>4</v>
      </c>
      <c r="R2373" t="s">
        <v>1135</v>
      </c>
      <c r="T2373" t="s">
        <v>38</v>
      </c>
      <c r="V2373" t="s">
        <v>921</v>
      </c>
      <c r="W2373" t="s">
        <v>81</v>
      </c>
      <c r="Z2373" t="s">
        <v>1357</v>
      </c>
      <c r="AA2373" t="s">
        <v>39</v>
      </c>
      <c r="AC2373" t="s">
        <v>1458</v>
      </c>
    </row>
    <row r="2374" spans="1:29" x14ac:dyDescent="0.25">
      <c r="A2374">
        <v>316</v>
      </c>
      <c r="B2374" t="s">
        <v>434</v>
      </c>
      <c r="C2374" t="s">
        <v>77</v>
      </c>
      <c r="D2374" t="s">
        <v>435</v>
      </c>
      <c r="E2374">
        <v>10</v>
      </c>
      <c r="F2374">
        <v>148</v>
      </c>
      <c r="G2374">
        <v>324</v>
      </c>
      <c r="H2374">
        <v>26</v>
      </c>
      <c r="I2374">
        <v>3.7</v>
      </c>
      <c r="J2374">
        <v>96.24</v>
      </c>
      <c r="K2374" t="s">
        <v>360</v>
      </c>
      <c r="L2374" t="s">
        <v>1457</v>
      </c>
      <c r="Q2374">
        <v>4</v>
      </c>
      <c r="R2374" t="s">
        <v>1135</v>
      </c>
      <c r="T2374" t="s">
        <v>38</v>
      </c>
      <c r="V2374" t="s">
        <v>921</v>
      </c>
      <c r="W2374" t="s">
        <v>81</v>
      </c>
      <c r="Z2374" t="s">
        <v>1357</v>
      </c>
      <c r="AA2374" t="s">
        <v>39</v>
      </c>
      <c r="AC2374" t="s">
        <v>1458</v>
      </c>
    </row>
    <row r="2375" spans="1:29" x14ac:dyDescent="0.25">
      <c r="A2375">
        <v>317</v>
      </c>
      <c r="B2375" t="s">
        <v>436</v>
      </c>
      <c r="C2375" t="s">
        <v>77</v>
      </c>
      <c r="D2375" t="s">
        <v>387</v>
      </c>
      <c r="E2375">
        <v>10</v>
      </c>
      <c r="F2375">
        <v>148</v>
      </c>
      <c r="G2375">
        <v>441</v>
      </c>
      <c r="H2375">
        <v>12</v>
      </c>
      <c r="I2375">
        <v>5.0599999999999996</v>
      </c>
      <c r="J2375">
        <v>60.73</v>
      </c>
      <c r="K2375" t="s">
        <v>360</v>
      </c>
      <c r="L2375" t="s">
        <v>1457</v>
      </c>
      <c r="Q2375">
        <v>4</v>
      </c>
      <c r="R2375" t="s">
        <v>1135</v>
      </c>
      <c r="T2375" t="s">
        <v>38</v>
      </c>
      <c r="V2375" t="s">
        <v>921</v>
      </c>
      <c r="W2375" t="s">
        <v>81</v>
      </c>
      <c r="Z2375" t="s">
        <v>1357</v>
      </c>
      <c r="AA2375" t="s">
        <v>39</v>
      </c>
      <c r="AC2375" t="s">
        <v>1458</v>
      </c>
    </row>
    <row r="2376" spans="1:29" x14ac:dyDescent="0.25">
      <c r="A2376">
        <v>318</v>
      </c>
      <c r="B2376" t="s">
        <v>438</v>
      </c>
      <c r="C2376" t="s">
        <v>77</v>
      </c>
      <c r="D2376" t="s">
        <v>405</v>
      </c>
      <c r="E2376">
        <v>10</v>
      </c>
      <c r="F2376">
        <v>120</v>
      </c>
      <c r="G2376">
        <v>220</v>
      </c>
      <c r="H2376">
        <v>2</v>
      </c>
      <c r="I2376">
        <v>2.02</v>
      </c>
      <c r="J2376">
        <v>4.03</v>
      </c>
      <c r="K2376" t="s">
        <v>360</v>
      </c>
      <c r="L2376" t="s">
        <v>1457</v>
      </c>
      <c r="N2376" t="s">
        <v>228</v>
      </c>
      <c r="Q2376">
        <v>4</v>
      </c>
      <c r="R2376" t="s">
        <v>1135</v>
      </c>
      <c r="T2376" t="s">
        <v>38</v>
      </c>
      <c r="V2376" t="s">
        <v>921</v>
      </c>
      <c r="W2376" t="s">
        <v>81</v>
      </c>
      <c r="Z2376" t="s">
        <v>1357</v>
      </c>
      <c r="AA2376" t="s">
        <v>39</v>
      </c>
      <c r="AC2376" t="s">
        <v>1458</v>
      </c>
    </row>
    <row r="2377" spans="1:29" x14ac:dyDescent="0.25">
      <c r="A2377">
        <v>319</v>
      </c>
      <c r="B2377" t="s">
        <v>447</v>
      </c>
      <c r="C2377" t="s">
        <v>77</v>
      </c>
      <c r="D2377" t="s">
        <v>435</v>
      </c>
      <c r="E2377">
        <v>10</v>
      </c>
      <c r="F2377">
        <v>148</v>
      </c>
      <c r="G2377">
        <v>324</v>
      </c>
      <c r="H2377">
        <v>2</v>
      </c>
      <c r="I2377">
        <v>3.7</v>
      </c>
      <c r="J2377">
        <v>7.4</v>
      </c>
      <c r="K2377" t="s">
        <v>360</v>
      </c>
      <c r="L2377" t="s">
        <v>1457</v>
      </c>
      <c r="Q2377">
        <v>4</v>
      </c>
      <c r="R2377" t="s">
        <v>1135</v>
      </c>
      <c r="T2377" t="s">
        <v>38</v>
      </c>
      <c r="V2377" t="s">
        <v>921</v>
      </c>
      <c r="W2377" t="s">
        <v>81</v>
      </c>
      <c r="Z2377" t="s">
        <v>1357</v>
      </c>
      <c r="AA2377" t="s">
        <v>39</v>
      </c>
      <c r="AC2377" t="s">
        <v>1458</v>
      </c>
    </row>
    <row r="2378" spans="1:29" x14ac:dyDescent="0.25">
      <c r="A2378">
        <v>320</v>
      </c>
      <c r="B2378" t="s">
        <v>448</v>
      </c>
      <c r="C2378" t="s">
        <v>77</v>
      </c>
      <c r="D2378" t="s">
        <v>407</v>
      </c>
      <c r="E2378">
        <v>10</v>
      </c>
      <c r="F2378">
        <v>380</v>
      </c>
      <c r="G2378">
        <v>4577</v>
      </c>
      <c r="H2378">
        <v>2</v>
      </c>
      <c r="I2378">
        <v>135.07</v>
      </c>
      <c r="J2378">
        <v>270.14999999999998</v>
      </c>
      <c r="K2378" t="s">
        <v>360</v>
      </c>
      <c r="L2378" t="s">
        <v>1457</v>
      </c>
      <c r="Q2378">
        <v>4</v>
      </c>
      <c r="R2378" t="s">
        <v>1135</v>
      </c>
      <c r="T2378" t="s">
        <v>38</v>
      </c>
      <c r="V2378" t="s">
        <v>921</v>
      </c>
      <c r="Y2378" t="s">
        <v>81</v>
      </c>
      <c r="Z2378" t="s">
        <v>1357</v>
      </c>
      <c r="AA2378" t="s">
        <v>39</v>
      </c>
      <c r="AC2378" t="s">
        <v>1458</v>
      </c>
    </row>
    <row r="2379" spans="1:29" x14ac:dyDescent="0.25">
      <c r="A2379">
        <v>321</v>
      </c>
      <c r="B2379" t="s">
        <v>439</v>
      </c>
      <c r="C2379" t="s">
        <v>77</v>
      </c>
      <c r="D2379" t="s">
        <v>440</v>
      </c>
      <c r="E2379">
        <v>10</v>
      </c>
      <c r="F2379">
        <v>350</v>
      </c>
      <c r="G2379">
        <v>4580</v>
      </c>
      <c r="H2379">
        <v>1</v>
      </c>
      <c r="I2379">
        <v>125.84</v>
      </c>
      <c r="J2379">
        <v>125.84</v>
      </c>
      <c r="K2379" t="s">
        <v>360</v>
      </c>
      <c r="L2379" t="s">
        <v>1457</v>
      </c>
      <c r="P2379" t="s">
        <v>81</v>
      </c>
      <c r="Q2379">
        <v>4</v>
      </c>
      <c r="R2379" t="s">
        <v>1135</v>
      </c>
      <c r="T2379" t="s">
        <v>38</v>
      </c>
      <c r="V2379" t="s">
        <v>921</v>
      </c>
      <c r="Y2379" t="s">
        <v>81</v>
      </c>
      <c r="Z2379" t="s">
        <v>1357</v>
      </c>
      <c r="AA2379" t="s">
        <v>39</v>
      </c>
      <c r="AC2379" t="s">
        <v>1458</v>
      </c>
    </row>
    <row r="2380" spans="1:29" x14ac:dyDescent="0.25">
      <c r="A2380">
        <v>322</v>
      </c>
      <c r="B2380" t="s">
        <v>449</v>
      </c>
      <c r="C2380" t="s">
        <v>77</v>
      </c>
      <c r="D2380" t="s">
        <v>450</v>
      </c>
      <c r="E2380">
        <v>10</v>
      </c>
      <c r="F2380">
        <v>350</v>
      </c>
      <c r="G2380">
        <v>4480</v>
      </c>
      <c r="H2380">
        <v>2</v>
      </c>
      <c r="I2380">
        <v>123.09</v>
      </c>
      <c r="J2380">
        <v>246.18</v>
      </c>
      <c r="K2380" t="s">
        <v>360</v>
      </c>
      <c r="L2380" t="s">
        <v>1457</v>
      </c>
      <c r="P2380" t="s">
        <v>81</v>
      </c>
      <c r="Q2380">
        <v>4</v>
      </c>
      <c r="R2380" t="s">
        <v>1135</v>
      </c>
      <c r="T2380" t="s">
        <v>38</v>
      </c>
      <c r="V2380" t="s">
        <v>921</v>
      </c>
      <c r="Y2380" t="s">
        <v>81</v>
      </c>
      <c r="Z2380" t="s">
        <v>1357</v>
      </c>
      <c r="AA2380" t="s">
        <v>39</v>
      </c>
      <c r="AC2380" t="s">
        <v>1458</v>
      </c>
    </row>
    <row r="2381" spans="1:29" x14ac:dyDescent="0.25">
      <c r="A2381">
        <v>323</v>
      </c>
      <c r="B2381" t="s">
        <v>441</v>
      </c>
      <c r="C2381" t="s">
        <v>77</v>
      </c>
      <c r="D2381" t="s">
        <v>407</v>
      </c>
      <c r="E2381">
        <v>10</v>
      </c>
      <c r="F2381">
        <v>380</v>
      </c>
      <c r="G2381">
        <v>4577</v>
      </c>
      <c r="H2381">
        <v>2</v>
      </c>
      <c r="I2381">
        <v>135.07</v>
      </c>
      <c r="J2381">
        <v>270.14999999999998</v>
      </c>
      <c r="K2381" t="s">
        <v>360</v>
      </c>
      <c r="L2381" t="s">
        <v>1457</v>
      </c>
      <c r="Q2381">
        <v>4</v>
      </c>
      <c r="R2381" t="s">
        <v>1135</v>
      </c>
      <c r="T2381" t="s">
        <v>38</v>
      </c>
      <c r="V2381" t="s">
        <v>921</v>
      </c>
      <c r="Y2381" t="s">
        <v>81</v>
      </c>
      <c r="Z2381" t="s">
        <v>1357</v>
      </c>
      <c r="AA2381" t="s">
        <v>39</v>
      </c>
      <c r="AC2381" t="s">
        <v>1458</v>
      </c>
    </row>
    <row r="2382" spans="1:29" x14ac:dyDescent="0.25">
      <c r="A2382">
        <v>324</v>
      </c>
      <c r="B2382" t="s">
        <v>451</v>
      </c>
      <c r="C2382" t="s">
        <v>77</v>
      </c>
      <c r="D2382" t="s">
        <v>452</v>
      </c>
      <c r="E2382">
        <v>10</v>
      </c>
      <c r="F2382">
        <v>127</v>
      </c>
      <c r="G2382">
        <v>220</v>
      </c>
      <c r="H2382">
        <v>1</v>
      </c>
      <c r="I2382">
        <v>2.13</v>
      </c>
      <c r="J2382">
        <v>2.13</v>
      </c>
      <c r="K2382" t="s">
        <v>360</v>
      </c>
      <c r="L2382" t="s">
        <v>1457</v>
      </c>
      <c r="N2382" t="s">
        <v>228</v>
      </c>
      <c r="Q2382">
        <v>4</v>
      </c>
      <c r="R2382" t="s">
        <v>1135</v>
      </c>
      <c r="T2382" t="s">
        <v>38</v>
      </c>
      <c r="V2382" t="s">
        <v>921</v>
      </c>
      <c r="W2382" t="s">
        <v>81</v>
      </c>
      <c r="Z2382" t="s">
        <v>1357</v>
      </c>
      <c r="AA2382" t="s">
        <v>39</v>
      </c>
      <c r="AC2382" t="s">
        <v>1458</v>
      </c>
    </row>
    <row r="2383" spans="1:29" x14ac:dyDescent="0.25">
      <c r="A2383">
        <v>325</v>
      </c>
      <c r="B2383" t="s">
        <v>453</v>
      </c>
      <c r="C2383" t="s">
        <v>77</v>
      </c>
      <c r="D2383" t="s">
        <v>450</v>
      </c>
      <c r="E2383">
        <v>10</v>
      </c>
      <c r="F2383">
        <v>350</v>
      </c>
      <c r="G2383">
        <v>4480</v>
      </c>
      <c r="H2383">
        <v>1</v>
      </c>
      <c r="I2383">
        <v>123.09</v>
      </c>
      <c r="J2383">
        <v>123.09</v>
      </c>
      <c r="K2383" t="s">
        <v>360</v>
      </c>
      <c r="L2383" t="s">
        <v>1457</v>
      </c>
      <c r="P2383" t="s">
        <v>81</v>
      </c>
      <c r="Q2383">
        <v>4</v>
      </c>
      <c r="R2383" t="s">
        <v>1135</v>
      </c>
      <c r="T2383" t="s">
        <v>38</v>
      </c>
      <c r="V2383" t="s">
        <v>921</v>
      </c>
      <c r="Y2383" t="s">
        <v>81</v>
      </c>
      <c r="Z2383" t="s">
        <v>1357</v>
      </c>
      <c r="AA2383" t="s">
        <v>39</v>
      </c>
      <c r="AC2383" t="s">
        <v>1458</v>
      </c>
    </row>
    <row r="2384" spans="1:29" x14ac:dyDescent="0.25">
      <c r="A2384">
        <v>326</v>
      </c>
      <c r="B2384" t="s">
        <v>426</v>
      </c>
      <c r="C2384" t="s">
        <v>77</v>
      </c>
      <c r="D2384" t="s">
        <v>412</v>
      </c>
      <c r="E2384">
        <v>10</v>
      </c>
      <c r="F2384">
        <v>532</v>
      </c>
      <c r="G2384">
        <v>4080</v>
      </c>
      <c r="H2384">
        <v>2</v>
      </c>
      <c r="I2384">
        <v>168.27</v>
      </c>
      <c r="J2384">
        <v>336.54</v>
      </c>
      <c r="K2384" t="s">
        <v>360</v>
      </c>
      <c r="L2384" t="s">
        <v>1459</v>
      </c>
      <c r="O2384" t="s">
        <v>81</v>
      </c>
      <c r="P2384" t="s">
        <v>81</v>
      </c>
      <c r="Q2384">
        <v>4</v>
      </c>
      <c r="R2384" t="s">
        <v>1135</v>
      </c>
      <c r="T2384" t="s">
        <v>38</v>
      </c>
      <c r="V2384" t="s">
        <v>921</v>
      </c>
      <c r="Z2384" t="s">
        <v>1357</v>
      </c>
      <c r="AA2384" t="s">
        <v>39</v>
      </c>
      <c r="AC2384" t="s">
        <v>1460</v>
      </c>
    </row>
    <row r="2385" spans="1:29" x14ac:dyDescent="0.25">
      <c r="A2385">
        <v>327</v>
      </c>
      <c r="B2385" t="s">
        <v>456</v>
      </c>
      <c r="C2385" t="s">
        <v>77</v>
      </c>
      <c r="D2385" t="s">
        <v>457</v>
      </c>
      <c r="E2385">
        <v>10</v>
      </c>
      <c r="F2385">
        <v>70</v>
      </c>
      <c r="G2385">
        <v>120</v>
      </c>
      <c r="H2385">
        <v>4</v>
      </c>
      <c r="I2385">
        <v>0.63</v>
      </c>
      <c r="J2385">
        <v>2.52</v>
      </c>
      <c r="K2385" t="s">
        <v>360</v>
      </c>
      <c r="L2385" t="s">
        <v>1459</v>
      </c>
      <c r="N2385" t="s">
        <v>228</v>
      </c>
      <c r="Q2385">
        <v>4</v>
      </c>
      <c r="R2385" t="s">
        <v>1135</v>
      </c>
      <c r="T2385" t="s">
        <v>38</v>
      </c>
      <c r="V2385" t="s">
        <v>921</v>
      </c>
      <c r="W2385" t="s">
        <v>81</v>
      </c>
      <c r="Z2385" t="s">
        <v>1357</v>
      </c>
      <c r="AA2385" t="s">
        <v>39</v>
      </c>
      <c r="AC2385" t="s">
        <v>1460</v>
      </c>
    </row>
    <row r="2386" spans="1:29" x14ac:dyDescent="0.25">
      <c r="A2386">
        <v>328</v>
      </c>
      <c r="B2386" t="s">
        <v>429</v>
      </c>
      <c r="C2386" t="s">
        <v>77</v>
      </c>
      <c r="D2386" t="s">
        <v>402</v>
      </c>
      <c r="E2386">
        <v>10</v>
      </c>
      <c r="F2386">
        <v>80</v>
      </c>
      <c r="G2386">
        <v>120</v>
      </c>
      <c r="H2386">
        <v>4</v>
      </c>
      <c r="I2386">
        <v>0.72</v>
      </c>
      <c r="J2386">
        <v>2.9</v>
      </c>
      <c r="K2386" t="s">
        <v>360</v>
      </c>
      <c r="L2386" t="s">
        <v>1459</v>
      </c>
      <c r="N2386" t="s">
        <v>228</v>
      </c>
      <c r="Q2386">
        <v>4</v>
      </c>
      <c r="R2386" t="s">
        <v>1135</v>
      </c>
      <c r="T2386" t="s">
        <v>38</v>
      </c>
      <c r="V2386" t="s">
        <v>921</v>
      </c>
      <c r="W2386" t="s">
        <v>81</v>
      </c>
      <c r="Z2386" t="s">
        <v>1357</v>
      </c>
      <c r="AA2386" t="s">
        <v>39</v>
      </c>
      <c r="AC2386" t="s">
        <v>1460</v>
      </c>
    </row>
    <row r="2387" spans="1:29" x14ac:dyDescent="0.25">
      <c r="A2387">
        <v>329</v>
      </c>
      <c r="B2387" t="s">
        <v>458</v>
      </c>
      <c r="C2387" t="s">
        <v>77</v>
      </c>
      <c r="D2387" t="s">
        <v>405</v>
      </c>
      <c r="E2387">
        <v>10</v>
      </c>
      <c r="F2387">
        <v>120</v>
      </c>
      <c r="G2387">
        <v>220</v>
      </c>
      <c r="H2387">
        <v>9</v>
      </c>
      <c r="I2387">
        <v>2.0099999999999998</v>
      </c>
      <c r="J2387">
        <v>18.11</v>
      </c>
      <c r="K2387" t="s">
        <v>360</v>
      </c>
      <c r="L2387" t="s">
        <v>1459</v>
      </c>
      <c r="N2387" t="s">
        <v>228</v>
      </c>
      <c r="Q2387">
        <v>4</v>
      </c>
      <c r="R2387" t="s">
        <v>1135</v>
      </c>
      <c r="T2387" t="s">
        <v>38</v>
      </c>
      <c r="V2387" t="s">
        <v>921</v>
      </c>
      <c r="W2387" t="s">
        <v>81</v>
      </c>
      <c r="Z2387" t="s">
        <v>1357</v>
      </c>
      <c r="AA2387" t="s">
        <v>39</v>
      </c>
      <c r="AC2387" t="s">
        <v>1460</v>
      </c>
    </row>
    <row r="2388" spans="1:29" x14ac:dyDescent="0.25">
      <c r="A2388">
        <v>330</v>
      </c>
      <c r="B2388" t="s">
        <v>459</v>
      </c>
      <c r="C2388" t="s">
        <v>77</v>
      </c>
      <c r="D2388" t="s">
        <v>402</v>
      </c>
      <c r="E2388">
        <v>10</v>
      </c>
      <c r="F2388">
        <v>80</v>
      </c>
      <c r="G2388">
        <v>120</v>
      </c>
      <c r="H2388">
        <v>1</v>
      </c>
      <c r="I2388">
        <v>0.72</v>
      </c>
      <c r="J2388">
        <v>0.72</v>
      </c>
      <c r="K2388" t="s">
        <v>360</v>
      </c>
      <c r="L2388" t="s">
        <v>1459</v>
      </c>
      <c r="N2388" t="s">
        <v>228</v>
      </c>
      <c r="Q2388">
        <v>4</v>
      </c>
      <c r="R2388" t="s">
        <v>1135</v>
      </c>
      <c r="T2388" t="s">
        <v>38</v>
      </c>
      <c r="V2388" t="s">
        <v>921</v>
      </c>
      <c r="W2388" t="s">
        <v>81</v>
      </c>
      <c r="Z2388" t="s">
        <v>1357</v>
      </c>
      <c r="AA2388" t="s">
        <v>39</v>
      </c>
      <c r="AC2388" t="s">
        <v>1460</v>
      </c>
    </row>
    <row r="2389" spans="1:29" x14ac:dyDescent="0.25">
      <c r="A2389">
        <v>331</v>
      </c>
      <c r="B2389" t="s">
        <v>446</v>
      </c>
      <c r="C2389" t="s">
        <v>77</v>
      </c>
      <c r="D2389" t="s">
        <v>387</v>
      </c>
      <c r="E2389">
        <v>10</v>
      </c>
      <c r="F2389">
        <v>148</v>
      </c>
      <c r="G2389">
        <v>441</v>
      </c>
      <c r="H2389">
        <v>4</v>
      </c>
      <c r="I2389">
        <v>5.0599999999999996</v>
      </c>
      <c r="J2389">
        <v>20.239999999999998</v>
      </c>
      <c r="K2389" t="s">
        <v>360</v>
      </c>
      <c r="L2389" t="s">
        <v>1459</v>
      </c>
      <c r="Q2389">
        <v>4</v>
      </c>
      <c r="R2389" t="s">
        <v>1135</v>
      </c>
      <c r="T2389" t="s">
        <v>38</v>
      </c>
      <c r="V2389" t="s">
        <v>921</v>
      </c>
      <c r="W2389" t="s">
        <v>81</v>
      </c>
      <c r="Z2389" t="s">
        <v>1357</v>
      </c>
      <c r="AA2389" t="s">
        <v>39</v>
      </c>
      <c r="AC2389" t="s">
        <v>1460</v>
      </c>
    </row>
    <row r="2390" spans="1:29" x14ac:dyDescent="0.25">
      <c r="A2390">
        <v>332</v>
      </c>
      <c r="B2390" t="s">
        <v>460</v>
      </c>
      <c r="C2390" t="s">
        <v>77</v>
      </c>
      <c r="D2390" t="s">
        <v>435</v>
      </c>
      <c r="E2390">
        <v>10</v>
      </c>
      <c r="F2390">
        <v>148</v>
      </c>
      <c r="G2390">
        <v>324</v>
      </c>
      <c r="H2390">
        <v>40</v>
      </c>
      <c r="I2390">
        <v>3.7</v>
      </c>
      <c r="J2390">
        <v>148.06</v>
      </c>
      <c r="K2390" t="s">
        <v>360</v>
      </c>
      <c r="L2390" t="s">
        <v>1459</v>
      </c>
      <c r="Q2390">
        <v>4</v>
      </c>
      <c r="R2390" t="s">
        <v>1135</v>
      </c>
      <c r="T2390" t="s">
        <v>38</v>
      </c>
      <c r="V2390" t="s">
        <v>921</v>
      </c>
      <c r="W2390" t="s">
        <v>81</v>
      </c>
      <c r="Z2390" t="s">
        <v>1357</v>
      </c>
      <c r="AA2390" t="s">
        <v>39</v>
      </c>
      <c r="AC2390" t="s">
        <v>1460</v>
      </c>
    </row>
    <row r="2391" spans="1:29" x14ac:dyDescent="0.25">
      <c r="A2391">
        <v>333</v>
      </c>
      <c r="B2391" t="s">
        <v>461</v>
      </c>
      <c r="C2391" t="s">
        <v>77</v>
      </c>
      <c r="D2391" t="s">
        <v>435</v>
      </c>
      <c r="E2391">
        <v>10</v>
      </c>
      <c r="F2391">
        <v>148</v>
      </c>
      <c r="G2391">
        <v>324</v>
      </c>
      <c r="H2391">
        <v>26</v>
      </c>
      <c r="I2391">
        <v>3.7</v>
      </c>
      <c r="J2391">
        <v>96.24</v>
      </c>
      <c r="K2391" t="s">
        <v>360</v>
      </c>
      <c r="L2391" t="s">
        <v>1459</v>
      </c>
      <c r="Q2391">
        <v>4</v>
      </c>
      <c r="R2391" t="s">
        <v>1135</v>
      </c>
      <c r="T2391" t="s">
        <v>38</v>
      </c>
      <c r="V2391" t="s">
        <v>921</v>
      </c>
      <c r="W2391" t="s">
        <v>81</v>
      </c>
      <c r="Z2391" t="s">
        <v>1357</v>
      </c>
      <c r="AA2391" t="s">
        <v>39</v>
      </c>
      <c r="AC2391" t="s">
        <v>1460</v>
      </c>
    </row>
    <row r="2392" spans="1:29" x14ac:dyDescent="0.25">
      <c r="A2392">
        <v>334</v>
      </c>
      <c r="B2392" t="s">
        <v>462</v>
      </c>
      <c r="C2392" t="s">
        <v>77</v>
      </c>
      <c r="D2392" t="s">
        <v>435</v>
      </c>
      <c r="E2392">
        <v>10</v>
      </c>
      <c r="F2392">
        <v>148</v>
      </c>
      <c r="G2392">
        <v>324</v>
      </c>
      <c r="H2392">
        <v>28</v>
      </c>
      <c r="I2392">
        <v>3.7</v>
      </c>
      <c r="J2392">
        <v>103.64</v>
      </c>
      <c r="K2392" t="s">
        <v>360</v>
      </c>
      <c r="L2392" t="s">
        <v>1459</v>
      </c>
      <c r="Q2392">
        <v>4</v>
      </c>
      <c r="R2392" t="s">
        <v>1135</v>
      </c>
      <c r="T2392" t="s">
        <v>38</v>
      </c>
      <c r="V2392" t="s">
        <v>921</v>
      </c>
      <c r="W2392" t="s">
        <v>81</v>
      </c>
      <c r="Z2392" t="s">
        <v>1357</v>
      </c>
      <c r="AA2392" t="s">
        <v>39</v>
      </c>
      <c r="AC2392" t="s">
        <v>1460</v>
      </c>
    </row>
    <row r="2393" spans="1:29" x14ac:dyDescent="0.25">
      <c r="A2393">
        <v>335</v>
      </c>
      <c r="B2393" t="s">
        <v>438</v>
      </c>
      <c r="C2393" t="s">
        <v>77</v>
      </c>
      <c r="D2393" t="s">
        <v>405</v>
      </c>
      <c r="E2393">
        <v>10</v>
      </c>
      <c r="F2393">
        <v>120</v>
      </c>
      <c r="G2393">
        <v>220</v>
      </c>
      <c r="H2393">
        <v>3</v>
      </c>
      <c r="I2393">
        <v>2.0099999999999998</v>
      </c>
      <c r="J2393">
        <v>6.04</v>
      </c>
      <c r="K2393" t="s">
        <v>360</v>
      </c>
      <c r="L2393" t="s">
        <v>1459</v>
      </c>
      <c r="N2393" t="s">
        <v>228</v>
      </c>
      <c r="Q2393">
        <v>4</v>
      </c>
      <c r="R2393" t="s">
        <v>1135</v>
      </c>
      <c r="T2393" t="s">
        <v>38</v>
      </c>
      <c r="V2393" t="s">
        <v>921</v>
      </c>
      <c r="W2393" t="s">
        <v>81</v>
      </c>
      <c r="Z2393" t="s">
        <v>1357</v>
      </c>
      <c r="AA2393" t="s">
        <v>39</v>
      </c>
      <c r="AC2393" t="s">
        <v>1460</v>
      </c>
    </row>
    <row r="2394" spans="1:29" x14ac:dyDescent="0.25">
      <c r="A2394">
        <v>336</v>
      </c>
      <c r="B2394" t="s">
        <v>447</v>
      </c>
      <c r="C2394" t="s">
        <v>77</v>
      </c>
      <c r="D2394" t="s">
        <v>435</v>
      </c>
      <c r="E2394">
        <v>10</v>
      </c>
      <c r="F2394">
        <v>148</v>
      </c>
      <c r="G2394">
        <v>324</v>
      </c>
      <c r="H2394">
        <v>40</v>
      </c>
      <c r="I2394">
        <v>3.7</v>
      </c>
      <c r="J2394">
        <v>148.06</v>
      </c>
      <c r="K2394" t="s">
        <v>360</v>
      </c>
      <c r="L2394" t="s">
        <v>1459</v>
      </c>
      <c r="Q2394">
        <v>4</v>
      </c>
      <c r="R2394" t="s">
        <v>1135</v>
      </c>
      <c r="T2394" t="s">
        <v>38</v>
      </c>
      <c r="V2394" t="s">
        <v>921</v>
      </c>
      <c r="W2394" t="s">
        <v>81</v>
      </c>
      <c r="Z2394" t="s">
        <v>1357</v>
      </c>
      <c r="AA2394" t="s">
        <v>39</v>
      </c>
      <c r="AC2394" t="s">
        <v>1460</v>
      </c>
    </row>
    <row r="2395" spans="1:29" x14ac:dyDescent="0.25">
      <c r="A2395">
        <v>337</v>
      </c>
      <c r="B2395" t="s">
        <v>463</v>
      </c>
      <c r="C2395" t="s">
        <v>77</v>
      </c>
      <c r="D2395" t="s">
        <v>440</v>
      </c>
      <c r="E2395">
        <v>10</v>
      </c>
      <c r="F2395">
        <v>350</v>
      </c>
      <c r="G2395">
        <v>4580</v>
      </c>
      <c r="H2395">
        <v>1</v>
      </c>
      <c r="I2395">
        <v>125.84</v>
      </c>
      <c r="J2395">
        <v>125.84</v>
      </c>
      <c r="K2395" t="s">
        <v>360</v>
      </c>
      <c r="L2395" t="s">
        <v>1459</v>
      </c>
      <c r="P2395" t="s">
        <v>81</v>
      </c>
      <c r="Q2395">
        <v>4</v>
      </c>
      <c r="R2395" t="s">
        <v>1135</v>
      </c>
      <c r="T2395" t="s">
        <v>38</v>
      </c>
      <c r="V2395" t="s">
        <v>921</v>
      </c>
      <c r="Y2395" t="s">
        <v>81</v>
      </c>
      <c r="Z2395" t="s">
        <v>1357</v>
      </c>
      <c r="AA2395" t="s">
        <v>39</v>
      </c>
      <c r="AC2395" t="s">
        <v>1460</v>
      </c>
    </row>
    <row r="2396" spans="1:29" x14ac:dyDescent="0.25">
      <c r="A2396">
        <v>338</v>
      </c>
      <c r="B2396" t="s">
        <v>464</v>
      </c>
      <c r="C2396" t="s">
        <v>77</v>
      </c>
      <c r="D2396" t="s">
        <v>450</v>
      </c>
      <c r="E2396">
        <v>10</v>
      </c>
      <c r="F2396">
        <v>350</v>
      </c>
      <c r="G2396">
        <v>4480</v>
      </c>
      <c r="H2396">
        <v>1</v>
      </c>
      <c r="I2396">
        <v>123.09</v>
      </c>
      <c r="J2396">
        <v>123.09</v>
      </c>
      <c r="K2396" t="s">
        <v>360</v>
      </c>
      <c r="L2396" t="s">
        <v>1459</v>
      </c>
      <c r="P2396" t="s">
        <v>81</v>
      </c>
      <c r="Q2396">
        <v>4</v>
      </c>
      <c r="R2396" t="s">
        <v>1135</v>
      </c>
      <c r="T2396" t="s">
        <v>38</v>
      </c>
      <c r="V2396" t="s">
        <v>921</v>
      </c>
      <c r="Y2396" t="s">
        <v>81</v>
      </c>
      <c r="Z2396" t="s">
        <v>1357</v>
      </c>
      <c r="AA2396" t="s">
        <v>39</v>
      </c>
      <c r="AC2396" t="s">
        <v>1460</v>
      </c>
    </row>
    <row r="2397" spans="1:29" x14ac:dyDescent="0.25">
      <c r="A2397">
        <v>339</v>
      </c>
      <c r="B2397" t="s">
        <v>419</v>
      </c>
      <c r="C2397" t="s">
        <v>77</v>
      </c>
      <c r="D2397" t="s">
        <v>420</v>
      </c>
      <c r="E2397">
        <v>10</v>
      </c>
      <c r="F2397">
        <v>200</v>
      </c>
      <c r="G2397">
        <v>3586</v>
      </c>
      <c r="H2397">
        <v>2</v>
      </c>
      <c r="I2397">
        <v>56.3</v>
      </c>
      <c r="J2397">
        <v>112.6</v>
      </c>
      <c r="K2397" t="s">
        <v>360</v>
      </c>
      <c r="L2397" t="s">
        <v>1459</v>
      </c>
      <c r="Q2397">
        <v>4</v>
      </c>
      <c r="R2397" t="s">
        <v>1135</v>
      </c>
      <c r="T2397" t="s">
        <v>38</v>
      </c>
      <c r="V2397" t="s">
        <v>921</v>
      </c>
      <c r="Y2397" t="s">
        <v>81</v>
      </c>
      <c r="Z2397" t="s">
        <v>1357</v>
      </c>
      <c r="AA2397" t="s">
        <v>39</v>
      </c>
      <c r="AC2397" t="s">
        <v>1460</v>
      </c>
    </row>
    <row r="2398" spans="1:29" x14ac:dyDescent="0.25">
      <c r="A2398">
        <v>340</v>
      </c>
      <c r="B2398" t="s">
        <v>421</v>
      </c>
      <c r="C2398" t="s">
        <v>77</v>
      </c>
      <c r="D2398" t="s">
        <v>422</v>
      </c>
      <c r="E2398">
        <v>10</v>
      </c>
      <c r="F2398">
        <v>230</v>
      </c>
      <c r="G2398">
        <v>3586</v>
      </c>
      <c r="H2398">
        <v>1</v>
      </c>
      <c r="I2398">
        <v>64.75</v>
      </c>
      <c r="J2398">
        <v>64.75</v>
      </c>
      <c r="K2398" t="s">
        <v>360</v>
      </c>
      <c r="L2398" t="s">
        <v>1459</v>
      </c>
      <c r="Q2398">
        <v>4</v>
      </c>
      <c r="R2398" t="s">
        <v>1135</v>
      </c>
      <c r="T2398" t="s">
        <v>38</v>
      </c>
      <c r="V2398" t="s">
        <v>921</v>
      </c>
      <c r="Y2398" t="s">
        <v>81</v>
      </c>
      <c r="Z2398" t="s">
        <v>1357</v>
      </c>
      <c r="AA2398" t="s">
        <v>39</v>
      </c>
      <c r="AC2398" t="s">
        <v>1460</v>
      </c>
    </row>
    <row r="2399" spans="1:29" x14ac:dyDescent="0.25">
      <c r="A2399">
        <v>341</v>
      </c>
      <c r="B2399" t="s">
        <v>456</v>
      </c>
      <c r="C2399" t="s">
        <v>77</v>
      </c>
      <c r="D2399" t="s">
        <v>457</v>
      </c>
      <c r="E2399">
        <v>10</v>
      </c>
      <c r="F2399">
        <v>70</v>
      </c>
      <c r="G2399">
        <v>120</v>
      </c>
      <c r="H2399">
        <v>2</v>
      </c>
      <c r="I2399">
        <v>0.63</v>
      </c>
      <c r="J2399">
        <v>1.26</v>
      </c>
      <c r="K2399" t="s">
        <v>1461</v>
      </c>
      <c r="L2399" t="s">
        <v>1462</v>
      </c>
      <c r="N2399" t="s">
        <v>228</v>
      </c>
      <c r="Q2399">
        <v>4</v>
      </c>
      <c r="R2399" t="s">
        <v>1135</v>
      </c>
      <c r="T2399" t="s">
        <v>38</v>
      </c>
      <c r="V2399" t="s">
        <v>921</v>
      </c>
      <c r="W2399" t="s">
        <v>81</v>
      </c>
      <c r="Z2399" t="s">
        <v>1357</v>
      </c>
      <c r="AA2399" t="s">
        <v>1463</v>
      </c>
      <c r="AC2399" t="s">
        <v>1464</v>
      </c>
    </row>
    <row r="2400" spans="1:29" x14ac:dyDescent="0.25">
      <c r="A2400">
        <v>342</v>
      </c>
      <c r="B2400" t="s">
        <v>459</v>
      </c>
      <c r="C2400" t="s">
        <v>77</v>
      </c>
      <c r="D2400" t="s">
        <v>402</v>
      </c>
      <c r="E2400">
        <v>10</v>
      </c>
      <c r="F2400">
        <v>80</v>
      </c>
      <c r="G2400">
        <v>120</v>
      </c>
      <c r="H2400">
        <v>3</v>
      </c>
      <c r="I2400">
        <v>0.72</v>
      </c>
      <c r="J2400">
        <v>2.17</v>
      </c>
      <c r="K2400" t="s">
        <v>1461</v>
      </c>
      <c r="L2400" t="s">
        <v>1462</v>
      </c>
      <c r="N2400" t="s">
        <v>228</v>
      </c>
      <c r="Q2400">
        <v>4</v>
      </c>
      <c r="R2400" t="s">
        <v>1135</v>
      </c>
      <c r="T2400" t="s">
        <v>38</v>
      </c>
      <c r="V2400" t="s">
        <v>921</v>
      </c>
      <c r="W2400" t="s">
        <v>81</v>
      </c>
      <c r="Z2400" t="s">
        <v>1357</v>
      </c>
      <c r="AA2400" t="s">
        <v>1463</v>
      </c>
      <c r="AC2400" t="s">
        <v>1464</v>
      </c>
    </row>
    <row r="2401" spans="1:29" x14ac:dyDescent="0.25">
      <c r="A2401">
        <v>343</v>
      </c>
      <c r="B2401" t="s">
        <v>467</v>
      </c>
      <c r="C2401" t="s">
        <v>77</v>
      </c>
      <c r="D2401" t="s">
        <v>405</v>
      </c>
      <c r="E2401">
        <v>10</v>
      </c>
      <c r="F2401">
        <v>120</v>
      </c>
      <c r="G2401">
        <v>220</v>
      </c>
      <c r="H2401">
        <v>7</v>
      </c>
      <c r="I2401">
        <v>2.0099999999999998</v>
      </c>
      <c r="J2401">
        <v>14.09</v>
      </c>
      <c r="K2401" t="s">
        <v>1461</v>
      </c>
      <c r="L2401" t="s">
        <v>1462</v>
      </c>
      <c r="N2401" t="s">
        <v>228</v>
      </c>
      <c r="Q2401">
        <v>4</v>
      </c>
      <c r="R2401" t="s">
        <v>1135</v>
      </c>
      <c r="T2401" t="s">
        <v>38</v>
      </c>
      <c r="V2401" t="s">
        <v>921</v>
      </c>
      <c r="W2401" t="s">
        <v>81</v>
      </c>
      <c r="Z2401" t="s">
        <v>1357</v>
      </c>
      <c r="AA2401" t="s">
        <v>1463</v>
      </c>
      <c r="AC2401" t="s">
        <v>1464</v>
      </c>
    </row>
    <row r="2402" spans="1:29" x14ac:dyDescent="0.25">
      <c r="A2402">
        <v>344</v>
      </c>
      <c r="B2402" t="s">
        <v>460</v>
      </c>
      <c r="C2402" t="s">
        <v>77</v>
      </c>
      <c r="D2402" t="s">
        <v>435</v>
      </c>
      <c r="E2402">
        <v>10</v>
      </c>
      <c r="F2402">
        <v>148</v>
      </c>
      <c r="G2402">
        <v>324</v>
      </c>
      <c r="H2402">
        <v>2</v>
      </c>
      <c r="I2402">
        <v>3.7</v>
      </c>
      <c r="J2402">
        <v>7.4</v>
      </c>
      <c r="K2402" t="s">
        <v>1461</v>
      </c>
      <c r="L2402" t="s">
        <v>1462</v>
      </c>
      <c r="Q2402">
        <v>4</v>
      </c>
      <c r="R2402" t="s">
        <v>1135</v>
      </c>
      <c r="T2402" t="s">
        <v>38</v>
      </c>
      <c r="V2402" t="s">
        <v>921</v>
      </c>
      <c r="W2402" t="s">
        <v>81</v>
      </c>
      <c r="Z2402" t="s">
        <v>1357</v>
      </c>
      <c r="AA2402" t="s">
        <v>1463</v>
      </c>
      <c r="AC2402" t="s">
        <v>1464</v>
      </c>
    </row>
    <row r="2403" spans="1:29" x14ac:dyDescent="0.25">
      <c r="A2403">
        <v>345</v>
      </c>
      <c r="B2403" t="s">
        <v>468</v>
      </c>
      <c r="C2403" t="s">
        <v>77</v>
      </c>
      <c r="D2403" t="s">
        <v>469</v>
      </c>
      <c r="E2403">
        <v>10</v>
      </c>
      <c r="F2403">
        <v>160</v>
      </c>
      <c r="G2403">
        <v>160</v>
      </c>
      <c r="H2403">
        <v>2</v>
      </c>
      <c r="I2403">
        <v>1.08</v>
      </c>
      <c r="J2403">
        <v>2.16</v>
      </c>
      <c r="K2403" t="s">
        <v>1461</v>
      </c>
      <c r="L2403" t="s">
        <v>1462</v>
      </c>
      <c r="N2403" t="s">
        <v>228</v>
      </c>
      <c r="Q2403">
        <v>4</v>
      </c>
      <c r="R2403" t="s">
        <v>1135</v>
      </c>
      <c r="T2403" t="s">
        <v>38</v>
      </c>
      <c r="V2403" t="s">
        <v>921</v>
      </c>
      <c r="X2403" t="s">
        <v>81</v>
      </c>
      <c r="Z2403" t="s">
        <v>1357</v>
      </c>
      <c r="AA2403" t="s">
        <v>1463</v>
      </c>
      <c r="AC2403" t="s">
        <v>1464</v>
      </c>
    </row>
    <row r="2404" spans="1:29" x14ac:dyDescent="0.25">
      <c r="A2404">
        <v>346</v>
      </c>
      <c r="B2404" t="s">
        <v>470</v>
      </c>
      <c r="C2404" t="s">
        <v>77</v>
      </c>
      <c r="D2404" t="s">
        <v>469</v>
      </c>
      <c r="E2404">
        <v>10</v>
      </c>
      <c r="F2404">
        <v>160</v>
      </c>
      <c r="G2404">
        <v>160</v>
      </c>
      <c r="H2404">
        <v>4</v>
      </c>
      <c r="I2404">
        <v>1.08</v>
      </c>
      <c r="J2404">
        <v>4.32</v>
      </c>
      <c r="K2404" t="s">
        <v>1461</v>
      </c>
      <c r="L2404" t="s">
        <v>1462</v>
      </c>
      <c r="N2404" t="s">
        <v>228</v>
      </c>
      <c r="Q2404">
        <v>4</v>
      </c>
      <c r="R2404" t="s">
        <v>1135</v>
      </c>
      <c r="T2404" t="s">
        <v>38</v>
      </c>
      <c r="V2404" t="s">
        <v>921</v>
      </c>
      <c r="X2404" t="s">
        <v>81</v>
      </c>
      <c r="Z2404" t="s">
        <v>1357</v>
      </c>
      <c r="AA2404" t="s">
        <v>1463</v>
      </c>
      <c r="AC2404" t="s">
        <v>1464</v>
      </c>
    </row>
    <row r="2405" spans="1:29" x14ac:dyDescent="0.25">
      <c r="A2405">
        <v>347</v>
      </c>
      <c r="B2405" t="s">
        <v>471</v>
      </c>
      <c r="C2405" t="s">
        <v>77</v>
      </c>
      <c r="D2405" t="s">
        <v>469</v>
      </c>
      <c r="E2405">
        <v>10</v>
      </c>
      <c r="F2405">
        <v>160</v>
      </c>
      <c r="G2405">
        <v>160</v>
      </c>
      <c r="H2405">
        <v>2</v>
      </c>
      <c r="I2405">
        <v>1.08</v>
      </c>
      <c r="J2405">
        <v>2.16</v>
      </c>
      <c r="K2405" t="s">
        <v>1461</v>
      </c>
      <c r="L2405" t="s">
        <v>1462</v>
      </c>
      <c r="N2405" t="s">
        <v>228</v>
      </c>
      <c r="Q2405">
        <v>4</v>
      </c>
      <c r="R2405" t="s">
        <v>1135</v>
      </c>
      <c r="T2405" t="s">
        <v>38</v>
      </c>
      <c r="V2405" t="s">
        <v>921</v>
      </c>
      <c r="X2405" t="s">
        <v>81</v>
      </c>
      <c r="Z2405" t="s">
        <v>1357</v>
      </c>
      <c r="AA2405" t="s">
        <v>1463</v>
      </c>
      <c r="AC2405" t="s">
        <v>1464</v>
      </c>
    </row>
    <row r="2406" spans="1:29" x14ac:dyDescent="0.25">
      <c r="A2406">
        <v>348</v>
      </c>
      <c r="B2406" t="s">
        <v>472</v>
      </c>
      <c r="C2406" t="s">
        <v>77</v>
      </c>
      <c r="D2406" t="s">
        <v>469</v>
      </c>
      <c r="E2406">
        <v>10</v>
      </c>
      <c r="F2406">
        <v>160</v>
      </c>
      <c r="G2406">
        <v>160</v>
      </c>
      <c r="H2406">
        <v>4</v>
      </c>
      <c r="I2406">
        <v>1.08</v>
      </c>
      <c r="J2406">
        <v>4.32</v>
      </c>
      <c r="K2406" t="s">
        <v>1461</v>
      </c>
      <c r="L2406" t="s">
        <v>1462</v>
      </c>
      <c r="N2406" t="s">
        <v>228</v>
      </c>
      <c r="Q2406">
        <v>4</v>
      </c>
      <c r="R2406" t="s">
        <v>1135</v>
      </c>
      <c r="T2406" t="s">
        <v>38</v>
      </c>
      <c r="V2406" t="s">
        <v>921</v>
      </c>
      <c r="X2406" t="s">
        <v>81</v>
      </c>
      <c r="Z2406" t="s">
        <v>1357</v>
      </c>
      <c r="AA2406" t="s">
        <v>1463</v>
      </c>
      <c r="AC2406" t="s">
        <v>1464</v>
      </c>
    </row>
    <row r="2407" spans="1:29" x14ac:dyDescent="0.25">
      <c r="A2407">
        <v>349</v>
      </c>
      <c r="B2407" t="s">
        <v>473</v>
      </c>
      <c r="C2407" t="s">
        <v>77</v>
      </c>
      <c r="D2407" t="s">
        <v>474</v>
      </c>
      <c r="E2407">
        <v>12</v>
      </c>
      <c r="F2407">
        <v>220</v>
      </c>
      <c r="G2407">
        <v>12000</v>
      </c>
      <c r="H2407">
        <v>2</v>
      </c>
      <c r="I2407">
        <v>248.69</v>
      </c>
      <c r="J2407">
        <v>497.38</v>
      </c>
      <c r="K2407" t="s">
        <v>475</v>
      </c>
      <c r="L2407" t="s">
        <v>1465</v>
      </c>
      <c r="O2407" t="s">
        <v>81</v>
      </c>
      <c r="Q2407">
        <v>4</v>
      </c>
      <c r="R2407" t="s">
        <v>1135</v>
      </c>
      <c r="T2407" t="s">
        <v>38</v>
      </c>
      <c r="V2407" t="s">
        <v>921</v>
      </c>
      <c r="Y2407" t="s">
        <v>81</v>
      </c>
      <c r="Z2407" t="s">
        <v>1357</v>
      </c>
      <c r="AA2407" t="s">
        <v>39</v>
      </c>
      <c r="AC2407" t="s">
        <v>1466</v>
      </c>
    </row>
    <row r="2408" spans="1:29" x14ac:dyDescent="0.25">
      <c r="A2408">
        <v>350</v>
      </c>
      <c r="B2408" t="s">
        <v>478</v>
      </c>
      <c r="C2408" t="s">
        <v>77</v>
      </c>
      <c r="D2408" t="s">
        <v>474</v>
      </c>
      <c r="E2408">
        <v>12</v>
      </c>
      <c r="F2408">
        <v>220</v>
      </c>
      <c r="G2408">
        <v>12000</v>
      </c>
      <c r="H2408">
        <v>2</v>
      </c>
      <c r="I2408">
        <v>248.69</v>
      </c>
      <c r="J2408">
        <v>497.38</v>
      </c>
      <c r="K2408" t="s">
        <v>475</v>
      </c>
      <c r="L2408" t="s">
        <v>1465</v>
      </c>
      <c r="O2408" t="s">
        <v>81</v>
      </c>
      <c r="Q2408">
        <v>4</v>
      </c>
      <c r="R2408" t="s">
        <v>1135</v>
      </c>
      <c r="T2408" t="s">
        <v>38</v>
      </c>
      <c r="V2408" t="s">
        <v>921</v>
      </c>
      <c r="Y2408" t="s">
        <v>81</v>
      </c>
      <c r="Z2408" t="s">
        <v>1357</v>
      </c>
      <c r="AA2408" t="s">
        <v>39</v>
      </c>
      <c r="AC2408" t="s">
        <v>1466</v>
      </c>
    </row>
    <row r="2409" spans="1:29" x14ac:dyDescent="0.25">
      <c r="A2409">
        <v>351</v>
      </c>
      <c r="B2409" t="s">
        <v>479</v>
      </c>
      <c r="C2409" t="s">
        <v>77</v>
      </c>
      <c r="D2409" t="s">
        <v>474</v>
      </c>
      <c r="E2409">
        <v>12</v>
      </c>
      <c r="F2409">
        <v>220</v>
      </c>
      <c r="G2409">
        <v>12000</v>
      </c>
      <c r="H2409">
        <v>2</v>
      </c>
      <c r="I2409">
        <v>248.69</v>
      </c>
      <c r="J2409">
        <v>497.38</v>
      </c>
      <c r="K2409" t="s">
        <v>475</v>
      </c>
      <c r="L2409" t="s">
        <v>1465</v>
      </c>
      <c r="O2409" t="s">
        <v>81</v>
      </c>
      <c r="Q2409">
        <v>4</v>
      </c>
      <c r="R2409" t="s">
        <v>1135</v>
      </c>
      <c r="T2409" t="s">
        <v>38</v>
      </c>
      <c r="V2409" t="s">
        <v>921</v>
      </c>
      <c r="Y2409" t="s">
        <v>81</v>
      </c>
      <c r="Z2409" t="s">
        <v>1357</v>
      </c>
      <c r="AA2409" t="s">
        <v>39</v>
      </c>
      <c r="AC2409" t="s">
        <v>1466</v>
      </c>
    </row>
    <row r="2410" spans="1:29" x14ac:dyDescent="0.25">
      <c r="A2410">
        <v>352</v>
      </c>
      <c r="B2410" t="s">
        <v>480</v>
      </c>
      <c r="C2410" t="s">
        <v>77</v>
      </c>
      <c r="D2410" t="s">
        <v>481</v>
      </c>
      <c r="E2410">
        <v>12</v>
      </c>
      <c r="F2410">
        <v>220</v>
      </c>
      <c r="G2410">
        <v>11989</v>
      </c>
      <c r="H2410">
        <v>2</v>
      </c>
      <c r="I2410">
        <v>248.46</v>
      </c>
      <c r="J2410">
        <v>496.92</v>
      </c>
      <c r="K2410" t="s">
        <v>475</v>
      </c>
      <c r="L2410" t="s">
        <v>1467</v>
      </c>
      <c r="O2410" t="s">
        <v>81</v>
      </c>
      <c r="Q2410">
        <v>4</v>
      </c>
      <c r="R2410" t="s">
        <v>1135</v>
      </c>
      <c r="T2410" t="s">
        <v>38</v>
      </c>
      <c r="V2410" t="s">
        <v>921</v>
      </c>
      <c r="Y2410" t="s">
        <v>81</v>
      </c>
      <c r="Z2410" t="s">
        <v>1357</v>
      </c>
      <c r="AA2410" t="s">
        <v>39</v>
      </c>
      <c r="AC2410" t="s">
        <v>1468</v>
      </c>
    </row>
    <row r="2411" spans="1:29" x14ac:dyDescent="0.25">
      <c r="A2411">
        <v>353</v>
      </c>
      <c r="B2411" t="s">
        <v>484</v>
      </c>
      <c r="C2411" t="s">
        <v>77</v>
      </c>
      <c r="D2411" t="s">
        <v>474</v>
      </c>
      <c r="E2411">
        <v>12</v>
      </c>
      <c r="F2411">
        <v>220</v>
      </c>
      <c r="G2411">
        <v>12000</v>
      </c>
      <c r="H2411">
        <v>2</v>
      </c>
      <c r="I2411">
        <v>248.7</v>
      </c>
      <c r="J2411">
        <v>497.39</v>
      </c>
      <c r="K2411" t="s">
        <v>475</v>
      </c>
      <c r="L2411" t="s">
        <v>1467</v>
      </c>
      <c r="O2411" t="s">
        <v>81</v>
      </c>
      <c r="Q2411">
        <v>4</v>
      </c>
      <c r="R2411" t="s">
        <v>1135</v>
      </c>
      <c r="T2411" t="s">
        <v>38</v>
      </c>
      <c r="V2411" t="s">
        <v>921</v>
      </c>
      <c r="Y2411" t="s">
        <v>81</v>
      </c>
      <c r="Z2411" t="s">
        <v>1357</v>
      </c>
      <c r="AA2411" t="s">
        <v>39</v>
      </c>
      <c r="AC2411" t="s">
        <v>1468</v>
      </c>
    </row>
    <row r="2412" spans="1:29" x14ac:dyDescent="0.25">
      <c r="A2412">
        <v>354</v>
      </c>
      <c r="B2412" t="s">
        <v>485</v>
      </c>
      <c r="C2412" t="s">
        <v>77</v>
      </c>
      <c r="D2412" t="s">
        <v>481</v>
      </c>
      <c r="E2412">
        <v>12</v>
      </c>
      <c r="F2412">
        <v>220</v>
      </c>
      <c r="G2412">
        <v>11989</v>
      </c>
      <c r="H2412">
        <v>2</v>
      </c>
      <c r="I2412">
        <v>248.46</v>
      </c>
      <c r="J2412">
        <v>496.92</v>
      </c>
      <c r="K2412" t="s">
        <v>475</v>
      </c>
      <c r="L2412" t="s">
        <v>1467</v>
      </c>
      <c r="O2412" t="s">
        <v>81</v>
      </c>
      <c r="Q2412">
        <v>4</v>
      </c>
      <c r="R2412" t="s">
        <v>1135</v>
      </c>
      <c r="T2412" t="s">
        <v>38</v>
      </c>
      <c r="V2412" t="s">
        <v>921</v>
      </c>
      <c r="Y2412" t="s">
        <v>81</v>
      </c>
      <c r="Z2412" t="s">
        <v>1357</v>
      </c>
      <c r="AA2412" t="s">
        <v>39</v>
      </c>
      <c r="AC2412" t="s">
        <v>1468</v>
      </c>
    </row>
    <row r="2413" spans="1:29" x14ac:dyDescent="0.25">
      <c r="A2413">
        <v>355</v>
      </c>
      <c r="B2413" t="s">
        <v>486</v>
      </c>
      <c r="C2413" t="s">
        <v>77</v>
      </c>
      <c r="D2413" t="s">
        <v>487</v>
      </c>
      <c r="E2413">
        <v>12</v>
      </c>
      <c r="F2413">
        <v>220</v>
      </c>
      <c r="G2413">
        <v>7562</v>
      </c>
      <c r="H2413">
        <v>2</v>
      </c>
      <c r="I2413">
        <v>156.72</v>
      </c>
      <c r="J2413">
        <v>313.44</v>
      </c>
      <c r="K2413" t="s">
        <v>475</v>
      </c>
      <c r="L2413" t="s">
        <v>1469</v>
      </c>
      <c r="O2413" t="s">
        <v>81</v>
      </c>
      <c r="Q2413">
        <v>4</v>
      </c>
      <c r="R2413" t="s">
        <v>1135</v>
      </c>
      <c r="T2413" t="s">
        <v>38</v>
      </c>
      <c r="V2413" t="s">
        <v>921</v>
      </c>
      <c r="Y2413" t="s">
        <v>81</v>
      </c>
      <c r="Z2413" t="s">
        <v>1357</v>
      </c>
      <c r="AA2413" t="s">
        <v>39</v>
      </c>
      <c r="AC2413" t="s">
        <v>1470</v>
      </c>
    </row>
    <row r="2414" spans="1:29" x14ac:dyDescent="0.25">
      <c r="A2414">
        <v>356</v>
      </c>
      <c r="B2414" t="s">
        <v>490</v>
      </c>
      <c r="C2414" t="s">
        <v>77</v>
      </c>
      <c r="D2414" t="s">
        <v>491</v>
      </c>
      <c r="E2414">
        <v>12</v>
      </c>
      <c r="F2414">
        <v>220</v>
      </c>
      <c r="G2414">
        <v>7565</v>
      </c>
      <c r="H2414">
        <v>2</v>
      </c>
      <c r="I2414">
        <v>156.78</v>
      </c>
      <c r="J2414">
        <v>313.56</v>
      </c>
      <c r="K2414" t="s">
        <v>475</v>
      </c>
      <c r="L2414" t="s">
        <v>1469</v>
      </c>
      <c r="O2414" t="s">
        <v>81</v>
      </c>
      <c r="Q2414">
        <v>4</v>
      </c>
      <c r="R2414" t="s">
        <v>1135</v>
      </c>
      <c r="T2414" t="s">
        <v>38</v>
      </c>
      <c r="V2414" t="s">
        <v>921</v>
      </c>
      <c r="Y2414" t="s">
        <v>81</v>
      </c>
      <c r="Z2414" t="s">
        <v>1357</v>
      </c>
      <c r="AA2414" t="s">
        <v>39</v>
      </c>
      <c r="AC2414" t="s">
        <v>1470</v>
      </c>
    </row>
    <row r="2415" spans="1:29" x14ac:dyDescent="0.25">
      <c r="A2415">
        <v>357</v>
      </c>
      <c r="B2415" t="s">
        <v>492</v>
      </c>
      <c r="C2415" t="s">
        <v>77</v>
      </c>
      <c r="D2415" t="s">
        <v>493</v>
      </c>
      <c r="E2415">
        <v>12</v>
      </c>
      <c r="F2415">
        <v>220</v>
      </c>
      <c r="G2415">
        <v>7561</v>
      </c>
      <c r="H2415">
        <v>2</v>
      </c>
      <c r="I2415">
        <v>156.69999999999999</v>
      </c>
      <c r="J2415">
        <v>313.39</v>
      </c>
      <c r="K2415" t="s">
        <v>475</v>
      </c>
      <c r="L2415" t="s">
        <v>1469</v>
      </c>
      <c r="O2415" t="s">
        <v>81</v>
      </c>
      <c r="Q2415">
        <v>4</v>
      </c>
      <c r="R2415" t="s">
        <v>1135</v>
      </c>
      <c r="T2415" t="s">
        <v>38</v>
      </c>
      <c r="V2415" t="s">
        <v>921</v>
      </c>
      <c r="Y2415" t="s">
        <v>81</v>
      </c>
      <c r="Z2415" t="s">
        <v>1357</v>
      </c>
      <c r="AA2415" t="s">
        <v>39</v>
      </c>
      <c r="AC2415" t="s">
        <v>1470</v>
      </c>
    </row>
    <row r="2416" spans="1:29" x14ac:dyDescent="0.25">
      <c r="A2416">
        <v>358</v>
      </c>
      <c r="B2416" t="s">
        <v>494</v>
      </c>
      <c r="C2416" t="s">
        <v>77</v>
      </c>
      <c r="D2416" t="s">
        <v>495</v>
      </c>
      <c r="E2416">
        <v>12</v>
      </c>
      <c r="F2416">
        <v>220</v>
      </c>
      <c r="G2416">
        <v>11993</v>
      </c>
      <c r="H2416">
        <v>2</v>
      </c>
      <c r="I2416">
        <v>248.54</v>
      </c>
      <c r="J2416">
        <v>497.09</v>
      </c>
      <c r="K2416" t="s">
        <v>475</v>
      </c>
      <c r="L2416" t="s">
        <v>1471</v>
      </c>
      <c r="O2416" t="s">
        <v>81</v>
      </c>
      <c r="Q2416">
        <v>4</v>
      </c>
      <c r="R2416" t="s">
        <v>1135</v>
      </c>
      <c r="T2416" t="s">
        <v>38</v>
      </c>
      <c r="V2416" t="s">
        <v>921</v>
      </c>
      <c r="Y2416" t="s">
        <v>81</v>
      </c>
      <c r="Z2416" t="s">
        <v>1357</v>
      </c>
      <c r="AA2416" t="s">
        <v>39</v>
      </c>
      <c r="AC2416" t="s">
        <v>1472</v>
      </c>
    </row>
    <row r="2417" spans="1:29" x14ac:dyDescent="0.25">
      <c r="A2417">
        <v>359</v>
      </c>
      <c r="B2417" t="s">
        <v>498</v>
      </c>
      <c r="C2417" t="s">
        <v>77</v>
      </c>
      <c r="D2417" t="s">
        <v>499</v>
      </c>
      <c r="E2417">
        <v>12</v>
      </c>
      <c r="F2417">
        <v>220</v>
      </c>
      <c r="G2417">
        <v>11991</v>
      </c>
      <c r="H2417">
        <v>2</v>
      </c>
      <c r="I2417">
        <v>248.5</v>
      </c>
      <c r="J2417">
        <v>497</v>
      </c>
      <c r="K2417" t="s">
        <v>475</v>
      </c>
      <c r="L2417" t="s">
        <v>1471</v>
      </c>
      <c r="O2417" t="s">
        <v>81</v>
      </c>
      <c r="Q2417">
        <v>4</v>
      </c>
      <c r="R2417" t="s">
        <v>1135</v>
      </c>
      <c r="T2417" t="s">
        <v>38</v>
      </c>
      <c r="V2417" t="s">
        <v>921</v>
      </c>
      <c r="Y2417" t="s">
        <v>81</v>
      </c>
      <c r="Z2417" t="s">
        <v>1357</v>
      </c>
      <c r="AA2417" t="s">
        <v>39</v>
      </c>
      <c r="AC2417" t="s">
        <v>1472</v>
      </c>
    </row>
    <row r="2418" spans="1:29" x14ac:dyDescent="0.25">
      <c r="A2418">
        <v>360</v>
      </c>
      <c r="B2418" t="s">
        <v>500</v>
      </c>
      <c r="C2418" t="s">
        <v>77</v>
      </c>
      <c r="D2418" t="s">
        <v>495</v>
      </c>
      <c r="E2418">
        <v>12</v>
      </c>
      <c r="F2418">
        <v>220</v>
      </c>
      <c r="G2418">
        <v>11993</v>
      </c>
      <c r="H2418">
        <v>2</v>
      </c>
      <c r="I2418">
        <v>248.54</v>
      </c>
      <c r="J2418">
        <v>497.09</v>
      </c>
      <c r="K2418" t="s">
        <v>475</v>
      </c>
      <c r="L2418" t="s">
        <v>1471</v>
      </c>
      <c r="O2418" t="s">
        <v>81</v>
      </c>
      <c r="Q2418">
        <v>4</v>
      </c>
      <c r="R2418" t="s">
        <v>1135</v>
      </c>
      <c r="T2418" t="s">
        <v>38</v>
      </c>
      <c r="V2418" t="s">
        <v>921</v>
      </c>
      <c r="Y2418" t="s">
        <v>81</v>
      </c>
      <c r="Z2418" t="s">
        <v>1357</v>
      </c>
      <c r="AA2418" t="s">
        <v>39</v>
      </c>
      <c r="AC2418" t="s">
        <v>1472</v>
      </c>
    </row>
    <row r="2419" spans="1:29" x14ac:dyDescent="0.25">
      <c r="A2419">
        <v>361</v>
      </c>
      <c r="B2419" t="s">
        <v>501</v>
      </c>
      <c r="C2419" t="s">
        <v>77</v>
      </c>
      <c r="D2419" t="s">
        <v>499</v>
      </c>
      <c r="E2419">
        <v>12</v>
      </c>
      <c r="F2419">
        <v>220</v>
      </c>
      <c r="G2419">
        <v>11991</v>
      </c>
      <c r="H2419">
        <v>2</v>
      </c>
      <c r="I2419">
        <v>248.5</v>
      </c>
      <c r="J2419">
        <v>497</v>
      </c>
      <c r="K2419" t="s">
        <v>475</v>
      </c>
      <c r="L2419" t="s">
        <v>1473</v>
      </c>
      <c r="O2419" t="s">
        <v>81</v>
      </c>
      <c r="Q2419">
        <v>4</v>
      </c>
      <c r="R2419" t="s">
        <v>1135</v>
      </c>
      <c r="T2419" t="s">
        <v>38</v>
      </c>
      <c r="V2419" t="s">
        <v>921</v>
      </c>
      <c r="Y2419" t="s">
        <v>81</v>
      </c>
      <c r="Z2419" t="s">
        <v>1357</v>
      </c>
      <c r="AA2419" t="s">
        <v>39</v>
      </c>
      <c r="AC2419" t="s">
        <v>1474</v>
      </c>
    </row>
    <row r="2420" spans="1:29" x14ac:dyDescent="0.25">
      <c r="A2420">
        <v>362</v>
      </c>
      <c r="B2420" t="s">
        <v>504</v>
      </c>
      <c r="C2420" t="s">
        <v>77</v>
      </c>
      <c r="D2420" t="s">
        <v>499</v>
      </c>
      <c r="E2420">
        <v>12</v>
      </c>
      <c r="F2420">
        <v>220</v>
      </c>
      <c r="G2420">
        <v>11991</v>
      </c>
      <c r="H2420">
        <v>2</v>
      </c>
      <c r="I2420">
        <v>248.5</v>
      </c>
      <c r="J2420">
        <v>497</v>
      </c>
      <c r="K2420" t="s">
        <v>475</v>
      </c>
      <c r="L2420" t="s">
        <v>1473</v>
      </c>
      <c r="O2420" t="s">
        <v>81</v>
      </c>
      <c r="Q2420">
        <v>4</v>
      </c>
      <c r="R2420" t="s">
        <v>1135</v>
      </c>
      <c r="T2420" t="s">
        <v>38</v>
      </c>
      <c r="V2420" t="s">
        <v>921</v>
      </c>
      <c r="Y2420" t="s">
        <v>81</v>
      </c>
      <c r="Z2420" t="s">
        <v>1357</v>
      </c>
      <c r="AA2420" t="s">
        <v>39</v>
      </c>
      <c r="AC2420" t="s">
        <v>1474</v>
      </c>
    </row>
    <row r="2421" spans="1:29" x14ac:dyDescent="0.25">
      <c r="A2421">
        <v>363</v>
      </c>
      <c r="B2421" t="s">
        <v>505</v>
      </c>
      <c r="C2421" t="s">
        <v>77</v>
      </c>
      <c r="D2421" t="s">
        <v>499</v>
      </c>
      <c r="E2421">
        <v>12</v>
      </c>
      <c r="F2421">
        <v>220</v>
      </c>
      <c r="G2421">
        <v>11991</v>
      </c>
      <c r="H2421">
        <v>2</v>
      </c>
      <c r="I2421">
        <v>248.5</v>
      </c>
      <c r="J2421">
        <v>497</v>
      </c>
      <c r="K2421" t="s">
        <v>475</v>
      </c>
      <c r="L2421" t="s">
        <v>1473</v>
      </c>
      <c r="O2421" t="s">
        <v>81</v>
      </c>
      <c r="Q2421">
        <v>4</v>
      </c>
      <c r="R2421" t="s">
        <v>1135</v>
      </c>
      <c r="T2421" t="s">
        <v>38</v>
      </c>
      <c r="V2421" t="s">
        <v>921</v>
      </c>
      <c r="Y2421" t="s">
        <v>81</v>
      </c>
      <c r="Z2421" t="s">
        <v>1357</v>
      </c>
      <c r="AA2421" t="s">
        <v>39</v>
      </c>
      <c r="AC2421" t="s">
        <v>1474</v>
      </c>
    </row>
    <row r="2422" spans="1:29" x14ac:dyDescent="0.25">
      <c r="A2422">
        <v>364</v>
      </c>
      <c r="B2422" t="s">
        <v>506</v>
      </c>
      <c r="C2422" t="s">
        <v>77</v>
      </c>
      <c r="D2422" t="s">
        <v>507</v>
      </c>
      <c r="E2422">
        <v>12</v>
      </c>
      <c r="F2422">
        <v>220</v>
      </c>
      <c r="G2422">
        <v>7564</v>
      </c>
      <c r="H2422">
        <v>2</v>
      </c>
      <c r="I2422">
        <v>156.76</v>
      </c>
      <c r="J2422">
        <v>313.51</v>
      </c>
      <c r="K2422" t="s">
        <v>475</v>
      </c>
      <c r="L2422" t="s">
        <v>1475</v>
      </c>
      <c r="O2422" t="s">
        <v>81</v>
      </c>
      <c r="Q2422">
        <v>4</v>
      </c>
      <c r="R2422" t="s">
        <v>1135</v>
      </c>
      <c r="T2422" t="s">
        <v>38</v>
      </c>
      <c r="V2422" t="s">
        <v>921</v>
      </c>
      <c r="Y2422" t="s">
        <v>81</v>
      </c>
      <c r="Z2422" t="s">
        <v>1357</v>
      </c>
      <c r="AA2422" t="s">
        <v>39</v>
      </c>
      <c r="AC2422" t="s">
        <v>1476</v>
      </c>
    </row>
    <row r="2423" spans="1:29" x14ac:dyDescent="0.25">
      <c r="A2423">
        <v>365</v>
      </c>
      <c r="B2423" t="s">
        <v>510</v>
      </c>
      <c r="C2423" t="s">
        <v>77</v>
      </c>
      <c r="D2423" t="s">
        <v>511</v>
      </c>
      <c r="E2423">
        <v>16</v>
      </c>
      <c r="F2423">
        <v>50</v>
      </c>
      <c r="G2423">
        <v>120</v>
      </c>
      <c r="H2423">
        <v>16</v>
      </c>
      <c r="I2423">
        <v>0.7</v>
      </c>
      <c r="J2423">
        <v>11.15</v>
      </c>
      <c r="K2423" t="s">
        <v>512</v>
      </c>
      <c r="L2423" t="s">
        <v>1477</v>
      </c>
      <c r="N2423" t="s">
        <v>228</v>
      </c>
      <c r="Q2423">
        <v>4</v>
      </c>
      <c r="R2423" t="s">
        <v>1135</v>
      </c>
      <c r="T2423" t="s">
        <v>38</v>
      </c>
      <c r="V2423" t="s">
        <v>921</v>
      </c>
      <c r="X2423" t="s">
        <v>81</v>
      </c>
      <c r="Z2423" t="s">
        <v>1357</v>
      </c>
      <c r="AA2423" t="s">
        <v>39</v>
      </c>
      <c r="AC2423" t="s">
        <v>1478</v>
      </c>
    </row>
    <row r="2424" spans="1:29" x14ac:dyDescent="0.25">
      <c r="A2424">
        <v>366</v>
      </c>
      <c r="B2424" t="s">
        <v>515</v>
      </c>
      <c r="C2424" t="s">
        <v>77</v>
      </c>
      <c r="D2424" t="s">
        <v>516</v>
      </c>
      <c r="E2424">
        <v>16</v>
      </c>
      <c r="F2424">
        <v>220</v>
      </c>
      <c r="G2424">
        <v>280</v>
      </c>
      <c r="H2424">
        <v>4</v>
      </c>
      <c r="I2424">
        <v>7.71</v>
      </c>
      <c r="J2424">
        <v>30.85</v>
      </c>
      <c r="K2424" t="s">
        <v>512</v>
      </c>
      <c r="L2424" t="s">
        <v>1477</v>
      </c>
      <c r="Q2424">
        <v>4</v>
      </c>
      <c r="R2424" t="s">
        <v>1135</v>
      </c>
      <c r="T2424" t="s">
        <v>38</v>
      </c>
      <c r="V2424" t="s">
        <v>921</v>
      </c>
      <c r="W2424" t="s">
        <v>81</v>
      </c>
      <c r="Z2424" t="s">
        <v>1357</v>
      </c>
      <c r="AA2424" t="s">
        <v>39</v>
      </c>
      <c r="AC2424" t="s">
        <v>1478</v>
      </c>
    </row>
    <row r="2425" spans="1:29" x14ac:dyDescent="0.25">
      <c r="A2425">
        <v>367</v>
      </c>
      <c r="B2425" t="s">
        <v>517</v>
      </c>
      <c r="C2425" t="s">
        <v>77</v>
      </c>
      <c r="D2425" t="s">
        <v>518</v>
      </c>
      <c r="E2425">
        <v>16</v>
      </c>
      <c r="F2425">
        <v>200</v>
      </c>
      <c r="G2425">
        <v>300</v>
      </c>
      <c r="H2425">
        <v>2</v>
      </c>
      <c r="I2425">
        <v>4.8600000000000003</v>
      </c>
      <c r="J2425">
        <v>9.73</v>
      </c>
      <c r="K2425" t="s">
        <v>512</v>
      </c>
      <c r="L2425" t="s">
        <v>1477</v>
      </c>
      <c r="Q2425">
        <v>4</v>
      </c>
      <c r="R2425" t="s">
        <v>1135</v>
      </c>
      <c r="T2425" t="s">
        <v>38</v>
      </c>
      <c r="V2425" t="s">
        <v>921</v>
      </c>
      <c r="W2425" t="s">
        <v>81</v>
      </c>
      <c r="Z2425" t="s">
        <v>1357</v>
      </c>
      <c r="AA2425" t="s">
        <v>39</v>
      </c>
      <c r="AC2425" t="s">
        <v>1478</v>
      </c>
    </row>
    <row r="2426" spans="1:29" x14ac:dyDescent="0.25">
      <c r="A2426">
        <v>368</v>
      </c>
      <c r="B2426" t="s">
        <v>519</v>
      </c>
      <c r="C2426" t="s">
        <v>77</v>
      </c>
      <c r="D2426" t="s">
        <v>518</v>
      </c>
      <c r="E2426">
        <v>16</v>
      </c>
      <c r="F2426">
        <v>200</v>
      </c>
      <c r="G2426">
        <v>300</v>
      </c>
      <c r="H2426">
        <v>2</v>
      </c>
      <c r="I2426">
        <v>4.8600000000000003</v>
      </c>
      <c r="J2426">
        <v>9.73</v>
      </c>
      <c r="K2426" t="s">
        <v>512</v>
      </c>
      <c r="L2426" t="s">
        <v>1477</v>
      </c>
      <c r="Q2426">
        <v>4</v>
      </c>
      <c r="R2426" t="s">
        <v>1135</v>
      </c>
      <c r="T2426" t="s">
        <v>38</v>
      </c>
      <c r="V2426" t="s">
        <v>921</v>
      </c>
      <c r="W2426" t="s">
        <v>81</v>
      </c>
      <c r="Z2426" t="s">
        <v>1357</v>
      </c>
      <c r="AA2426" t="s">
        <v>39</v>
      </c>
      <c r="AC2426" t="s">
        <v>1478</v>
      </c>
    </row>
    <row r="2427" spans="1:29" x14ac:dyDescent="0.25">
      <c r="A2427">
        <v>369</v>
      </c>
      <c r="B2427" t="s">
        <v>520</v>
      </c>
      <c r="C2427" t="s">
        <v>77</v>
      </c>
      <c r="D2427" t="s">
        <v>521</v>
      </c>
      <c r="E2427">
        <v>16</v>
      </c>
      <c r="F2427">
        <v>275</v>
      </c>
      <c r="G2427">
        <v>12000</v>
      </c>
      <c r="H2427">
        <v>1</v>
      </c>
      <c r="I2427">
        <v>414.49</v>
      </c>
      <c r="J2427">
        <v>414.49</v>
      </c>
      <c r="K2427" t="s">
        <v>512</v>
      </c>
      <c r="L2427" t="s">
        <v>1477</v>
      </c>
      <c r="O2427" t="s">
        <v>81</v>
      </c>
      <c r="Q2427">
        <v>4</v>
      </c>
      <c r="R2427" t="s">
        <v>1135</v>
      </c>
      <c r="T2427" t="s">
        <v>38</v>
      </c>
      <c r="V2427" t="s">
        <v>921</v>
      </c>
      <c r="Y2427" t="s">
        <v>81</v>
      </c>
      <c r="Z2427" t="s">
        <v>1357</v>
      </c>
      <c r="AA2427" t="s">
        <v>39</v>
      </c>
      <c r="AC2427" t="s">
        <v>1478</v>
      </c>
    </row>
    <row r="2428" spans="1:29" x14ac:dyDescent="0.25">
      <c r="A2428">
        <v>370</v>
      </c>
      <c r="B2428" t="s">
        <v>522</v>
      </c>
      <c r="C2428" t="s">
        <v>77</v>
      </c>
      <c r="D2428" t="s">
        <v>521</v>
      </c>
      <c r="E2428">
        <v>16</v>
      </c>
      <c r="F2428">
        <v>275</v>
      </c>
      <c r="G2428">
        <v>12000</v>
      </c>
      <c r="H2428">
        <v>1</v>
      </c>
      <c r="I2428">
        <v>414.48</v>
      </c>
      <c r="J2428">
        <v>414.48</v>
      </c>
      <c r="K2428" t="s">
        <v>512</v>
      </c>
      <c r="L2428" t="s">
        <v>1477</v>
      </c>
      <c r="O2428" t="s">
        <v>81</v>
      </c>
      <c r="Q2428">
        <v>4</v>
      </c>
      <c r="R2428" t="s">
        <v>1135</v>
      </c>
      <c r="T2428" t="s">
        <v>38</v>
      </c>
      <c r="V2428" t="s">
        <v>921</v>
      </c>
      <c r="Y2428" t="s">
        <v>81</v>
      </c>
      <c r="Z2428" t="s">
        <v>1357</v>
      </c>
      <c r="AA2428" t="s">
        <v>39</v>
      </c>
      <c r="AC2428" t="s">
        <v>1478</v>
      </c>
    </row>
    <row r="2429" spans="1:29" x14ac:dyDescent="0.25">
      <c r="A2429">
        <v>371</v>
      </c>
      <c r="B2429" t="s">
        <v>523</v>
      </c>
      <c r="C2429" t="s">
        <v>77</v>
      </c>
      <c r="D2429" t="s">
        <v>524</v>
      </c>
      <c r="E2429">
        <v>16</v>
      </c>
      <c r="F2429">
        <v>275</v>
      </c>
      <c r="G2429">
        <v>11976</v>
      </c>
      <c r="H2429">
        <v>1</v>
      </c>
      <c r="I2429">
        <v>413.65</v>
      </c>
      <c r="J2429">
        <v>413.65</v>
      </c>
      <c r="K2429" t="s">
        <v>512</v>
      </c>
      <c r="L2429" t="s">
        <v>1477</v>
      </c>
      <c r="O2429" t="s">
        <v>81</v>
      </c>
      <c r="Q2429">
        <v>4</v>
      </c>
      <c r="R2429" t="s">
        <v>1135</v>
      </c>
      <c r="T2429" t="s">
        <v>38</v>
      </c>
      <c r="V2429" t="s">
        <v>921</v>
      </c>
      <c r="Y2429" t="s">
        <v>81</v>
      </c>
      <c r="Z2429" t="s">
        <v>1357</v>
      </c>
      <c r="AA2429" t="s">
        <v>39</v>
      </c>
      <c r="AC2429" t="s">
        <v>1478</v>
      </c>
    </row>
    <row r="2430" spans="1:29" x14ac:dyDescent="0.25">
      <c r="A2430">
        <v>372</v>
      </c>
      <c r="B2430" t="s">
        <v>525</v>
      </c>
      <c r="C2430" t="s">
        <v>77</v>
      </c>
      <c r="D2430" t="s">
        <v>518</v>
      </c>
      <c r="E2430">
        <v>16</v>
      </c>
      <c r="F2430">
        <v>200</v>
      </c>
      <c r="G2430">
        <v>300</v>
      </c>
      <c r="H2430">
        <v>2</v>
      </c>
      <c r="I2430">
        <v>4.8600000000000003</v>
      </c>
      <c r="J2430">
        <v>9.73</v>
      </c>
      <c r="K2430" t="s">
        <v>512</v>
      </c>
      <c r="L2430" t="s">
        <v>1477</v>
      </c>
      <c r="Q2430">
        <v>4</v>
      </c>
      <c r="R2430" t="s">
        <v>1135</v>
      </c>
      <c r="T2430" t="s">
        <v>38</v>
      </c>
      <c r="V2430" t="s">
        <v>921</v>
      </c>
      <c r="W2430" t="s">
        <v>81</v>
      </c>
      <c r="Z2430" t="s">
        <v>1357</v>
      </c>
      <c r="AA2430" t="s">
        <v>39</v>
      </c>
      <c r="AC2430" t="s">
        <v>1478</v>
      </c>
    </row>
    <row r="2431" spans="1:29" x14ac:dyDescent="0.25">
      <c r="A2431">
        <v>373</v>
      </c>
      <c r="B2431" t="s">
        <v>526</v>
      </c>
      <c r="C2431" t="s">
        <v>77</v>
      </c>
      <c r="D2431" t="s">
        <v>518</v>
      </c>
      <c r="E2431">
        <v>16</v>
      </c>
      <c r="F2431">
        <v>200</v>
      </c>
      <c r="G2431">
        <v>300</v>
      </c>
      <c r="H2431">
        <v>2</v>
      </c>
      <c r="I2431">
        <v>4.8600000000000003</v>
      </c>
      <c r="J2431">
        <v>9.73</v>
      </c>
      <c r="K2431" t="s">
        <v>512</v>
      </c>
      <c r="L2431" t="s">
        <v>1477</v>
      </c>
      <c r="Q2431">
        <v>4</v>
      </c>
      <c r="R2431" t="s">
        <v>1135</v>
      </c>
      <c r="T2431" t="s">
        <v>38</v>
      </c>
      <c r="V2431" t="s">
        <v>921</v>
      </c>
      <c r="W2431" t="s">
        <v>81</v>
      </c>
      <c r="Z2431" t="s">
        <v>1357</v>
      </c>
      <c r="AA2431" t="s">
        <v>39</v>
      </c>
      <c r="AC2431" t="s">
        <v>1478</v>
      </c>
    </row>
    <row r="2432" spans="1:29" x14ac:dyDescent="0.25">
      <c r="A2432">
        <v>374</v>
      </c>
      <c r="B2432" t="s">
        <v>527</v>
      </c>
      <c r="C2432" t="s">
        <v>77</v>
      </c>
      <c r="D2432" t="s">
        <v>521</v>
      </c>
      <c r="E2432">
        <v>16</v>
      </c>
      <c r="F2432">
        <v>275</v>
      </c>
      <c r="G2432">
        <v>12000</v>
      </c>
      <c r="H2432">
        <v>1</v>
      </c>
      <c r="I2432">
        <v>414.48</v>
      </c>
      <c r="J2432">
        <v>414.48</v>
      </c>
      <c r="K2432" t="s">
        <v>512</v>
      </c>
      <c r="L2432" t="s">
        <v>1477</v>
      </c>
      <c r="O2432" t="s">
        <v>81</v>
      </c>
      <c r="Q2432">
        <v>4</v>
      </c>
      <c r="R2432" t="s">
        <v>1135</v>
      </c>
      <c r="T2432" t="s">
        <v>38</v>
      </c>
      <c r="V2432" t="s">
        <v>921</v>
      </c>
      <c r="Y2432" t="s">
        <v>81</v>
      </c>
      <c r="Z2432" t="s">
        <v>1357</v>
      </c>
      <c r="AA2432" t="s">
        <v>39</v>
      </c>
      <c r="AC2432" t="s">
        <v>1478</v>
      </c>
    </row>
    <row r="2433" spans="1:29" x14ac:dyDescent="0.25">
      <c r="A2433">
        <v>375</v>
      </c>
      <c r="B2433" t="s">
        <v>528</v>
      </c>
      <c r="C2433" t="s">
        <v>77</v>
      </c>
      <c r="D2433" t="s">
        <v>529</v>
      </c>
      <c r="E2433">
        <v>16</v>
      </c>
      <c r="F2433">
        <v>275</v>
      </c>
      <c r="G2433">
        <v>7587</v>
      </c>
      <c r="H2433">
        <v>1</v>
      </c>
      <c r="I2433">
        <v>262.06</v>
      </c>
      <c r="J2433">
        <v>262.06</v>
      </c>
      <c r="K2433" t="s">
        <v>512</v>
      </c>
      <c r="L2433" t="s">
        <v>1477</v>
      </c>
      <c r="O2433" t="s">
        <v>81</v>
      </c>
      <c r="Q2433">
        <v>4</v>
      </c>
      <c r="R2433" t="s">
        <v>1135</v>
      </c>
      <c r="T2433" t="s">
        <v>38</v>
      </c>
      <c r="V2433" t="s">
        <v>921</v>
      </c>
      <c r="Y2433" t="s">
        <v>81</v>
      </c>
      <c r="Z2433" t="s">
        <v>1357</v>
      </c>
      <c r="AA2433" t="s">
        <v>39</v>
      </c>
      <c r="AC2433" t="s">
        <v>1478</v>
      </c>
    </row>
    <row r="2434" spans="1:29" x14ac:dyDescent="0.25">
      <c r="A2434">
        <v>376</v>
      </c>
      <c r="B2434" t="s">
        <v>530</v>
      </c>
      <c r="C2434" t="s">
        <v>77</v>
      </c>
      <c r="D2434" t="s">
        <v>521</v>
      </c>
      <c r="E2434">
        <v>16</v>
      </c>
      <c r="F2434">
        <v>275</v>
      </c>
      <c r="G2434">
        <v>12000</v>
      </c>
      <c r="H2434">
        <v>1</v>
      </c>
      <c r="I2434">
        <v>414.48</v>
      </c>
      <c r="J2434">
        <v>414.48</v>
      </c>
      <c r="K2434" t="s">
        <v>512</v>
      </c>
      <c r="L2434" t="s">
        <v>1477</v>
      </c>
      <c r="O2434" t="s">
        <v>81</v>
      </c>
      <c r="Q2434">
        <v>4</v>
      </c>
      <c r="R2434" t="s">
        <v>1135</v>
      </c>
      <c r="T2434" t="s">
        <v>38</v>
      </c>
      <c r="V2434" t="s">
        <v>921</v>
      </c>
      <c r="Y2434" t="s">
        <v>81</v>
      </c>
      <c r="Z2434" t="s">
        <v>1357</v>
      </c>
      <c r="AA2434" t="s">
        <v>39</v>
      </c>
      <c r="AC2434" t="s">
        <v>1478</v>
      </c>
    </row>
    <row r="2435" spans="1:29" x14ac:dyDescent="0.25">
      <c r="A2435">
        <v>377</v>
      </c>
      <c r="B2435" t="s">
        <v>531</v>
      </c>
      <c r="C2435" t="s">
        <v>77</v>
      </c>
      <c r="D2435" t="s">
        <v>532</v>
      </c>
      <c r="E2435">
        <v>16</v>
      </c>
      <c r="F2435">
        <v>275</v>
      </c>
      <c r="G2435">
        <v>7583</v>
      </c>
      <c r="H2435">
        <v>1</v>
      </c>
      <c r="I2435">
        <v>261.92</v>
      </c>
      <c r="J2435">
        <v>261.92</v>
      </c>
      <c r="K2435" t="s">
        <v>512</v>
      </c>
      <c r="L2435" t="s">
        <v>1477</v>
      </c>
      <c r="O2435" t="s">
        <v>81</v>
      </c>
      <c r="Q2435">
        <v>4</v>
      </c>
      <c r="R2435" t="s">
        <v>1135</v>
      </c>
      <c r="T2435" t="s">
        <v>38</v>
      </c>
      <c r="V2435" t="s">
        <v>921</v>
      </c>
      <c r="Y2435" t="s">
        <v>81</v>
      </c>
      <c r="Z2435" t="s">
        <v>1357</v>
      </c>
      <c r="AA2435" t="s">
        <v>39</v>
      </c>
      <c r="AC2435" t="s">
        <v>1478</v>
      </c>
    </row>
    <row r="2436" spans="1:29" x14ac:dyDescent="0.25">
      <c r="A2436">
        <v>378</v>
      </c>
      <c r="B2436" t="s">
        <v>535</v>
      </c>
      <c r="C2436" t="s">
        <v>77</v>
      </c>
      <c r="D2436" t="s">
        <v>516</v>
      </c>
      <c r="E2436">
        <v>16</v>
      </c>
      <c r="F2436">
        <v>220</v>
      </c>
      <c r="G2436">
        <v>280</v>
      </c>
      <c r="H2436">
        <v>4</v>
      </c>
      <c r="I2436">
        <v>7.71</v>
      </c>
      <c r="J2436">
        <v>30.85</v>
      </c>
      <c r="K2436" t="s">
        <v>512</v>
      </c>
      <c r="L2436" t="s">
        <v>1477</v>
      </c>
      <c r="Q2436">
        <v>4</v>
      </c>
      <c r="R2436" t="s">
        <v>1135</v>
      </c>
      <c r="T2436" t="s">
        <v>38</v>
      </c>
      <c r="V2436" t="s">
        <v>921</v>
      </c>
      <c r="W2436" t="s">
        <v>81</v>
      </c>
      <c r="Z2436" t="s">
        <v>1357</v>
      </c>
      <c r="AA2436" t="s">
        <v>39</v>
      </c>
      <c r="AC2436" t="s">
        <v>1478</v>
      </c>
    </row>
    <row r="2437" spans="1:29" x14ac:dyDescent="0.25">
      <c r="A2437">
        <v>379</v>
      </c>
      <c r="B2437" t="s">
        <v>536</v>
      </c>
      <c r="C2437" t="s">
        <v>77</v>
      </c>
      <c r="D2437" t="s">
        <v>537</v>
      </c>
      <c r="E2437">
        <v>16</v>
      </c>
      <c r="F2437">
        <v>170</v>
      </c>
      <c r="G2437">
        <v>170</v>
      </c>
      <c r="H2437">
        <v>6</v>
      </c>
      <c r="I2437">
        <v>3.6</v>
      </c>
      <c r="J2437">
        <v>21.63</v>
      </c>
      <c r="K2437" t="s">
        <v>512</v>
      </c>
      <c r="L2437" t="s">
        <v>1477</v>
      </c>
      <c r="Q2437">
        <v>4</v>
      </c>
      <c r="R2437" t="s">
        <v>1135</v>
      </c>
      <c r="T2437" t="s">
        <v>38</v>
      </c>
      <c r="V2437" t="s">
        <v>921</v>
      </c>
      <c r="W2437" t="s">
        <v>81</v>
      </c>
      <c r="Z2437" t="s">
        <v>1357</v>
      </c>
      <c r="AA2437" t="s">
        <v>39</v>
      </c>
      <c r="AC2437" t="s">
        <v>1478</v>
      </c>
    </row>
    <row r="2438" spans="1:29" x14ac:dyDescent="0.25">
      <c r="A2438">
        <v>380</v>
      </c>
      <c r="B2438" t="s">
        <v>538</v>
      </c>
      <c r="C2438" t="s">
        <v>77</v>
      </c>
      <c r="D2438" t="s">
        <v>537</v>
      </c>
      <c r="E2438">
        <v>16</v>
      </c>
      <c r="F2438">
        <v>170</v>
      </c>
      <c r="G2438">
        <v>170</v>
      </c>
      <c r="H2438">
        <v>4</v>
      </c>
      <c r="I2438">
        <v>3.6</v>
      </c>
      <c r="J2438">
        <v>14.42</v>
      </c>
      <c r="K2438" t="s">
        <v>512</v>
      </c>
      <c r="L2438" t="s">
        <v>1477</v>
      </c>
      <c r="Q2438">
        <v>4</v>
      </c>
      <c r="R2438" t="s">
        <v>1135</v>
      </c>
      <c r="T2438" t="s">
        <v>38</v>
      </c>
      <c r="V2438" t="s">
        <v>921</v>
      </c>
      <c r="W2438" t="s">
        <v>81</v>
      </c>
      <c r="Z2438" t="s">
        <v>1357</v>
      </c>
      <c r="AA2438" t="s">
        <v>39</v>
      </c>
      <c r="AC2438" t="s">
        <v>1478</v>
      </c>
    </row>
    <row r="2439" spans="1:29" x14ac:dyDescent="0.25">
      <c r="A2439">
        <v>381</v>
      </c>
      <c r="B2439" t="s">
        <v>539</v>
      </c>
      <c r="C2439" t="s">
        <v>77</v>
      </c>
      <c r="D2439" t="s">
        <v>537</v>
      </c>
      <c r="E2439">
        <v>16</v>
      </c>
      <c r="F2439">
        <v>170</v>
      </c>
      <c r="G2439">
        <v>170</v>
      </c>
      <c r="H2439">
        <v>4</v>
      </c>
      <c r="I2439">
        <v>3.6</v>
      </c>
      <c r="J2439">
        <v>14.42</v>
      </c>
      <c r="K2439" t="s">
        <v>512</v>
      </c>
      <c r="L2439" t="s">
        <v>1477</v>
      </c>
      <c r="Q2439">
        <v>4</v>
      </c>
      <c r="R2439" t="s">
        <v>1135</v>
      </c>
      <c r="T2439" t="s">
        <v>38</v>
      </c>
      <c r="V2439" t="s">
        <v>921</v>
      </c>
      <c r="W2439" t="s">
        <v>81</v>
      </c>
      <c r="Z2439" t="s">
        <v>1357</v>
      </c>
      <c r="AA2439" t="s">
        <v>39</v>
      </c>
      <c r="AC2439" t="s">
        <v>1478</v>
      </c>
    </row>
    <row r="2440" spans="1:29" x14ac:dyDescent="0.25">
      <c r="A2440">
        <v>382</v>
      </c>
      <c r="B2440" t="s">
        <v>540</v>
      </c>
      <c r="C2440" t="s">
        <v>77</v>
      </c>
      <c r="D2440" t="s">
        <v>537</v>
      </c>
      <c r="E2440">
        <v>16</v>
      </c>
      <c r="F2440">
        <v>170</v>
      </c>
      <c r="G2440">
        <v>170</v>
      </c>
      <c r="H2440">
        <v>4</v>
      </c>
      <c r="I2440">
        <v>3.6</v>
      </c>
      <c r="J2440">
        <v>14.42</v>
      </c>
      <c r="K2440" t="s">
        <v>512</v>
      </c>
      <c r="L2440" t="s">
        <v>1477</v>
      </c>
      <c r="Q2440">
        <v>4</v>
      </c>
      <c r="R2440" t="s">
        <v>1135</v>
      </c>
      <c r="T2440" t="s">
        <v>38</v>
      </c>
      <c r="V2440" t="s">
        <v>921</v>
      </c>
      <c r="W2440" t="s">
        <v>81</v>
      </c>
      <c r="Z2440" t="s">
        <v>1357</v>
      </c>
      <c r="AA2440" t="s">
        <v>39</v>
      </c>
      <c r="AC2440" t="s">
        <v>1478</v>
      </c>
    </row>
    <row r="2441" spans="1:29" x14ac:dyDescent="0.25">
      <c r="A2441">
        <v>383</v>
      </c>
      <c r="B2441" t="s">
        <v>541</v>
      </c>
      <c r="C2441" t="s">
        <v>77</v>
      </c>
      <c r="D2441" t="s">
        <v>537</v>
      </c>
      <c r="E2441">
        <v>16</v>
      </c>
      <c r="F2441">
        <v>170</v>
      </c>
      <c r="G2441">
        <v>170</v>
      </c>
      <c r="H2441">
        <v>4</v>
      </c>
      <c r="I2441">
        <v>3.6</v>
      </c>
      <c r="J2441">
        <v>14.42</v>
      </c>
      <c r="K2441" t="s">
        <v>512</v>
      </c>
      <c r="L2441" t="s">
        <v>1477</v>
      </c>
      <c r="Q2441">
        <v>4</v>
      </c>
      <c r="R2441" t="s">
        <v>1135</v>
      </c>
      <c r="T2441" t="s">
        <v>38</v>
      </c>
      <c r="V2441" t="s">
        <v>921</v>
      </c>
      <c r="W2441" t="s">
        <v>81</v>
      </c>
      <c r="Z2441" t="s">
        <v>1357</v>
      </c>
      <c r="AA2441" t="s">
        <v>39</v>
      </c>
      <c r="AC2441" t="s">
        <v>1478</v>
      </c>
    </row>
    <row r="2442" spans="1:29" x14ac:dyDescent="0.25">
      <c r="A2442">
        <v>384</v>
      </c>
      <c r="B2442" t="s">
        <v>542</v>
      </c>
      <c r="C2442" t="s">
        <v>77</v>
      </c>
      <c r="D2442" t="s">
        <v>537</v>
      </c>
      <c r="E2442">
        <v>16</v>
      </c>
      <c r="F2442">
        <v>170</v>
      </c>
      <c r="G2442">
        <v>170</v>
      </c>
      <c r="H2442">
        <v>4</v>
      </c>
      <c r="I2442">
        <v>3.6</v>
      </c>
      <c r="J2442">
        <v>14.42</v>
      </c>
      <c r="K2442" t="s">
        <v>512</v>
      </c>
      <c r="L2442" t="s">
        <v>1477</v>
      </c>
      <c r="Q2442">
        <v>4</v>
      </c>
      <c r="R2442" t="s">
        <v>1135</v>
      </c>
      <c r="T2442" t="s">
        <v>38</v>
      </c>
      <c r="V2442" t="s">
        <v>921</v>
      </c>
      <c r="W2442" t="s">
        <v>81</v>
      </c>
      <c r="Z2442" t="s">
        <v>1357</v>
      </c>
      <c r="AA2442" t="s">
        <v>39</v>
      </c>
      <c r="AC2442" t="s">
        <v>1478</v>
      </c>
    </row>
    <row r="2443" spans="1:29" x14ac:dyDescent="0.25">
      <c r="A2443">
        <v>385</v>
      </c>
      <c r="B2443" t="s">
        <v>543</v>
      </c>
      <c r="C2443" t="s">
        <v>77</v>
      </c>
      <c r="D2443" t="s">
        <v>537</v>
      </c>
      <c r="E2443">
        <v>16</v>
      </c>
      <c r="F2443">
        <v>170</v>
      </c>
      <c r="G2443">
        <v>170</v>
      </c>
      <c r="H2443">
        <v>4</v>
      </c>
      <c r="I2443">
        <v>3.6</v>
      </c>
      <c r="J2443">
        <v>14.42</v>
      </c>
      <c r="K2443" t="s">
        <v>512</v>
      </c>
      <c r="L2443" t="s">
        <v>1477</v>
      </c>
      <c r="Q2443">
        <v>4</v>
      </c>
      <c r="R2443" t="s">
        <v>1135</v>
      </c>
      <c r="T2443" t="s">
        <v>38</v>
      </c>
      <c r="V2443" t="s">
        <v>921</v>
      </c>
      <c r="W2443" t="s">
        <v>81</v>
      </c>
      <c r="Z2443" t="s">
        <v>1357</v>
      </c>
      <c r="AA2443" t="s">
        <v>39</v>
      </c>
      <c r="AC2443" t="s">
        <v>1478</v>
      </c>
    </row>
    <row r="2444" spans="1:29" x14ac:dyDescent="0.25">
      <c r="A2444">
        <v>386</v>
      </c>
      <c r="B2444" t="s">
        <v>544</v>
      </c>
      <c r="C2444" t="s">
        <v>77</v>
      </c>
      <c r="D2444" t="s">
        <v>537</v>
      </c>
      <c r="E2444">
        <v>16</v>
      </c>
      <c r="F2444">
        <v>170</v>
      </c>
      <c r="G2444">
        <v>170</v>
      </c>
      <c r="H2444">
        <v>4</v>
      </c>
      <c r="I2444">
        <v>3.6</v>
      </c>
      <c r="J2444">
        <v>14.42</v>
      </c>
      <c r="K2444" t="s">
        <v>512</v>
      </c>
      <c r="L2444" t="s">
        <v>1477</v>
      </c>
      <c r="Q2444">
        <v>4</v>
      </c>
      <c r="R2444" t="s">
        <v>1135</v>
      </c>
      <c r="T2444" t="s">
        <v>38</v>
      </c>
      <c r="V2444" t="s">
        <v>921</v>
      </c>
      <c r="W2444" t="s">
        <v>81</v>
      </c>
      <c r="Z2444" t="s">
        <v>1357</v>
      </c>
      <c r="AA2444" t="s">
        <v>39</v>
      </c>
      <c r="AC2444" t="s">
        <v>1478</v>
      </c>
    </row>
    <row r="2445" spans="1:29" x14ac:dyDescent="0.25">
      <c r="A2445">
        <v>387</v>
      </c>
      <c r="B2445" t="s">
        <v>545</v>
      </c>
      <c r="C2445" t="s">
        <v>77</v>
      </c>
      <c r="D2445" t="s">
        <v>537</v>
      </c>
      <c r="E2445">
        <v>16</v>
      </c>
      <c r="F2445">
        <v>170</v>
      </c>
      <c r="G2445">
        <v>170</v>
      </c>
      <c r="H2445">
        <v>4</v>
      </c>
      <c r="I2445">
        <v>3.6</v>
      </c>
      <c r="J2445">
        <v>14.42</v>
      </c>
      <c r="K2445" t="s">
        <v>512</v>
      </c>
      <c r="L2445" t="s">
        <v>1477</v>
      </c>
      <c r="Q2445">
        <v>4</v>
      </c>
      <c r="R2445" t="s">
        <v>1135</v>
      </c>
      <c r="T2445" t="s">
        <v>38</v>
      </c>
      <c r="V2445" t="s">
        <v>921</v>
      </c>
      <c r="W2445" t="s">
        <v>81</v>
      </c>
      <c r="Z2445" t="s">
        <v>1357</v>
      </c>
      <c r="AA2445" t="s">
        <v>39</v>
      </c>
      <c r="AC2445" t="s">
        <v>1478</v>
      </c>
    </row>
    <row r="2446" spans="1:29" x14ac:dyDescent="0.25">
      <c r="A2446">
        <v>388</v>
      </c>
      <c r="B2446" t="s">
        <v>546</v>
      </c>
      <c r="C2446" t="s">
        <v>77</v>
      </c>
      <c r="D2446" t="s">
        <v>537</v>
      </c>
      <c r="E2446">
        <v>16</v>
      </c>
      <c r="F2446">
        <v>170</v>
      </c>
      <c r="G2446">
        <v>170</v>
      </c>
      <c r="H2446">
        <v>6</v>
      </c>
      <c r="I2446">
        <v>3.6</v>
      </c>
      <c r="J2446">
        <v>21.63</v>
      </c>
      <c r="K2446" t="s">
        <v>512</v>
      </c>
      <c r="L2446" t="s">
        <v>1477</v>
      </c>
      <c r="Q2446">
        <v>4</v>
      </c>
      <c r="R2446" t="s">
        <v>1135</v>
      </c>
      <c r="T2446" t="s">
        <v>38</v>
      </c>
      <c r="V2446" t="s">
        <v>921</v>
      </c>
      <c r="W2446" t="s">
        <v>81</v>
      </c>
      <c r="Z2446" t="s">
        <v>1357</v>
      </c>
      <c r="AA2446" t="s">
        <v>39</v>
      </c>
      <c r="AC2446" t="s">
        <v>1478</v>
      </c>
    </row>
    <row r="2447" spans="1:29" x14ac:dyDescent="0.25">
      <c r="A2447">
        <v>389</v>
      </c>
      <c r="B2447" t="s">
        <v>533</v>
      </c>
      <c r="C2447" t="s">
        <v>77</v>
      </c>
      <c r="D2447" t="s">
        <v>534</v>
      </c>
      <c r="E2447">
        <v>16</v>
      </c>
      <c r="F2447">
        <v>240</v>
      </c>
      <c r="G2447">
        <v>240</v>
      </c>
      <c r="H2447">
        <v>2</v>
      </c>
      <c r="I2447">
        <v>4.01</v>
      </c>
      <c r="J2447">
        <v>8.0299999999999994</v>
      </c>
      <c r="K2447" t="s">
        <v>512</v>
      </c>
      <c r="L2447" t="s">
        <v>1477</v>
      </c>
      <c r="N2447" t="s">
        <v>228</v>
      </c>
      <c r="Q2447">
        <v>4</v>
      </c>
      <c r="R2447" t="s">
        <v>1135</v>
      </c>
      <c r="T2447" t="s">
        <v>38</v>
      </c>
      <c r="V2447" t="s">
        <v>921</v>
      </c>
      <c r="X2447" t="s">
        <v>81</v>
      </c>
      <c r="Z2447" t="s">
        <v>1357</v>
      </c>
      <c r="AA2447" t="s">
        <v>39</v>
      </c>
      <c r="AC2447" t="s">
        <v>1478</v>
      </c>
    </row>
    <row r="2448" spans="1:29" x14ac:dyDescent="0.25">
      <c r="A2448">
        <v>390</v>
      </c>
      <c r="B2448" t="s">
        <v>547</v>
      </c>
      <c r="C2448" t="s">
        <v>77</v>
      </c>
      <c r="D2448" t="s">
        <v>524</v>
      </c>
      <c r="E2448">
        <v>16</v>
      </c>
      <c r="F2448">
        <v>275</v>
      </c>
      <c r="G2448">
        <v>11976</v>
      </c>
      <c r="H2448">
        <v>1</v>
      </c>
      <c r="I2448">
        <v>413.65</v>
      </c>
      <c r="J2448">
        <v>413.65</v>
      </c>
      <c r="K2448" t="s">
        <v>512</v>
      </c>
      <c r="L2448" t="s">
        <v>1479</v>
      </c>
      <c r="O2448" t="s">
        <v>81</v>
      </c>
      <c r="Q2448">
        <v>4</v>
      </c>
      <c r="R2448" t="s">
        <v>1135</v>
      </c>
      <c r="T2448" t="s">
        <v>38</v>
      </c>
      <c r="V2448" t="s">
        <v>921</v>
      </c>
      <c r="Y2448" t="s">
        <v>81</v>
      </c>
      <c r="Z2448" t="s">
        <v>1357</v>
      </c>
      <c r="AA2448" t="s">
        <v>39</v>
      </c>
      <c r="AC2448" t="s">
        <v>1480</v>
      </c>
    </row>
    <row r="2449" spans="1:29" x14ac:dyDescent="0.25">
      <c r="A2449">
        <v>391</v>
      </c>
      <c r="B2449" t="s">
        <v>550</v>
      </c>
      <c r="C2449" t="s">
        <v>77</v>
      </c>
      <c r="D2449" t="s">
        <v>551</v>
      </c>
      <c r="E2449">
        <v>16</v>
      </c>
      <c r="F2449">
        <v>275</v>
      </c>
      <c r="G2449">
        <v>11978</v>
      </c>
      <c r="H2449">
        <v>1</v>
      </c>
      <c r="I2449">
        <v>413.72</v>
      </c>
      <c r="J2449">
        <v>413.72</v>
      </c>
      <c r="K2449" t="s">
        <v>512</v>
      </c>
      <c r="L2449" t="s">
        <v>1479</v>
      </c>
      <c r="O2449" t="s">
        <v>81</v>
      </c>
      <c r="Q2449">
        <v>4</v>
      </c>
      <c r="R2449" t="s">
        <v>1135</v>
      </c>
      <c r="T2449" t="s">
        <v>38</v>
      </c>
      <c r="V2449" t="s">
        <v>921</v>
      </c>
      <c r="Y2449" t="s">
        <v>81</v>
      </c>
      <c r="Z2449" t="s">
        <v>1357</v>
      </c>
      <c r="AA2449" t="s">
        <v>39</v>
      </c>
      <c r="AC2449" t="s">
        <v>1480</v>
      </c>
    </row>
    <row r="2450" spans="1:29" x14ac:dyDescent="0.25">
      <c r="A2450">
        <v>392</v>
      </c>
      <c r="B2450" t="s">
        <v>552</v>
      </c>
      <c r="C2450" t="s">
        <v>77</v>
      </c>
      <c r="D2450" t="s">
        <v>553</v>
      </c>
      <c r="E2450">
        <v>16</v>
      </c>
      <c r="F2450">
        <v>275</v>
      </c>
      <c r="G2450">
        <v>12007</v>
      </c>
      <c r="H2450">
        <v>1</v>
      </c>
      <c r="I2450">
        <v>414.72</v>
      </c>
      <c r="J2450">
        <v>414.72</v>
      </c>
      <c r="K2450" t="s">
        <v>512</v>
      </c>
      <c r="L2450" t="s">
        <v>1479</v>
      </c>
      <c r="O2450" t="s">
        <v>81</v>
      </c>
      <c r="Q2450">
        <v>4</v>
      </c>
      <c r="R2450" t="s">
        <v>1135</v>
      </c>
      <c r="T2450" t="s">
        <v>38</v>
      </c>
      <c r="V2450" t="s">
        <v>921</v>
      </c>
      <c r="Y2450" t="s">
        <v>81</v>
      </c>
      <c r="Z2450" t="s">
        <v>1357</v>
      </c>
      <c r="AA2450" t="s">
        <v>39</v>
      </c>
      <c r="AC2450" t="s">
        <v>1480</v>
      </c>
    </row>
    <row r="2451" spans="1:29" x14ac:dyDescent="0.25">
      <c r="A2451">
        <v>393</v>
      </c>
      <c r="B2451" t="s">
        <v>554</v>
      </c>
      <c r="C2451" t="s">
        <v>77</v>
      </c>
      <c r="D2451" t="s">
        <v>555</v>
      </c>
      <c r="E2451">
        <v>16</v>
      </c>
      <c r="F2451">
        <v>275</v>
      </c>
      <c r="G2451">
        <v>12005</v>
      </c>
      <c r="H2451">
        <v>1</v>
      </c>
      <c r="I2451">
        <v>414.65</v>
      </c>
      <c r="J2451">
        <v>414.65</v>
      </c>
      <c r="K2451" t="s">
        <v>512</v>
      </c>
      <c r="L2451" t="s">
        <v>1479</v>
      </c>
      <c r="O2451" t="s">
        <v>81</v>
      </c>
      <c r="Q2451">
        <v>4</v>
      </c>
      <c r="R2451" t="s">
        <v>1135</v>
      </c>
      <c r="T2451" t="s">
        <v>38</v>
      </c>
      <c r="V2451" t="s">
        <v>921</v>
      </c>
      <c r="Y2451" t="s">
        <v>81</v>
      </c>
      <c r="Z2451" t="s">
        <v>1357</v>
      </c>
      <c r="AA2451" t="s">
        <v>39</v>
      </c>
      <c r="AC2451" t="s">
        <v>1480</v>
      </c>
    </row>
    <row r="2452" spans="1:29" x14ac:dyDescent="0.25">
      <c r="A2452">
        <v>394</v>
      </c>
      <c r="B2452" t="s">
        <v>556</v>
      </c>
      <c r="C2452" t="s">
        <v>77</v>
      </c>
      <c r="D2452" t="s">
        <v>551</v>
      </c>
      <c r="E2452">
        <v>16</v>
      </c>
      <c r="F2452">
        <v>275</v>
      </c>
      <c r="G2452">
        <v>11978</v>
      </c>
      <c r="H2452">
        <v>1</v>
      </c>
      <c r="I2452">
        <v>413.72</v>
      </c>
      <c r="J2452">
        <v>413.72</v>
      </c>
      <c r="K2452" t="s">
        <v>512</v>
      </c>
      <c r="L2452" t="s">
        <v>1479</v>
      </c>
      <c r="O2452" t="s">
        <v>81</v>
      </c>
      <c r="Q2452">
        <v>4</v>
      </c>
      <c r="R2452" t="s">
        <v>1135</v>
      </c>
      <c r="T2452" t="s">
        <v>38</v>
      </c>
      <c r="V2452" t="s">
        <v>921</v>
      </c>
      <c r="Y2452" t="s">
        <v>81</v>
      </c>
      <c r="Z2452" t="s">
        <v>1357</v>
      </c>
      <c r="AA2452" t="s">
        <v>39</v>
      </c>
      <c r="AC2452" t="s">
        <v>1480</v>
      </c>
    </row>
    <row r="2453" spans="1:29" x14ac:dyDescent="0.25">
      <c r="A2453">
        <v>395</v>
      </c>
      <c r="B2453" t="s">
        <v>557</v>
      </c>
      <c r="C2453" t="s">
        <v>77</v>
      </c>
      <c r="D2453" t="s">
        <v>553</v>
      </c>
      <c r="E2453">
        <v>16</v>
      </c>
      <c r="F2453">
        <v>275</v>
      </c>
      <c r="G2453">
        <v>12007</v>
      </c>
      <c r="H2453">
        <v>1</v>
      </c>
      <c r="I2453">
        <v>414.72</v>
      </c>
      <c r="J2453">
        <v>414.72</v>
      </c>
      <c r="K2453" t="s">
        <v>512</v>
      </c>
      <c r="L2453" t="s">
        <v>1479</v>
      </c>
      <c r="O2453" t="s">
        <v>81</v>
      </c>
      <c r="Q2453">
        <v>4</v>
      </c>
      <c r="R2453" t="s">
        <v>1135</v>
      </c>
      <c r="T2453" t="s">
        <v>38</v>
      </c>
      <c r="V2453" t="s">
        <v>921</v>
      </c>
      <c r="Y2453" t="s">
        <v>81</v>
      </c>
      <c r="Z2453" t="s">
        <v>1357</v>
      </c>
      <c r="AA2453" t="s">
        <v>39</v>
      </c>
      <c r="AC2453" t="s">
        <v>1480</v>
      </c>
    </row>
    <row r="2454" spans="1:29" x14ac:dyDescent="0.25">
      <c r="A2454">
        <v>396</v>
      </c>
      <c r="B2454" t="s">
        <v>558</v>
      </c>
      <c r="C2454" t="s">
        <v>77</v>
      </c>
      <c r="D2454" t="s">
        <v>555</v>
      </c>
      <c r="E2454">
        <v>16</v>
      </c>
      <c r="F2454">
        <v>275</v>
      </c>
      <c r="G2454">
        <v>12005</v>
      </c>
      <c r="H2454">
        <v>1</v>
      </c>
      <c r="I2454">
        <v>414.65</v>
      </c>
      <c r="J2454">
        <v>414.65</v>
      </c>
      <c r="K2454" t="s">
        <v>512</v>
      </c>
      <c r="L2454" t="s">
        <v>1479</v>
      </c>
      <c r="O2454" t="s">
        <v>81</v>
      </c>
      <c r="Q2454">
        <v>4</v>
      </c>
      <c r="R2454" t="s">
        <v>1135</v>
      </c>
      <c r="T2454" t="s">
        <v>38</v>
      </c>
      <c r="V2454" t="s">
        <v>921</v>
      </c>
      <c r="Y2454" t="s">
        <v>81</v>
      </c>
      <c r="Z2454" t="s">
        <v>1357</v>
      </c>
      <c r="AA2454" t="s">
        <v>39</v>
      </c>
      <c r="AC2454" t="s">
        <v>1480</v>
      </c>
    </row>
    <row r="2455" spans="1:29" x14ac:dyDescent="0.25">
      <c r="A2455">
        <v>397</v>
      </c>
      <c r="B2455" t="s">
        <v>559</v>
      </c>
      <c r="C2455" t="s">
        <v>77</v>
      </c>
      <c r="D2455" t="s">
        <v>560</v>
      </c>
      <c r="E2455">
        <v>16</v>
      </c>
      <c r="F2455">
        <v>275</v>
      </c>
      <c r="G2455">
        <v>7588</v>
      </c>
      <c r="H2455">
        <v>1</v>
      </c>
      <c r="I2455">
        <v>262.08999999999997</v>
      </c>
      <c r="J2455">
        <v>262.08999999999997</v>
      </c>
      <c r="K2455" t="s">
        <v>512</v>
      </c>
      <c r="L2455" t="s">
        <v>1481</v>
      </c>
      <c r="O2455" t="s">
        <v>81</v>
      </c>
      <c r="Q2455">
        <v>4</v>
      </c>
      <c r="R2455" t="s">
        <v>1135</v>
      </c>
      <c r="T2455" t="s">
        <v>38</v>
      </c>
      <c r="V2455" t="s">
        <v>921</v>
      </c>
      <c r="Y2455" t="s">
        <v>81</v>
      </c>
      <c r="Z2455" t="s">
        <v>1357</v>
      </c>
      <c r="AA2455" t="s">
        <v>1482</v>
      </c>
      <c r="AC2455" t="s">
        <v>1483</v>
      </c>
    </row>
    <row r="2456" spans="1:29" x14ac:dyDescent="0.25">
      <c r="A2456">
        <v>398</v>
      </c>
      <c r="B2456" t="s">
        <v>564</v>
      </c>
      <c r="C2456" t="s">
        <v>77</v>
      </c>
      <c r="D2456" t="s">
        <v>534</v>
      </c>
      <c r="E2456">
        <v>16</v>
      </c>
      <c r="F2456">
        <v>240</v>
      </c>
      <c r="G2456">
        <v>240</v>
      </c>
      <c r="H2456">
        <v>2</v>
      </c>
      <c r="I2456">
        <v>4.38</v>
      </c>
      <c r="J2456">
        <v>8.75</v>
      </c>
      <c r="K2456" t="s">
        <v>512</v>
      </c>
      <c r="L2456" t="s">
        <v>1481</v>
      </c>
      <c r="N2456" t="s">
        <v>228</v>
      </c>
      <c r="Q2456">
        <v>4</v>
      </c>
      <c r="R2456" t="s">
        <v>1135</v>
      </c>
      <c r="T2456" t="s">
        <v>38</v>
      </c>
      <c r="V2456" t="s">
        <v>921</v>
      </c>
      <c r="X2456" t="s">
        <v>81</v>
      </c>
      <c r="Z2456" t="s">
        <v>1357</v>
      </c>
      <c r="AA2456" t="s">
        <v>1482</v>
      </c>
      <c r="AC2456" t="s">
        <v>1483</v>
      </c>
    </row>
    <row r="2457" spans="1:29" x14ac:dyDescent="0.25">
      <c r="A2457">
        <v>399</v>
      </c>
      <c r="B2457" t="s">
        <v>565</v>
      </c>
      <c r="C2457" t="s">
        <v>77</v>
      </c>
      <c r="D2457" t="s">
        <v>534</v>
      </c>
      <c r="E2457">
        <v>16</v>
      </c>
      <c r="F2457">
        <v>240</v>
      </c>
      <c r="G2457">
        <v>240</v>
      </c>
      <c r="H2457">
        <v>1</v>
      </c>
      <c r="I2457">
        <v>4.38</v>
      </c>
      <c r="J2457">
        <v>4.38</v>
      </c>
      <c r="K2457" t="s">
        <v>512</v>
      </c>
      <c r="L2457" t="s">
        <v>1481</v>
      </c>
      <c r="N2457" t="s">
        <v>228</v>
      </c>
      <c r="Q2457">
        <v>4</v>
      </c>
      <c r="R2457" t="s">
        <v>1135</v>
      </c>
      <c r="T2457" t="s">
        <v>38</v>
      </c>
      <c r="V2457" t="s">
        <v>921</v>
      </c>
      <c r="X2457" t="s">
        <v>81</v>
      </c>
      <c r="Z2457" t="s">
        <v>1357</v>
      </c>
      <c r="AA2457" t="s">
        <v>1482</v>
      </c>
      <c r="AC2457" t="s">
        <v>1483</v>
      </c>
    </row>
    <row r="2458" spans="1:29" x14ac:dyDescent="0.25">
      <c r="A2458">
        <v>400</v>
      </c>
      <c r="B2458" t="s">
        <v>563</v>
      </c>
      <c r="C2458" t="s">
        <v>77</v>
      </c>
      <c r="D2458" t="s">
        <v>532</v>
      </c>
      <c r="E2458">
        <v>16</v>
      </c>
      <c r="F2458">
        <v>275</v>
      </c>
      <c r="G2458">
        <v>7583</v>
      </c>
      <c r="H2458">
        <v>1</v>
      </c>
      <c r="I2458">
        <v>261.92</v>
      </c>
      <c r="J2458">
        <v>261.92</v>
      </c>
      <c r="K2458" t="s">
        <v>512</v>
      </c>
      <c r="L2458" t="s">
        <v>1484</v>
      </c>
      <c r="O2458" t="s">
        <v>81</v>
      </c>
      <c r="Q2458">
        <v>4</v>
      </c>
      <c r="R2458" t="s">
        <v>1135</v>
      </c>
      <c r="T2458" t="s">
        <v>38</v>
      </c>
      <c r="V2458" t="s">
        <v>921</v>
      </c>
      <c r="Y2458" t="s">
        <v>81</v>
      </c>
      <c r="Z2458" t="s">
        <v>1357</v>
      </c>
      <c r="AA2458" t="s">
        <v>39</v>
      </c>
      <c r="AC2458" t="s">
        <v>1485</v>
      </c>
    </row>
    <row r="2459" spans="1:29" x14ac:dyDescent="0.25">
      <c r="A2459">
        <v>401</v>
      </c>
      <c r="B2459" t="s">
        <v>565</v>
      </c>
      <c r="C2459" t="s">
        <v>77</v>
      </c>
      <c r="D2459" t="s">
        <v>534</v>
      </c>
      <c r="E2459">
        <v>16</v>
      </c>
      <c r="F2459">
        <v>240</v>
      </c>
      <c r="G2459">
        <v>240</v>
      </c>
      <c r="H2459">
        <v>3</v>
      </c>
      <c r="I2459">
        <v>4.38</v>
      </c>
      <c r="J2459">
        <v>13.13</v>
      </c>
      <c r="K2459" t="s">
        <v>512</v>
      </c>
      <c r="L2459" t="s">
        <v>1484</v>
      </c>
      <c r="N2459" t="s">
        <v>228</v>
      </c>
      <c r="Q2459">
        <v>4</v>
      </c>
      <c r="R2459" t="s">
        <v>1135</v>
      </c>
      <c r="T2459" t="s">
        <v>38</v>
      </c>
      <c r="V2459" t="s">
        <v>921</v>
      </c>
      <c r="X2459" t="s">
        <v>81</v>
      </c>
      <c r="Z2459" t="s">
        <v>1357</v>
      </c>
      <c r="AA2459" t="s">
        <v>39</v>
      </c>
      <c r="AC2459" t="s">
        <v>1485</v>
      </c>
    </row>
    <row r="2460" spans="1:29" x14ac:dyDescent="0.25">
      <c r="A2460">
        <v>402</v>
      </c>
      <c r="B2460" t="s">
        <v>566</v>
      </c>
      <c r="C2460" t="s">
        <v>77</v>
      </c>
      <c r="D2460" t="s">
        <v>567</v>
      </c>
      <c r="E2460">
        <v>20</v>
      </c>
      <c r="F2460">
        <v>240</v>
      </c>
      <c r="G2460">
        <v>250</v>
      </c>
      <c r="H2460">
        <v>8</v>
      </c>
      <c r="I2460">
        <v>6.68</v>
      </c>
      <c r="J2460">
        <v>53.41</v>
      </c>
      <c r="K2460" t="s">
        <v>568</v>
      </c>
      <c r="L2460" t="s">
        <v>1486</v>
      </c>
      <c r="N2460" t="s">
        <v>228</v>
      </c>
      <c r="Q2460">
        <v>4</v>
      </c>
      <c r="R2460" t="s">
        <v>1135</v>
      </c>
      <c r="T2460" t="s">
        <v>38</v>
      </c>
      <c r="V2460" t="s">
        <v>921</v>
      </c>
      <c r="X2460" t="s">
        <v>81</v>
      </c>
      <c r="Z2460" t="s">
        <v>1357</v>
      </c>
      <c r="AA2460" t="s">
        <v>39</v>
      </c>
      <c r="AC2460" t="s">
        <v>1487</v>
      </c>
    </row>
    <row r="2461" spans="1:29" x14ac:dyDescent="0.25">
      <c r="A2461">
        <v>403</v>
      </c>
      <c r="B2461" t="s">
        <v>571</v>
      </c>
      <c r="C2461" t="s">
        <v>77</v>
      </c>
      <c r="D2461" t="s">
        <v>572</v>
      </c>
      <c r="E2461">
        <v>20</v>
      </c>
      <c r="F2461">
        <v>400</v>
      </c>
      <c r="G2461">
        <v>780</v>
      </c>
      <c r="H2461">
        <v>8</v>
      </c>
      <c r="I2461">
        <v>48.98</v>
      </c>
      <c r="J2461">
        <v>391.87</v>
      </c>
      <c r="K2461" t="s">
        <v>568</v>
      </c>
      <c r="L2461" t="s">
        <v>1486</v>
      </c>
      <c r="N2461" t="s">
        <v>228</v>
      </c>
      <c r="Q2461">
        <v>4</v>
      </c>
      <c r="R2461" t="s">
        <v>1135</v>
      </c>
      <c r="T2461" t="s">
        <v>38</v>
      </c>
      <c r="V2461" t="s">
        <v>921</v>
      </c>
      <c r="X2461" t="s">
        <v>81</v>
      </c>
      <c r="Z2461" t="s">
        <v>1357</v>
      </c>
      <c r="AA2461" t="s">
        <v>39</v>
      </c>
      <c r="AC2461" t="s">
        <v>1487</v>
      </c>
    </row>
    <row r="2462" spans="1:29" x14ac:dyDescent="0.25">
      <c r="A2462">
        <v>404</v>
      </c>
      <c r="B2462" t="s">
        <v>573</v>
      </c>
      <c r="C2462" t="s">
        <v>77</v>
      </c>
      <c r="D2462" t="s">
        <v>572</v>
      </c>
      <c r="E2462">
        <v>20</v>
      </c>
      <c r="F2462">
        <v>400</v>
      </c>
      <c r="G2462">
        <v>780</v>
      </c>
      <c r="H2462">
        <v>4</v>
      </c>
      <c r="I2462">
        <v>48.98</v>
      </c>
      <c r="J2462">
        <v>195.94</v>
      </c>
      <c r="K2462" t="s">
        <v>568</v>
      </c>
      <c r="L2462" t="s">
        <v>1486</v>
      </c>
      <c r="N2462" t="s">
        <v>228</v>
      </c>
      <c r="Q2462">
        <v>4</v>
      </c>
      <c r="R2462" t="s">
        <v>1135</v>
      </c>
      <c r="T2462" t="s">
        <v>38</v>
      </c>
      <c r="V2462" t="s">
        <v>921</v>
      </c>
      <c r="X2462" t="s">
        <v>81</v>
      </c>
      <c r="Z2462" t="s">
        <v>1357</v>
      </c>
      <c r="AA2462" t="s">
        <v>39</v>
      </c>
      <c r="AC2462" t="s">
        <v>1487</v>
      </c>
    </row>
    <row r="2463" spans="1:29" x14ac:dyDescent="0.25">
      <c r="A2463">
        <v>405</v>
      </c>
      <c r="B2463" t="s">
        <v>574</v>
      </c>
      <c r="C2463" t="s">
        <v>77</v>
      </c>
      <c r="D2463" t="s">
        <v>572</v>
      </c>
      <c r="E2463">
        <v>20</v>
      </c>
      <c r="F2463">
        <v>400</v>
      </c>
      <c r="G2463">
        <v>780</v>
      </c>
      <c r="H2463">
        <v>4</v>
      </c>
      <c r="I2463">
        <v>48.98</v>
      </c>
      <c r="J2463">
        <v>195.94</v>
      </c>
      <c r="K2463" t="s">
        <v>568</v>
      </c>
      <c r="L2463" t="s">
        <v>1486</v>
      </c>
      <c r="N2463" t="s">
        <v>228</v>
      </c>
      <c r="Q2463">
        <v>4</v>
      </c>
      <c r="R2463" t="s">
        <v>1135</v>
      </c>
      <c r="T2463" t="s">
        <v>38</v>
      </c>
      <c r="V2463" t="s">
        <v>921</v>
      </c>
      <c r="X2463" t="s">
        <v>81</v>
      </c>
      <c r="Z2463" t="s">
        <v>1357</v>
      </c>
      <c r="AA2463" t="s">
        <v>39</v>
      </c>
      <c r="AC2463" t="s">
        <v>1487</v>
      </c>
    </row>
    <row r="2464" spans="1:29" x14ac:dyDescent="0.25">
      <c r="A2464">
        <v>406</v>
      </c>
      <c r="B2464" t="s">
        <v>575</v>
      </c>
      <c r="C2464" t="s">
        <v>77</v>
      </c>
      <c r="D2464" t="s">
        <v>576</v>
      </c>
      <c r="E2464">
        <v>20</v>
      </c>
      <c r="F2464">
        <v>326</v>
      </c>
      <c r="G2464">
        <v>525</v>
      </c>
      <c r="H2464">
        <v>4</v>
      </c>
      <c r="I2464">
        <v>23.66</v>
      </c>
      <c r="J2464">
        <v>94.66</v>
      </c>
      <c r="K2464" t="s">
        <v>568</v>
      </c>
      <c r="L2464" t="s">
        <v>1486</v>
      </c>
      <c r="N2464" t="s">
        <v>228</v>
      </c>
      <c r="Q2464">
        <v>4</v>
      </c>
      <c r="R2464" t="s">
        <v>1135</v>
      </c>
      <c r="T2464" t="s">
        <v>38</v>
      </c>
      <c r="V2464" t="s">
        <v>921</v>
      </c>
      <c r="X2464" t="s">
        <v>81</v>
      </c>
      <c r="Z2464" t="s">
        <v>1357</v>
      </c>
      <c r="AA2464" t="s">
        <v>39</v>
      </c>
      <c r="AC2464" t="s">
        <v>1487</v>
      </c>
    </row>
    <row r="2465" spans="1:29" x14ac:dyDescent="0.25">
      <c r="A2465">
        <v>407</v>
      </c>
      <c r="B2465" t="s">
        <v>577</v>
      </c>
      <c r="C2465" t="s">
        <v>77</v>
      </c>
      <c r="D2465" t="s">
        <v>578</v>
      </c>
      <c r="E2465">
        <v>20</v>
      </c>
      <c r="F2465">
        <v>175</v>
      </c>
      <c r="G2465">
        <v>180</v>
      </c>
      <c r="H2465">
        <v>8</v>
      </c>
      <c r="I2465">
        <v>4.58</v>
      </c>
      <c r="J2465">
        <v>36.6</v>
      </c>
      <c r="K2465" t="s">
        <v>568</v>
      </c>
      <c r="L2465" t="s">
        <v>1486</v>
      </c>
      <c r="N2465" t="s">
        <v>228</v>
      </c>
      <c r="Q2465">
        <v>4</v>
      </c>
      <c r="R2465" t="s">
        <v>1135</v>
      </c>
      <c r="T2465" t="s">
        <v>38</v>
      </c>
      <c r="V2465" t="s">
        <v>921</v>
      </c>
      <c r="X2465" t="s">
        <v>81</v>
      </c>
      <c r="Z2465" t="s">
        <v>1357</v>
      </c>
      <c r="AA2465" t="s">
        <v>39</v>
      </c>
      <c r="AC2465" t="s">
        <v>1487</v>
      </c>
    </row>
    <row r="2466" spans="1:29" x14ac:dyDescent="0.25">
      <c r="A2466">
        <v>408</v>
      </c>
      <c r="B2466" t="s">
        <v>581</v>
      </c>
      <c r="C2466" t="s">
        <v>77</v>
      </c>
      <c r="D2466" t="s">
        <v>576</v>
      </c>
      <c r="E2466">
        <v>20</v>
      </c>
      <c r="F2466">
        <v>326</v>
      </c>
      <c r="G2466">
        <v>525</v>
      </c>
      <c r="H2466">
        <v>4</v>
      </c>
      <c r="I2466">
        <v>26.87</v>
      </c>
      <c r="J2466">
        <v>107.48</v>
      </c>
      <c r="K2466" t="s">
        <v>568</v>
      </c>
      <c r="L2466" t="s">
        <v>1486</v>
      </c>
      <c r="Q2466">
        <v>4</v>
      </c>
      <c r="R2466" t="s">
        <v>1135</v>
      </c>
      <c r="T2466" t="s">
        <v>38</v>
      </c>
      <c r="V2466" t="s">
        <v>921</v>
      </c>
      <c r="W2466" t="s">
        <v>81</v>
      </c>
      <c r="Z2466" t="s">
        <v>1357</v>
      </c>
      <c r="AA2466" t="s">
        <v>39</v>
      </c>
      <c r="AC2466" t="s">
        <v>1487</v>
      </c>
    </row>
    <row r="2467" spans="1:29" x14ac:dyDescent="0.25">
      <c r="A2467">
        <v>409</v>
      </c>
      <c r="B2467" t="s">
        <v>582</v>
      </c>
      <c r="C2467" t="s">
        <v>77</v>
      </c>
      <c r="D2467" t="s">
        <v>583</v>
      </c>
      <c r="E2467">
        <v>20</v>
      </c>
      <c r="F2467">
        <v>200</v>
      </c>
      <c r="G2467">
        <v>200</v>
      </c>
      <c r="H2467">
        <v>2</v>
      </c>
      <c r="I2467">
        <v>6.28</v>
      </c>
      <c r="J2467">
        <v>12.56</v>
      </c>
      <c r="K2467" t="s">
        <v>568</v>
      </c>
      <c r="L2467" t="s">
        <v>1486</v>
      </c>
      <c r="Q2467">
        <v>4</v>
      </c>
      <c r="R2467" t="s">
        <v>1135</v>
      </c>
      <c r="T2467" t="s">
        <v>38</v>
      </c>
      <c r="V2467" t="s">
        <v>921</v>
      </c>
      <c r="W2467" t="s">
        <v>81</v>
      </c>
      <c r="Z2467" t="s">
        <v>1357</v>
      </c>
      <c r="AA2467" t="s">
        <v>39</v>
      </c>
      <c r="AC2467" t="s">
        <v>1487</v>
      </c>
    </row>
    <row r="2468" spans="1:29" x14ac:dyDescent="0.25">
      <c r="A2468">
        <v>410</v>
      </c>
      <c r="B2468" t="s">
        <v>584</v>
      </c>
      <c r="C2468" t="s">
        <v>77</v>
      </c>
      <c r="D2468" t="s">
        <v>572</v>
      </c>
      <c r="E2468">
        <v>20</v>
      </c>
      <c r="F2468">
        <v>400</v>
      </c>
      <c r="G2468">
        <v>780</v>
      </c>
      <c r="H2468">
        <v>2</v>
      </c>
      <c r="I2468">
        <v>48.98</v>
      </c>
      <c r="J2468">
        <v>97.97</v>
      </c>
      <c r="K2468" t="s">
        <v>568</v>
      </c>
      <c r="L2468" t="s">
        <v>1486</v>
      </c>
      <c r="N2468" t="s">
        <v>228</v>
      </c>
      <c r="Q2468">
        <v>4</v>
      </c>
      <c r="R2468" t="s">
        <v>1135</v>
      </c>
      <c r="T2468" t="s">
        <v>38</v>
      </c>
      <c r="V2468" t="s">
        <v>921</v>
      </c>
      <c r="X2468" t="s">
        <v>81</v>
      </c>
      <c r="Z2468" t="s">
        <v>1357</v>
      </c>
      <c r="AA2468" t="s">
        <v>39</v>
      </c>
      <c r="AC2468" t="s">
        <v>1487</v>
      </c>
    </row>
    <row r="2469" spans="1:29" x14ac:dyDescent="0.25">
      <c r="A2469">
        <v>411</v>
      </c>
      <c r="B2469" t="s">
        <v>585</v>
      </c>
      <c r="C2469" t="s">
        <v>77</v>
      </c>
      <c r="D2469" t="s">
        <v>578</v>
      </c>
      <c r="E2469">
        <v>20</v>
      </c>
      <c r="F2469">
        <v>175</v>
      </c>
      <c r="G2469">
        <v>180</v>
      </c>
      <c r="H2469">
        <v>4</v>
      </c>
      <c r="I2469">
        <v>4.58</v>
      </c>
      <c r="J2469">
        <v>18.3</v>
      </c>
      <c r="K2469" t="s">
        <v>568</v>
      </c>
      <c r="L2469" t="s">
        <v>1486</v>
      </c>
      <c r="N2469" t="s">
        <v>228</v>
      </c>
      <c r="Q2469">
        <v>4</v>
      </c>
      <c r="R2469" t="s">
        <v>1135</v>
      </c>
      <c r="T2469" t="s">
        <v>38</v>
      </c>
      <c r="V2469" t="s">
        <v>921</v>
      </c>
      <c r="X2469" t="s">
        <v>81</v>
      </c>
      <c r="Z2469" t="s">
        <v>1357</v>
      </c>
      <c r="AA2469" t="s">
        <v>39</v>
      </c>
      <c r="AC2469" t="s">
        <v>1487</v>
      </c>
    </row>
    <row r="2470" spans="1:29" x14ac:dyDescent="0.25">
      <c r="A2470">
        <v>412</v>
      </c>
      <c r="B2470" t="s">
        <v>1058</v>
      </c>
      <c r="C2470" t="s">
        <v>77</v>
      </c>
      <c r="D2470" t="s">
        <v>588</v>
      </c>
      <c r="E2470">
        <v>20</v>
      </c>
      <c r="F2470">
        <v>326</v>
      </c>
      <c r="G2470">
        <v>500</v>
      </c>
      <c r="H2470">
        <v>2</v>
      </c>
      <c r="I2470">
        <v>21.2</v>
      </c>
      <c r="J2470">
        <v>42.39</v>
      </c>
      <c r="K2470" t="s">
        <v>568</v>
      </c>
      <c r="L2470" t="s">
        <v>1486</v>
      </c>
      <c r="N2470" t="s">
        <v>228</v>
      </c>
      <c r="Q2470">
        <v>4</v>
      </c>
      <c r="R2470" t="s">
        <v>1135</v>
      </c>
      <c r="T2470" t="s">
        <v>38</v>
      </c>
      <c r="V2470" t="s">
        <v>921</v>
      </c>
      <c r="W2470" t="s">
        <v>81</v>
      </c>
      <c r="Z2470" t="s">
        <v>1357</v>
      </c>
      <c r="AA2470" t="s">
        <v>39</v>
      </c>
      <c r="AC2470" t="s">
        <v>1487</v>
      </c>
    </row>
    <row r="2471" spans="1:29" x14ac:dyDescent="0.25">
      <c r="A2471">
        <v>413</v>
      </c>
      <c r="B2471" t="s">
        <v>589</v>
      </c>
      <c r="C2471" t="s">
        <v>77</v>
      </c>
      <c r="D2471" t="s">
        <v>588</v>
      </c>
      <c r="E2471">
        <v>20</v>
      </c>
      <c r="F2471">
        <v>326</v>
      </c>
      <c r="G2471">
        <v>500</v>
      </c>
      <c r="H2471">
        <v>2</v>
      </c>
      <c r="I2471">
        <v>25.59</v>
      </c>
      <c r="J2471">
        <v>51.18</v>
      </c>
      <c r="K2471" t="s">
        <v>568</v>
      </c>
      <c r="L2471" t="s">
        <v>1486</v>
      </c>
      <c r="Q2471">
        <v>4</v>
      </c>
      <c r="R2471" t="s">
        <v>1135</v>
      </c>
      <c r="T2471" t="s">
        <v>38</v>
      </c>
      <c r="V2471" t="s">
        <v>921</v>
      </c>
      <c r="W2471" t="s">
        <v>81</v>
      </c>
      <c r="Z2471" t="s">
        <v>1357</v>
      </c>
      <c r="AA2471" t="s">
        <v>39</v>
      </c>
      <c r="AC2471" t="s">
        <v>1487</v>
      </c>
    </row>
    <row r="2472" spans="1:29" x14ac:dyDescent="0.25">
      <c r="A2472">
        <v>414</v>
      </c>
      <c r="B2472" t="s">
        <v>590</v>
      </c>
      <c r="C2472" t="s">
        <v>77</v>
      </c>
      <c r="D2472" t="s">
        <v>583</v>
      </c>
      <c r="E2472">
        <v>20</v>
      </c>
      <c r="F2472">
        <v>200</v>
      </c>
      <c r="G2472">
        <v>200</v>
      </c>
      <c r="H2472">
        <v>2</v>
      </c>
      <c r="I2472">
        <v>6.28</v>
      </c>
      <c r="J2472">
        <v>12.56</v>
      </c>
      <c r="K2472" t="s">
        <v>568</v>
      </c>
      <c r="L2472" t="s">
        <v>1486</v>
      </c>
      <c r="Q2472">
        <v>4</v>
      </c>
      <c r="R2472" t="s">
        <v>1135</v>
      </c>
      <c r="T2472" t="s">
        <v>38</v>
      </c>
      <c r="V2472" t="s">
        <v>921</v>
      </c>
      <c r="W2472" t="s">
        <v>81</v>
      </c>
      <c r="Z2472" t="s">
        <v>1357</v>
      </c>
      <c r="AA2472" t="s">
        <v>39</v>
      </c>
      <c r="AC2472" t="s">
        <v>1487</v>
      </c>
    </row>
    <row r="2473" spans="1:29" x14ac:dyDescent="0.25">
      <c r="A2473">
        <v>415</v>
      </c>
      <c r="B2473" t="s">
        <v>591</v>
      </c>
      <c r="C2473" t="s">
        <v>77</v>
      </c>
      <c r="D2473" t="s">
        <v>592</v>
      </c>
      <c r="E2473">
        <v>20</v>
      </c>
      <c r="F2473">
        <v>326</v>
      </c>
      <c r="G2473">
        <v>550</v>
      </c>
      <c r="H2473">
        <v>1</v>
      </c>
      <c r="I2473">
        <v>24.95</v>
      </c>
      <c r="J2473">
        <v>24.95</v>
      </c>
      <c r="K2473" t="s">
        <v>568</v>
      </c>
      <c r="L2473" t="s">
        <v>1486</v>
      </c>
      <c r="N2473" t="s">
        <v>228</v>
      </c>
      <c r="Q2473">
        <v>4</v>
      </c>
      <c r="R2473" t="s">
        <v>1135</v>
      </c>
      <c r="T2473" t="s">
        <v>38</v>
      </c>
      <c r="V2473" t="s">
        <v>921</v>
      </c>
      <c r="X2473" t="s">
        <v>81</v>
      </c>
      <c r="Z2473" t="s">
        <v>1357</v>
      </c>
      <c r="AA2473" t="s">
        <v>39</v>
      </c>
      <c r="AC2473" t="s">
        <v>1487</v>
      </c>
    </row>
    <row r="2474" spans="1:29" x14ac:dyDescent="0.25">
      <c r="A2474">
        <v>416</v>
      </c>
      <c r="B2474" t="s">
        <v>593</v>
      </c>
      <c r="C2474" t="s">
        <v>77</v>
      </c>
      <c r="D2474" t="s">
        <v>592</v>
      </c>
      <c r="E2474">
        <v>20</v>
      </c>
      <c r="F2474">
        <v>326</v>
      </c>
      <c r="G2474">
        <v>550</v>
      </c>
      <c r="H2474">
        <v>4</v>
      </c>
      <c r="I2474">
        <v>28.15</v>
      </c>
      <c r="J2474">
        <v>112.6</v>
      </c>
      <c r="K2474" t="s">
        <v>568</v>
      </c>
      <c r="L2474" t="s">
        <v>1486</v>
      </c>
      <c r="Q2474">
        <v>4</v>
      </c>
      <c r="R2474" t="s">
        <v>1135</v>
      </c>
      <c r="T2474" t="s">
        <v>38</v>
      </c>
      <c r="V2474" t="s">
        <v>921</v>
      </c>
      <c r="W2474" t="s">
        <v>81</v>
      </c>
      <c r="Z2474" t="s">
        <v>1357</v>
      </c>
      <c r="AA2474" t="s">
        <v>39</v>
      </c>
      <c r="AC2474" t="s">
        <v>1487</v>
      </c>
    </row>
    <row r="2475" spans="1:29" x14ac:dyDescent="0.25">
      <c r="A2475">
        <v>417</v>
      </c>
      <c r="B2475" t="s">
        <v>594</v>
      </c>
      <c r="C2475" t="s">
        <v>77</v>
      </c>
      <c r="D2475" t="s">
        <v>572</v>
      </c>
      <c r="E2475">
        <v>20</v>
      </c>
      <c r="F2475">
        <v>400</v>
      </c>
      <c r="G2475">
        <v>780</v>
      </c>
      <c r="H2475">
        <v>4</v>
      </c>
      <c r="I2475">
        <v>48.98</v>
      </c>
      <c r="J2475">
        <v>195.94</v>
      </c>
      <c r="K2475" t="s">
        <v>568</v>
      </c>
      <c r="L2475" t="s">
        <v>1486</v>
      </c>
      <c r="N2475" t="s">
        <v>228</v>
      </c>
      <c r="Q2475">
        <v>4</v>
      </c>
      <c r="R2475" t="s">
        <v>1135</v>
      </c>
      <c r="T2475" t="s">
        <v>38</v>
      </c>
      <c r="V2475" t="s">
        <v>921</v>
      </c>
      <c r="X2475" t="s">
        <v>81</v>
      </c>
      <c r="Z2475" t="s">
        <v>1357</v>
      </c>
      <c r="AA2475" t="s">
        <v>39</v>
      </c>
      <c r="AC2475" t="s">
        <v>1487</v>
      </c>
    </row>
    <row r="2476" spans="1:29" x14ac:dyDescent="0.25">
      <c r="A2476">
        <v>418</v>
      </c>
      <c r="B2476" t="s">
        <v>595</v>
      </c>
      <c r="C2476" t="s">
        <v>77</v>
      </c>
      <c r="D2476" t="s">
        <v>576</v>
      </c>
      <c r="E2476">
        <v>20</v>
      </c>
      <c r="F2476">
        <v>326</v>
      </c>
      <c r="G2476">
        <v>525</v>
      </c>
      <c r="H2476">
        <v>4</v>
      </c>
      <c r="I2476">
        <v>23.66</v>
      </c>
      <c r="J2476">
        <v>94.66</v>
      </c>
      <c r="K2476" t="s">
        <v>568</v>
      </c>
      <c r="L2476" t="s">
        <v>1486</v>
      </c>
      <c r="N2476" t="s">
        <v>228</v>
      </c>
      <c r="Q2476">
        <v>4</v>
      </c>
      <c r="R2476" t="s">
        <v>1135</v>
      </c>
      <c r="T2476" t="s">
        <v>38</v>
      </c>
      <c r="V2476" t="s">
        <v>921</v>
      </c>
      <c r="X2476" t="s">
        <v>81</v>
      </c>
      <c r="Z2476" t="s">
        <v>1357</v>
      </c>
      <c r="AA2476" t="s">
        <v>39</v>
      </c>
      <c r="AC2476" t="s">
        <v>1487</v>
      </c>
    </row>
    <row r="2477" spans="1:29" x14ac:dyDescent="0.25">
      <c r="A2477">
        <v>419</v>
      </c>
      <c r="B2477" t="s">
        <v>596</v>
      </c>
      <c r="C2477" t="s">
        <v>77</v>
      </c>
      <c r="D2477" t="s">
        <v>578</v>
      </c>
      <c r="E2477">
        <v>20</v>
      </c>
      <c r="F2477">
        <v>175</v>
      </c>
      <c r="G2477">
        <v>180</v>
      </c>
      <c r="H2477">
        <v>8</v>
      </c>
      <c r="I2477">
        <v>4.58</v>
      </c>
      <c r="J2477">
        <v>36.6</v>
      </c>
      <c r="K2477" t="s">
        <v>568</v>
      </c>
      <c r="L2477" t="s">
        <v>1486</v>
      </c>
      <c r="N2477" t="s">
        <v>228</v>
      </c>
      <c r="Q2477">
        <v>4</v>
      </c>
      <c r="R2477" t="s">
        <v>1135</v>
      </c>
      <c r="T2477" t="s">
        <v>38</v>
      </c>
      <c r="V2477" t="s">
        <v>921</v>
      </c>
      <c r="X2477" t="s">
        <v>81</v>
      </c>
      <c r="Z2477" t="s">
        <v>1357</v>
      </c>
      <c r="AA2477" t="s">
        <v>39</v>
      </c>
      <c r="AC2477" t="s">
        <v>1487</v>
      </c>
    </row>
    <row r="2478" spans="1:29" x14ac:dyDescent="0.25">
      <c r="A2478">
        <v>420</v>
      </c>
      <c r="B2478" t="s">
        <v>597</v>
      </c>
      <c r="C2478" t="s">
        <v>77</v>
      </c>
      <c r="D2478" t="s">
        <v>580</v>
      </c>
      <c r="E2478">
        <v>20</v>
      </c>
      <c r="F2478">
        <v>180</v>
      </c>
      <c r="G2478">
        <v>300</v>
      </c>
      <c r="H2478">
        <v>1</v>
      </c>
      <c r="I2478">
        <v>8.48</v>
      </c>
      <c r="J2478">
        <v>8.48</v>
      </c>
      <c r="K2478" t="s">
        <v>568</v>
      </c>
      <c r="L2478" t="s">
        <v>1486</v>
      </c>
      <c r="Q2478">
        <v>4</v>
      </c>
      <c r="R2478" t="s">
        <v>1135</v>
      </c>
      <c r="T2478" t="s">
        <v>38</v>
      </c>
      <c r="V2478" t="s">
        <v>921</v>
      </c>
      <c r="W2478" t="s">
        <v>81</v>
      </c>
      <c r="Z2478" t="s">
        <v>1357</v>
      </c>
      <c r="AA2478" t="s">
        <v>39</v>
      </c>
      <c r="AC2478" t="s">
        <v>1487</v>
      </c>
    </row>
    <row r="2479" spans="1:29" x14ac:dyDescent="0.25">
      <c r="A2479">
        <v>421</v>
      </c>
      <c r="B2479" t="s">
        <v>598</v>
      </c>
      <c r="C2479" t="s">
        <v>77</v>
      </c>
      <c r="D2479" t="s">
        <v>576</v>
      </c>
      <c r="E2479">
        <v>20</v>
      </c>
      <c r="F2479">
        <v>326</v>
      </c>
      <c r="G2479">
        <v>525</v>
      </c>
      <c r="H2479">
        <v>4</v>
      </c>
      <c r="I2479">
        <v>26.87</v>
      </c>
      <c r="J2479">
        <v>107.48</v>
      </c>
      <c r="K2479" t="s">
        <v>568</v>
      </c>
      <c r="L2479" t="s">
        <v>1486</v>
      </c>
      <c r="Q2479">
        <v>4</v>
      </c>
      <c r="R2479" t="s">
        <v>1135</v>
      </c>
      <c r="T2479" t="s">
        <v>38</v>
      </c>
      <c r="V2479" t="s">
        <v>921</v>
      </c>
      <c r="W2479" t="s">
        <v>81</v>
      </c>
      <c r="Z2479" t="s">
        <v>1357</v>
      </c>
      <c r="AA2479" t="s">
        <v>39</v>
      </c>
      <c r="AC2479" t="s">
        <v>1487</v>
      </c>
    </row>
    <row r="2480" spans="1:29" x14ac:dyDescent="0.25">
      <c r="A2480">
        <v>422</v>
      </c>
      <c r="B2480" t="s">
        <v>599</v>
      </c>
      <c r="C2480" t="s">
        <v>77</v>
      </c>
      <c r="D2480" t="s">
        <v>583</v>
      </c>
      <c r="E2480">
        <v>20</v>
      </c>
      <c r="F2480">
        <v>200</v>
      </c>
      <c r="G2480">
        <v>200</v>
      </c>
      <c r="H2480">
        <v>2</v>
      </c>
      <c r="I2480">
        <v>6.28</v>
      </c>
      <c r="J2480">
        <v>12.56</v>
      </c>
      <c r="K2480" t="s">
        <v>568</v>
      </c>
      <c r="L2480" t="s">
        <v>1486</v>
      </c>
      <c r="Q2480">
        <v>4</v>
      </c>
      <c r="R2480" t="s">
        <v>1135</v>
      </c>
      <c r="T2480" t="s">
        <v>38</v>
      </c>
      <c r="V2480" t="s">
        <v>921</v>
      </c>
      <c r="W2480" t="s">
        <v>81</v>
      </c>
      <c r="Z2480" t="s">
        <v>1357</v>
      </c>
      <c r="AA2480" t="s">
        <v>39</v>
      </c>
      <c r="AC2480" t="s">
        <v>1487</v>
      </c>
    </row>
    <row r="2481" spans="1:29" x14ac:dyDescent="0.25">
      <c r="A2481">
        <v>423</v>
      </c>
      <c r="B2481" t="s">
        <v>601</v>
      </c>
      <c r="C2481" t="s">
        <v>77</v>
      </c>
      <c r="D2481" t="s">
        <v>578</v>
      </c>
      <c r="E2481">
        <v>20</v>
      </c>
      <c r="F2481">
        <v>175</v>
      </c>
      <c r="G2481">
        <v>180</v>
      </c>
      <c r="H2481">
        <v>4</v>
      </c>
      <c r="I2481">
        <v>4.58</v>
      </c>
      <c r="J2481">
        <v>18.3</v>
      </c>
      <c r="K2481" t="s">
        <v>568</v>
      </c>
      <c r="L2481" t="s">
        <v>1486</v>
      </c>
      <c r="N2481" t="s">
        <v>228</v>
      </c>
      <c r="Q2481">
        <v>4</v>
      </c>
      <c r="R2481" t="s">
        <v>1135</v>
      </c>
      <c r="T2481" t="s">
        <v>38</v>
      </c>
      <c r="V2481" t="s">
        <v>921</v>
      </c>
      <c r="X2481" t="s">
        <v>81</v>
      </c>
      <c r="Z2481" t="s">
        <v>1357</v>
      </c>
      <c r="AA2481" t="s">
        <v>39</v>
      </c>
      <c r="AC2481" t="s">
        <v>1487</v>
      </c>
    </row>
    <row r="2482" spans="1:29" x14ac:dyDescent="0.25">
      <c r="A2482">
        <v>424</v>
      </c>
      <c r="B2482" t="s">
        <v>602</v>
      </c>
      <c r="C2482" t="s">
        <v>77</v>
      </c>
      <c r="D2482" t="s">
        <v>580</v>
      </c>
      <c r="E2482">
        <v>20</v>
      </c>
      <c r="F2482">
        <v>180</v>
      </c>
      <c r="G2482">
        <v>300</v>
      </c>
      <c r="H2482">
        <v>1</v>
      </c>
      <c r="I2482">
        <v>8.48</v>
      </c>
      <c r="J2482">
        <v>8.48</v>
      </c>
      <c r="K2482" t="s">
        <v>568</v>
      </c>
      <c r="L2482" t="s">
        <v>1486</v>
      </c>
      <c r="Q2482">
        <v>4</v>
      </c>
      <c r="R2482" t="s">
        <v>1135</v>
      </c>
      <c r="T2482" t="s">
        <v>38</v>
      </c>
      <c r="V2482" t="s">
        <v>921</v>
      </c>
      <c r="W2482" t="s">
        <v>81</v>
      </c>
      <c r="Z2482" t="s">
        <v>1357</v>
      </c>
      <c r="AA2482" t="s">
        <v>39</v>
      </c>
      <c r="AC2482" t="s">
        <v>1487</v>
      </c>
    </row>
    <row r="2483" spans="1:29" x14ac:dyDescent="0.25">
      <c r="A2483">
        <v>425</v>
      </c>
      <c r="B2483" t="s">
        <v>1059</v>
      </c>
      <c r="C2483" t="s">
        <v>77</v>
      </c>
      <c r="D2483" t="s">
        <v>588</v>
      </c>
      <c r="E2483">
        <v>20</v>
      </c>
      <c r="F2483">
        <v>326</v>
      </c>
      <c r="G2483">
        <v>500</v>
      </c>
      <c r="H2483">
        <v>2</v>
      </c>
      <c r="I2483">
        <v>21.2</v>
      </c>
      <c r="J2483">
        <v>42.39</v>
      </c>
      <c r="K2483" t="s">
        <v>568</v>
      </c>
      <c r="L2483" t="s">
        <v>1486</v>
      </c>
      <c r="N2483" t="s">
        <v>228</v>
      </c>
      <c r="Q2483">
        <v>4</v>
      </c>
      <c r="R2483" t="s">
        <v>1135</v>
      </c>
      <c r="T2483" t="s">
        <v>38</v>
      </c>
      <c r="V2483" t="s">
        <v>921</v>
      </c>
      <c r="W2483" t="s">
        <v>81</v>
      </c>
      <c r="Z2483" t="s">
        <v>1357</v>
      </c>
      <c r="AA2483" t="s">
        <v>39</v>
      </c>
      <c r="AC2483" t="s">
        <v>1487</v>
      </c>
    </row>
    <row r="2484" spans="1:29" x14ac:dyDescent="0.25">
      <c r="A2484">
        <v>426</v>
      </c>
      <c r="B2484" t="s">
        <v>604</v>
      </c>
      <c r="C2484" t="s">
        <v>77</v>
      </c>
      <c r="D2484" t="s">
        <v>588</v>
      </c>
      <c r="E2484">
        <v>20</v>
      </c>
      <c r="F2484">
        <v>326</v>
      </c>
      <c r="G2484">
        <v>500</v>
      </c>
      <c r="H2484">
        <v>2</v>
      </c>
      <c r="I2484">
        <v>25.59</v>
      </c>
      <c r="J2484">
        <v>51.18</v>
      </c>
      <c r="K2484" t="s">
        <v>568</v>
      </c>
      <c r="L2484" t="s">
        <v>1486</v>
      </c>
      <c r="Q2484">
        <v>4</v>
      </c>
      <c r="R2484" t="s">
        <v>1135</v>
      </c>
      <c r="T2484" t="s">
        <v>38</v>
      </c>
      <c r="V2484" t="s">
        <v>921</v>
      </c>
      <c r="W2484" t="s">
        <v>81</v>
      </c>
      <c r="Z2484" t="s">
        <v>1357</v>
      </c>
      <c r="AA2484" t="s">
        <v>39</v>
      </c>
      <c r="AC2484" t="s">
        <v>1487</v>
      </c>
    </row>
    <row r="2485" spans="1:29" x14ac:dyDescent="0.25">
      <c r="A2485">
        <v>427</v>
      </c>
      <c r="B2485" t="s">
        <v>605</v>
      </c>
      <c r="C2485" t="s">
        <v>77</v>
      </c>
      <c r="D2485" t="s">
        <v>583</v>
      </c>
      <c r="E2485">
        <v>20</v>
      </c>
      <c r="F2485">
        <v>200</v>
      </c>
      <c r="G2485">
        <v>200</v>
      </c>
      <c r="H2485">
        <v>2</v>
      </c>
      <c r="I2485">
        <v>6.28</v>
      </c>
      <c r="J2485">
        <v>12.56</v>
      </c>
      <c r="K2485" t="s">
        <v>568</v>
      </c>
      <c r="L2485" t="s">
        <v>1486</v>
      </c>
      <c r="Q2485">
        <v>4</v>
      </c>
      <c r="R2485" t="s">
        <v>1135</v>
      </c>
      <c r="T2485" t="s">
        <v>38</v>
      </c>
      <c r="V2485" t="s">
        <v>921</v>
      </c>
      <c r="W2485" t="s">
        <v>81</v>
      </c>
      <c r="Z2485" t="s">
        <v>1357</v>
      </c>
      <c r="AA2485" t="s">
        <v>39</v>
      </c>
      <c r="AC2485" t="s">
        <v>1487</v>
      </c>
    </row>
    <row r="2486" spans="1:29" x14ac:dyDescent="0.25">
      <c r="A2486">
        <v>428</v>
      </c>
      <c r="B2486" t="s">
        <v>606</v>
      </c>
      <c r="C2486" t="s">
        <v>77</v>
      </c>
      <c r="D2486" t="s">
        <v>592</v>
      </c>
      <c r="E2486">
        <v>20</v>
      </c>
      <c r="F2486">
        <v>326</v>
      </c>
      <c r="G2486">
        <v>550</v>
      </c>
      <c r="H2486">
        <v>4</v>
      </c>
      <c r="I2486">
        <v>24.94</v>
      </c>
      <c r="J2486">
        <v>99.78</v>
      </c>
      <c r="K2486" t="s">
        <v>568</v>
      </c>
      <c r="L2486" t="s">
        <v>1486</v>
      </c>
      <c r="N2486" t="s">
        <v>228</v>
      </c>
      <c r="Q2486">
        <v>4</v>
      </c>
      <c r="R2486" t="s">
        <v>1135</v>
      </c>
      <c r="T2486" t="s">
        <v>38</v>
      </c>
      <c r="V2486" t="s">
        <v>921</v>
      </c>
      <c r="X2486" t="s">
        <v>81</v>
      </c>
      <c r="Z2486" t="s">
        <v>1357</v>
      </c>
      <c r="AA2486" t="s">
        <v>39</v>
      </c>
      <c r="AC2486" t="s">
        <v>1487</v>
      </c>
    </row>
    <row r="2487" spans="1:29" x14ac:dyDescent="0.25">
      <c r="A2487">
        <v>429</v>
      </c>
      <c r="B2487" t="s">
        <v>607</v>
      </c>
      <c r="C2487" t="s">
        <v>77</v>
      </c>
      <c r="D2487" t="s">
        <v>592</v>
      </c>
      <c r="E2487">
        <v>20</v>
      </c>
      <c r="F2487">
        <v>326</v>
      </c>
      <c r="G2487">
        <v>550</v>
      </c>
      <c r="H2487">
        <v>4</v>
      </c>
      <c r="I2487">
        <v>28.15</v>
      </c>
      <c r="J2487">
        <v>112.6</v>
      </c>
      <c r="K2487" t="s">
        <v>568</v>
      </c>
      <c r="L2487" t="s">
        <v>1486</v>
      </c>
      <c r="Q2487">
        <v>4</v>
      </c>
      <c r="R2487" t="s">
        <v>1135</v>
      </c>
      <c r="T2487" t="s">
        <v>38</v>
      </c>
      <c r="V2487" t="s">
        <v>921</v>
      </c>
      <c r="W2487" t="s">
        <v>81</v>
      </c>
      <c r="Z2487" t="s">
        <v>1357</v>
      </c>
      <c r="AA2487" t="s">
        <v>39</v>
      </c>
      <c r="AC2487" t="s">
        <v>1487</v>
      </c>
    </row>
    <row r="2488" spans="1:29" x14ac:dyDescent="0.25">
      <c r="A2488">
        <v>430</v>
      </c>
      <c r="B2488" t="s">
        <v>608</v>
      </c>
      <c r="C2488" t="s">
        <v>77</v>
      </c>
      <c r="D2488" t="s">
        <v>609</v>
      </c>
      <c r="E2488">
        <v>20</v>
      </c>
      <c r="F2488">
        <v>348</v>
      </c>
      <c r="G2488">
        <v>350</v>
      </c>
      <c r="H2488">
        <v>2</v>
      </c>
      <c r="I2488">
        <v>14.42</v>
      </c>
      <c r="J2488">
        <v>28.83</v>
      </c>
      <c r="K2488" t="s">
        <v>568</v>
      </c>
      <c r="L2488" t="s">
        <v>1486</v>
      </c>
      <c r="N2488" t="s">
        <v>228</v>
      </c>
      <c r="Q2488">
        <v>4</v>
      </c>
      <c r="R2488" t="s">
        <v>1135</v>
      </c>
      <c r="T2488" t="s">
        <v>38</v>
      </c>
      <c r="V2488" t="s">
        <v>921</v>
      </c>
      <c r="X2488" t="s">
        <v>81</v>
      </c>
      <c r="Z2488" t="s">
        <v>1357</v>
      </c>
      <c r="AA2488" t="s">
        <v>39</v>
      </c>
      <c r="AC2488" t="s">
        <v>1487</v>
      </c>
    </row>
    <row r="2489" spans="1:29" x14ac:dyDescent="0.25">
      <c r="A2489">
        <v>431</v>
      </c>
      <c r="B2489" t="s">
        <v>610</v>
      </c>
      <c r="C2489" t="s">
        <v>77</v>
      </c>
      <c r="D2489" t="s">
        <v>567</v>
      </c>
      <c r="E2489">
        <v>20</v>
      </c>
      <c r="F2489">
        <v>240</v>
      </c>
      <c r="G2489">
        <v>250</v>
      </c>
      <c r="H2489">
        <v>12</v>
      </c>
      <c r="I2489">
        <v>6.68</v>
      </c>
      <c r="J2489">
        <v>80.11</v>
      </c>
      <c r="K2489" t="s">
        <v>568</v>
      </c>
      <c r="L2489" t="s">
        <v>1486</v>
      </c>
      <c r="N2489" t="s">
        <v>228</v>
      </c>
      <c r="Q2489">
        <v>4</v>
      </c>
      <c r="R2489" t="s">
        <v>1135</v>
      </c>
      <c r="T2489" t="s">
        <v>38</v>
      </c>
      <c r="V2489" t="s">
        <v>921</v>
      </c>
      <c r="X2489" t="s">
        <v>81</v>
      </c>
      <c r="Z2489" t="s">
        <v>1357</v>
      </c>
      <c r="AA2489" t="s">
        <v>39</v>
      </c>
      <c r="AC2489" t="s">
        <v>1487</v>
      </c>
    </row>
    <row r="2490" spans="1:29" x14ac:dyDescent="0.25">
      <c r="A2490">
        <v>432</v>
      </c>
      <c r="B2490" t="s">
        <v>611</v>
      </c>
      <c r="C2490" t="s">
        <v>77</v>
      </c>
      <c r="D2490" t="s">
        <v>609</v>
      </c>
      <c r="E2490">
        <v>20</v>
      </c>
      <c r="F2490">
        <v>348</v>
      </c>
      <c r="G2490">
        <v>350</v>
      </c>
      <c r="H2490">
        <v>4</v>
      </c>
      <c r="I2490">
        <v>14.41</v>
      </c>
      <c r="J2490">
        <v>57.65</v>
      </c>
      <c r="K2490" t="s">
        <v>568</v>
      </c>
      <c r="L2490" t="s">
        <v>1486</v>
      </c>
      <c r="N2490" t="s">
        <v>228</v>
      </c>
      <c r="Q2490">
        <v>4</v>
      </c>
      <c r="R2490" t="s">
        <v>1135</v>
      </c>
      <c r="T2490" t="s">
        <v>38</v>
      </c>
      <c r="V2490" t="s">
        <v>921</v>
      </c>
      <c r="X2490" t="s">
        <v>81</v>
      </c>
      <c r="Z2490" t="s">
        <v>1357</v>
      </c>
      <c r="AA2490" t="s">
        <v>39</v>
      </c>
      <c r="AC2490" t="s">
        <v>1487</v>
      </c>
    </row>
    <row r="2491" spans="1:29" x14ac:dyDescent="0.25">
      <c r="A2491">
        <v>433</v>
      </c>
      <c r="B2491" t="s">
        <v>612</v>
      </c>
      <c r="C2491" t="s">
        <v>77</v>
      </c>
      <c r="D2491" t="s">
        <v>567</v>
      </c>
      <c r="E2491">
        <v>20</v>
      </c>
      <c r="F2491">
        <v>240</v>
      </c>
      <c r="G2491">
        <v>250</v>
      </c>
      <c r="H2491">
        <v>16</v>
      </c>
      <c r="I2491">
        <v>6.68</v>
      </c>
      <c r="J2491">
        <v>106.81</v>
      </c>
      <c r="K2491" t="s">
        <v>568</v>
      </c>
      <c r="L2491" t="s">
        <v>1486</v>
      </c>
      <c r="N2491" t="s">
        <v>228</v>
      </c>
      <c r="Q2491">
        <v>4</v>
      </c>
      <c r="R2491" t="s">
        <v>1135</v>
      </c>
      <c r="T2491" t="s">
        <v>38</v>
      </c>
      <c r="V2491" t="s">
        <v>921</v>
      </c>
      <c r="X2491" t="s">
        <v>81</v>
      </c>
      <c r="Z2491" t="s">
        <v>1357</v>
      </c>
      <c r="AA2491" t="s">
        <v>39</v>
      </c>
      <c r="AC2491" t="s">
        <v>1487</v>
      </c>
    </row>
    <row r="2492" spans="1:29" x14ac:dyDescent="0.25">
      <c r="A2492">
        <v>434</v>
      </c>
      <c r="B2492" t="s">
        <v>613</v>
      </c>
      <c r="C2492" t="s">
        <v>77</v>
      </c>
      <c r="D2492" t="s">
        <v>609</v>
      </c>
      <c r="E2492">
        <v>20</v>
      </c>
      <c r="F2492">
        <v>348</v>
      </c>
      <c r="G2492">
        <v>350</v>
      </c>
      <c r="H2492">
        <v>2</v>
      </c>
      <c r="I2492">
        <v>14.42</v>
      </c>
      <c r="J2492">
        <v>28.83</v>
      </c>
      <c r="K2492" t="s">
        <v>568</v>
      </c>
      <c r="L2492" t="s">
        <v>1486</v>
      </c>
      <c r="N2492" t="s">
        <v>228</v>
      </c>
      <c r="Q2492">
        <v>4</v>
      </c>
      <c r="R2492" t="s">
        <v>1135</v>
      </c>
      <c r="T2492" t="s">
        <v>38</v>
      </c>
      <c r="V2492" t="s">
        <v>921</v>
      </c>
      <c r="X2492" t="s">
        <v>81</v>
      </c>
      <c r="Z2492" t="s">
        <v>1357</v>
      </c>
      <c r="AA2492" t="s">
        <v>39</v>
      </c>
      <c r="AC2492" t="s">
        <v>1487</v>
      </c>
    </row>
    <row r="2493" spans="1:29" x14ac:dyDescent="0.25">
      <c r="A2493">
        <v>435</v>
      </c>
      <c r="B2493" t="s">
        <v>614</v>
      </c>
      <c r="C2493" t="s">
        <v>77</v>
      </c>
      <c r="D2493" t="s">
        <v>567</v>
      </c>
      <c r="E2493">
        <v>20</v>
      </c>
      <c r="F2493">
        <v>240</v>
      </c>
      <c r="G2493">
        <v>250</v>
      </c>
      <c r="H2493">
        <v>12</v>
      </c>
      <c r="I2493">
        <v>6.68</v>
      </c>
      <c r="J2493">
        <v>80.11</v>
      </c>
      <c r="K2493" t="s">
        <v>568</v>
      </c>
      <c r="L2493" t="s">
        <v>1486</v>
      </c>
      <c r="N2493" t="s">
        <v>228</v>
      </c>
      <c r="Q2493">
        <v>4</v>
      </c>
      <c r="R2493" t="s">
        <v>1135</v>
      </c>
      <c r="T2493" t="s">
        <v>38</v>
      </c>
      <c r="V2493" t="s">
        <v>921</v>
      </c>
      <c r="X2493" t="s">
        <v>81</v>
      </c>
      <c r="Z2493" t="s">
        <v>1357</v>
      </c>
      <c r="AA2493" t="s">
        <v>39</v>
      </c>
      <c r="AC2493" t="s">
        <v>1487</v>
      </c>
    </row>
    <row r="2494" spans="1:29" x14ac:dyDescent="0.25">
      <c r="A2494">
        <v>436</v>
      </c>
      <c r="B2494" t="s">
        <v>615</v>
      </c>
      <c r="C2494" t="s">
        <v>77</v>
      </c>
      <c r="D2494" t="s">
        <v>567</v>
      </c>
      <c r="E2494">
        <v>20</v>
      </c>
      <c r="F2494">
        <v>240</v>
      </c>
      <c r="G2494">
        <v>250</v>
      </c>
      <c r="H2494">
        <v>8</v>
      </c>
      <c r="I2494">
        <v>6.68</v>
      </c>
      <c r="J2494">
        <v>53.41</v>
      </c>
      <c r="K2494" t="s">
        <v>568</v>
      </c>
      <c r="L2494" t="s">
        <v>1486</v>
      </c>
      <c r="N2494" t="s">
        <v>228</v>
      </c>
      <c r="Q2494">
        <v>4</v>
      </c>
      <c r="R2494" t="s">
        <v>1135</v>
      </c>
      <c r="T2494" t="s">
        <v>38</v>
      </c>
      <c r="V2494" t="s">
        <v>921</v>
      </c>
      <c r="X2494" t="s">
        <v>81</v>
      </c>
      <c r="Z2494" t="s">
        <v>1357</v>
      </c>
      <c r="AA2494" t="s">
        <v>39</v>
      </c>
      <c r="AC2494" t="s">
        <v>1487</v>
      </c>
    </row>
    <row r="2495" spans="1:29" x14ac:dyDescent="0.25">
      <c r="A2495">
        <v>437</v>
      </c>
      <c r="B2495" t="s">
        <v>616</v>
      </c>
      <c r="C2495" t="s">
        <v>77</v>
      </c>
      <c r="D2495" t="s">
        <v>617</v>
      </c>
      <c r="E2495">
        <v>20</v>
      </c>
      <c r="F2495">
        <v>140</v>
      </c>
      <c r="G2495">
        <v>200</v>
      </c>
      <c r="H2495">
        <v>12</v>
      </c>
      <c r="I2495">
        <v>3.95</v>
      </c>
      <c r="J2495">
        <v>47.36</v>
      </c>
      <c r="K2495" t="s">
        <v>568</v>
      </c>
      <c r="L2495" t="s">
        <v>1486</v>
      </c>
      <c r="N2495" t="s">
        <v>228</v>
      </c>
      <c r="Q2495">
        <v>4</v>
      </c>
      <c r="R2495" t="s">
        <v>1135</v>
      </c>
      <c r="T2495" t="s">
        <v>38</v>
      </c>
      <c r="V2495" t="s">
        <v>921</v>
      </c>
      <c r="X2495" t="s">
        <v>81</v>
      </c>
      <c r="Z2495" t="s">
        <v>1357</v>
      </c>
      <c r="AA2495" t="s">
        <v>39</v>
      </c>
      <c r="AC2495" t="s">
        <v>1487</v>
      </c>
    </row>
    <row r="2496" spans="1:29" x14ac:dyDescent="0.25">
      <c r="A2496">
        <v>438</v>
      </c>
      <c r="B2496" t="s">
        <v>618</v>
      </c>
      <c r="C2496" t="s">
        <v>77</v>
      </c>
      <c r="D2496" t="s">
        <v>617</v>
      </c>
      <c r="E2496">
        <v>20</v>
      </c>
      <c r="F2496">
        <v>140</v>
      </c>
      <c r="G2496">
        <v>200</v>
      </c>
      <c r="H2496">
        <v>8</v>
      </c>
      <c r="I2496">
        <v>4.26</v>
      </c>
      <c r="J2496">
        <v>34.04</v>
      </c>
      <c r="K2496" t="s">
        <v>568</v>
      </c>
      <c r="L2496" t="s">
        <v>1486</v>
      </c>
      <c r="N2496" t="s">
        <v>228</v>
      </c>
      <c r="Q2496">
        <v>4</v>
      </c>
      <c r="R2496" t="s">
        <v>1135</v>
      </c>
      <c r="T2496" t="s">
        <v>38</v>
      </c>
      <c r="V2496" t="s">
        <v>921</v>
      </c>
      <c r="X2496" t="s">
        <v>81</v>
      </c>
      <c r="Z2496" t="s">
        <v>1357</v>
      </c>
      <c r="AA2496" t="s">
        <v>39</v>
      </c>
      <c r="AC2496" t="s">
        <v>1487</v>
      </c>
    </row>
    <row r="2497" spans="1:29" x14ac:dyDescent="0.25">
      <c r="A2497">
        <v>439</v>
      </c>
      <c r="B2497" t="s">
        <v>620</v>
      </c>
      <c r="C2497" t="s">
        <v>77</v>
      </c>
      <c r="D2497" t="s">
        <v>617</v>
      </c>
      <c r="E2497">
        <v>20</v>
      </c>
      <c r="F2497">
        <v>140</v>
      </c>
      <c r="G2497">
        <v>200</v>
      </c>
      <c r="H2497">
        <v>8</v>
      </c>
      <c r="I2497">
        <v>3.94</v>
      </c>
      <c r="J2497">
        <v>33.42</v>
      </c>
      <c r="K2497" t="s">
        <v>568</v>
      </c>
      <c r="L2497" t="s">
        <v>1486</v>
      </c>
      <c r="N2497" t="s">
        <v>228</v>
      </c>
      <c r="Q2497">
        <v>4</v>
      </c>
      <c r="R2497" t="s">
        <v>1135</v>
      </c>
      <c r="T2497" t="s">
        <v>38</v>
      </c>
      <c r="V2497" t="s">
        <v>921</v>
      </c>
      <c r="X2497" t="s">
        <v>81</v>
      </c>
      <c r="Z2497" t="s">
        <v>1357</v>
      </c>
      <c r="AA2497" t="s">
        <v>39</v>
      </c>
      <c r="AC2497" t="s">
        <v>1487</v>
      </c>
    </row>
    <row r="2498" spans="1:29" x14ac:dyDescent="0.25">
      <c r="A2498">
        <v>440</v>
      </c>
      <c r="B2498" t="s">
        <v>621</v>
      </c>
      <c r="C2498" t="s">
        <v>77</v>
      </c>
      <c r="D2498" t="s">
        <v>617</v>
      </c>
      <c r="E2498">
        <v>20</v>
      </c>
      <c r="F2498">
        <v>140</v>
      </c>
      <c r="G2498">
        <v>200</v>
      </c>
      <c r="H2498">
        <v>8</v>
      </c>
      <c r="I2498">
        <v>3.95</v>
      </c>
      <c r="J2498">
        <v>31.57</v>
      </c>
      <c r="K2498" t="s">
        <v>568</v>
      </c>
      <c r="L2498" t="s">
        <v>1486</v>
      </c>
      <c r="N2498" t="s">
        <v>228</v>
      </c>
      <c r="Q2498">
        <v>4</v>
      </c>
      <c r="R2498" t="s">
        <v>1135</v>
      </c>
      <c r="T2498" t="s">
        <v>38</v>
      </c>
      <c r="V2498" t="s">
        <v>921</v>
      </c>
      <c r="X2498" t="s">
        <v>81</v>
      </c>
      <c r="Z2498" t="s">
        <v>1357</v>
      </c>
      <c r="AA2498" t="s">
        <v>39</v>
      </c>
      <c r="AC2498" t="s">
        <v>1487</v>
      </c>
    </row>
    <row r="2499" spans="1:29" x14ac:dyDescent="0.25">
      <c r="A2499">
        <v>441</v>
      </c>
      <c r="B2499" t="s">
        <v>622</v>
      </c>
      <c r="C2499" t="s">
        <v>77</v>
      </c>
      <c r="D2499" t="s">
        <v>617</v>
      </c>
      <c r="E2499">
        <v>20</v>
      </c>
      <c r="F2499">
        <v>140</v>
      </c>
      <c r="G2499">
        <v>200</v>
      </c>
      <c r="H2499">
        <v>8</v>
      </c>
      <c r="I2499">
        <v>3.95</v>
      </c>
      <c r="J2499">
        <v>31.57</v>
      </c>
      <c r="K2499" t="s">
        <v>568</v>
      </c>
      <c r="L2499" t="s">
        <v>1486</v>
      </c>
      <c r="N2499" t="s">
        <v>228</v>
      </c>
      <c r="Q2499">
        <v>4</v>
      </c>
      <c r="R2499" t="s">
        <v>1135</v>
      </c>
      <c r="T2499" t="s">
        <v>38</v>
      </c>
      <c r="V2499" t="s">
        <v>921</v>
      </c>
      <c r="X2499" t="s">
        <v>81</v>
      </c>
      <c r="Z2499" t="s">
        <v>1357</v>
      </c>
      <c r="AA2499" t="s">
        <v>39</v>
      </c>
      <c r="AC2499" t="s">
        <v>1487</v>
      </c>
    </row>
    <row r="2500" spans="1:29" x14ac:dyDescent="0.25">
      <c r="A2500">
        <v>442</v>
      </c>
      <c r="B2500" t="s">
        <v>623</v>
      </c>
      <c r="C2500" t="s">
        <v>77</v>
      </c>
      <c r="D2500" t="s">
        <v>617</v>
      </c>
      <c r="E2500">
        <v>20</v>
      </c>
      <c r="F2500">
        <v>140</v>
      </c>
      <c r="G2500">
        <v>200</v>
      </c>
      <c r="H2500">
        <v>8</v>
      </c>
      <c r="I2500">
        <v>3.95</v>
      </c>
      <c r="J2500">
        <v>31.57</v>
      </c>
      <c r="K2500" t="s">
        <v>568</v>
      </c>
      <c r="L2500" t="s">
        <v>1486</v>
      </c>
      <c r="N2500" t="s">
        <v>228</v>
      </c>
      <c r="Q2500">
        <v>4</v>
      </c>
      <c r="R2500" t="s">
        <v>1135</v>
      </c>
      <c r="T2500" t="s">
        <v>38</v>
      </c>
      <c r="V2500" t="s">
        <v>921</v>
      </c>
      <c r="X2500" t="s">
        <v>81</v>
      </c>
      <c r="Z2500" t="s">
        <v>1357</v>
      </c>
      <c r="AA2500" t="s">
        <v>39</v>
      </c>
      <c r="AC2500" t="s">
        <v>1487</v>
      </c>
    </row>
    <row r="2501" spans="1:29" x14ac:dyDescent="0.25">
      <c r="A2501">
        <v>443</v>
      </c>
      <c r="B2501" t="s">
        <v>624</v>
      </c>
      <c r="C2501" t="s">
        <v>77</v>
      </c>
      <c r="D2501" t="s">
        <v>617</v>
      </c>
      <c r="E2501">
        <v>20</v>
      </c>
      <c r="F2501">
        <v>140</v>
      </c>
      <c r="G2501">
        <v>200</v>
      </c>
      <c r="H2501">
        <v>8</v>
      </c>
      <c r="I2501">
        <v>3.95</v>
      </c>
      <c r="J2501">
        <v>31.57</v>
      </c>
      <c r="K2501" t="s">
        <v>568</v>
      </c>
      <c r="L2501" t="s">
        <v>1486</v>
      </c>
      <c r="N2501" t="s">
        <v>228</v>
      </c>
      <c r="Q2501">
        <v>4</v>
      </c>
      <c r="R2501" t="s">
        <v>1135</v>
      </c>
      <c r="T2501" t="s">
        <v>38</v>
      </c>
      <c r="V2501" t="s">
        <v>921</v>
      </c>
      <c r="X2501" t="s">
        <v>81</v>
      </c>
      <c r="Z2501" t="s">
        <v>1357</v>
      </c>
      <c r="AA2501" t="s">
        <v>39</v>
      </c>
      <c r="AC2501" t="s">
        <v>1487</v>
      </c>
    </row>
    <row r="2502" spans="1:29" x14ac:dyDescent="0.25">
      <c r="A2502">
        <v>444</v>
      </c>
      <c r="B2502" t="s">
        <v>625</v>
      </c>
      <c r="C2502" t="s">
        <v>77</v>
      </c>
      <c r="D2502" t="s">
        <v>617</v>
      </c>
      <c r="E2502">
        <v>20</v>
      </c>
      <c r="F2502">
        <v>140</v>
      </c>
      <c r="G2502">
        <v>200</v>
      </c>
      <c r="H2502">
        <v>8</v>
      </c>
      <c r="I2502">
        <v>3.95</v>
      </c>
      <c r="J2502">
        <v>31.57</v>
      </c>
      <c r="K2502" t="s">
        <v>568</v>
      </c>
      <c r="L2502" t="s">
        <v>1486</v>
      </c>
      <c r="N2502" t="s">
        <v>228</v>
      </c>
      <c r="Q2502">
        <v>4</v>
      </c>
      <c r="R2502" t="s">
        <v>1135</v>
      </c>
      <c r="T2502" t="s">
        <v>38</v>
      </c>
      <c r="V2502" t="s">
        <v>921</v>
      </c>
      <c r="X2502" t="s">
        <v>81</v>
      </c>
      <c r="Z2502" t="s">
        <v>1357</v>
      </c>
      <c r="AA2502" t="s">
        <v>39</v>
      </c>
      <c r="AC2502" t="s">
        <v>1487</v>
      </c>
    </row>
    <row r="2503" spans="1:29" x14ac:dyDescent="0.25">
      <c r="A2503">
        <v>445</v>
      </c>
      <c r="B2503" t="s">
        <v>626</v>
      </c>
      <c r="C2503" t="s">
        <v>77</v>
      </c>
      <c r="D2503" t="s">
        <v>617</v>
      </c>
      <c r="E2503">
        <v>20</v>
      </c>
      <c r="F2503">
        <v>140</v>
      </c>
      <c r="G2503">
        <v>200</v>
      </c>
      <c r="H2503">
        <v>12</v>
      </c>
      <c r="I2503">
        <v>3.95</v>
      </c>
      <c r="J2503">
        <v>47.36</v>
      </c>
      <c r="K2503" t="s">
        <v>568</v>
      </c>
      <c r="L2503" t="s">
        <v>1486</v>
      </c>
      <c r="N2503" t="s">
        <v>228</v>
      </c>
      <c r="Q2503">
        <v>4</v>
      </c>
      <c r="R2503" t="s">
        <v>1135</v>
      </c>
      <c r="T2503" t="s">
        <v>38</v>
      </c>
      <c r="V2503" t="s">
        <v>921</v>
      </c>
      <c r="X2503" t="s">
        <v>81</v>
      </c>
      <c r="Z2503" t="s">
        <v>1357</v>
      </c>
      <c r="AA2503" t="s">
        <v>39</v>
      </c>
      <c r="AC2503" t="s">
        <v>1487</v>
      </c>
    </row>
    <row r="2504" spans="1:29" x14ac:dyDescent="0.25">
      <c r="A2504">
        <v>446</v>
      </c>
      <c r="B2504" t="s">
        <v>591</v>
      </c>
      <c r="C2504" t="s">
        <v>77</v>
      </c>
      <c r="D2504" t="s">
        <v>592</v>
      </c>
      <c r="E2504">
        <v>20</v>
      </c>
      <c r="F2504">
        <v>326</v>
      </c>
      <c r="G2504">
        <v>550</v>
      </c>
      <c r="H2504">
        <v>1</v>
      </c>
      <c r="I2504">
        <v>24.95</v>
      </c>
      <c r="J2504">
        <v>24.95</v>
      </c>
      <c r="K2504" t="s">
        <v>1488</v>
      </c>
      <c r="L2504" t="s">
        <v>1489</v>
      </c>
      <c r="N2504" t="s">
        <v>228</v>
      </c>
      <c r="Q2504">
        <v>4</v>
      </c>
      <c r="R2504" t="s">
        <v>1135</v>
      </c>
      <c r="T2504" t="s">
        <v>38</v>
      </c>
      <c r="V2504" t="s">
        <v>921</v>
      </c>
      <c r="X2504" t="s">
        <v>81</v>
      </c>
      <c r="Z2504" t="s">
        <v>1357</v>
      </c>
      <c r="AA2504" t="s">
        <v>1490</v>
      </c>
      <c r="AC2504" t="s">
        <v>1491</v>
      </c>
    </row>
    <row r="2505" spans="1:29" x14ac:dyDescent="0.25">
      <c r="A2505">
        <v>447</v>
      </c>
      <c r="B2505" t="s">
        <v>600</v>
      </c>
      <c r="C2505" t="s">
        <v>77</v>
      </c>
      <c r="D2505" t="s">
        <v>572</v>
      </c>
      <c r="E2505">
        <v>20</v>
      </c>
      <c r="F2505">
        <v>400</v>
      </c>
      <c r="G2505">
        <v>780</v>
      </c>
      <c r="H2505">
        <v>2</v>
      </c>
      <c r="I2505">
        <v>48.98</v>
      </c>
      <c r="J2505">
        <v>97.97</v>
      </c>
      <c r="K2505" t="s">
        <v>1488</v>
      </c>
      <c r="L2505" t="s">
        <v>1489</v>
      </c>
      <c r="N2505" t="s">
        <v>228</v>
      </c>
      <c r="Q2505">
        <v>4</v>
      </c>
      <c r="R2505" t="s">
        <v>1135</v>
      </c>
      <c r="T2505" t="s">
        <v>38</v>
      </c>
      <c r="V2505" t="s">
        <v>921</v>
      </c>
      <c r="X2505" t="s">
        <v>81</v>
      </c>
      <c r="Z2505" t="s">
        <v>1357</v>
      </c>
      <c r="AA2505" t="s">
        <v>1490</v>
      </c>
      <c r="AC2505" t="s">
        <v>1491</v>
      </c>
    </row>
    <row r="2506" spans="1:29" x14ac:dyDescent="0.25">
      <c r="A2506">
        <v>448</v>
      </c>
      <c r="B2506" t="s">
        <v>619</v>
      </c>
      <c r="C2506" t="s">
        <v>77</v>
      </c>
      <c r="D2506" t="s">
        <v>617</v>
      </c>
      <c r="E2506">
        <v>20</v>
      </c>
      <c r="F2506">
        <v>140</v>
      </c>
      <c r="G2506">
        <v>200</v>
      </c>
      <c r="H2506">
        <v>8</v>
      </c>
      <c r="I2506">
        <v>4.26</v>
      </c>
      <c r="J2506">
        <v>34.04</v>
      </c>
      <c r="K2506" t="s">
        <v>1488</v>
      </c>
      <c r="L2506" t="s">
        <v>1489</v>
      </c>
      <c r="N2506" t="s">
        <v>228</v>
      </c>
      <c r="Q2506">
        <v>4</v>
      </c>
      <c r="R2506" t="s">
        <v>1135</v>
      </c>
      <c r="T2506" t="s">
        <v>38</v>
      </c>
      <c r="V2506" t="s">
        <v>921</v>
      </c>
      <c r="X2506" t="s">
        <v>81</v>
      </c>
      <c r="Z2506" t="s">
        <v>1357</v>
      </c>
      <c r="AA2506" t="s">
        <v>1490</v>
      </c>
      <c r="AC2506" t="s">
        <v>1491</v>
      </c>
    </row>
    <row r="2507" spans="1:29" x14ac:dyDescent="0.25">
      <c r="A2507">
        <v>449</v>
      </c>
      <c r="B2507" t="s">
        <v>579</v>
      </c>
      <c r="C2507" t="s">
        <v>77</v>
      </c>
      <c r="D2507" t="s">
        <v>580</v>
      </c>
      <c r="E2507">
        <v>20</v>
      </c>
      <c r="F2507">
        <v>180</v>
      </c>
      <c r="G2507">
        <v>300</v>
      </c>
      <c r="H2507">
        <v>1</v>
      </c>
      <c r="I2507">
        <v>8.48</v>
      </c>
      <c r="J2507">
        <v>8.48</v>
      </c>
      <c r="K2507" t="s">
        <v>1492</v>
      </c>
      <c r="L2507" t="s">
        <v>1493</v>
      </c>
      <c r="Q2507">
        <v>4</v>
      </c>
      <c r="R2507" t="s">
        <v>1135</v>
      </c>
      <c r="T2507" t="s">
        <v>38</v>
      </c>
      <c r="V2507" t="s">
        <v>921</v>
      </c>
      <c r="W2507" t="s">
        <v>81</v>
      </c>
      <c r="Z2507" t="s">
        <v>1357</v>
      </c>
      <c r="AA2507" t="s">
        <v>1494</v>
      </c>
      <c r="AC2507" t="s">
        <v>1495</v>
      </c>
    </row>
    <row r="2508" spans="1:29" x14ac:dyDescent="0.25">
      <c r="A2508">
        <v>450</v>
      </c>
      <c r="B2508" t="s">
        <v>586</v>
      </c>
      <c r="C2508" t="s">
        <v>77</v>
      </c>
      <c r="D2508" t="s">
        <v>580</v>
      </c>
      <c r="E2508">
        <v>20</v>
      </c>
      <c r="F2508">
        <v>180</v>
      </c>
      <c r="G2508">
        <v>300</v>
      </c>
      <c r="H2508">
        <v>1</v>
      </c>
      <c r="I2508">
        <v>8.48</v>
      </c>
      <c r="J2508">
        <v>8.48</v>
      </c>
      <c r="K2508" t="s">
        <v>1492</v>
      </c>
      <c r="L2508" t="s">
        <v>1493</v>
      </c>
      <c r="Q2508">
        <v>4</v>
      </c>
      <c r="R2508" t="s">
        <v>1135</v>
      </c>
      <c r="T2508" t="s">
        <v>38</v>
      </c>
      <c r="V2508" t="s">
        <v>921</v>
      </c>
      <c r="W2508" t="s">
        <v>81</v>
      </c>
      <c r="Z2508" t="s">
        <v>1357</v>
      </c>
      <c r="AA2508" t="s">
        <v>1494</v>
      </c>
      <c r="AC2508" t="s">
        <v>1495</v>
      </c>
    </row>
    <row r="2509" spans="1:29" x14ac:dyDescent="0.25">
      <c r="A2509">
        <v>451</v>
      </c>
      <c r="B2509" t="s">
        <v>591</v>
      </c>
      <c r="C2509" t="s">
        <v>77</v>
      </c>
      <c r="D2509" t="s">
        <v>592</v>
      </c>
      <c r="E2509">
        <v>20</v>
      </c>
      <c r="F2509">
        <v>326</v>
      </c>
      <c r="G2509">
        <v>550</v>
      </c>
      <c r="H2509">
        <v>2</v>
      </c>
      <c r="I2509">
        <v>24.94</v>
      </c>
      <c r="J2509">
        <v>49.89</v>
      </c>
      <c r="K2509" t="s">
        <v>1492</v>
      </c>
      <c r="L2509" t="s">
        <v>1493</v>
      </c>
      <c r="N2509" t="s">
        <v>228</v>
      </c>
      <c r="Q2509">
        <v>4</v>
      </c>
      <c r="R2509" t="s">
        <v>1135</v>
      </c>
      <c r="T2509" t="s">
        <v>38</v>
      </c>
      <c r="V2509" t="s">
        <v>921</v>
      </c>
      <c r="X2509" t="s">
        <v>81</v>
      </c>
      <c r="Z2509" t="s">
        <v>1357</v>
      </c>
      <c r="AA2509" t="s">
        <v>1494</v>
      </c>
      <c r="AC2509" t="s">
        <v>1495</v>
      </c>
    </row>
    <row r="2510" spans="1:29" x14ac:dyDescent="0.25">
      <c r="A2510">
        <v>452</v>
      </c>
      <c r="B2510" t="s">
        <v>663</v>
      </c>
      <c r="C2510" t="s">
        <v>77</v>
      </c>
      <c r="D2510" t="s">
        <v>664</v>
      </c>
      <c r="E2510">
        <v>25</v>
      </c>
      <c r="F2510">
        <v>250</v>
      </c>
      <c r="G2510">
        <v>300</v>
      </c>
      <c r="H2510">
        <v>8</v>
      </c>
      <c r="I2510">
        <v>13.65</v>
      </c>
      <c r="J2510">
        <v>109.2</v>
      </c>
      <c r="K2510" t="s">
        <v>629</v>
      </c>
      <c r="L2510" t="s">
        <v>1496</v>
      </c>
      <c r="N2510" t="s">
        <v>228</v>
      </c>
      <c r="Q2510">
        <v>4</v>
      </c>
      <c r="R2510" t="s">
        <v>1135</v>
      </c>
      <c r="T2510" t="s">
        <v>38</v>
      </c>
      <c r="V2510" t="s">
        <v>921</v>
      </c>
      <c r="X2510" t="s">
        <v>81</v>
      </c>
      <c r="Z2510" t="s">
        <v>1357</v>
      </c>
      <c r="AA2510" t="s">
        <v>1283</v>
      </c>
      <c r="AC2510" t="s">
        <v>1497</v>
      </c>
    </row>
    <row r="2511" spans="1:29" x14ac:dyDescent="0.25">
      <c r="A2511">
        <v>453</v>
      </c>
      <c r="B2511" t="s">
        <v>669</v>
      </c>
      <c r="C2511" t="s">
        <v>77</v>
      </c>
      <c r="D2511" t="s">
        <v>668</v>
      </c>
      <c r="E2511">
        <v>25</v>
      </c>
      <c r="F2511">
        <v>240</v>
      </c>
      <c r="G2511">
        <v>300</v>
      </c>
      <c r="H2511">
        <v>8</v>
      </c>
      <c r="I2511">
        <v>13.74</v>
      </c>
      <c r="J2511">
        <v>109.96</v>
      </c>
      <c r="K2511" t="s">
        <v>629</v>
      </c>
      <c r="L2511" t="s">
        <v>1496</v>
      </c>
      <c r="N2511" t="s">
        <v>228</v>
      </c>
      <c r="Q2511">
        <v>4</v>
      </c>
      <c r="R2511" t="s">
        <v>1135</v>
      </c>
      <c r="T2511" t="s">
        <v>38</v>
      </c>
      <c r="V2511" t="s">
        <v>921</v>
      </c>
      <c r="X2511" t="s">
        <v>81</v>
      </c>
      <c r="Z2511" t="s">
        <v>1357</v>
      </c>
      <c r="AA2511" t="s">
        <v>1283</v>
      </c>
      <c r="AC2511" t="s">
        <v>1497</v>
      </c>
    </row>
    <row r="2512" spans="1:29" x14ac:dyDescent="0.25">
      <c r="A2512">
        <v>454</v>
      </c>
      <c r="B2512" t="s">
        <v>667</v>
      </c>
      <c r="C2512" t="s">
        <v>77</v>
      </c>
      <c r="D2512" t="s">
        <v>668</v>
      </c>
      <c r="E2512">
        <v>25</v>
      </c>
      <c r="F2512">
        <v>240</v>
      </c>
      <c r="G2512">
        <v>300</v>
      </c>
      <c r="H2512">
        <v>5</v>
      </c>
      <c r="I2512">
        <v>12.88</v>
      </c>
      <c r="J2512">
        <v>64.41</v>
      </c>
      <c r="K2512" t="s">
        <v>629</v>
      </c>
      <c r="L2512" t="s">
        <v>1496</v>
      </c>
      <c r="N2512" t="s">
        <v>228</v>
      </c>
      <c r="Q2512">
        <v>4</v>
      </c>
      <c r="R2512" t="s">
        <v>1135</v>
      </c>
      <c r="T2512" t="s">
        <v>38</v>
      </c>
      <c r="V2512" t="s">
        <v>921</v>
      </c>
      <c r="X2512" t="s">
        <v>81</v>
      </c>
      <c r="Z2512" t="s">
        <v>1357</v>
      </c>
      <c r="AA2512" t="s">
        <v>1283</v>
      </c>
      <c r="AC2512" t="s">
        <v>1497</v>
      </c>
    </row>
    <row r="2513" spans="1:29" x14ac:dyDescent="0.25">
      <c r="A2513">
        <v>455</v>
      </c>
      <c r="B2513" t="s">
        <v>1068</v>
      </c>
      <c r="C2513" t="s">
        <v>77</v>
      </c>
      <c r="D2513" t="s">
        <v>635</v>
      </c>
      <c r="E2513">
        <v>25</v>
      </c>
      <c r="F2513">
        <v>120</v>
      </c>
      <c r="G2513">
        <v>240</v>
      </c>
      <c r="H2513">
        <v>8</v>
      </c>
      <c r="I2513">
        <v>5.27</v>
      </c>
      <c r="J2513">
        <v>42.13</v>
      </c>
      <c r="K2513" t="s">
        <v>629</v>
      </c>
      <c r="L2513" t="s">
        <v>1496</v>
      </c>
      <c r="N2513" t="s">
        <v>228</v>
      </c>
      <c r="Q2513">
        <v>4</v>
      </c>
      <c r="R2513" t="s">
        <v>1135</v>
      </c>
      <c r="T2513" t="s">
        <v>38</v>
      </c>
      <c r="V2513" t="s">
        <v>921</v>
      </c>
      <c r="X2513" t="s">
        <v>81</v>
      </c>
      <c r="Z2513" t="s">
        <v>1357</v>
      </c>
      <c r="AA2513" t="s">
        <v>1283</v>
      </c>
      <c r="AC2513" t="s">
        <v>1497</v>
      </c>
    </row>
    <row r="2514" spans="1:29" x14ac:dyDescent="0.25">
      <c r="A2514">
        <v>456</v>
      </c>
      <c r="B2514" t="s">
        <v>672</v>
      </c>
      <c r="C2514" t="s">
        <v>77</v>
      </c>
      <c r="D2514" t="s">
        <v>668</v>
      </c>
      <c r="E2514">
        <v>25</v>
      </c>
      <c r="F2514">
        <v>240</v>
      </c>
      <c r="G2514">
        <v>300</v>
      </c>
      <c r="H2514">
        <v>4</v>
      </c>
      <c r="I2514">
        <v>13.74</v>
      </c>
      <c r="J2514">
        <v>54.98</v>
      </c>
      <c r="K2514" t="s">
        <v>629</v>
      </c>
      <c r="L2514" t="s">
        <v>1496</v>
      </c>
      <c r="N2514" t="s">
        <v>228</v>
      </c>
      <c r="Q2514">
        <v>4</v>
      </c>
      <c r="R2514" t="s">
        <v>1135</v>
      </c>
      <c r="T2514" t="s">
        <v>38</v>
      </c>
      <c r="V2514" t="s">
        <v>921</v>
      </c>
      <c r="X2514" t="s">
        <v>81</v>
      </c>
      <c r="Z2514" t="s">
        <v>1357</v>
      </c>
      <c r="AA2514" t="s">
        <v>1283</v>
      </c>
      <c r="AC2514" t="s">
        <v>1497</v>
      </c>
    </row>
    <row r="2515" spans="1:29" x14ac:dyDescent="0.25">
      <c r="A2515">
        <v>457</v>
      </c>
      <c r="B2515" t="s">
        <v>670</v>
      </c>
      <c r="C2515" t="s">
        <v>77</v>
      </c>
      <c r="D2515" t="s">
        <v>668</v>
      </c>
      <c r="E2515">
        <v>25</v>
      </c>
      <c r="F2515">
        <v>240</v>
      </c>
      <c r="G2515">
        <v>300</v>
      </c>
      <c r="H2515">
        <v>4</v>
      </c>
      <c r="I2515">
        <v>12.88</v>
      </c>
      <c r="J2515">
        <v>51.53</v>
      </c>
      <c r="K2515" t="s">
        <v>629</v>
      </c>
      <c r="L2515" t="s">
        <v>1496</v>
      </c>
      <c r="N2515" t="s">
        <v>228</v>
      </c>
      <c r="Q2515">
        <v>4</v>
      </c>
      <c r="R2515" t="s">
        <v>1135</v>
      </c>
      <c r="T2515" t="s">
        <v>38</v>
      </c>
      <c r="V2515" t="s">
        <v>921</v>
      </c>
      <c r="X2515" t="s">
        <v>81</v>
      </c>
      <c r="Z2515" t="s">
        <v>1357</v>
      </c>
      <c r="AA2515" t="s">
        <v>1283</v>
      </c>
      <c r="AC2515" t="s">
        <v>1497</v>
      </c>
    </row>
    <row r="2516" spans="1:29" x14ac:dyDescent="0.25">
      <c r="A2516">
        <v>458</v>
      </c>
      <c r="B2516" t="s">
        <v>1072</v>
      </c>
      <c r="C2516" t="s">
        <v>77</v>
      </c>
      <c r="D2516" t="s">
        <v>635</v>
      </c>
      <c r="E2516">
        <v>25</v>
      </c>
      <c r="F2516">
        <v>120</v>
      </c>
      <c r="G2516">
        <v>240</v>
      </c>
      <c r="H2516">
        <v>4</v>
      </c>
      <c r="I2516">
        <v>5.27</v>
      </c>
      <c r="J2516">
        <v>21.07</v>
      </c>
      <c r="K2516" t="s">
        <v>629</v>
      </c>
      <c r="L2516" t="s">
        <v>1496</v>
      </c>
      <c r="N2516" t="s">
        <v>228</v>
      </c>
      <c r="Q2516">
        <v>4</v>
      </c>
      <c r="R2516" t="s">
        <v>1135</v>
      </c>
      <c r="T2516" t="s">
        <v>38</v>
      </c>
      <c r="V2516" t="s">
        <v>921</v>
      </c>
      <c r="X2516" t="s">
        <v>81</v>
      </c>
      <c r="Z2516" t="s">
        <v>1357</v>
      </c>
      <c r="AA2516" t="s">
        <v>1283</v>
      </c>
      <c r="AC2516" t="s">
        <v>1497</v>
      </c>
    </row>
    <row r="2517" spans="1:29" x14ac:dyDescent="0.25">
      <c r="A2517">
        <v>459</v>
      </c>
      <c r="B2517" t="s">
        <v>652</v>
      </c>
      <c r="C2517" t="s">
        <v>77</v>
      </c>
      <c r="D2517" t="s">
        <v>640</v>
      </c>
      <c r="E2517">
        <v>25</v>
      </c>
      <c r="F2517">
        <v>443</v>
      </c>
      <c r="G2517">
        <v>525</v>
      </c>
      <c r="H2517">
        <v>2</v>
      </c>
      <c r="I2517">
        <v>41.64</v>
      </c>
      <c r="J2517">
        <v>83.27</v>
      </c>
      <c r="K2517" t="s">
        <v>629</v>
      </c>
      <c r="L2517" t="s">
        <v>1496</v>
      </c>
      <c r="N2517" t="s">
        <v>228</v>
      </c>
      <c r="Q2517">
        <v>4</v>
      </c>
      <c r="R2517" t="s">
        <v>1135</v>
      </c>
      <c r="T2517" t="s">
        <v>38</v>
      </c>
      <c r="V2517" t="s">
        <v>921</v>
      </c>
      <c r="X2517" t="s">
        <v>81</v>
      </c>
      <c r="Z2517" t="s">
        <v>1357</v>
      </c>
      <c r="AA2517" t="s">
        <v>1283</v>
      </c>
      <c r="AC2517" t="s">
        <v>1497</v>
      </c>
    </row>
    <row r="2518" spans="1:29" x14ac:dyDescent="0.25">
      <c r="A2518">
        <v>460</v>
      </c>
      <c r="B2518" t="s">
        <v>647</v>
      </c>
      <c r="C2518" t="s">
        <v>77</v>
      </c>
      <c r="D2518" t="s">
        <v>640</v>
      </c>
      <c r="E2518">
        <v>25</v>
      </c>
      <c r="F2518">
        <v>443</v>
      </c>
      <c r="G2518">
        <v>525</v>
      </c>
      <c r="H2518">
        <v>2</v>
      </c>
      <c r="I2518">
        <v>45.64</v>
      </c>
      <c r="J2518">
        <v>91.29</v>
      </c>
      <c r="K2518" t="s">
        <v>629</v>
      </c>
      <c r="L2518" t="s">
        <v>1496</v>
      </c>
      <c r="Q2518">
        <v>4</v>
      </c>
      <c r="R2518" t="s">
        <v>1135</v>
      </c>
      <c r="T2518" t="s">
        <v>38</v>
      </c>
      <c r="V2518" t="s">
        <v>921</v>
      </c>
      <c r="W2518" t="s">
        <v>81</v>
      </c>
      <c r="Z2518" t="s">
        <v>1357</v>
      </c>
      <c r="AA2518" t="s">
        <v>1283</v>
      </c>
      <c r="AC2518" t="s">
        <v>1497</v>
      </c>
    </row>
    <row r="2519" spans="1:29" x14ac:dyDescent="0.25">
      <c r="A2519">
        <v>461</v>
      </c>
      <c r="B2519" t="s">
        <v>650</v>
      </c>
      <c r="C2519" t="s">
        <v>77</v>
      </c>
      <c r="D2519" t="s">
        <v>651</v>
      </c>
      <c r="E2519">
        <v>25</v>
      </c>
      <c r="F2519">
        <v>200</v>
      </c>
      <c r="G2519">
        <v>200</v>
      </c>
      <c r="H2519">
        <v>1</v>
      </c>
      <c r="I2519">
        <v>7.85</v>
      </c>
      <c r="J2519">
        <v>7.85</v>
      </c>
      <c r="K2519" t="s">
        <v>629</v>
      </c>
      <c r="L2519" t="s">
        <v>1496</v>
      </c>
      <c r="Q2519">
        <v>4</v>
      </c>
      <c r="R2519" t="s">
        <v>1135</v>
      </c>
      <c r="T2519" t="s">
        <v>38</v>
      </c>
      <c r="V2519" t="s">
        <v>921</v>
      </c>
      <c r="W2519" t="s">
        <v>81</v>
      </c>
      <c r="Z2519" t="s">
        <v>1357</v>
      </c>
      <c r="AA2519" t="s">
        <v>1283</v>
      </c>
      <c r="AC2519" t="s">
        <v>1497</v>
      </c>
    </row>
    <row r="2520" spans="1:29" x14ac:dyDescent="0.25">
      <c r="A2520">
        <v>462</v>
      </c>
      <c r="B2520" t="s">
        <v>654</v>
      </c>
      <c r="C2520" t="s">
        <v>77</v>
      </c>
      <c r="D2520" t="s">
        <v>651</v>
      </c>
      <c r="E2520">
        <v>25</v>
      </c>
      <c r="F2520">
        <v>200</v>
      </c>
      <c r="G2520">
        <v>200</v>
      </c>
      <c r="H2520">
        <v>2</v>
      </c>
      <c r="I2520">
        <v>7.85</v>
      </c>
      <c r="J2520">
        <v>15.7</v>
      </c>
      <c r="K2520" t="s">
        <v>629</v>
      </c>
      <c r="L2520" t="s">
        <v>1496</v>
      </c>
      <c r="Q2520">
        <v>4</v>
      </c>
      <c r="R2520" t="s">
        <v>1135</v>
      </c>
      <c r="T2520" t="s">
        <v>38</v>
      </c>
      <c r="V2520" t="s">
        <v>921</v>
      </c>
      <c r="W2520" t="s">
        <v>81</v>
      </c>
      <c r="Z2520" t="s">
        <v>1357</v>
      </c>
      <c r="AA2520" t="s">
        <v>1283</v>
      </c>
      <c r="AC2520" t="s">
        <v>1497</v>
      </c>
    </row>
    <row r="2521" spans="1:29" x14ac:dyDescent="0.25">
      <c r="A2521">
        <v>463</v>
      </c>
      <c r="B2521" t="s">
        <v>649</v>
      </c>
      <c r="C2521" t="s">
        <v>77</v>
      </c>
      <c r="D2521" t="s">
        <v>643</v>
      </c>
      <c r="E2521">
        <v>25</v>
      </c>
      <c r="F2521">
        <v>443</v>
      </c>
      <c r="G2521">
        <v>550</v>
      </c>
      <c r="H2521">
        <v>2</v>
      </c>
      <c r="I2521">
        <v>43.81</v>
      </c>
      <c r="J2521">
        <v>87.62</v>
      </c>
      <c r="K2521" t="s">
        <v>629</v>
      </c>
      <c r="L2521" t="s">
        <v>1496</v>
      </c>
      <c r="N2521" t="s">
        <v>228</v>
      </c>
      <c r="Q2521">
        <v>4</v>
      </c>
      <c r="R2521" t="s">
        <v>1135</v>
      </c>
      <c r="T2521" t="s">
        <v>38</v>
      </c>
      <c r="V2521" t="s">
        <v>921</v>
      </c>
      <c r="X2521" t="s">
        <v>81</v>
      </c>
      <c r="Z2521" t="s">
        <v>1357</v>
      </c>
      <c r="AA2521" t="s">
        <v>1283</v>
      </c>
      <c r="AC2521" t="s">
        <v>1497</v>
      </c>
    </row>
    <row r="2522" spans="1:29" x14ac:dyDescent="0.25">
      <c r="A2522">
        <v>464</v>
      </c>
      <c r="B2522" t="s">
        <v>653</v>
      </c>
      <c r="C2522" t="s">
        <v>77</v>
      </c>
      <c r="D2522" t="s">
        <v>640</v>
      </c>
      <c r="E2522">
        <v>25</v>
      </c>
      <c r="F2522">
        <v>443</v>
      </c>
      <c r="G2522">
        <v>525</v>
      </c>
      <c r="H2522">
        <v>2</v>
      </c>
      <c r="I2522">
        <v>41.64</v>
      </c>
      <c r="J2522">
        <v>83.27</v>
      </c>
      <c r="K2522" t="s">
        <v>629</v>
      </c>
      <c r="L2522" t="s">
        <v>1496</v>
      </c>
      <c r="N2522" t="s">
        <v>228</v>
      </c>
      <c r="Q2522">
        <v>4</v>
      </c>
      <c r="R2522" t="s">
        <v>1135</v>
      </c>
      <c r="T2522" t="s">
        <v>38</v>
      </c>
      <c r="V2522" t="s">
        <v>921</v>
      </c>
      <c r="X2522" t="s">
        <v>81</v>
      </c>
      <c r="Z2522" t="s">
        <v>1357</v>
      </c>
      <c r="AA2522" t="s">
        <v>1283</v>
      </c>
      <c r="AC2522" t="s">
        <v>1497</v>
      </c>
    </row>
    <row r="2523" spans="1:29" x14ac:dyDescent="0.25">
      <c r="A2523">
        <v>465</v>
      </c>
      <c r="B2523" t="s">
        <v>655</v>
      </c>
      <c r="C2523" t="s">
        <v>77</v>
      </c>
      <c r="D2523" t="s">
        <v>651</v>
      </c>
      <c r="E2523">
        <v>25</v>
      </c>
      <c r="F2523">
        <v>200</v>
      </c>
      <c r="G2523">
        <v>200</v>
      </c>
      <c r="H2523">
        <v>2</v>
      </c>
      <c r="I2523">
        <v>7.85</v>
      </c>
      <c r="J2523">
        <v>15.7</v>
      </c>
      <c r="K2523" t="s">
        <v>629</v>
      </c>
      <c r="L2523" t="s">
        <v>1496</v>
      </c>
      <c r="Q2523">
        <v>4</v>
      </c>
      <c r="R2523" t="s">
        <v>1135</v>
      </c>
      <c r="T2523" t="s">
        <v>38</v>
      </c>
      <c r="V2523" t="s">
        <v>921</v>
      </c>
      <c r="W2523" t="s">
        <v>81</v>
      </c>
      <c r="Z2523" t="s">
        <v>1357</v>
      </c>
      <c r="AA2523" t="s">
        <v>1283</v>
      </c>
      <c r="AC2523" t="s">
        <v>1497</v>
      </c>
    </row>
    <row r="2524" spans="1:29" x14ac:dyDescent="0.25">
      <c r="A2524">
        <v>466</v>
      </c>
      <c r="B2524" t="s">
        <v>671</v>
      </c>
      <c r="C2524" t="s">
        <v>77</v>
      </c>
      <c r="D2524" t="s">
        <v>651</v>
      </c>
      <c r="E2524">
        <v>25</v>
      </c>
      <c r="F2524">
        <v>200</v>
      </c>
      <c r="G2524">
        <v>200</v>
      </c>
      <c r="H2524">
        <v>2</v>
      </c>
      <c r="I2524">
        <v>7.85</v>
      </c>
      <c r="J2524">
        <v>15.7</v>
      </c>
      <c r="K2524" t="s">
        <v>629</v>
      </c>
      <c r="L2524" t="s">
        <v>1496</v>
      </c>
      <c r="Q2524">
        <v>4</v>
      </c>
      <c r="R2524" t="s">
        <v>1135</v>
      </c>
      <c r="T2524" t="s">
        <v>38</v>
      </c>
      <c r="V2524" t="s">
        <v>921</v>
      </c>
      <c r="W2524" t="s">
        <v>81</v>
      </c>
      <c r="Z2524" t="s">
        <v>1357</v>
      </c>
      <c r="AA2524" t="s">
        <v>1283</v>
      </c>
      <c r="AC2524" t="s">
        <v>1497</v>
      </c>
    </row>
    <row r="2525" spans="1:29" x14ac:dyDescent="0.25">
      <c r="A2525">
        <v>467</v>
      </c>
      <c r="B2525" t="s">
        <v>658</v>
      </c>
      <c r="C2525" t="s">
        <v>77</v>
      </c>
      <c r="D2525" t="s">
        <v>657</v>
      </c>
      <c r="E2525">
        <v>25</v>
      </c>
      <c r="F2525">
        <v>443</v>
      </c>
      <c r="G2525">
        <v>500</v>
      </c>
      <c r="H2525">
        <v>1</v>
      </c>
      <c r="I2525">
        <v>43.47</v>
      </c>
      <c r="J2525">
        <v>43.47</v>
      </c>
      <c r="K2525" t="s">
        <v>629</v>
      </c>
      <c r="L2525" t="s">
        <v>1496</v>
      </c>
      <c r="Q2525">
        <v>4</v>
      </c>
      <c r="R2525" t="s">
        <v>1135</v>
      </c>
      <c r="T2525" t="s">
        <v>38</v>
      </c>
      <c r="V2525" t="s">
        <v>921</v>
      </c>
      <c r="W2525" t="s">
        <v>81</v>
      </c>
      <c r="Z2525" t="s">
        <v>1357</v>
      </c>
      <c r="AA2525" t="s">
        <v>1283</v>
      </c>
      <c r="AC2525" t="s">
        <v>1497</v>
      </c>
    </row>
    <row r="2526" spans="1:29" x14ac:dyDescent="0.25">
      <c r="A2526">
        <v>468</v>
      </c>
      <c r="B2526" t="s">
        <v>646</v>
      </c>
      <c r="C2526" t="s">
        <v>77</v>
      </c>
      <c r="D2526" t="s">
        <v>1069</v>
      </c>
      <c r="E2526">
        <v>25</v>
      </c>
      <c r="F2526">
        <v>501</v>
      </c>
      <c r="G2526">
        <v>744</v>
      </c>
      <c r="H2526">
        <v>2</v>
      </c>
      <c r="I2526">
        <v>45.45</v>
      </c>
      <c r="J2526">
        <v>90.9</v>
      </c>
      <c r="K2526" t="s">
        <v>629</v>
      </c>
      <c r="L2526" t="s">
        <v>1496</v>
      </c>
      <c r="N2526" t="s">
        <v>228</v>
      </c>
      <c r="Q2526">
        <v>4</v>
      </c>
      <c r="R2526" t="s">
        <v>1135</v>
      </c>
      <c r="T2526" t="s">
        <v>38</v>
      </c>
      <c r="V2526" t="s">
        <v>921</v>
      </c>
      <c r="X2526" t="s">
        <v>81</v>
      </c>
      <c r="Z2526" t="s">
        <v>1357</v>
      </c>
      <c r="AA2526" t="s">
        <v>1283</v>
      </c>
      <c r="AC2526" t="s">
        <v>1497</v>
      </c>
    </row>
    <row r="2527" spans="1:29" x14ac:dyDescent="0.25">
      <c r="A2527">
        <v>469</v>
      </c>
      <c r="B2527" t="s">
        <v>648</v>
      </c>
      <c r="C2527" t="s">
        <v>77</v>
      </c>
      <c r="D2527" t="s">
        <v>633</v>
      </c>
      <c r="E2527">
        <v>25</v>
      </c>
      <c r="F2527">
        <v>500</v>
      </c>
      <c r="G2527">
        <v>550</v>
      </c>
      <c r="H2527">
        <v>1</v>
      </c>
      <c r="I2527">
        <v>52.99</v>
      </c>
      <c r="J2527">
        <v>52.99</v>
      </c>
      <c r="K2527" t="s">
        <v>629</v>
      </c>
      <c r="L2527" t="s">
        <v>1496</v>
      </c>
      <c r="Q2527">
        <v>4</v>
      </c>
      <c r="R2527" t="s">
        <v>1135</v>
      </c>
      <c r="T2527" t="s">
        <v>38</v>
      </c>
      <c r="V2527" t="s">
        <v>921</v>
      </c>
      <c r="W2527" t="s">
        <v>81</v>
      </c>
      <c r="Z2527" t="s">
        <v>1357</v>
      </c>
      <c r="AA2527" t="s">
        <v>1283</v>
      </c>
      <c r="AC2527" t="s">
        <v>1497</v>
      </c>
    </row>
    <row r="2528" spans="1:29" x14ac:dyDescent="0.25">
      <c r="A2528">
        <v>470</v>
      </c>
      <c r="B2528" t="s">
        <v>665</v>
      </c>
      <c r="C2528" t="s">
        <v>77</v>
      </c>
      <c r="D2528" t="s">
        <v>660</v>
      </c>
      <c r="E2528">
        <v>25</v>
      </c>
      <c r="F2528">
        <v>375</v>
      </c>
      <c r="G2528">
        <v>500</v>
      </c>
      <c r="H2528">
        <v>1</v>
      </c>
      <c r="I2528">
        <v>35.82</v>
      </c>
      <c r="J2528">
        <v>35.82</v>
      </c>
      <c r="K2528" t="s">
        <v>629</v>
      </c>
      <c r="L2528" t="s">
        <v>1496</v>
      </c>
      <c r="Q2528">
        <v>4</v>
      </c>
      <c r="R2528" t="s">
        <v>1135</v>
      </c>
      <c r="T2528" t="s">
        <v>38</v>
      </c>
      <c r="V2528" t="s">
        <v>921</v>
      </c>
      <c r="W2528" t="s">
        <v>81</v>
      </c>
      <c r="Z2528" t="s">
        <v>1357</v>
      </c>
      <c r="AA2528" t="s">
        <v>1283</v>
      </c>
      <c r="AC2528" t="s">
        <v>1497</v>
      </c>
    </row>
    <row r="2529" spans="1:29" x14ac:dyDescent="0.25">
      <c r="A2529">
        <v>471</v>
      </c>
      <c r="B2529" t="s">
        <v>638</v>
      </c>
      <c r="C2529" t="s">
        <v>77</v>
      </c>
      <c r="D2529" t="s">
        <v>1069</v>
      </c>
      <c r="E2529">
        <v>25</v>
      </c>
      <c r="F2529">
        <v>501</v>
      </c>
      <c r="G2529">
        <v>744</v>
      </c>
      <c r="H2529">
        <v>4</v>
      </c>
      <c r="I2529">
        <v>45.45</v>
      </c>
      <c r="J2529">
        <v>181.8</v>
      </c>
      <c r="K2529" t="s">
        <v>629</v>
      </c>
      <c r="L2529" t="s">
        <v>1496</v>
      </c>
      <c r="N2529" t="s">
        <v>228</v>
      </c>
      <c r="Q2529">
        <v>4</v>
      </c>
      <c r="R2529" t="s">
        <v>1135</v>
      </c>
      <c r="T2529" t="s">
        <v>38</v>
      </c>
      <c r="V2529" t="s">
        <v>921</v>
      </c>
      <c r="X2529" t="s">
        <v>81</v>
      </c>
      <c r="Z2529" t="s">
        <v>1357</v>
      </c>
      <c r="AA2529" t="s">
        <v>1283</v>
      </c>
      <c r="AC2529" t="s">
        <v>1497</v>
      </c>
    </row>
    <row r="2530" spans="1:29" x14ac:dyDescent="0.25">
      <c r="A2530">
        <v>472</v>
      </c>
      <c r="B2530" t="s">
        <v>662</v>
      </c>
      <c r="C2530" t="s">
        <v>77</v>
      </c>
      <c r="D2530" t="s">
        <v>660</v>
      </c>
      <c r="E2530">
        <v>25</v>
      </c>
      <c r="F2530">
        <v>375</v>
      </c>
      <c r="G2530">
        <v>500</v>
      </c>
      <c r="H2530">
        <v>2</v>
      </c>
      <c r="I2530">
        <v>35.82</v>
      </c>
      <c r="J2530">
        <v>71.63</v>
      </c>
      <c r="K2530" t="s">
        <v>629</v>
      </c>
      <c r="L2530" t="s">
        <v>1496</v>
      </c>
      <c r="Q2530">
        <v>4</v>
      </c>
      <c r="R2530" t="s">
        <v>1135</v>
      </c>
      <c r="T2530" t="s">
        <v>38</v>
      </c>
      <c r="V2530" t="s">
        <v>921</v>
      </c>
      <c r="W2530" t="s">
        <v>81</v>
      </c>
      <c r="Z2530" t="s">
        <v>1357</v>
      </c>
      <c r="AA2530" t="s">
        <v>1283</v>
      </c>
      <c r="AC2530" t="s">
        <v>1497</v>
      </c>
    </row>
    <row r="2531" spans="1:29" x14ac:dyDescent="0.25">
      <c r="A2531">
        <v>473</v>
      </c>
      <c r="B2531" t="s">
        <v>641</v>
      </c>
      <c r="C2531" t="s">
        <v>77</v>
      </c>
      <c r="D2531" t="s">
        <v>1069</v>
      </c>
      <c r="E2531">
        <v>25</v>
      </c>
      <c r="F2531">
        <v>501</v>
      </c>
      <c r="G2531">
        <v>744</v>
      </c>
      <c r="H2531">
        <v>2</v>
      </c>
      <c r="I2531">
        <v>45.45</v>
      </c>
      <c r="J2531">
        <v>90.9</v>
      </c>
      <c r="K2531" t="s">
        <v>629</v>
      </c>
      <c r="L2531" t="s">
        <v>1496</v>
      </c>
      <c r="N2531" t="s">
        <v>228</v>
      </c>
      <c r="Q2531">
        <v>4</v>
      </c>
      <c r="R2531" t="s">
        <v>1135</v>
      </c>
      <c r="T2531" t="s">
        <v>38</v>
      </c>
      <c r="V2531" t="s">
        <v>921</v>
      </c>
      <c r="X2531" t="s">
        <v>81</v>
      </c>
      <c r="Z2531" t="s">
        <v>1357</v>
      </c>
      <c r="AA2531" t="s">
        <v>1283</v>
      </c>
      <c r="AC2531" t="s">
        <v>1497</v>
      </c>
    </row>
    <row r="2532" spans="1:29" x14ac:dyDescent="0.25">
      <c r="A2532">
        <v>474</v>
      </c>
      <c r="B2532" t="s">
        <v>661</v>
      </c>
      <c r="C2532" t="s">
        <v>77</v>
      </c>
      <c r="D2532" t="s">
        <v>660</v>
      </c>
      <c r="E2532">
        <v>25</v>
      </c>
      <c r="F2532">
        <v>375</v>
      </c>
      <c r="G2532">
        <v>500</v>
      </c>
      <c r="H2532">
        <v>1</v>
      </c>
      <c r="I2532">
        <v>35.82</v>
      </c>
      <c r="J2532">
        <v>35.82</v>
      </c>
      <c r="K2532" t="s">
        <v>629</v>
      </c>
      <c r="L2532" t="s">
        <v>1496</v>
      </c>
      <c r="Q2532">
        <v>4</v>
      </c>
      <c r="R2532" t="s">
        <v>1135</v>
      </c>
      <c r="T2532" t="s">
        <v>38</v>
      </c>
      <c r="V2532" t="s">
        <v>921</v>
      </c>
      <c r="W2532" t="s">
        <v>81</v>
      </c>
      <c r="Z2532" t="s">
        <v>1357</v>
      </c>
      <c r="AA2532" t="s">
        <v>1283</v>
      </c>
      <c r="AC2532" t="s">
        <v>1497</v>
      </c>
    </row>
    <row r="2533" spans="1:29" x14ac:dyDescent="0.25">
      <c r="A2533">
        <v>475</v>
      </c>
      <c r="B2533" t="s">
        <v>666</v>
      </c>
      <c r="C2533" t="s">
        <v>77</v>
      </c>
      <c r="D2533" t="s">
        <v>664</v>
      </c>
      <c r="E2533">
        <v>25</v>
      </c>
      <c r="F2533">
        <v>250</v>
      </c>
      <c r="G2533">
        <v>300</v>
      </c>
      <c r="H2533">
        <v>8</v>
      </c>
      <c r="I2533">
        <v>13.16</v>
      </c>
      <c r="J2533">
        <v>105.25</v>
      </c>
      <c r="K2533" t="s">
        <v>629</v>
      </c>
      <c r="L2533" t="s">
        <v>1496</v>
      </c>
      <c r="N2533" t="s">
        <v>228</v>
      </c>
      <c r="Q2533">
        <v>4</v>
      </c>
      <c r="R2533" t="s">
        <v>1135</v>
      </c>
      <c r="T2533" t="s">
        <v>38</v>
      </c>
      <c r="V2533" t="s">
        <v>921</v>
      </c>
      <c r="X2533" t="s">
        <v>81</v>
      </c>
      <c r="Z2533" t="s">
        <v>1357</v>
      </c>
      <c r="AA2533" t="s">
        <v>1283</v>
      </c>
      <c r="AC2533" t="s">
        <v>1497</v>
      </c>
    </row>
    <row r="2534" spans="1:29" x14ac:dyDescent="0.25">
      <c r="A2534">
        <v>476</v>
      </c>
      <c r="B2534" t="s">
        <v>627</v>
      </c>
      <c r="C2534" t="s">
        <v>77</v>
      </c>
      <c r="D2534" t="s">
        <v>1069</v>
      </c>
      <c r="E2534">
        <v>25</v>
      </c>
      <c r="F2534">
        <v>501</v>
      </c>
      <c r="G2534">
        <v>744</v>
      </c>
      <c r="H2534">
        <v>4</v>
      </c>
      <c r="I2534">
        <v>45.45</v>
      </c>
      <c r="J2534">
        <v>181.8</v>
      </c>
      <c r="K2534" t="s">
        <v>629</v>
      </c>
      <c r="L2534" t="s">
        <v>1496</v>
      </c>
      <c r="N2534" t="s">
        <v>228</v>
      </c>
      <c r="Q2534">
        <v>4</v>
      </c>
      <c r="R2534" t="s">
        <v>1135</v>
      </c>
      <c r="T2534" t="s">
        <v>38</v>
      </c>
      <c r="V2534" t="s">
        <v>921</v>
      </c>
      <c r="X2534" t="s">
        <v>81</v>
      </c>
      <c r="Z2534" t="s">
        <v>1357</v>
      </c>
      <c r="AA2534" t="s">
        <v>1283</v>
      </c>
      <c r="AC2534" t="s">
        <v>1497</v>
      </c>
    </row>
    <row r="2535" spans="1:29" x14ac:dyDescent="0.25">
      <c r="A2535">
        <v>477</v>
      </c>
      <c r="B2535" t="s">
        <v>659</v>
      </c>
      <c r="C2535" t="s">
        <v>77</v>
      </c>
      <c r="D2535" t="s">
        <v>660</v>
      </c>
      <c r="E2535">
        <v>25</v>
      </c>
      <c r="F2535">
        <v>375</v>
      </c>
      <c r="G2535">
        <v>500</v>
      </c>
      <c r="H2535">
        <v>1</v>
      </c>
      <c r="I2535">
        <v>35.82</v>
      </c>
      <c r="J2535">
        <v>35.82</v>
      </c>
      <c r="K2535" t="s">
        <v>629</v>
      </c>
      <c r="L2535" t="s">
        <v>1496</v>
      </c>
      <c r="Q2535">
        <v>4</v>
      </c>
      <c r="R2535" t="s">
        <v>1135</v>
      </c>
      <c r="T2535" t="s">
        <v>38</v>
      </c>
      <c r="V2535" t="s">
        <v>921</v>
      </c>
      <c r="W2535" t="s">
        <v>81</v>
      </c>
      <c r="Z2535" t="s">
        <v>1357</v>
      </c>
      <c r="AA2535" t="s">
        <v>1283</v>
      </c>
      <c r="AC2535" t="s">
        <v>1497</v>
      </c>
    </row>
    <row r="2536" spans="1:29" x14ac:dyDescent="0.25">
      <c r="A2536">
        <v>478</v>
      </c>
      <c r="B2536" t="s">
        <v>667</v>
      </c>
      <c r="C2536" t="s">
        <v>77</v>
      </c>
      <c r="D2536" t="s">
        <v>668</v>
      </c>
      <c r="E2536">
        <v>25</v>
      </c>
      <c r="F2536">
        <v>240</v>
      </c>
      <c r="G2536">
        <v>300</v>
      </c>
      <c r="H2536">
        <v>3</v>
      </c>
      <c r="I2536">
        <v>12.88</v>
      </c>
      <c r="J2536">
        <v>38.64</v>
      </c>
      <c r="K2536" t="s">
        <v>1498</v>
      </c>
      <c r="L2536" t="s">
        <v>1499</v>
      </c>
      <c r="N2536" t="s">
        <v>228</v>
      </c>
      <c r="Q2536">
        <v>4</v>
      </c>
      <c r="R2536" t="s">
        <v>1135</v>
      </c>
      <c r="T2536" t="s">
        <v>38</v>
      </c>
      <c r="V2536" t="s">
        <v>921</v>
      </c>
      <c r="X2536" t="s">
        <v>81</v>
      </c>
      <c r="Z2536" t="s">
        <v>1357</v>
      </c>
      <c r="AA2536" t="s">
        <v>1500</v>
      </c>
      <c r="AC2536" t="s">
        <v>1501</v>
      </c>
    </row>
    <row r="2537" spans="1:29" x14ac:dyDescent="0.25">
      <c r="A2537">
        <v>479</v>
      </c>
      <c r="B2537" t="s">
        <v>650</v>
      </c>
      <c r="C2537" t="s">
        <v>77</v>
      </c>
      <c r="D2537" t="s">
        <v>651</v>
      </c>
      <c r="E2537">
        <v>25</v>
      </c>
      <c r="F2537">
        <v>200</v>
      </c>
      <c r="G2537">
        <v>200</v>
      </c>
      <c r="H2537">
        <v>1</v>
      </c>
      <c r="I2537">
        <v>7.85</v>
      </c>
      <c r="J2537">
        <v>7.85</v>
      </c>
      <c r="K2537" t="s">
        <v>1498</v>
      </c>
      <c r="L2537" t="s">
        <v>1499</v>
      </c>
      <c r="Q2537">
        <v>4</v>
      </c>
      <c r="R2537" t="s">
        <v>1135</v>
      </c>
      <c r="T2537" t="s">
        <v>38</v>
      </c>
      <c r="V2537" t="s">
        <v>921</v>
      </c>
      <c r="W2537" t="s">
        <v>81</v>
      </c>
      <c r="Z2537" t="s">
        <v>1357</v>
      </c>
      <c r="AA2537" t="s">
        <v>1500</v>
      </c>
      <c r="AC2537" t="s">
        <v>1501</v>
      </c>
    </row>
    <row r="2538" spans="1:29" x14ac:dyDescent="0.25">
      <c r="A2538">
        <v>480</v>
      </c>
      <c r="B2538" t="s">
        <v>656</v>
      </c>
      <c r="C2538" t="s">
        <v>77</v>
      </c>
      <c r="D2538" t="s">
        <v>657</v>
      </c>
      <c r="E2538">
        <v>25</v>
      </c>
      <c r="F2538">
        <v>443</v>
      </c>
      <c r="G2538">
        <v>500</v>
      </c>
      <c r="H2538">
        <v>2</v>
      </c>
      <c r="I2538">
        <v>43.47</v>
      </c>
      <c r="J2538">
        <v>86.94</v>
      </c>
      <c r="K2538" t="s">
        <v>1498</v>
      </c>
      <c r="L2538" t="s">
        <v>1499</v>
      </c>
      <c r="Q2538">
        <v>4</v>
      </c>
      <c r="R2538" t="s">
        <v>1135</v>
      </c>
      <c r="T2538" t="s">
        <v>38</v>
      </c>
      <c r="V2538" t="s">
        <v>921</v>
      </c>
      <c r="W2538" t="s">
        <v>81</v>
      </c>
      <c r="Z2538" t="s">
        <v>1357</v>
      </c>
      <c r="AA2538" t="s">
        <v>1500</v>
      </c>
      <c r="AC2538" t="s">
        <v>1501</v>
      </c>
    </row>
    <row r="2539" spans="1:29" x14ac:dyDescent="0.25">
      <c r="A2539">
        <v>481</v>
      </c>
      <c r="B2539" t="s">
        <v>642</v>
      </c>
      <c r="C2539" t="s">
        <v>77</v>
      </c>
      <c r="D2539" t="s">
        <v>643</v>
      </c>
      <c r="E2539">
        <v>25</v>
      </c>
      <c r="F2539">
        <v>443</v>
      </c>
      <c r="G2539">
        <v>550</v>
      </c>
      <c r="H2539">
        <v>2</v>
      </c>
      <c r="I2539">
        <v>47.82</v>
      </c>
      <c r="J2539">
        <v>95.63</v>
      </c>
      <c r="K2539" t="s">
        <v>1498</v>
      </c>
      <c r="L2539" t="s">
        <v>1499</v>
      </c>
      <c r="Q2539">
        <v>4</v>
      </c>
      <c r="R2539" t="s">
        <v>1135</v>
      </c>
      <c r="T2539" t="s">
        <v>38</v>
      </c>
      <c r="V2539" t="s">
        <v>921</v>
      </c>
      <c r="W2539" t="s">
        <v>81</v>
      </c>
      <c r="Z2539" t="s">
        <v>1357</v>
      </c>
      <c r="AA2539" t="s">
        <v>1500</v>
      </c>
      <c r="AC2539" t="s">
        <v>1501</v>
      </c>
    </row>
    <row r="2540" spans="1:29" x14ac:dyDescent="0.25">
      <c r="A2540">
        <v>482</v>
      </c>
      <c r="B2540" t="s">
        <v>639</v>
      </c>
      <c r="C2540" t="s">
        <v>77</v>
      </c>
      <c r="D2540" t="s">
        <v>640</v>
      </c>
      <c r="E2540">
        <v>25</v>
      </c>
      <c r="F2540">
        <v>443</v>
      </c>
      <c r="G2540">
        <v>525</v>
      </c>
      <c r="H2540">
        <v>2</v>
      </c>
      <c r="I2540">
        <v>45.64</v>
      </c>
      <c r="J2540">
        <v>91.29</v>
      </c>
      <c r="K2540" t="s">
        <v>1498</v>
      </c>
      <c r="L2540" t="s">
        <v>1499</v>
      </c>
      <c r="Q2540">
        <v>4</v>
      </c>
      <c r="R2540" t="s">
        <v>1135</v>
      </c>
      <c r="T2540" t="s">
        <v>38</v>
      </c>
      <c r="V2540" t="s">
        <v>921</v>
      </c>
      <c r="W2540" t="s">
        <v>81</v>
      </c>
      <c r="Z2540" t="s">
        <v>1357</v>
      </c>
      <c r="AA2540" t="s">
        <v>1500</v>
      </c>
      <c r="AC2540" t="s">
        <v>1501</v>
      </c>
    </row>
    <row r="2541" spans="1:29" x14ac:dyDescent="0.25">
      <c r="A2541">
        <v>483</v>
      </c>
      <c r="B2541" t="s">
        <v>658</v>
      </c>
      <c r="C2541" t="s">
        <v>77</v>
      </c>
      <c r="D2541" t="s">
        <v>657</v>
      </c>
      <c r="E2541">
        <v>25</v>
      </c>
      <c r="F2541">
        <v>443</v>
      </c>
      <c r="G2541">
        <v>500</v>
      </c>
      <c r="H2541">
        <v>1</v>
      </c>
      <c r="I2541">
        <v>43.47</v>
      </c>
      <c r="J2541">
        <v>43.47</v>
      </c>
      <c r="K2541" t="s">
        <v>1498</v>
      </c>
      <c r="L2541" t="s">
        <v>1499</v>
      </c>
      <c r="Q2541">
        <v>4</v>
      </c>
      <c r="R2541" t="s">
        <v>1135</v>
      </c>
      <c r="T2541" t="s">
        <v>38</v>
      </c>
      <c r="V2541" t="s">
        <v>921</v>
      </c>
      <c r="W2541" t="s">
        <v>81</v>
      </c>
      <c r="Z2541" t="s">
        <v>1357</v>
      </c>
      <c r="AA2541" t="s">
        <v>1500</v>
      </c>
      <c r="AC2541" t="s">
        <v>1501</v>
      </c>
    </row>
    <row r="2542" spans="1:29" x14ac:dyDescent="0.25">
      <c r="A2542">
        <v>484</v>
      </c>
      <c r="B2542" t="s">
        <v>644</v>
      </c>
      <c r="C2542" t="s">
        <v>77</v>
      </c>
      <c r="D2542" t="s">
        <v>643</v>
      </c>
      <c r="E2542">
        <v>25</v>
      </c>
      <c r="F2542">
        <v>443</v>
      </c>
      <c r="G2542">
        <v>550</v>
      </c>
      <c r="H2542">
        <v>2</v>
      </c>
      <c r="I2542">
        <v>43.81</v>
      </c>
      <c r="J2542">
        <v>87.62</v>
      </c>
      <c r="K2542" t="s">
        <v>1498</v>
      </c>
      <c r="L2542" t="s">
        <v>1499</v>
      </c>
      <c r="N2542" t="s">
        <v>228</v>
      </c>
      <c r="Q2542">
        <v>4</v>
      </c>
      <c r="R2542" t="s">
        <v>1135</v>
      </c>
      <c r="T2542" t="s">
        <v>38</v>
      </c>
      <c r="V2542" t="s">
        <v>921</v>
      </c>
      <c r="X2542" t="s">
        <v>81</v>
      </c>
      <c r="Z2542" t="s">
        <v>1357</v>
      </c>
      <c r="AA2542" t="s">
        <v>1500</v>
      </c>
      <c r="AC2542" t="s">
        <v>1501</v>
      </c>
    </row>
    <row r="2543" spans="1:29" x14ac:dyDescent="0.25">
      <c r="A2543">
        <v>485</v>
      </c>
      <c r="B2543" t="s">
        <v>645</v>
      </c>
      <c r="C2543" t="s">
        <v>77</v>
      </c>
      <c r="D2543" t="s">
        <v>643</v>
      </c>
      <c r="E2543">
        <v>25</v>
      </c>
      <c r="F2543">
        <v>443</v>
      </c>
      <c r="G2543">
        <v>550</v>
      </c>
      <c r="H2543">
        <v>2</v>
      </c>
      <c r="I2543">
        <v>47.82</v>
      </c>
      <c r="J2543">
        <v>95.63</v>
      </c>
      <c r="K2543" t="s">
        <v>1498</v>
      </c>
      <c r="L2543" t="s">
        <v>1499</v>
      </c>
      <c r="Q2543">
        <v>4</v>
      </c>
      <c r="R2543" t="s">
        <v>1135</v>
      </c>
      <c r="T2543" t="s">
        <v>38</v>
      </c>
      <c r="V2543" t="s">
        <v>921</v>
      </c>
      <c r="W2543" t="s">
        <v>81</v>
      </c>
      <c r="Z2543" t="s">
        <v>1357</v>
      </c>
      <c r="AA2543" t="s">
        <v>1500</v>
      </c>
      <c r="AC2543" t="s">
        <v>1501</v>
      </c>
    </row>
    <row r="2544" spans="1:29" x14ac:dyDescent="0.25">
      <c r="A2544">
        <v>486</v>
      </c>
      <c r="B2544" t="s">
        <v>636</v>
      </c>
      <c r="C2544" t="s">
        <v>77</v>
      </c>
      <c r="D2544" t="s">
        <v>633</v>
      </c>
      <c r="E2544">
        <v>25</v>
      </c>
      <c r="F2544">
        <v>500</v>
      </c>
      <c r="G2544">
        <v>550</v>
      </c>
      <c r="H2544">
        <v>2</v>
      </c>
      <c r="I2544">
        <v>52.99</v>
      </c>
      <c r="J2544">
        <v>105.98</v>
      </c>
      <c r="K2544" t="s">
        <v>1498</v>
      </c>
      <c r="L2544" t="s">
        <v>1499</v>
      </c>
      <c r="Q2544">
        <v>4</v>
      </c>
      <c r="R2544" t="s">
        <v>1135</v>
      </c>
      <c r="T2544" t="s">
        <v>38</v>
      </c>
      <c r="V2544" t="s">
        <v>921</v>
      </c>
      <c r="W2544" t="s">
        <v>81</v>
      </c>
      <c r="Z2544" t="s">
        <v>1357</v>
      </c>
      <c r="AA2544" t="s">
        <v>1500</v>
      </c>
      <c r="AC2544" t="s">
        <v>1501</v>
      </c>
    </row>
    <row r="2545" spans="1:29" x14ac:dyDescent="0.25">
      <c r="A2545">
        <v>487</v>
      </c>
      <c r="B2545" t="s">
        <v>632</v>
      </c>
      <c r="C2545" t="s">
        <v>77</v>
      </c>
      <c r="D2545" t="s">
        <v>633</v>
      </c>
      <c r="E2545">
        <v>25</v>
      </c>
      <c r="F2545">
        <v>500</v>
      </c>
      <c r="G2545">
        <v>550</v>
      </c>
      <c r="H2545">
        <v>1</v>
      </c>
      <c r="I2545">
        <v>52.99</v>
      </c>
      <c r="J2545">
        <v>52.99</v>
      </c>
      <c r="K2545" t="s">
        <v>1498</v>
      </c>
      <c r="L2545" t="s">
        <v>1499</v>
      </c>
      <c r="Q2545">
        <v>4</v>
      </c>
      <c r="R2545" t="s">
        <v>1135</v>
      </c>
      <c r="T2545" t="s">
        <v>38</v>
      </c>
      <c r="V2545" t="s">
        <v>921</v>
      </c>
      <c r="W2545" t="s">
        <v>81</v>
      </c>
      <c r="Z2545" t="s">
        <v>1357</v>
      </c>
      <c r="AA2545" t="s">
        <v>1500</v>
      </c>
      <c r="AC2545" t="s">
        <v>1501</v>
      </c>
    </row>
    <row r="2546" spans="1:29" x14ac:dyDescent="0.25">
      <c r="A2546">
        <v>488</v>
      </c>
      <c r="B2546" t="s">
        <v>659</v>
      </c>
      <c r="C2546" t="s">
        <v>77</v>
      </c>
      <c r="D2546" t="s">
        <v>660</v>
      </c>
      <c r="E2546">
        <v>25</v>
      </c>
      <c r="F2546">
        <v>375</v>
      </c>
      <c r="G2546">
        <v>500</v>
      </c>
      <c r="H2546">
        <v>1</v>
      </c>
      <c r="I2546">
        <v>35.82</v>
      </c>
      <c r="J2546">
        <v>35.82</v>
      </c>
      <c r="K2546" t="s">
        <v>1498</v>
      </c>
      <c r="L2546" t="s">
        <v>1499</v>
      </c>
      <c r="Q2546">
        <v>4</v>
      </c>
      <c r="R2546" t="s">
        <v>1135</v>
      </c>
      <c r="T2546" t="s">
        <v>38</v>
      </c>
      <c r="V2546" t="s">
        <v>921</v>
      </c>
      <c r="W2546" t="s">
        <v>81</v>
      </c>
      <c r="Z2546" t="s">
        <v>1357</v>
      </c>
      <c r="AA2546" t="s">
        <v>1500</v>
      </c>
      <c r="AC2546" t="s">
        <v>1501</v>
      </c>
    </row>
    <row r="2547" spans="1:29" x14ac:dyDescent="0.25">
      <c r="A2547">
        <v>489</v>
      </c>
      <c r="B2547" t="s">
        <v>678</v>
      </c>
      <c r="C2547" t="s">
        <v>77</v>
      </c>
      <c r="D2547" t="s">
        <v>679</v>
      </c>
      <c r="E2547">
        <v>30</v>
      </c>
      <c r="F2547">
        <v>290</v>
      </c>
      <c r="G2547">
        <v>670</v>
      </c>
      <c r="H2547">
        <v>3</v>
      </c>
      <c r="I2547">
        <v>42.37</v>
      </c>
      <c r="J2547">
        <v>127.11</v>
      </c>
      <c r="K2547" t="s">
        <v>1502</v>
      </c>
      <c r="L2547" t="s">
        <v>1503</v>
      </c>
      <c r="N2547" t="s">
        <v>228</v>
      </c>
      <c r="Q2547">
        <v>4</v>
      </c>
      <c r="R2547" t="s">
        <v>1135</v>
      </c>
      <c r="T2547" t="s">
        <v>38</v>
      </c>
      <c r="V2547" t="s">
        <v>921</v>
      </c>
      <c r="X2547" t="s">
        <v>81</v>
      </c>
      <c r="Z2547" t="s">
        <v>1357</v>
      </c>
      <c r="AA2547" t="s">
        <v>1504</v>
      </c>
      <c r="AC2547" t="s">
        <v>1505</v>
      </c>
    </row>
    <row r="2548" spans="1:29" x14ac:dyDescent="0.25">
      <c r="A2548">
        <v>490</v>
      </c>
      <c r="B2548" t="s">
        <v>682</v>
      </c>
      <c r="C2548" t="s">
        <v>77</v>
      </c>
      <c r="D2548" t="s">
        <v>674</v>
      </c>
      <c r="E2548">
        <v>30</v>
      </c>
      <c r="F2548">
        <v>390</v>
      </c>
      <c r="G2548">
        <v>670</v>
      </c>
      <c r="H2548">
        <v>2</v>
      </c>
      <c r="I2548">
        <v>56.2</v>
      </c>
      <c r="J2548">
        <v>112.41</v>
      </c>
      <c r="K2548" t="s">
        <v>1502</v>
      </c>
      <c r="L2548" t="s">
        <v>1503</v>
      </c>
      <c r="N2548" t="s">
        <v>228</v>
      </c>
      <c r="Q2548">
        <v>4</v>
      </c>
      <c r="R2548" t="s">
        <v>1135</v>
      </c>
      <c r="T2548" t="s">
        <v>38</v>
      </c>
      <c r="V2548" t="s">
        <v>921</v>
      </c>
      <c r="X2548" t="s">
        <v>81</v>
      </c>
      <c r="Z2548" t="s">
        <v>1357</v>
      </c>
      <c r="AA2548" t="s">
        <v>1504</v>
      </c>
      <c r="AC2548" t="s">
        <v>1505</v>
      </c>
    </row>
    <row r="2549" spans="1:29" x14ac:dyDescent="0.25">
      <c r="A2549">
        <v>491</v>
      </c>
      <c r="B2549" t="s">
        <v>684</v>
      </c>
      <c r="C2549" t="s">
        <v>77</v>
      </c>
      <c r="D2549" t="s">
        <v>674</v>
      </c>
      <c r="E2549">
        <v>30</v>
      </c>
      <c r="F2549">
        <v>390</v>
      </c>
      <c r="G2549">
        <v>670</v>
      </c>
      <c r="H2549">
        <v>2</v>
      </c>
      <c r="I2549">
        <v>56.2</v>
      </c>
      <c r="J2549">
        <v>112.41</v>
      </c>
      <c r="K2549" t="s">
        <v>1502</v>
      </c>
      <c r="L2549" t="s">
        <v>1503</v>
      </c>
      <c r="N2549" t="s">
        <v>228</v>
      </c>
      <c r="Q2549">
        <v>4</v>
      </c>
      <c r="R2549" t="s">
        <v>1135</v>
      </c>
      <c r="T2549" t="s">
        <v>38</v>
      </c>
      <c r="V2549" t="s">
        <v>921</v>
      </c>
      <c r="X2549" t="s">
        <v>81</v>
      </c>
      <c r="Z2549" t="s">
        <v>1357</v>
      </c>
      <c r="AA2549" t="s">
        <v>1504</v>
      </c>
      <c r="AC2549" t="s">
        <v>1505</v>
      </c>
    </row>
    <row r="2550" spans="1:29" x14ac:dyDescent="0.25">
      <c r="A2550">
        <v>492</v>
      </c>
      <c r="B2550" t="s">
        <v>688</v>
      </c>
      <c r="C2550" t="s">
        <v>77</v>
      </c>
      <c r="D2550" t="s">
        <v>689</v>
      </c>
      <c r="E2550">
        <v>30</v>
      </c>
      <c r="F2550">
        <v>260</v>
      </c>
      <c r="G2550">
        <v>400</v>
      </c>
      <c r="H2550">
        <v>1</v>
      </c>
      <c r="I2550">
        <v>16.329999999999998</v>
      </c>
      <c r="J2550">
        <v>16.329999999999998</v>
      </c>
      <c r="K2550" t="s">
        <v>1502</v>
      </c>
      <c r="L2550" t="s">
        <v>1503</v>
      </c>
      <c r="N2550" t="s">
        <v>228</v>
      </c>
      <c r="Q2550">
        <v>4</v>
      </c>
      <c r="R2550" t="s">
        <v>1135</v>
      </c>
      <c r="T2550" t="s">
        <v>38</v>
      </c>
      <c r="V2550" t="s">
        <v>921</v>
      </c>
      <c r="X2550" t="s">
        <v>81</v>
      </c>
      <c r="Z2550" t="s">
        <v>1357</v>
      </c>
      <c r="AA2550" t="s">
        <v>1504</v>
      </c>
      <c r="AC2550" t="s">
        <v>1505</v>
      </c>
    </row>
    <row r="2551" spans="1:29" x14ac:dyDescent="0.25">
      <c r="A2551">
        <v>493</v>
      </c>
      <c r="B2551" t="s">
        <v>693</v>
      </c>
      <c r="C2551" t="s">
        <v>77</v>
      </c>
      <c r="D2551" t="s">
        <v>691</v>
      </c>
      <c r="E2551">
        <v>30</v>
      </c>
      <c r="F2551">
        <v>69</v>
      </c>
      <c r="G2551">
        <v>100</v>
      </c>
      <c r="H2551">
        <v>2</v>
      </c>
      <c r="I2551">
        <v>1.62</v>
      </c>
      <c r="J2551">
        <v>3.25</v>
      </c>
      <c r="K2551" t="s">
        <v>1502</v>
      </c>
      <c r="L2551" t="s">
        <v>1503</v>
      </c>
      <c r="Q2551">
        <v>4</v>
      </c>
      <c r="R2551" t="s">
        <v>1135</v>
      </c>
      <c r="T2551" t="s">
        <v>38</v>
      </c>
      <c r="V2551" t="s">
        <v>921</v>
      </c>
      <c r="W2551" t="s">
        <v>81</v>
      </c>
      <c r="Z2551" t="s">
        <v>1357</v>
      </c>
      <c r="AA2551" t="s">
        <v>1504</v>
      </c>
      <c r="AC2551" t="s">
        <v>1505</v>
      </c>
    </row>
    <row r="2552" spans="1:29" x14ac:dyDescent="0.25">
      <c r="A2552">
        <v>494</v>
      </c>
      <c r="B2552" t="s">
        <v>697</v>
      </c>
      <c r="C2552" t="s">
        <v>77</v>
      </c>
      <c r="D2552" t="s">
        <v>698</v>
      </c>
      <c r="E2552">
        <v>30</v>
      </c>
      <c r="F2552">
        <v>275</v>
      </c>
      <c r="G2552">
        <v>300</v>
      </c>
      <c r="H2552">
        <v>1</v>
      </c>
      <c r="I2552">
        <v>14.36</v>
      </c>
      <c r="J2552">
        <v>14.36</v>
      </c>
      <c r="K2552" t="s">
        <v>1502</v>
      </c>
      <c r="L2552" t="s">
        <v>1503</v>
      </c>
      <c r="N2552" t="s">
        <v>228</v>
      </c>
      <c r="Q2552">
        <v>4</v>
      </c>
      <c r="R2552" t="s">
        <v>1135</v>
      </c>
      <c r="T2552" t="s">
        <v>38</v>
      </c>
      <c r="V2552" t="s">
        <v>921</v>
      </c>
      <c r="X2552" t="s">
        <v>81</v>
      </c>
      <c r="Z2552" t="s">
        <v>1357</v>
      </c>
      <c r="AA2552" t="s">
        <v>1504</v>
      </c>
      <c r="AC2552" t="s">
        <v>1505</v>
      </c>
    </row>
    <row r="2553" spans="1:29" x14ac:dyDescent="0.25">
      <c r="A2553">
        <v>495</v>
      </c>
      <c r="B2553" t="s">
        <v>692</v>
      </c>
      <c r="C2553" t="s">
        <v>77</v>
      </c>
      <c r="D2553" t="s">
        <v>687</v>
      </c>
      <c r="E2553">
        <v>30</v>
      </c>
      <c r="F2553">
        <v>315</v>
      </c>
      <c r="G2553">
        <v>460</v>
      </c>
      <c r="H2553">
        <v>1</v>
      </c>
      <c r="I2553">
        <v>23.55</v>
      </c>
      <c r="J2553">
        <v>23.55</v>
      </c>
      <c r="K2553" t="s">
        <v>1502</v>
      </c>
      <c r="L2553" t="s">
        <v>1503</v>
      </c>
      <c r="N2553" t="s">
        <v>228</v>
      </c>
      <c r="Q2553">
        <v>4</v>
      </c>
      <c r="R2553" t="s">
        <v>1135</v>
      </c>
      <c r="T2553" t="s">
        <v>38</v>
      </c>
      <c r="V2553" t="s">
        <v>921</v>
      </c>
      <c r="X2553" t="s">
        <v>81</v>
      </c>
      <c r="Z2553" t="s">
        <v>1357</v>
      </c>
      <c r="AA2553" t="s">
        <v>1504</v>
      </c>
      <c r="AC2553" t="s">
        <v>1505</v>
      </c>
    </row>
    <row r="2554" spans="1:29" x14ac:dyDescent="0.25">
      <c r="A2554">
        <v>496</v>
      </c>
      <c r="B2554" t="s">
        <v>673</v>
      </c>
      <c r="C2554" t="s">
        <v>77</v>
      </c>
      <c r="D2554" t="s">
        <v>674</v>
      </c>
      <c r="E2554">
        <v>30</v>
      </c>
      <c r="F2554">
        <v>390</v>
      </c>
      <c r="G2554">
        <v>670</v>
      </c>
      <c r="H2554">
        <v>2</v>
      </c>
      <c r="I2554">
        <v>56.2</v>
      </c>
      <c r="J2554">
        <v>112.41</v>
      </c>
      <c r="K2554" t="s">
        <v>675</v>
      </c>
      <c r="L2554" t="s">
        <v>1506</v>
      </c>
      <c r="N2554" t="s">
        <v>228</v>
      </c>
      <c r="Q2554">
        <v>4</v>
      </c>
      <c r="R2554" t="s">
        <v>1135</v>
      </c>
      <c r="T2554" t="s">
        <v>38</v>
      </c>
      <c r="V2554" t="s">
        <v>921</v>
      </c>
      <c r="X2554" t="s">
        <v>81</v>
      </c>
      <c r="Z2554" t="s">
        <v>1357</v>
      </c>
      <c r="AA2554" t="s">
        <v>39</v>
      </c>
      <c r="AC2554" t="s">
        <v>1507</v>
      </c>
    </row>
    <row r="2555" spans="1:29" x14ac:dyDescent="0.25">
      <c r="A2555">
        <v>497</v>
      </c>
      <c r="B2555" t="s">
        <v>678</v>
      </c>
      <c r="C2555" t="s">
        <v>77</v>
      </c>
      <c r="D2555" t="s">
        <v>679</v>
      </c>
      <c r="E2555">
        <v>30</v>
      </c>
      <c r="F2555">
        <v>290</v>
      </c>
      <c r="G2555">
        <v>670</v>
      </c>
      <c r="H2555">
        <v>1</v>
      </c>
      <c r="I2555">
        <v>42.37</v>
      </c>
      <c r="J2555">
        <v>42.37</v>
      </c>
      <c r="K2555" t="s">
        <v>675</v>
      </c>
      <c r="L2555" t="s">
        <v>1506</v>
      </c>
      <c r="N2555" t="s">
        <v>228</v>
      </c>
      <c r="Q2555">
        <v>4</v>
      </c>
      <c r="R2555" t="s">
        <v>1135</v>
      </c>
      <c r="T2555" t="s">
        <v>38</v>
      </c>
      <c r="V2555" t="s">
        <v>921</v>
      </c>
      <c r="X2555" t="s">
        <v>81</v>
      </c>
      <c r="Z2555" t="s">
        <v>1357</v>
      </c>
      <c r="AA2555" t="s">
        <v>39</v>
      </c>
      <c r="AC2555" t="s">
        <v>1507</v>
      </c>
    </row>
    <row r="2556" spans="1:29" x14ac:dyDescent="0.25">
      <c r="A2556">
        <v>498</v>
      </c>
      <c r="B2556" t="s">
        <v>680</v>
      </c>
      <c r="C2556" t="s">
        <v>77</v>
      </c>
      <c r="D2556" t="s">
        <v>674</v>
      </c>
      <c r="E2556">
        <v>30</v>
      </c>
      <c r="F2556">
        <v>390</v>
      </c>
      <c r="G2556">
        <v>670</v>
      </c>
      <c r="H2556">
        <v>2</v>
      </c>
      <c r="I2556">
        <v>56.2</v>
      </c>
      <c r="J2556">
        <v>112.41</v>
      </c>
      <c r="K2556" t="s">
        <v>675</v>
      </c>
      <c r="L2556" t="s">
        <v>1506</v>
      </c>
      <c r="N2556" t="s">
        <v>228</v>
      </c>
      <c r="Q2556">
        <v>4</v>
      </c>
      <c r="R2556" t="s">
        <v>1135</v>
      </c>
      <c r="T2556" t="s">
        <v>38</v>
      </c>
      <c r="V2556" t="s">
        <v>921</v>
      </c>
      <c r="X2556" t="s">
        <v>81</v>
      </c>
      <c r="Z2556" t="s">
        <v>1357</v>
      </c>
      <c r="AA2556" t="s">
        <v>39</v>
      </c>
      <c r="AC2556" t="s">
        <v>1507</v>
      </c>
    </row>
    <row r="2557" spans="1:29" x14ac:dyDescent="0.25">
      <c r="A2557">
        <v>499</v>
      </c>
      <c r="B2557" t="s">
        <v>681</v>
      </c>
      <c r="C2557" t="s">
        <v>77</v>
      </c>
      <c r="D2557" t="s">
        <v>679</v>
      </c>
      <c r="E2557">
        <v>30</v>
      </c>
      <c r="F2557">
        <v>290</v>
      </c>
      <c r="G2557">
        <v>670</v>
      </c>
      <c r="H2557">
        <v>4</v>
      </c>
      <c r="I2557">
        <v>42.37</v>
      </c>
      <c r="J2557">
        <v>169.48</v>
      </c>
      <c r="K2557" t="s">
        <v>675</v>
      </c>
      <c r="L2557" t="s">
        <v>1506</v>
      </c>
      <c r="N2557" t="s">
        <v>228</v>
      </c>
      <c r="Q2557">
        <v>4</v>
      </c>
      <c r="R2557" t="s">
        <v>1135</v>
      </c>
      <c r="T2557" t="s">
        <v>38</v>
      </c>
      <c r="V2557" t="s">
        <v>921</v>
      </c>
      <c r="X2557" t="s">
        <v>81</v>
      </c>
      <c r="Z2557" t="s">
        <v>1357</v>
      </c>
      <c r="AA2557" t="s">
        <v>39</v>
      </c>
      <c r="AC2557" t="s">
        <v>1507</v>
      </c>
    </row>
    <row r="2558" spans="1:29" x14ac:dyDescent="0.25">
      <c r="A2558">
        <v>500</v>
      </c>
      <c r="B2558" t="s">
        <v>683</v>
      </c>
      <c r="C2558" t="s">
        <v>77</v>
      </c>
      <c r="D2558" t="s">
        <v>679</v>
      </c>
      <c r="E2558">
        <v>30</v>
      </c>
      <c r="F2558">
        <v>290</v>
      </c>
      <c r="G2558">
        <v>670</v>
      </c>
      <c r="H2558">
        <v>4</v>
      </c>
      <c r="I2558">
        <v>42.37</v>
      </c>
      <c r="J2558">
        <v>169.48</v>
      </c>
      <c r="K2558" t="s">
        <v>675</v>
      </c>
      <c r="L2558" t="s">
        <v>1506</v>
      </c>
      <c r="N2558" t="s">
        <v>228</v>
      </c>
      <c r="Q2558">
        <v>4</v>
      </c>
      <c r="R2558" t="s">
        <v>1135</v>
      </c>
      <c r="T2558" t="s">
        <v>38</v>
      </c>
      <c r="V2558" t="s">
        <v>921</v>
      </c>
      <c r="X2558" t="s">
        <v>81</v>
      </c>
      <c r="Z2558" t="s">
        <v>1357</v>
      </c>
      <c r="AA2558" t="s">
        <v>39</v>
      </c>
      <c r="AC2558" t="s">
        <v>1507</v>
      </c>
    </row>
    <row r="2559" spans="1:29" x14ac:dyDescent="0.25">
      <c r="A2559">
        <v>501</v>
      </c>
      <c r="B2559" t="s">
        <v>685</v>
      </c>
      <c r="C2559" t="s">
        <v>77</v>
      </c>
      <c r="D2559" t="s">
        <v>679</v>
      </c>
      <c r="E2559">
        <v>30</v>
      </c>
      <c r="F2559">
        <v>290</v>
      </c>
      <c r="G2559">
        <v>670</v>
      </c>
      <c r="H2559">
        <v>4</v>
      </c>
      <c r="I2559">
        <v>42.37</v>
      </c>
      <c r="J2559">
        <v>169.48</v>
      </c>
      <c r="K2559" t="s">
        <v>675</v>
      </c>
      <c r="L2559" t="s">
        <v>1506</v>
      </c>
      <c r="N2559" t="s">
        <v>228</v>
      </c>
      <c r="Q2559">
        <v>4</v>
      </c>
      <c r="R2559" t="s">
        <v>1135</v>
      </c>
      <c r="T2559" t="s">
        <v>38</v>
      </c>
      <c r="V2559" t="s">
        <v>921</v>
      </c>
      <c r="X2559" t="s">
        <v>81</v>
      </c>
      <c r="Z2559" t="s">
        <v>1357</v>
      </c>
      <c r="AA2559" t="s">
        <v>39</v>
      </c>
      <c r="AC2559" t="s">
        <v>1507</v>
      </c>
    </row>
    <row r="2560" spans="1:29" x14ac:dyDescent="0.25">
      <c r="A2560">
        <v>502</v>
      </c>
      <c r="B2560" t="s">
        <v>688</v>
      </c>
      <c r="C2560" t="s">
        <v>77</v>
      </c>
      <c r="D2560" t="s">
        <v>689</v>
      </c>
      <c r="E2560">
        <v>30</v>
      </c>
      <c r="F2560">
        <v>260</v>
      </c>
      <c r="G2560">
        <v>400</v>
      </c>
      <c r="H2560">
        <v>1</v>
      </c>
      <c r="I2560">
        <v>16.329999999999998</v>
      </c>
      <c r="J2560">
        <v>16.329999999999998</v>
      </c>
      <c r="K2560" t="s">
        <v>675</v>
      </c>
      <c r="L2560" t="s">
        <v>1506</v>
      </c>
      <c r="N2560" t="s">
        <v>228</v>
      </c>
      <c r="Q2560">
        <v>4</v>
      </c>
      <c r="R2560" t="s">
        <v>1135</v>
      </c>
      <c r="T2560" t="s">
        <v>38</v>
      </c>
      <c r="V2560" t="s">
        <v>921</v>
      </c>
      <c r="X2560" t="s">
        <v>81</v>
      </c>
      <c r="Z2560" t="s">
        <v>1357</v>
      </c>
      <c r="AA2560" t="s">
        <v>39</v>
      </c>
      <c r="AC2560" t="s">
        <v>1507</v>
      </c>
    </row>
    <row r="2561" spans="1:29" x14ac:dyDescent="0.25">
      <c r="A2561">
        <v>503</v>
      </c>
      <c r="B2561" t="s">
        <v>690</v>
      </c>
      <c r="C2561" t="s">
        <v>77</v>
      </c>
      <c r="D2561" t="s">
        <v>691</v>
      </c>
      <c r="E2561">
        <v>30</v>
      </c>
      <c r="F2561">
        <v>69</v>
      </c>
      <c r="G2561">
        <v>100</v>
      </c>
      <c r="H2561">
        <v>2</v>
      </c>
      <c r="I2561">
        <v>1.62</v>
      </c>
      <c r="J2561">
        <v>3.25</v>
      </c>
      <c r="K2561" t="s">
        <v>675</v>
      </c>
      <c r="L2561" t="s">
        <v>1506</v>
      </c>
      <c r="Q2561">
        <v>4</v>
      </c>
      <c r="R2561" t="s">
        <v>1135</v>
      </c>
      <c r="T2561" t="s">
        <v>38</v>
      </c>
      <c r="V2561" t="s">
        <v>921</v>
      </c>
      <c r="W2561" t="s">
        <v>81</v>
      </c>
      <c r="Z2561" t="s">
        <v>1357</v>
      </c>
      <c r="AA2561" t="s">
        <v>39</v>
      </c>
      <c r="AC2561" t="s">
        <v>1507</v>
      </c>
    </row>
    <row r="2562" spans="1:29" x14ac:dyDescent="0.25">
      <c r="A2562">
        <v>504</v>
      </c>
      <c r="B2562" t="s">
        <v>693</v>
      </c>
      <c r="C2562" t="s">
        <v>77</v>
      </c>
      <c r="D2562" t="s">
        <v>691</v>
      </c>
      <c r="E2562">
        <v>30</v>
      </c>
      <c r="F2562">
        <v>69</v>
      </c>
      <c r="G2562">
        <v>100</v>
      </c>
      <c r="H2562">
        <v>2</v>
      </c>
      <c r="I2562">
        <v>1.62</v>
      </c>
      <c r="J2562">
        <v>3.25</v>
      </c>
      <c r="K2562" t="s">
        <v>675</v>
      </c>
      <c r="L2562" t="s">
        <v>1506</v>
      </c>
      <c r="Q2562">
        <v>4</v>
      </c>
      <c r="R2562" t="s">
        <v>1135</v>
      </c>
      <c r="T2562" t="s">
        <v>38</v>
      </c>
      <c r="V2562" t="s">
        <v>921</v>
      </c>
      <c r="W2562" t="s">
        <v>81</v>
      </c>
      <c r="Z2562" t="s">
        <v>1357</v>
      </c>
      <c r="AA2562" t="s">
        <v>39</v>
      </c>
      <c r="AC2562" t="s">
        <v>1507</v>
      </c>
    </row>
    <row r="2563" spans="1:29" x14ac:dyDescent="0.25">
      <c r="A2563">
        <v>505</v>
      </c>
      <c r="B2563" t="s">
        <v>695</v>
      </c>
      <c r="C2563" t="s">
        <v>77</v>
      </c>
      <c r="D2563" t="s">
        <v>689</v>
      </c>
      <c r="E2563">
        <v>30</v>
      </c>
      <c r="F2563">
        <v>260</v>
      </c>
      <c r="G2563">
        <v>400</v>
      </c>
      <c r="H2563">
        <v>2</v>
      </c>
      <c r="I2563">
        <v>16.329999999999998</v>
      </c>
      <c r="J2563">
        <v>32.659999999999997</v>
      </c>
      <c r="K2563" t="s">
        <v>675</v>
      </c>
      <c r="L2563" t="s">
        <v>1506</v>
      </c>
      <c r="N2563" t="s">
        <v>228</v>
      </c>
      <c r="Q2563">
        <v>4</v>
      </c>
      <c r="R2563" t="s">
        <v>1135</v>
      </c>
      <c r="T2563" t="s">
        <v>38</v>
      </c>
      <c r="V2563" t="s">
        <v>921</v>
      </c>
      <c r="X2563" t="s">
        <v>81</v>
      </c>
      <c r="Z2563" t="s">
        <v>1357</v>
      </c>
      <c r="AA2563" t="s">
        <v>39</v>
      </c>
      <c r="AC2563" t="s">
        <v>1507</v>
      </c>
    </row>
    <row r="2564" spans="1:29" x14ac:dyDescent="0.25">
      <c r="A2564">
        <v>506</v>
      </c>
      <c r="B2564" t="s">
        <v>696</v>
      </c>
      <c r="C2564" t="s">
        <v>77</v>
      </c>
      <c r="D2564" t="s">
        <v>691</v>
      </c>
      <c r="E2564">
        <v>30</v>
      </c>
      <c r="F2564">
        <v>69</v>
      </c>
      <c r="G2564">
        <v>100</v>
      </c>
      <c r="H2564">
        <v>2</v>
      </c>
      <c r="I2564">
        <v>1.62</v>
      </c>
      <c r="J2564">
        <v>3.25</v>
      </c>
      <c r="K2564" t="s">
        <v>675</v>
      </c>
      <c r="L2564" t="s">
        <v>1506</v>
      </c>
      <c r="Q2564">
        <v>4</v>
      </c>
      <c r="R2564" t="s">
        <v>1135</v>
      </c>
      <c r="T2564" t="s">
        <v>38</v>
      </c>
      <c r="V2564" t="s">
        <v>921</v>
      </c>
      <c r="W2564" t="s">
        <v>81</v>
      </c>
      <c r="Z2564" t="s">
        <v>1357</v>
      </c>
      <c r="AA2564" t="s">
        <v>39</v>
      </c>
      <c r="AC2564" t="s">
        <v>1507</v>
      </c>
    </row>
    <row r="2565" spans="1:29" x14ac:dyDescent="0.25">
      <c r="A2565">
        <v>507</v>
      </c>
      <c r="B2565" t="s">
        <v>697</v>
      </c>
      <c r="C2565" t="s">
        <v>77</v>
      </c>
      <c r="D2565" t="s">
        <v>698</v>
      </c>
      <c r="E2565">
        <v>30</v>
      </c>
      <c r="F2565">
        <v>275</v>
      </c>
      <c r="G2565">
        <v>300</v>
      </c>
      <c r="H2565">
        <v>3</v>
      </c>
      <c r="I2565">
        <v>14.36</v>
      </c>
      <c r="J2565">
        <v>43.08</v>
      </c>
      <c r="K2565" t="s">
        <v>675</v>
      </c>
      <c r="L2565" t="s">
        <v>1506</v>
      </c>
      <c r="N2565" t="s">
        <v>228</v>
      </c>
      <c r="Q2565">
        <v>4</v>
      </c>
      <c r="R2565" t="s">
        <v>1135</v>
      </c>
      <c r="T2565" t="s">
        <v>38</v>
      </c>
      <c r="V2565" t="s">
        <v>921</v>
      </c>
      <c r="X2565" t="s">
        <v>81</v>
      </c>
      <c r="Z2565" t="s">
        <v>1357</v>
      </c>
      <c r="AA2565" t="s">
        <v>39</v>
      </c>
      <c r="AC2565" t="s">
        <v>1507</v>
      </c>
    </row>
    <row r="2566" spans="1:29" x14ac:dyDescent="0.25">
      <c r="A2566">
        <v>508</v>
      </c>
      <c r="B2566" t="s">
        <v>686</v>
      </c>
      <c r="C2566" t="s">
        <v>77</v>
      </c>
      <c r="D2566" t="s">
        <v>687</v>
      </c>
      <c r="E2566">
        <v>30</v>
      </c>
      <c r="F2566">
        <v>315</v>
      </c>
      <c r="G2566">
        <v>460</v>
      </c>
      <c r="H2566">
        <v>2</v>
      </c>
      <c r="I2566">
        <v>23.54</v>
      </c>
      <c r="J2566">
        <v>47.09</v>
      </c>
      <c r="K2566" t="s">
        <v>675</v>
      </c>
      <c r="L2566" t="s">
        <v>1506</v>
      </c>
      <c r="N2566" t="s">
        <v>228</v>
      </c>
      <c r="Q2566">
        <v>4</v>
      </c>
      <c r="R2566" t="s">
        <v>1135</v>
      </c>
      <c r="T2566" t="s">
        <v>38</v>
      </c>
      <c r="V2566" t="s">
        <v>921</v>
      </c>
      <c r="X2566" t="s">
        <v>81</v>
      </c>
      <c r="Z2566" t="s">
        <v>1357</v>
      </c>
      <c r="AA2566" t="s">
        <v>39</v>
      </c>
      <c r="AC2566" t="s">
        <v>1507</v>
      </c>
    </row>
    <row r="2567" spans="1:29" x14ac:dyDescent="0.25">
      <c r="A2567">
        <v>509</v>
      </c>
      <c r="B2567" t="s">
        <v>692</v>
      </c>
      <c r="C2567" t="s">
        <v>77</v>
      </c>
      <c r="D2567" t="s">
        <v>687</v>
      </c>
      <c r="E2567">
        <v>30</v>
      </c>
      <c r="F2567">
        <v>315</v>
      </c>
      <c r="G2567">
        <v>460</v>
      </c>
      <c r="H2567">
        <v>3</v>
      </c>
      <c r="I2567">
        <v>23.55</v>
      </c>
      <c r="J2567">
        <v>70.64</v>
      </c>
      <c r="K2567" t="s">
        <v>675</v>
      </c>
      <c r="L2567" t="s">
        <v>1506</v>
      </c>
      <c r="N2567" t="s">
        <v>228</v>
      </c>
      <c r="Q2567">
        <v>4</v>
      </c>
      <c r="R2567" t="s">
        <v>1135</v>
      </c>
      <c r="T2567" t="s">
        <v>38</v>
      </c>
      <c r="V2567" t="s">
        <v>921</v>
      </c>
      <c r="X2567" t="s">
        <v>81</v>
      </c>
      <c r="Z2567" t="s">
        <v>1357</v>
      </c>
      <c r="AA2567" t="s">
        <v>39</v>
      </c>
      <c r="AC2567" t="s">
        <v>1507</v>
      </c>
    </row>
    <row r="2568" spans="1:29" x14ac:dyDescent="0.25">
      <c r="A2568">
        <v>510</v>
      </c>
      <c r="B2568" t="s">
        <v>694</v>
      </c>
      <c r="C2568" t="s">
        <v>77</v>
      </c>
      <c r="D2568" t="s">
        <v>687</v>
      </c>
      <c r="E2568">
        <v>30</v>
      </c>
      <c r="F2568">
        <v>315</v>
      </c>
      <c r="G2568">
        <v>460</v>
      </c>
      <c r="H2568">
        <v>2</v>
      </c>
      <c r="I2568">
        <v>23.54</v>
      </c>
      <c r="J2568">
        <v>47.09</v>
      </c>
      <c r="K2568" t="s">
        <v>675</v>
      </c>
      <c r="L2568" t="s">
        <v>1506</v>
      </c>
      <c r="N2568" t="s">
        <v>228</v>
      </c>
      <c r="Q2568">
        <v>4</v>
      </c>
      <c r="R2568" t="s">
        <v>1135</v>
      </c>
      <c r="T2568" t="s">
        <v>38</v>
      </c>
      <c r="V2568" t="s">
        <v>921</v>
      </c>
      <c r="X2568" t="s">
        <v>81</v>
      </c>
      <c r="Z2568" t="s">
        <v>1357</v>
      </c>
      <c r="AA2568" t="s">
        <v>39</v>
      </c>
      <c r="AC2568" t="s">
        <v>1507</v>
      </c>
    </row>
    <row r="2569" spans="1:29" x14ac:dyDescent="0.25">
      <c r="A2569">
        <v>511</v>
      </c>
      <c r="B2569" t="s">
        <v>712</v>
      </c>
      <c r="C2569" t="s">
        <v>700</v>
      </c>
      <c r="D2569" t="s">
        <v>701</v>
      </c>
      <c r="E2569">
        <v>60</v>
      </c>
      <c r="F2569">
        <v>70</v>
      </c>
      <c r="G2569">
        <v>8980</v>
      </c>
      <c r="H2569">
        <v>1</v>
      </c>
      <c r="I2569">
        <v>296.07</v>
      </c>
      <c r="J2569">
        <v>296.07</v>
      </c>
      <c r="K2569" t="s">
        <v>1508</v>
      </c>
      <c r="L2569" t="s">
        <v>1509</v>
      </c>
      <c r="O2569" t="s">
        <v>81</v>
      </c>
      <c r="Q2569">
        <v>4</v>
      </c>
      <c r="R2569" t="s">
        <v>1135</v>
      </c>
      <c r="T2569" t="s">
        <v>38</v>
      </c>
      <c r="V2569" t="s">
        <v>921</v>
      </c>
      <c r="W2569" t="s">
        <v>81</v>
      </c>
      <c r="Z2569" t="s">
        <v>1357</v>
      </c>
      <c r="AA2569" t="s">
        <v>1510</v>
      </c>
      <c r="AC2569" t="s">
        <v>1511</v>
      </c>
    </row>
    <row r="2570" spans="1:29" x14ac:dyDescent="0.25">
      <c r="A2570">
        <v>512</v>
      </c>
      <c r="B2570" t="s">
        <v>699</v>
      </c>
      <c r="C2570" t="s">
        <v>700</v>
      </c>
      <c r="D2570" t="s">
        <v>701</v>
      </c>
      <c r="E2570">
        <v>60</v>
      </c>
      <c r="F2570">
        <v>70</v>
      </c>
      <c r="G2570">
        <v>8980</v>
      </c>
      <c r="H2570">
        <v>1</v>
      </c>
      <c r="I2570">
        <v>296.07</v>
      </c>
      <c r="J2570">
        <v>296.07</v>
      </c>
      <c r="K2570" t="s">
        <v>1081</v>
      </c>
      <c r="L2570" t="s">
        <v>1512</v>
      </c>
      <c r="O2570" t="s">
        <v>81</v>
      </c>
      <c r="Q2570">
        <v>4</v>
      </c>
      <c r="R2570" t="s">
        <v>1135</v>
      </c>
      <c r="T2570" t="s">
        <v>38</v>
      </c>
      <c r="V2570" t="s">
        <v>921</v>
      </c>
      <c r="W2570" t="s">
        <v>81</v>
      </c>
      <c r="Z2570" t="s">
        <v>1357</v>
      </c>
      <c r="AA2570" t="s">
        <v>1513</v>
      </c>
      <c r="AC2570" t="s">
        <v>1514</v>
      </c>
    </row>
    <row r="2571" spans="1:29" x14ac:dyDescent="0.25">
      <c r="A2571">
        <v>513</v>
      </c>
      <c r="B2571" t="s">
        <v>706</v>
      </c>
      <c r="C2571" t="s">
        <v>700</v>
      </c>
      <c r="D2571" t="s">
        <v>707</v>
      </c>
      <c r="E2571">
        <v>60</v>
      </c>
      <c r="F2571">
        <v>70</v>
      </c>
      <c r="G2571">
        <v>11303</v>
      </c>
      <c r="H2571">
        <v>1</v>
      </c>
      <c r="I2571">
        <v>372.66</v>
      </c>
      <c r="J2571">
        <v>372.66</v>
      </c>
      <c r="K2571" t="s">
        <v>1081</v>
      </c>
      <c r="L2571" t="s">
        <v>1512</v>
      </c>
      <c r="O2571" t="s">
        <v>81</v>
      </c>
      <c r="Q2571">
        <v>4</v>
      </c>
      <c r="R2571" t="s">
        <v>1135</v>
      </c>
      <c r="T2571" t="s">
        <v>38</v>
      </c>
      <c r="V2571" t="s">
        <v>921</v>
      </c>
      <c r="W2571" t="s">
        <v>81</v>
      </c>
      <c r="Z2571" t="s">
        <v>1357</v>
      </c>
      <c r="AA2571" t="s">
        <v>1513</v>
      </c>
      <c r="AC2571" t="s">
        <v>1514</v>
      </c>
    </row>
    <row r="2572" spans="1:29" x14ac:dyDescent="0.25">
      <c r="A2572">
        <v>514</v>
      </c>
      <c r="B2572" t="s">
        <v>708</v>
      </c>
      <c r="C2572" t="s">
        <v>700</v>
      </c>
      <c r="D2572" t="s">
        <v>709</v>
      </c>
      <c r="E2572">
        <v>60</v>
      </c>
      <c r="F2572">
        <v>68</v>
      </c>
      <c r="G2572">
        <v>12000</v>
      </c>
      <c r="H2572">
        <v>1</v>
      </c>
      <c r="I2572">
        <v>339.12</v>
      </c>
      <c r="J2572">
        <v>339.12</v>
      </c>
      <c r="K2572" t="s">
        <v>1081</v>
      </c>
      <c r="L2572" t="s">
        <v>1512</v>
      </c>
      <c r="O2572" t="s">
        <v>81</v>
      </c>
      <c r="Q2572">
        <v>4</v>
      </c>
      <c r="R2572" t="s">
        <v>1135</v>
      </c>
      <c r="T2572" t="s">
        <v>38</v>
      </c>
      <c r="V2572" t="s">
        <v>921</v>
      </c>
      <c r="W2572" t="s">
        <v>81</v>
      </c>
      <c r="Z2572" t="s">
        <v>1357</v>
      </c>
      <c r="AA2572" t="s">
        <v>1513</v>
      </c>
      <c r="AC2572" t="s">
        <v>1514</v>
      </c>
    </row>
    <row r="2573" spans="1:29" x14ac:dyDescent="0.25">
      <c r="A2573">
        <v>515</v>
      </c>
      <c r="B2573" t="s">
        <v>713</v>
      </c>
      <c r="C2573" t="s">
        <v>700</v>
      </c>
      <c r="D2573" t="s">
        <v>707</v>
      </c>
      <c r="E2573">
        <v>60</v>
      </c>
      <c r="F2573">
        <v>70</v>
      </c>
      <c r="G2573">
        <v>11303</v>
      </c>
      <c r="H2573">
        <v>1</v>
      </c>
      <c r="I2573">
        <v>372.66</v>
      </c>
      <c r="J2573">
        <v>372.66</v>
      </c>
      <c r="K2573" t="s">
        <v>1081</v>
      </c>
      <c r="L2573" t="s">
        <v>1512</v>
      </c>
      <c r="O2573" t="s">
        <v>81</v>
      </c>
      <c r="Q2573">
        <v>4</v>
      </c>
      <c r="R2573" t="s">
        <v>1135</v>
      </c>
      <c r="T2573" t="s">
        <v>38</v>
      </c>
      <c r="V2573" t="s">
        <v>921</v>
      </c>
      <c r="W2573" t="s">
        <v>81</v>
      </c>
      <c r="Z2573" t="s">
        <v>1357</v>
      </c>
      <c r="AA2573" t="s">
        <v>1513</v>
      </c>
      <c r="AC2573" t="s">
        <v>1514</v>
      </c>
    </row>
    <row r="2574" spans="1:29" x14ac:dyDescent="0.25">
      <c r="A2574">
        <v>516</v>
      </c>
      <c r="B2574" t="s">
        <v>714</v>
      </c>
      <c r="C2574" t="s">
        <v>700</v>
      </c>
      <c r="D2574" t="s">
        <v>715</v>
      </c>
      <c r="E2574">
        <v>60</v>
      </c>
      <c r="F2574">
        <v>70</v>
      </c>
      <c r="G2574">
        <v>12000</v>
      </c>
      <c r="H2574">
        <v>1</v>
      </c>
      <c r="I2574">
        <v>395.64</v>
      </c>
      <c r="J2574">
        <v>395.64</v>
      </c>
      <c r="K2574" t="s">
        <v>1081</v>
      </c>
      <c r="L2574" t="s">
        <v>1512</v>
      </c>
      <c r="O2574" t="s">
        <v>81</v>
      </c>
      <c r="Q2574">
        <v>4</v>
      </c>
      <c r="R2574" t="s">
        <v>1135</v>
      </c>
      <c r="T2574" t="s">
        <v>38</v>
      </c>
      <c r="V2574" t="s">
        <v>921</v>
      </c>
      <c r="W2574" t="s">
        <v>81</v>
      </c>
      <c r="Z2574" t="s">
        <v>1357</v>
      </c>
      <c r="AA2574" t="s">
        <v>1513</v>
      </c>
      <c r="AC2574" t="s">
        <v>1514</v>
      </c>
    </row>
    <row r="2575" spans="1:29" x14ac:dyDescent="0.25">
      <c r="A2575">
        <v>517</v>
      </c>
      <c r="B2575" t="s">
        <v>710</v>
      </c>
      <c r="C2575" t="s">
        <v>700</v>
      </c>
      <c r="D2575" t="s">
        <v>711</v>
      </c>
      <c r="E2575">
        <v>60</v>
      </c>
      <c r="F2575">
        <v>63</v>
      </c>
      <c r="G2575">
        <v>7588</v>
      </c>
      <c r="H2575">
        <v>1</v>
      </c>
      <c r="I2575">
        <v>214.44</v>
      </c>
      <c r="J2575">
        <v>214.44</v>
      </c>
      <c r="K2575" t="s">
        <v>1515</v>
      </c>
      <c r="L2575" t="s">
        <v>1516</v>
      </c>
      <c r="O2575" t="s">
        <v>81</v>
      </c>
      <c r="Q2575">
        <v>4</v>
      </c>
      <c r="R2575" t="s">
        <v>1135</v>
      </c>
      <c r="T2575" t="s">
        <v>38</v>
      </c>
      <c r="V2575" t="s">
        <v>921</v>
      </c>
      <c r="W2575" t="s">
        <v>81</v>
      </c>
      <c r="Z2575" t="s">
        <v>1357</v>
      </c>
      <c r="AA2575" t="s">
        <v>1517</v>
      </c>
      <c r="AC2575" t="s">
        <v>1518</v>
      </c>
    </row>
    <row r="2576" spans="1:29" x14ac:dyDescent="0.25">
      <c r="A2576">
        <v>518</v>
      </c>
      <c r="B2576" t="s">
        <v>716</v>
      </c>
      <c r="C2576" t="s">
        <v>700</v>
      </c>
      <c r="D2576" t="s">
        <v>717</v>
      </c>
      <c r="E2576">
        <v>60</v>
      </c>
      <c r="F2576">
        <v>70</v>
      </c>
      <c r="G2576">
        <v>7587</v>
      </c>
      <c r="H2576">
        <v>1</v>
      </c>
      <c r="I2576">
        <v>250.16</v>
      </c>
      <c r="J2576">
        <v>250.16</v>
      </c>
      <c r="K2576" t="s">
        <v>1515</v>
      </c>
      <c r="L2576" t="s">
        <v>1516</v>
      </c>
      <c r="O2576" t="s">
        <v>81</v>
      </c>
      <c r="Q2576">
        <v>4</v>
      </c>
      <c r="R2576" t="s">
        <v>1135</v>
      </c>
      <c r="T2576" t="s">
        <v>38</v>
      </c>
      <c r="V2576" t="s">
        <v>921</v>
      </c>
      <c r="W2576" t="s">
        <v>81</v>
      </c>
      <c r="Z2576" t="s">
        <v>1357</v>
      </c>
      <c r="AA2576" t="s">
        <v>1517</v>
      </c>
      <c r="AC2576" t="s">
        <v>1518</v>
      </c>
    </row>
  </sheetData>
  <autoFilter ref="A5:AC2576" xr:uid="{D26951CA-E50B-40AE-9B74-BE0AB27AE642}">
    <filterColumn colId="16">
      <filters>
        <filter val="4"/>
      </filters>
    </filterColumn>
  </autoFilter>
  <pageMargins left="0.7" right="0.7" top="0.75" bottom="0.75" header="0.3" footer="0.3"/>
  <pageSetup scale="3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EFEEF-C7D5-4DF4-A5B9-52DC425463AC}">
  <sheetPr filterMode="1"/>
  <dimension ref="A1:Z342"/>
  <sheetViews>
    <sheetView workbookViewId="0">
      <pane ySplit="4" topLeftCell="A5" activePane="bottomLeft" state="frozenSplit"/>
      <selection pane="bottomLeft"/>
    </sheetView>
  </sheetViews>
  <sheetFormatPr defaultRowHeight="15" x14ac:dyDescent="0.25"/>
  <cols>
    <col min="1" max="1" width="4" bestFit="1" customWidth="1"/>
    <col min="2" max="2" width="7.28515625" bestFit="1" customWidth="1"/>
    <col min="3" max="3" width="39" bestFit="1" customWidth="1"/>
    <col min="4" max="4" width="18.42578125" bestFit="1" customWidth="1"/>
    <col min="5" max="5" width="6.28515625" bestFit="1" customWidth="1"/>
    <col min="6" max="6" width="8.5703125" bestFit="1" customWidth="1"/>
    <col min="7" max="7" width="14.140625" bestFit="1" customWidth="1"/>
    <col min="8" max="8" width="8.7109375" bestFit="1" customWidth="1"/>
    <col min="9" max="9" width="6.5703125" bestFit="1" customWidth="1"/>
    <col min="10" max="10" width="7" bestFit="1" customWidth="1"/>
    <col min="11" max="11" width="4.85546875" bestFit="1" customWidth="1"/>
    <col min="12" max="12" width="8.140625" bestFit="1" customWidth="1"/>
    <col min="13" max="13" width="8.42578125" bestFit="1" customWidth="1"/>
    <col min="14" max="14" width="8" bestFit="1" customWidth="1"/>
    <col min="15" max="15" width="41.5703125" bestFit="1" customWidth="1"/>
    <col min="16" max="16" width="11.28515625" bestFit="1" customWidth="1"/>
    <col min="17" max="17" width="15.7109375" bestFit="1" customWidth="1"/>
    <col min="18" max="18" width="9.7109375" bestFit="1" customWidth="1"/>
    <col min="19" max="20" width="9" bestFit="1" customWidth="1"/>
    <col min="21" max="21" width="16.85546875" bestFit="1" customWidth="1"/>
    <col min="22" max="22" width="5.5703125" bestFit="1" customWidth="1"/>
    <col min="23" max="23" width="14" bestFit="1" customWidth="1"/>
    <col min="25" max="25" width="5.42578125" bestFit="1" customWidth="1"/>
    <col min="26" max="26" width="19.7109375" bestFit="1" customWidth="1"/>
  </cols>
  <sheetData>
    <row r="1" spans="1:26" ht="23.25" x14ac:dyDescent="0.25">
      <c r="F1" s="1" t="s">
        <v>718</v>
      </c>
      <c r="G1" s="1"/>
      <c r="H1" s="1"/>
      <c r="I1" s="1"/>
      <c r="J1" s="1"/>
      <c r="K1" s="1"/>
      <c r="L1" s="1"/>
      <c r="M1" s="1"/>
      <c r="N1" s="1"/>
      <c r="O1" s="1"/>
    </row>
    <row r="2" spans="1:26" ht="23.25" x14ac:dyDescent="0.25">
      <c r="F2" s="1"/>
      <c r="G2" s="1"/>
      <c r="H2" s="1"/>
      <c r="I2" s="1"/>
      <c r="J2" s="1"/>
      <c r="K2" s="1"/>
      <c r="L2" s="1"/>
      <c r="M2" s="1"/>
      <c r="N2" s="1"/>
      <c r="O2" s="1"/>
    </row>
    <row r="3" spans="1:26" x14ac:dyDescent="0.25">
      <c r="M3" s="9">
        <f ca="1">SUMPRODUCT(SUBTOTAL(109, OFFSET(M5, ROW(M5:M99999)-ROW(M5), 0)), (F5:F99999&lt;&gt;"") * (F5:F99999&lt;&gt;0))</f>
        <v>71</v>
      </c>
      <c r="N3" s="9">
        <f ca="1">SUMPRODUCT(SUBTOTAL(109, OFFSET(N5, ROW(N5:N99999)-ROW(N5), 0)), (F5:F99999&lt;&gt;"") * (F5:F99999&lt;&gt;0))</f>
        <v>88526.089999999982</v>
      </c>
      <c r="P3" s="9">
        <f ca="1">SUMPRODUCT(SUBTOTAL(109, OFFSET(P5, ROW(P5:P99995)-ROW(P5), 0)), (E5:E99995&lt;&gt;"") * (E5:E99995&lt;&gt;0))</f>
        <v>64604.88</v>
      </c>
      <c r="Q3" s="9">
        <f ca="1">SUMPRODUCT(SUBTOTAL(109, OFFSET(Q5, ROW(Q5:Q99999)-ROW(Q5), 0)), (F5:F99999&lt;&gt;"") * (F5:F99999&lt;&gt;0))</f>
        <v>73067.799999999988</v>
      </c>
      <c r="R3" s="9">
        <f ca="1">SUMPRODUCT(SUBTOTAL(109, OFFSET(R5, ROW(R5:R99999)-ROW(R5), 0)), (F5:F99999&lt;&gt;"") * (F5:F99999&lt;&gt;0))</f>
        <v>15458.29</v>
      </c>
      <c r="S3" s="9">
        <f ca="1">SUMPRODUCT(SUBTOTAL(109, OFFSET(S5, ROW(S5:S99999)-ROW(S5), 0)), (F5:F99999&lt;&gt;"") * (F5:F99999&lt;&gt;0))</f>
        <v>19228.019999999997</v>
      </c>
      <c r="T3" s="9">
        <f ca="1">SUMPRODUCT(SUBTOTAL(109, OFFSET(T5, ROW(T5:T99999)-ROW(T5), 0)), (F5:F99999&lt;&gt;"") * (F5:F99999&lt;&gt;0))</f>
        <v>4244.0899999999992</v>
      </c>
      <c r="U3">
        <f ca="1">SUMPRODUCT(SUBTOTAL(109, OFFSET(U5, ROW(U5:U99999)-ROW(U5), 0)), (F5:F99999&lt;&gt;"") * (F5:F99999&lt;&gt;0))</f>
        <v>452.26000000000005</v>
      </c>
    </row>
    <row r="4" spans="1:26" ht="54.95" customHeight="1" x14ac:dyDescent="0.25">
      <c r="A4" s="10" t="s">
        <v>719</v>
      </c>
      <c r="B4" s="10" t="s">
        <v>720</v>
      </c>
      <c r="C4" s="10" t="s">
        <v>721</v>
      </c>
      <c r="D4" s="10" t="s">
        <v>722</v>
      </c>
      <c r="E4" s="10" t="s">
        <v>723</v>
      </c>
      <c r="F4" s="10" t="s">
        <v>724</v>
      </c>
      <c r="G4" s="10" t="s">
        <v>725</v>
      </c>
      <c r="H4" s="10" t="s">
        <v>726</v>
      </c>
      <c r="I4" s="10" t="s">
        <v>727</v>
      </c>
      <c r="J4" s="10" t="s">
        <v>728</v>
      </c>
      <c r="K4" s="10" t="s">
        <v>729</v>
      </c>
      <c r="L4" s="10" t="s">
        <v>730</v>
      </c>
      <c r="M4" s="10" t="s">
        <v>731</v>
      </c>
      <c r="N4" s="10" t="s">
        <v>732</v>
      </c>
      <c r="O4" s="10" t="s">
        <v>733</v>
      </c>
      <c r="P4" s="10" t="s">
        <v>734</v>
      </c>
      <c r="Q4" s="10" t="s">
        <v>735</v>
      </c>
      <c r="R4" s="10" t="s">
        <v>736</v>
      </c>
      <c r="S4" s="10" t="s">
        <v>737</v>
      </c>
      <c r="T4" s="10" t="s">
        <v>738</v>
      </c>
      <c r="U4" s="10" t="s">
        <v>739</v>
      </c>
      <c r="V4" s="10" t="s">
        <v>740</v>
      </c>
      <c r="W4" s="10" t="s">
        <v>741</v>
      </c>
      <c r="X4" s="10"/>
      <c r="Y4" s="10" t="s">
        <v>742</v>
      </c>
      <c r="Z4" s="10" t="s">
        <v>743</v>
      </c>
    </row>
    <row r="5" spans="1:26" hidden="1" x14ac:dyDescent="0.25">
      <c r="A5" s="5">
        <v>1</v>
      </c>
      <c r="B5" s="5" t="str">
        <f>IF(LEN('List chi tiet'!$B$3)=0,"",'List chi tiet'!$B$3)</f>
        <v>TCTN.DNS-26004</v>
      </c>
      <c r="C5" s="5" t="s">
        <v>36</v>
      </c>
      <c r="D5" s="5" t="str">
        <f t="shared" ref="D5:D36" si="0">IF(LEN($B$4)=0,"",$B$4)</f>
        <v>Project name
Dự Án</v>
      </c>
      <c r="E5" s="5" t="s">
        <v>744</v>
      </c>
      <c r="F5" s="5" t="s">
        <v>33</v>
      </c>
      <c r="G5" s="5" t="s">
        <v>745</v>
      </c>
      <c r="H5" s="5">
        <v>2</v>
      </c>
      <c r="I5" s="5">
        <v>1300</v>
      </c>
      <c r="J5" s="5">
        <v>4000</v>
      </c>
      <c r="K5" s="5" t="s">
        <v>746</v>
      </c>
      <c r="L5" s="5"/>
      <c r="M5" s="5">
        <v>1</v>
      </c>
      <c r="N5" s="5">
        <v>81.64</v>
      </c>
      <c r="O5" s="5" t="s">
        <v>39</v>
      </c>
      <c r="P5" s="5">
        <v>67.819999999999993</v>
      </c>
      <c r="Q5" s="5">
        <f t="shared" ref="Q5:Q36" si="1">IF(O5="NEWPLATE", N5, "")</f>
        <v>81.64</v>
      </c>
      <c r="R5" s="5" t="str">
        <f t="shared" ref="R5:R36" si="2">IF(O5&lt;&gt;"NEWPLATE", N5, "")</f>
        <v/>
      </c>
      <c r="S5" s="5">
        <v>7.92</v>
      </c>
      <c r="T5" s="5">
        <f t="shared" ref="T5:T36" si="3">MAX(ROUND(N5-P5-IF(S5="",0,S5)-U5, 2), 0)</f>
        <v>5.43</v>
      </c>
      <c r="U5" s="5">
        <f t="shared" ref="U5:U36" si="4">ROUND(P5*0.7/100, 2)</f>
        <v>0.47</v>
      </c>
      <c r="V5" s="5">
        <v>1</v>
      </c>
      <c r="W5" s="5" t="s">
        <v>747</v>
      </c>
      <c r="X5" s="5" t="str">
        <f>IF(LEN('List chi tiet'!$B$2)=0,"",'List chi tiet'!$B$2)</f>
        <v>TCTN.DNS.26.004 ĐƯỜNG CAO TỐC VIN</v>
      </c>
      <c r="Y5" s="5" t="s">
        <v>38</v>
      </c>
      <c r="Z5" s="5" t="s">
        <v>748</v>
      </c>
    </row>
    <row r="6" spans="1:26" hidden="1" x14ac:dyDescent="0.25">
      <c r="A6" s="5">
        <v>2</v>
      </c>
      <c r="B6" s="5" t="str">
        <f>IF(LEN('List chi tiet'!$B$3)=0,"",'List chi tiet'!$B$3)</f>
        <v>TCTN.DNS-26004</v>
      </c>
      <c r="C6" s="5" t="s">
        <v>43</v>
      </c>
      <c r="D6" s="5" t="str">
        <f t="shared" si="0"/>
        <v>Project name
Dự Án</v>
      </c>
      <c r="E6" s="5" t="s">
        <v>744</v>
      </c>
      <c r="F6" s="5" t="s">
        <v>33</v>
      </c>
      <c r="G6" s="5" t="s">
        <v>745</v>
      </c>
      <c r="H6" s="5">
        <v>2</v>
      </c>
      <c r="I6" s="5">
        <v>1300</v>
      </c>
      <c r="J6" s="5">
        <v>4000</v>
      </c>
      <c r="K6" s="5" t="s">
        <v>746</v>
      </c>
      <c r="L6" s="5"/>
      <c r="M6" s="5">
        <v>1</v>
      </c>
      <c r="N6" s="5">
        <v>81.64</v>
      </c>
      <c r="O6" s="5" t="s">
        <v>39</v>
      </c>
      <c r="P6" s="5">
        <v>81.64</v>
      </c>
      <c r="Q6" s="5">
        <f t="shared" si="1"/>
        <v>81.64</v>
      </c>
      <c r="R6" s="5" t="str">
        <f t="shared" si="2"/>
        <v/>
      </c>
      <c r="S6" s="5"/>
      <c r="T6" s="5">
        <f t="shared" si="3"/>
        <v>0</v>
      </c>
      <c r="U6" s="5">
        <f t="shared" si="4"/>
        <v>0.56999999999999995</v>
      </c>
      <c r="V6" s="5">
        <v>1</v>
      </c>
      <c r="W6" s="5" t="s">
        <v>747</v>
      </c>
      <c r="X6" s="5" t="str">
        <f>IF(LEN('List chi tiet'!$B$2)=0,"",'List chi tiet'!$B$2)</f>
        <v>TCTN.DNS.26.004 ĐƯỜNG CAO TỐC VIN</v>
      </c>
      <c r="Y6" s="5" t="s">
        <v>38</v>
      </c>
      <c r="Z6" s="5" t="s">
        <v>748</v>
      </c>
    </row>
    <row r="7" spans="1:26" hidden="1" x14ac:dyDescent="0.25">
      <c r="A7" s="5">
        <v>3</v>
      </c>
      <c r="B7" s="5" t="str">
        <f>IF(LEN('List chi tiet'!$B$3)=0,"",'List chi tiet'!$B$3)</f>
        <v>TCTN.DNS-26004</v>
      </c>
      <c r="C7" s="5" t="s">
        <v>46</v>
      </c>
      <c r="D7" s="5" t="str">
        <f t="shared" si="0"/>
        <v>Project name
Dự Án</v>
      </c>
      <c r="E7" s="5" t="s">
        <v>744</v>
      </c>
      <c r="F7" s="5" t="s">
        <v>33</v>
      </c>
      <c r="G7" s="5" t="s">
        <v>745</v>
      </c>
      <c r="H7" s="5">
        <v>2</v>
      </c>
      <c r="I7" s="5">
        <v>1300</v>
      </c>
      <c r="J7" s="5">
        <v>4000</v>
      </c>
      <c r="K7" s="5" t="s">
        <v>746</v>
      </c>
      <c r="L7" s="5"/>
      <c r="M7" s="5">
        <v>1</v>
      </c>
      <c r="N7" s="5">
        <v>81.64</v>
      </c>
      <c r="O7" s="5" t="s">
        <v>39</v>
      </c>
      <c r="P7" s="5">
        <v>81.64</v>
      </c>
      <c r="Q7" s="5">
        <f t="shared" si="1"/>
        <v>81.64</v>
      </c>
      <c r="R7" s="5" t="str">
        <f t="shared" si="2"/>
        <v/>
      </c>
      <c r="S7" s="5"/>
      <c r="T7" s="5">
        <f t="shared" si="3"/>
        <v>0</v>
      </c>
      <c r="U7" s="5">
        <f t="shared" si="4"/>
        <v>0.56999999999999995</v>
      </c>
      <c r="V7" s="5">
        <v>1</v>
      </c>
      <c r="W7" s="5" t="s">
        <v>747</v>
      </c>
      <c r="X7" s="5" t="str">
        <f>IF(LEN('List chi tiet'!$B$2)=0,"",'List chi tiet'!$B$2)</f>
        <v>TCTN.DNS.26.004 ĐƯỜNG CAO TỐC VIN</v>
      </c>
      <c r="Y7" s="5" t="s">
        <v>38</v>
      </c>
      <c r="Z7" s="5" t="s">
        <v>748</v>
      </c>
    </row>
    <row r="8" spans="1:26" hidden="1" x14ac:dyDescent="0.25">
      <c r="A8" s="5">
        <v>4</v>
      </c>
      <c r="B8" s="5" t="str">
        <f>IF(LEN('List chi tiet'!$B$3)=0,"",'List chi tiet'!$B$3)</f>
        <v>TCTN.DNS-26004</v>
      </c>
      <c r="C8" s="5" t="s">
        <v>50</v>
      </c>
      <c r="D8" s="5" t="str">
        <f t="shared" si="0"/>
        <v>Project name
Dự Án</v>
      </c>
      <c r="E8" s="5" t="s">
        <v>744</v>
      </c>
      <c r="F8" s="5" t="s">
        <v>33</v>
      </c>
      <c r="G8" s="5" t="s">
        <v>745</v>
      </c>
      <c r="H8" s="5">
        <v>2</v>
      </c>
      <c r="I8" s="5">
        <v>1300</v>
      </c>
      <c r="J8" s="5">
        <v>4000</v>
      </c>
      <c r="K8" s="5" t="s">
        <v>746</v>
      </c>
      <c r="L8" s="5"/>
      <c r="M8" s="5">
        <v>1</v>
      </c>
      <c r="N8" s="5">
        <v>81.64</v>
      </c>
      <c r="O8" s="5" t="s">
        <v>39</v>
      </c>
      <c r="P8" s="5">
        <v>66.569999999999993</v>
      </c>
      <c r="Q8" s="5">
        <f t="shared" si="1"/>
        <v>81.64</v>
      </c>
      <c r="R8" s="5" t="str">
        <f t="shared" si="2"/>
        <v/>
      </c>
      <c r="S8" s="5">
        <v>15.07</v>
      </c>
      <c r="T8" s="5">
        <f t="shared" si="3"/>
        <v>0</v>
      </c>
      <c r="U8" s="5">
        <f t="shared" si="4"/>
        <v>0.47</v>
      </c>
      <c r="V8" s="5">
        <v>1</v>
      </c>
      <c r="W8" s="5" t="s">
        <v>747</v>
      </c>
      <c r="X8" s="5" t="str">
        <f>IF(LEN('List chi tiet'!$B$2)=0,"",'List chi tiet'!$B$2)</f>
        <v>TCTN.DNS.26.004 ĐƯỜNG CAO TỐC VIN</v>
      </c>
      <c r="Y8" s="5" t="s">
        <v>38</v>
      </c>
      <c r="Z8" s="5" t="s">
        <v>748</v>
      </c>
    </row>
    <row r="9" spans="1:26" hidden="1" x14ac:dyDescent="0.25">
      <c r="A9" s="5">
        <v>5</v>
      </c>
      <c r="B9" s="5" t="str">
        <f>IF(LEN('List chi tiet'!$B$3)=0,"",'List chi tiet'!$B$3)</f>
        <v>TCTN.DNS-26004</v>
      </c>
      <c r="C9" s="5" t="s">
        <v>53</v>
      </c>
      <c r="D9" s="5" t="str">
        <f t="shared" si="0"/>
        <v>Project name
Dự Án</v>
      </c>
      <c r="E9" s="5" t="s">
        <v>744</v>
      </c>
      <c r="F9" s="5" t="s">
        <v>33</v>
      </c>
      <c r="G9" s="5" t="s">
        <v>745</v>
      </c>
      <c r="H9" s="5">
        <v>2</v>
      </c>
      <c r="I9" s="5">
        <v>1300</v>
      </c>
      <c r="J9" s="5">
        <v>4000</v>
      </c>
      <c r="K9" s="5" t="s">
        <v>746</v>
      </c>
      <c r="L9" s="5"/>
      <c r="M9" s="5">
        <v>1</v>
      </c>
      <c r="N9" s="5">
        <v>81.64</v>
      </c>
      <c r="O9" s="5" t="s">
        <v>39</v>
      </c>
      <c r="P9" s="5">
        <v>66.569999999999993</v>
      </c>
      <c r="Q9" s="5">
        <f t="shared" si="1"/>
        <v>81.64</v>
      </c>
      <c r="R9" s="5" t="str">
        <f t="shared" si="2"/>
        <v/>
      </c>
      <c r="S9" s="5">
        <v>15.07</v>
      </c>
      <c r="T9" s="5">
        <f t="shared" si="3"/>
        <v>0</v>
      </c>
      <c r="U9" s="5">
        <f t="shared" si="4"/>
        <v>0.47</v>
      </c>
      <c r="V9" s="5">
        <v>1</v>
      </c>
      <c r="W9" s="5" t="s">
        <v>747</v>
      </c>
      <c r="X9" s="5" t="str">
        <f>IF(LEN('List chi tiet'!$B$2)=0,"",'List chi tiet'!$B$2)</f>
        <v>TCTN.DNS.26.004 ĐƯỜNG CAO TỐC VIN</v>
      </c>
      <c r="Y9" s="5" t="s">
        <v>38</v>
      </c>
      <c r="Z9" s="5" t="s">
        <v>748</v>
      </c>
    </row>
    <row r="10" spans="1:26" hidden="1" x14ac:dyDescent="0.25">
      <c r="A10" s="5">
        <v>6</v>
      </c>
      <c r="B10" s="5" t="str">
        <f>IF(LEN('List chi tiet'!$B$3)=0,"",'List chi tiet'!$B$3)</f>
        <v>TCTN.DNS-26004</v>
      </c>
      <c r="C10" s="5" t="s">
        <v>56</v>
      </c>
      <c r="D10" s="5" t="str">
        <f t="shared" si="0"/>
        <v>Project name
Dự Án</v>
      </c>
      <c r="E10" s="5" t="s">
        <v>744</v>
      </c>
      <c r="F10" s="5" t="s">
        <v>33</v>
      </c>
      <c r="G10" s="5" t="s">
        <v>745</v>
      </c>
      <c r="H10" s="5">
        <v>2</v>
      </c>
      <c r="I10" s="5">
        <v>1300</v>
      </c>
      <c r="J10" s="5">
        <v>4000</v>
      </c>
      <c r="K10" s="5" t="s">
        <v>746</v>
      </c>
      <c r="L10" s="5"/>
      <c r="M10" s="5">
        <v>1</v>
      </c>
      <c r="N10" s="5">
        <v>81.64</v>
      </c>
      <c r="O10" s="5" t="s">
        <v>39</v>
      </c>
      <c r="P10" s="5">
        <v>66.569999999999993</v>
      </c>
      <c r="Q10" s="5">
        <f t="shared" si="1"/>
        <v>81.64</v>
      </c>
      <c r="R10" s="5" t="str">
        <f t="shared" si="2"/>
        <v/>
      </c>
      <c r="S10" s="5">
        <v>15.07</v>
      </c>
      <c r="T10" s="5">
        <f t="shared" si="3"/>
        <v>0</v>
      </c>
      <c r="U10" s="5">
        <f t="shared" si="4"/>
        <v>0.47</v>
      </c>
      <c r="V10" s="5">
        <v>1</v>
      </c>
      <c r="W10" s="5" t="s">
        <v>747</v>
      </c>
      <c r="X10" s="5" t="str">
        <f>IF(LEN('List chi tiet'!$B$2)=0,"",'List chi tiet'!$B$2)</f>
        <v>TCTN.DNS.26.004 ĐƯỜNG CAO TỐC VIN</v>
      </c>
      <c r="Y10" s="5" t="s">
        <v>38</v>
      </c>
      <c r="Z10" s="5" t="s">
        <v>748</v>
      </c>
    </row>
    <row r="11" spans="1:26" hidden="1" x14ac:dyDescent="0.25">
      <c r="A11" s="5">
        <v>7</v>
      </c>
      <c r="B11" s="5" t="str">
        <f>IF(LEN('List chi tiet'!$B$3)=0,"",'List chi tiet'!$B$3)</f>
        <v>TCTN.DNS-26004</v>
      </c>
      <c r="C11" s="5" t="s">
        <v>59</v>
      </c>
      <c r="D11" s="5" t="str">
        <f t="shared" si="0"/>
        <v>Project name
Dự Án</v>
      </c>
      <c r="E11" s="5" t="s">
        <v>744</v>
      </c>
      <c r="F11" s="5" t="s">
        <v>33</v>
      </c>
      <c r="G11" s="5" t="s">
        <v>745</v>
      </c>
      <c r="H11" s="5">
        <v>2</v>
      </c>
      <c r="I11" s="5">
        <v>1300</v>
      </c>
      <c r="J11" s="5">
        <v>4000</v>
      </c>
      <c r="K11" s="5" t="s">
        <v>746</v>
      </c>
      <c r="L11" s="5"/>
      <c r="M11" s="5">
        <v>1</v>
      </c>
      <c r="N11" s="5">
        <v>81.64</v>
      </c>
      <c r="O11" s="5" t="s">
        <v>39</v>
      </c>
      <c r="P11" s="5">
        <v>66.569999999999993</v>
      </c>
      <c r="Q11" s="5">
        <f t="shared" si="1"/>
        <v>81.64</v>
      </c>
      <c r="R11" s="5" t="str">
        <f t="shared" si="2"/>
        <v/>
      </c>
      <c r="S11" s="5">
        <v>15.07</v>
      </c>
      <c r="T11" s="5">
        <f t="shared" si="3"/>
        <v>0</v>
      </c>
      <c r="U11" s="5">
        <f t="shared" si="4"/>
        <v>0.47</v>
      </c>
      <c r="V11" s="5">
        <v>1</v>
      </c>
      <c r="W11" s="5" t="s">
        <v>747</v>
      </c>
      <c r="X11" s="5" t="str">
        <f>IF(LEN('List chi tiet'!$B$2)=0,"",'List chi tiet'!$B$2)</f>
        <v>TCTN.DNS.26.004 ĐƯỜNG CAO TỐC VIN</v>
      </c>
      <c r="Y11" s="5" t="s">
        <v>38</v>
      </c>
      <c r="Z11" s="5" t="s">
        <v>748</v>
      </c>
    </row>
    <row r="12" spans="1:26" hidden="1" x14ac:dyDescent="0.25">
      <c r="A12" s="5">
        <v>8</v>
      </c>
      <c r="B12" s="5" t="str">
        <f>IF(LEN('List chi tiet'!$B$3)=0,"",'List chi tiet'!$B$3)</f>
        <v>TCTN.DNS-26004</v>
      </c>
      <c r="C12" s="5" t="s">
        <v>63</v>
      </c>
      <c r="D12" s="5" t="str">
        <f t="shared" si="0"/>
        <v>Project name
Dự Án</v>
      </c>
      <c r="E12" s="5" t="s">
        <v>744</v>
      </c>
      <c r="F12" s="5" t="s">
        <v>33</v>
      </c>
      <c r="G12" s="5" t="s">
        <v>745</v>
      </c>
      <c r="H12" s="5">
        <v>2</v>
      </c>
      <c r="I12" s="5">
        <v>1300</v>
      </c>
      <c r="J12" s="5">
        <v>4000</v>
      </c>
      <c r="K12" s="5" t="s">
        <v>746</v>
      </c>
      <c r="L12" s="5"/>
      <c r="M12" s="5">
        <v>1</v>
      </c>
      <c r="N12" s="5">
        <v>81.64</v>
      </c>
      <c r="O12" s="5" t="s">
        <v>39</v>
      </c>
      <c r="P12" s="5">
        <v>62.8</v>
      </c>
      <c r="Q12" s="5">
        <f t="shared" si="1"/>
        <v>81.64</v>
      </c>
      <c r="R12" s="5" t="str">
        <f t="shared" si="2"/>
        <v/>
      </c>
      <c r="S12" s="5">
        <v>15.07</v>
      </c>
      <c r="T12" s="5">
        <f t="shared" si="3"/>
        <v>3.33</v>
      </c>
      <c r="U12" s="5">
        <f t="shared" si="4"/>
        <v>0.44</v>
      </c>
      <c r="V12" s="5">
        <v>1</v>
      </c>
      <c r="W12" s="5" t="s">
        <v>747</v>
      </c>
      <c r="X12" s="5" t="str">
        <f>IF(LEN('List chi tiet'!$B$2)=0,"",'List chi tiet'!$B$2)</f>
        <v>TCTN.DNS.26.004 ĐƯỜNG CAO TỐC VIN</v>
      </c>
      <c r="Y12" s="5" t="s">
        <v>38</v>
      </c>
      <c r="Z12" s="5" t="s">
        <v>748</v>
      </c>
    </row>
    <row r="13" spans="1:26" hidden="1" x14ac:dyDescent="0.25">
      <c r="A13" s="5">
        <v>9</v>
      </c>
      <c r="B13" s="5" t="str">
        <f>IF(LEN('List chi tiet'!$B$3)=0,"",'List chi tiet'!$B$3)</f>
        <v>TCTN.DNS-26004</v>
      </c>
      <c r="C13" s="5" t="s">
        <v>68</v>
      </c>
      <c r="D13" s="5" t="str">
        <f t="shared" si="0"/>
        <v>Project name
Dự Án</v>
      </c>
      <c r="E13" s="5" t="s">
        <v>744</v>
      </c>
      <c r="F13" s="5" t="s">
        <v>33</v>
      </c>
      <c r="G13" s="5" t="s">
        <v>745</v>
      </c>
      <c r="H13" s="5">
        <v>2</v>
      </c>
      <c r="I13" s="5">
        <v>1300</v>
      </c>
      <c r="J13" s="5">
        <v>4000</v>
      </c>
      <c r="K13" s="5" t="s">
        <v>746</v>
      </c>
      <c r="L13" s="5"/>
      <c r="M13" s="5">
        <v>1</v>
      </c>
      <c r="N13" s="5">
        <v>81.64</v>
      </c>
      <c r="O13" s="5" t="s">
        <v>39</v>
      </c>
      <c r="P13" s="5">
        <v>19.97</v>
      </c>
      <c r="Q13" s="5">
        <f t="shared" si="1"/>
        <v>81.64</v>
      </c>
      <c r="R13" s="5" t="str">
        <f t="shared" si="2"/>
        <v/>
      </c>
      <c r="S13" s="5">
        <v>61.67</v>
      </c>
      <c r="T13" s="5">
        <f t="shared" si="3"/>
        <v>0</v>
      </c>
      <c r="U13" s="5">
        <f t="shared" si="4"/>
        <v>0.14000000000000001</v>
      </c>
      <c r="V13" s="5">
        <v>1</v>
      </c>
      <c r="W13" s="5" t="s">
        <v>747</v>
      </c>
      <c r="X13" s="5" t="str">
        <f>IF(LEN('List chi tiet'!$B$2)=0,"",'List chi tiet'!$B$2)</f>
        <v>TCTN.DNS.26.004 ĐƯỜNG CAO TỐC VIN</v>
      </c>
      <c r="Y13" s="5" t="s">
        <v>38</v>
      </c>
      <c r="Z13" s="5" t="s">
        <v>748</v>
      </c>
    </row>
    <row r="14" spans="1:26" hidden="1" x14ac:dyDescent="0.25">
      <c r="A14" s="5">
        <v>10</v>
      </c>
      <c r="B14" s="5" t="str">
        <f>IF(LEN('List chi tiet'!$B$3)=0,"",'List chi tiet'!$B$3)</f>
        <v>TCTN.DNS-26004</v>
      </c>
      <c r="C14" s="5" t="s">
        <v>72</v>
      </c>
      <c r="D14" s="5" t="str">
        <f t="shared" si="0"/>
        <v>Project name
Dự Án</v>
      </c>
      <c r="E14" s="5" t="s">
        <v>744</v>
      </c>
      <c r="F14" s="5" t="s">
        <v>33</v>
      </c>
      <c r="G14" s="5" t="s">
        <v>745</v>
      </c>
      <c r="H14" s="5">
        <v>2</v>
      </c>
      <c r="I14" s="5">
        <v>1300</v>
      </c>
      <c r="J14" s="5">
        <v>4000</v>
      </c>
      <c r="K14" s="5" t="s">
        <v>746</v>
      </c>
      <c r="L14" s="5"/>
      <c r="M14" s="5">
        <v>1</v>
      </c>
      <c r="N14" s="5">
        <v>81.64</v>
      </c>
      <c r="O14" s="5" t="s">
        <v>39</v>
      </c>
      <c r="P14" s="5">
        <v>48.23</v>
      </c>
      <c r="Q14" s="5">
        <f t="shared" si="1"/>
        <v>81.64</v>
      </c>
      <c r="R14" s="5" t="str">
        <f t="shared" si="2"/>
        <v/>
      </c>
      <c r="S14" s="5">
        <v>32.880000000000003</v>
      </c>
      <c r="T14" s="5">
        <f t="shared" si="3"/>
        <v>0.19</v>
      </c>
      <c r="U14" s="5">
        <f t="shared" si="4"/>
        <v>0.34</v>
      </c>
      <c r="V14" s="5">
        <v>1</v>
      </c>
      <c r="W14" s="5" t="s">
        <v>747</v>
      </c>
      <c r="X14" s="5" t="str">
        <f>IF(LEN('List chi tiet'!$B$2)=0,"",'List chi tiet'!$B$2)</f>
        <v>TCTN.DNS.26.004 ĐƯỜNG CAO TỐC VIN</v>
      </c>
      <c r="Y14" s="5" t="s">
        <v>38</v>
      </c>
      <c r="Z14" s="5" t="s">
        <v>748</v>
      </c>
    </row>
    <row r="15" spans="1:26" hidden="1" x14ac:dyDescent="0.25">
      <c r="A15" s="5">
        <v>11</v>
      </c>
      <c r="B15" s="5" t="str">
        <f>IF(LEN('List chi tiet'!$B$3)=0,"",'List chi tiet'!$B$3)</f>
        <v>TCTN.DNS-26004</v>
      </c>
      <c r="C15" s="5" t="s">
        <v>80</v>
      </c>
      <c r="D15" s="5" t="str">
        <f t="shared" si="0"/>
        <v>Project name
Dự Án</v>
      </c>
      <c r="E15" s="5" t="s">
        <v>744</v>
      </c>
      <c r="F15" s="5" t="s">
        <v>77</v>
      </c>
      <c r="G15" s="5" t="s">
        <v>749</v>
      </c>
      <c r="H15" s="5">
        <v>5</v>
      </c>
      <c r="I15" s="5">
        <v>1500</v>
      </c>
      <c r="J15" s="5">
        <v>6000</v>
      </c>
      <c r="K15" s="5" t="s">
        <v>746</v>
      </c>
      <c r="L15" s="5"/>
      <c r="M15" s="5">
        <v>1</v>
      </c>
      <c r="N15" s="5">
        <v>353.25</v>
      </c>
      <c r="O15" s="5" t="s">
        <v>39</v>
      </c>
      <c r="P15" s="5">
        <v>202.8</v>
      </c>
      <c r="Q15" s="5">
        <f t="shared" si="1"/>
        <v>353.25</v>
      </c>
      <c r="R15" s="5" t="str">
        <f t="shared" si="2"/>
        <v/>
      </c>
      <c r="S15" s="5">
        <v>105.98</v>
      </c>
      <c r="T15" s="5">
        <f t="shared" si="3"/>
        <v>43.05</v>
      </c>
      <c r="U15" s="5">
        <f t="shared" si="4"/>
        <v>1.42</v>
      </c>
      <c r="V15" s="5">
        <v>1</v>
      </c>
      <c r="W15" s="5" t="s">
        <v>747</v>
      </c>
      <c r="X15" s="5" t="str">
        <f>IF(LEN('List chi tiet'!$B$2)=0,"",'List chi tiet'!$B$2)</f>
        <v>TCTN.DNS.26.004 ĐƯỜNG CAO TỐC VIN</v>
      </c>
      <c r="Y15" s="5" t="s">
        <v>38</v>
      </c>
      <c r="Z15" s="5" t="s">
        <v>748</v>
      </c>
    </row>
    <row r="16" spans="1:26" hidden="1" x14ac:dyDescent="0.25">
      <c r="A16" s="5">
        <v>12</v>
      </c>
      <c r="B16" s="5" t="str">
        <f>IF(LEN('List chi tiet'!$B$3)=0,"",'List chi tiet'!$B$3)</f>
        <v>TCTN.DNS-26004</v>
      </c>
      <c r="C16" s="5" t="s">
        <v>98</v>
      </c>
      <c r="D16" s="5" t="str">
        <f t="shared" si="0"/>
        <v>Project name
Dự Án</v>
      </c>
      <c r="E16" s="5" t="s">
        <v>744</v>
      </c>
      <c r="F16" s="5" t="s">
        <v>77</v>
      </c>
      <c r="G16" s="5" t="s">
        <v>750</v>
      </c>
      <c r="H16" s="5">
        <v>6</v>
      </c>
      <c r="I16" s="5">
        <v>1500</v>
      </c>
      <c r="J16" s="5">
        <v>12000</v>
      </c>
      <c r="K16" s="5" t="s">
        <v>746</v>
      </c>
      <c r="L16" s="5"/>
      <c r="M16" s="5">
        <v>1</v>
      </c>
      <c r="N16" s="5">
        <v>847.8</v>
      </c>
      <c r="O16" s="5" t="s">
        <v>39</v>
      </c>
      <c r="P16" s="5">
        <v>717.6</v>
      </c>
      <c r="Q16" s="5">
        <f t="shared" si="1"/>
        <v>847.8</v>
      </c>
      <c r="R16" s="5" t="str">
        <f t="shared" si="2"/>
        <v/>
      </c>
      <c r="S16" s="5">
        <v>92.71</v>
      </c>
      <c r="T16" s="5">
        <f t="shared" si="3"/>
        <v>32.47</v>
      </c>
      <c r="U16" s="5">
        <f t="shared" si="4"/>
        <v>5.0199999999999996</v>
      </c>
      <c r="V16" s="5">
        <v>1</v>
      </c>
      <c r="W16" s="5" t="s">
        <v>747</v>
      </c>
      <c r="X16" s="5" t="str">
        <f>IF(LEN('List chi tiet'!$B$2)=0,"",'List chi tiet'!$B$2)</f>
        <v>TCTN.DNS.26.004 ĐƯỜNG CAO TỐC VIN</v>
      </c>
      <c r="Y16" s="5" t="s">
        <v>38</v>
      </c>
      <c r="Z16" s="5" t="s">
        <v>748</v>
      </c>
    </row>
    <row r="17" spans="1:26" hidden="1" x14ac:dyDescent="0.25">
      <c r="A17" s="5">
        <v>13</v>
      </c>
      <c r="B17" s="5" t="str">
        <f>IF(LEN('List chi tiet'!$B$3)=0,"",'List chi tiet'!$B$3)</f>
        <v>TCTN.DNS-26004</v>
      </c>
      <c r="C17" s="5" t="s">
        <v>119</v>
      </c>
      <c r="D17" s="5" t="str">
        <f t="shared" si="0"/>
        <v>Project name
Dự Án</v>
      </c>
      <c r="E17" s="5" t="s">
        <v>744</v>
      </c>
      <c r="F17" s="5" t="s">
        <v>77</v>
      </c>
      <c r="G17" s="5" t="s">
        <v>750</v>
      </c>
      <c r="H17" s="5">
        <v>6</v>
      </c>
      <c r="I17" s="5">
        <v>1500</v>
      </c>
      <c r="J17" s="5">
        <v>12000</v>
      </c>
      <c r="K17" s="5" t="s">
        <v>746</v>
      </c>
      <c r="L17" s="5"/>
      <c r="M17" s="5">
        <v>1</v>
      </c>
      <c r="N17" s="5">
        <v>847.8</v>
      </c>
      <c r="O17" s="5" t="s">
        <v>39</v>
      </c>
      <c r="P17" s="5">
        <v>727.26</v>
      </c>
      <c r="Q17" s="5">
        <f t="shared" si="1"/>
        <v>847.8</v>
      </c>
      <c r="R17" s="5" t="str">
        <f t="shared" si="2"/>
        <v/>
      </c>
      <c r="S17" s="5">
        <v>92.71</v>
      </c>
      <c r="T17" s="5">
        <f t="shared" si="3"/>
        <v>22.74</v>
      </c>
      <c r="U17" s="5">
        <f t="shared" si="4"/>
        <v>5.09</v>
      </c>
      <c r="V17" s="5">
        <v>1</v>
      </c>
      <c r="W17" s="5" t="s">
        <v>747</v>
      </c>
      <c r="X17" s="5" t="str">
        <f>IF(LEN('List chi tiet'!$B$2)=0,"",'List chi tiet'!$B$2)</f>
        <v>TCTN.DNS.26.004 ĐƯỜNG CAO TỐC VIN</v>
      </c>
      <c r="Y17" s="5" t="s">
        <v>38</v>
      </c>
      <c r="Z17" s="5" t="s">
        <v>748</v>
      </c>
    </row>
    <row r="18" spans="1:26" hidden="1" x14ac:dyDescent="0.25">
      <c r="A18" s="5">
        <v>14</v>
      </c>
      <c r="B18" s="5" t="str">
        <f>IF(LEN('List chi tiet'!$B$3)=0,"",'List chi tiet'!$B$3)</f>
        <v>TCTN.DNS-26004</v>
      </c>
      <c r="C18" s="5" t="s">
        <v>125</v>
      </c>
      <c r="D18" s="5" t="str">
        <f t="shared" si="0"/>
        <v>Project name
Dự Án</v>
      </c>
      <c r="E18" s="5" t="s">
        <v>744</v>
      </c>
      <c r="F18" s="5" t="s">
        <v>77</v>
      </c>
      <c r="G18" s="5" t="s">
        <v>750</v>
      </c>
      <c r="H18" s="5">
        <v>6</v>
      </c>
      <c r="I18" s="5">
        <v>1500</v>
      </c>
      <c r="J18" s="5">
        <v>12000</v>
      </c>
      <c r="K18" s="5" t="s">
        <v>746</v>
      </c>
      <c r="L18" s="5"/>
      <c r="M18" s="5">
        <v>1</v>
      </c>
      <c r="N18" s="5">
        <v>847.8</v>
      </c>
      <c r="O18" s="5" t="s">
        <v>39</v>
      </c>
      <c r="P18" s="5">
        <v>723.2</v>
      </c>
      <c r="Q18" s="5">
        <f t="shared" si="1"/>
        <v>847.8</v>
      </c>
      <c r="R18" s="5" t="str">
        <f t="shared" si="2"/>
        <v/>
      </c>
      <c r="S18" s="5">
        <v>92.71</v>
      </c>
      <c r="T18" s="5">
        <f t="shared" si="3"/>
        <v>26.83</v>
      </c>
      <c r="U18" s="5">
        <f t="shared" si="4"/>
        <v>5.0599999999999996</v>
      </c>
      <c r="V18" s="5">
        <v>1</v>
      </c>
      <c r="W18" s="5" t="s">
        <v>747</v>
      </c>
      <c r="X18" s="5" t="str">
        <f>IF(LEN('List chi tiet'!$B$2)=0,"",'List chi tiet'!$B$2)</f>
        <v>TCTN.DNS.26.004 ĐƯỜNG CAO TỐC VIN</v>
      </c>
      <c r="Y18" s="5" t="s">
        <v>38</v>
      </c>
      <c r="Z18" s="5" t="s">
        <v>748</v>
      </c>
    </row>
    <row r="19" spans="1:26" hidden="1" x14ac:dyDescent="0.25">
      <c r="A19" s="5">
        <v>15</v>
      </c>
      <c r="B19" s="5" t="str">
        <f>IF(LEN('List chi tiet'!$B$3)=0,"",'List chi tiet'!$B$3)</f>
        <v>TCTN.DNS-26004</v>
      </c>
      <c r="C19" s="5" t="s">
        <v>130</v>
      </c>
      <c r="D19" s="5" t="str">
        <f t="shared" si="0"/>
        <v>Project name
Dự Án</v>
      </c>
      <c r="E19" s="5" t="s">
        <v>744</v>
      </c>
      <c r="F19" s="5" t="s">
        <v>77</v>
      </c>
      <c r="G19" s="5" t="s">
        <v>750</v>
      </c>
      <c r="H19" s="5">
        <v>6</v>
      </c>
      <c r="I19" s="5">
        <v>1500</v>
      </c>
      <c r="J19" s="5">
        <v>12000</v>
      </c>
      <c r="K19" s="5" t="s">
        <v>746</v>
      </c>
      <c r="L19" s="5"/>
      <c r="M19" s="5">
        <v>1</v>
      </c>
      <c r="N19" s="5">
        <v>847.8</v>
      </c>
      <c r="O19" s="5" t="s">
        <v>39</v>
      </c>
      <c r="P19" s="5">
        <v>723.1</v>
      </c>
      <c r="Q19" s="5">
        <f t="shared" si="1"/>
        <v>847.8</v>
      </c>
      <c r="R19" s="5" t="str">
        <f t="shared" si="2"/>
        <v/>
      </c>
      <c r="S19" s="5">
        <v>93.17</v>
      </c>
      <c r="T19" s="5">
        <f t="shared" si="3"/>
        <v>26.47</v>
      </c>
      <c r="U19" s="5">
        <f t="shared" si="4"/>
        <v>5.0599999999999996</v>
      </c>
      <c r="V19" s="5">
        <v>1</v>
      </c>
      <c r="W19" s="5" t="s">
        <v>747</v>
      </c>
      <c r="X19" s="5" t="str">
        <f>IF(LEN('List chi tiet'!$B$2)=0,"",'List chi tiet'!$B$2)</f>
        <v>TCTN.DNS.26.004 ĐƯỜNG CAO TỐC VIN</v>
      </c>
      <c r="Y19" s="5" t="s">
        <v>38</v>
      </c>
      <c r="Z19" s="5" t="s">
        <v>748</v>
      </c>
    </row>
    <row r="20" spans="1:26" hidden="1" x14ac:dyDescent="0.25">
      <c r="A20" s="5">
        <v>16</v>
      </c>
      <c r="B20" s="5" t="str">
        <f>IF(LEN('List chi tiet'!$B$3)=0,"",'List chi tiet'!$B$3)</f>
        <v>TCTN.DNS-26004</v>
      </c>
      <c r="C20" s="5" t="s">
        <v>141</v>
      </c>
      <c r="D20" s="5" t="str">
        <f t="shared" si="0"/>
        <v>Project name
Dự Án</v>
      </c>
      <c r="E20" s="5" t="s">
        <v>744</v>
      </c>
      <c r="F20" s="5" t="s">
        <v>77</v>
      </c>
      <c r="G20" s="5" t="s">
        <v>750</v>
      </c>
      <c r="H20" s="5">
        <v>6</v>
      </c>
      <c r="I20" s="5">
        <v>1500</v>
      </c>
      <c r="J20" s="5">
        <v>12000</v>
      </c>
      <c r="K20" s="5" t="s">
        <v>746</v>
      </c>
      <c r="L20" s="5"/>
      <c r="M20" s="5">
        <v>1</v>
      </c>
      <c r="N20" s="5">
        <v>847.8</v>
      </c>
      <c r="O20" s="5" t="s">
        <v>39</v>
      </c>
      <c r="P20" s="5">
        <v>722.86</v>
      </c>
      <c r="Q20" s="5">
        <f t="shared" si="1"/>
        <v>847.8</v>
      </c>
      <c r="R20" s="5" t="str">
        <f t="shared" si="2"/>
        <v/>
      </c>
      <c r="S20" s="5">
        <v>80.27</v>
      </c>
      <c r="T20" s="5">
        <f t="shared" si="3"/>
        <v>39.61</v>
      </c>
      <c r="U20" s="5">
        <f t="shared" si="4"/>
        <v>5.0599999999999996</v>
      </c>
      <c r="V20" s="5">
        <v>1</v>
      </c>
      <c r="W20" s="5" t="s">
        <v>747</v>
      </c>
      <c r="X20" s="5" t="str">
        <f>IF(LEN('List chi tiet'!$B$2)=0,"",'List chi tiet'!$B$2)</f>
        <v>TCTN.DNS.26.004 ĐƯỜNG CAO TỐC VIN</v>
      </c>
      <c r="Y20" s="5" t="s">
        <v>38</v>
      </c>
      <c r="Z20" s="5" t="s">
        <v>748</v>
      </c>
    </row>
    <row r="21" spans="1:26" hidden="1" x14ac:dyDescent="0.25">
      <c r="A21" s="5">
        <v>17</v>
      </c>
      <c r="B21" s="5" t="str">
        <f>IF(LEN('List chi tiet'!$B$3)=0,"",'List chi tiet'!$B$3)</f>
        <v>TCTN.DNS-26004</v>
      </c>
      <c r="C21" s="5" t="s">
        <v>146</v>
      </c>
      <c r="D21" s="5" t="str">
        <f t="shared" si="0"/>
        <v>Project name
Dự Án</v>
      </c>
      <c r="E21" s="5" t="s">
        <v>744</v>
      </c>
      <c r="F21" s="5" t="s">
        <v>77</v>
      </c>
      <c r="G21" s="5" t="s">
        <v>750</v>
      </c>
      <c r="H21" s="5">
        <v>6</v>
      </c>
      <c r="I21" s="5">
        <v>1500</v>
      </c>
      <c r="J21" s="5">
        <v>12000</v>
      </c>
      <c r="K21" s="5" t="s">
        <v>746</v>
      </c>
      <c r="L21" s="5"/>
      <c r="M21" s="5">
        <v>1</v>
      </c>
      <c r="N21" s="5">
        <v>847.8</v>
      </c>
      <c r="O21" s="5" t="s">
        <v>39</v>
      </c>
      <c r="P21" s="5">
        <v>722.84</v>
      </c>
      <c r="Q21" s="5">
        <f t="shared" si="1"/>
        <v>847.8</v>
      </c>
      <c r="R21" s="5" t="str">
        <f t="shared" si="2"/>
        <v/>
      </c>
      <c r="S21" s="5">
        <v>80.27</v>
      </c>
      <c r="T21" s="5">
        <f t="shared" si="3"/>
        <v>39.630000000000003</v>
      </c>
      <c r="U21" s="5">
        <f t="shared" si="4"/>
        <v>5.0599999999999996</v>
      </c>
      <c r="V21" s="5">
        <v>1</v>
      </c>
      <c r="W21" s="5" t="s">
        <v>747</v>
      </c>
      <c r="X21" s="5" t="str">
        <f>IF(LEN('List chi tiet'!$B$2)=0,"",'List chi tiet'!$B$2)</f>
        <v>TCTN.DNS.26.004 ĐƯỜNG CAO TỐC VIN</v>
      </c>
      <c r="Y21" s="5" t="s">
        <v>38</v>
      </c>
      <c r="Z21" s="5" t="s">
        <v>748</v>
      </c>
    </row>
    <row r="22" spans="1:26" hidden="1" x14ac:dyDescent="0.25">
      <c r="A22" s="5">
        <v>18</v>
      </c>
      <c r="B22" s="5" t="str">
        <f>IF(LEN('List chi tiet'!$B$3)=0,"",'List chi tiet'!$B$3)</f>
        <v>TCTN.DNS-26004</v>
      </c>
      <c r="C22" s="5" t="s">
        <v>150</v>
      </c>
      <c r="D22" s="5" t="str">
        <f t="shared" si="0"/>
        <v>Project name
Dự Án</v>
      </c>
      <c r="E22" s="5" t="s">
        <v>744</v>
      </c>
      <c r="F22" s="5" t="s">
        <v>77</v>
      </c>
      <c r="G22" s="5" t="s">
        <v>750</v>
      </c>
      <c r="H22" s="5">
        <v>6</v>
      </c>
      <c r="I22" s="5">
        <v>1500</v>
      </c>
      <c r="J22" s="5">
        <v>12000</v>
      </c>
      <c r="K22" s="5" t="s">
        <v>746</v>
      </c>
      <c r="L22" s="5"/>
      <c r="M22" s="5">
        <v>1</v>
      </c>
      <c r="N22" s="5">
        <v>847.8</v>
      </c>
      <c r="O22" s="5" t="s">
        <v>39</v>
      </c>
      <c r="P22" s="5">
        <v>722.69</v>
      </c>
      <c r="Q22" s="5">
        <f t="shared" si="1"/>
        <v>847.8</v>
      </c>
      <c r="R22" s="5" t="str">
        <f t="shared" si="2"/>
        <v/>
      </c>
      <c r="S22" s="5">
        <v>94.75</v>
      </c>
      <c r="T22" s="5">
        <f t="shared" si="3"/>
        <v>25.3</v>
      </c>
      <c r="U22" s="5">
        <f t="shared" si="4"/>
        <v>5.0599999999999996</v>
      </c>
      <c r="V22" s="5">
        <v>1</v>
      </c>
      <c r="W22" s="5" t="s">
        <v>747</v>
      </c>
      <c r="X22" s="5" t="str">
        <f>IF(LEN('List chi tiet'!$B$2)=0,"",'List chi tiet'!$B$2)</f>
        <v>TCTN.DNS.26.004 ĐƯỜNG CAO TỐC VIN</v>
      </c>
      <c r="Y22" s="5" t="s">
        <v>38</v>
      </c>
      <c r="Z22" s="5" t="s">
        <v>748</v>
      </c>
    </row>
    <row r="23" spans="1:26" hidden="1" x14ac:dyDescent="0.25">
      <c r="A23" s="5">
        <v>19</v>
      </c>
      <c r="B23" s="5" t="str">
        <f>IF(LEN('List chi tiet'!$B$3)=0,"",'List chi tiet'!$B$3)</f>
        <v>TCTN.DNS-26004</v>
      </c>
      <c r="C23" s="5" t="s">
        <v>155</v>
      </c>
      <c r="D23" s="5" t="str">
        <f t="shared" si="0"/>
        <v>Project name
Dự Án</v>
      </c>
      <c r="E23" s="5" t="s">
        <v>744</v>
      </c>
      <c r="F23" s="5" t="s">
        <v>77</v>
      </c>
      <c r="G23" s="5" t="s">
        <v>750</v>
      </c>
      <c r="H23" s="5">
        <v>6</v>
      </c>
      <c r="I23" s="5">
        <v>1500</v>
      </c>
      <c r="J23" s="5">
        <v>12000</v>
      </c>
      <c r="K23" s="5" t="s">
        <v>746</v>
      </c>
      <c r="L23" s="5"/>
      <c r="M23" s="5">
        <v>1</v>
      </c>
      <c r="N23" s="5">
        <v>847.8</v>
      </c>
      <c r="O23" s="5" t="s">
        <v>39</v>
      </c>
      <c r="P23" s="5">
        <v>722.67</v>
      </c>
      <c r="Q23" s="5">
        <f t="shared" si="1"/>
        <v>847.8</v>
      </c>
      <c r="R23" s="5" t="str">
        <f t="shared" si="2"/>
        <v/>
      </c>
      <c r="S23" s="5">
        <v>93.43</v>
      </c>
      <c r="T23" s="5">
        <f t="shared" si="3"/>
        <v>26.64</v>
      </c>
      <c r="U23" s="5">
        <f t="shared" si="4"/>
        <v>5.0599999999999996</v>
      </c>
      <c r="V23" s="5">
        <v>1</v>
      </c>
      <c r="W23" s="5" t="s">
        <v>747</v>
      </c>
      <c r="X23" s="5" t="str">
        <f>IF(LEN('List chi tiet'!$B$2)=0,"",'List chi tiet'!$B$2)</f>
        <v>TCTN.DNS.26.004 ĐƯỜNG CAO TỐC VIN</v>
      </c>
      <c r="Y23" s="5" t="s">
        <v>38</v>
      </c>
      <c r="Z23" s="5" t="s">
        <v>748</v>
      </c>
    </row>
    <row r="24" spans="1:26" hidden="1" x14ac:dyDescent="0.25">
      <c r="A24" s="5">
        <v>20</v>
      </c>
      <c r="B24" s="5" t="str">
        <f>IF(LEN('List chi tiet'!$B$3)=0,"",'List chi tiet'!$B$3)</f>
        <v>TCTN.DNS-26004</v>
      </c>
      <c r="C24" s="5" t="s">
        <v>160</v>
      </c>
      <c r="D24" s="5" t="str">
        <f t="shared" si="0"/>
        <v>Project name
Dự Án</v>
      </c>
      <c r="E24" s="5" t="s">
        <v>744</v>
      </c>
      <c r="F24" s="5" t="s">
        <v>77</v>
      </c>
      <c r="G24" s="5" t="s">
        <v>750</v>
      </c>
      <c r="H24" s="5">
        <v>6</v>
      </c>
      <c r="I24" s="5">
        <v>1500</v>
      </c>
      <c r="J24" s="5">
        <v>12000</v>
      </c>
      <c r="K24" s="5" t="s">
        <v>746</v>
      </c>
      <c r="L24" s="5"/>
      <c r="M24" s="5">
        <v>1</v>
      </c>
      <c r="N24" s="5">
        <v>847.8</v>
      </c>
      <c r="O24" s="5" t="s">
        <v>39</v>
      </c>
      <c r="P24" s="5">
        <v>736.28</v>
      </c>
      <c r="Q24" s="5">
        <f t="shared" si="1"/>
        <v>847.8</v>
      </c>
      <c r="R24" s="5" t="str">
        <f t="shared" si="2"/>
        <v/>
      </c>
      <c r="S24" s="5">
        <v>80.27</v>
      </c>
      <c r="T24" s="5">
        <f t="shared" si="3"/>
        <v>26.1</v>
      </c>
      <c r="U24" s="5">
        <f t="shared" si="4"/>
        <v>5.15</v>
      </c>
      <c r="V24" s="5">
        <v>1</v>
      </c>
      <c r="W24" s="5" t="s">
        <v>747</v>
      </c>
      <c r="X24" s="5" t="str">
        <f>IF(LEN('List chi tiet'!$B$2)=0,"",'List chi tiet'!$B$2)</f>
        <v>TCTN.DNS.26.004 ĐƯỜNG CAO TỐC VIN</v>
      </c>
      <c r="Y24" s="5" t="s">
        <v>38</v>
      </c>
      <c r="Z24" s="5" t="s">
        <v>748</v>
      </c>
    </row>
    <row r="25" spans="1:26" hidden="1" x14ac:dyDescent="0.25">
      <c r="A25" s="5">
        <v>21</v>
      </c>
      <c r="B25" s="5" t="str">
        <f>IF(LEN('List chi tiet'!$B$3)=0,"",'List chi tiet'!$B$3)</f>
        <v>TCTN.DNS-26004</v>
      </c>
      <c r="C25" s="5" t="s">
        <v>169</v>
      </c>
      <c r="D25" s="5" t="str">
        <f t="shared" si="0"/>
        <v>Project name
Dự Án</v>
      </c>
      <c r="E25" s="5" t="s">
        <v>744</v>
      </c>
      <c r="F25" s="5" t="s">
        <v>77</v>
      </c>
      <c r="G25" s="5" t="s">
        <v>750</v>
      </c>
      <c r="H25" s="5">
        <v>6</v>
      </c>
      <c r="I25" s="5">
        <v>1500</v>
      </c>
      <c r="J25" s="5">
        <v>12000</v>
      </c>
      <c r="K25" s="5" t="s">
        <v>746</v>
      </c>
      <c r="L25" s="5"/>
      <c r="M25" s="5">
        <v>1</v>
      </c>
      <c r="N25" s="5">
        <v>847.8</v>
      </c>
      <c r="O25" s="5" t="s">
        <v>39</v>
      </c>
      <c r="P25" s="5">
        <v>742.43</v>
      </c>
      <c r="Q25" s="5">
        <f t="shared" si="1"/>
        <v>847.8</v>
      </c>
      <c r="R25" s="5" t="str">
        <f t="shared" si="2"/>
        <v/>
      </c>
      <c r="S25" s="5">
        <v>65.959999999999994</v>
      </c>
      <c r="T25" s="5">
        <f t="shared" si="3"/>
        <v>34.21</v>
      </c>
      <c r="U25" s="5">
        <f t="shared" si="4"/>
        <v>5.2</v>
      </c>
      <c r="V25" s="5">
        <v>1</v>
      </c>
      <c r="W25" s="5" t="s">
        <v>747</v>
      </c>
      <c r="X25" s="5" t="str">
        <f>IF(LEN('List chi tiet'!$B$2)=0,"",'List chi tiet'!$B$2)</f>
        <v>TCTN.DNS.26.004 ĐƯỜNG CAO TỐC VIN</v>
      </c>
      <c r="Y25" s="5" t="s">
        <v>38</v>
      </c>
      <c r="Z25" s="5" t="s">
        <v>748</v>
      </c>
    </row>
    <row r="26" spans="1:26" hidden="1" x14ac:dyDescent="0.25">
      <c r="A26" s="5">
        <v>22</v>
      </c>
      <c r="B26" s="5" t="str">
        <f>IF(LEN('List chi tiet'!$B$3)=0,"",'List chi tiet'!$B$3)</f>
        <v>TCTN.DNS-26004</v>
      </c>
      <c r="C26" s="5" t="s">
        <v>173</v>
      </c>
      <c r="D26" s="5" t="str">
        <f t="shared" si="0"/>
        <v>Project name
Dự Án</v>
      </c>
      <c r="E26" s="5" t="s">
        <v>744</v>
      </c>
      <c r="F26" s="5" t="s">
        <v>77</v>
      </c>
      <c r="G26" s="5" t="s">
        <v>750</v>
      </c>
      <c r="H26" s="5">
        <v>6</v>
      </c>
      <c r="I26" s="5">
        <v>1500</v>
      </c>
      <c r="J26" s="5">
        <v>12000</v>
      </c>
      <c r="K26" s="5" t="s">
        <v>746</v>
      </c>
      <c r="L26" s="5"/>
      <c r="M26" s="5">
        <v>1</v>
      </c>
      <c r="N26" s="5">
        <v>847.8</v>
      </c>
      <c r="O26" s="5" t="s">
        <v>39</v>
      </c>
      <c r="P26" s="5">
        <v>742.44</v>
      </c>
      <c r="Q26" s="5">
        <f t="shared" si="1"/>
        <v>847.8</v>
      </c>
      <c r="R26" s="5" t="str">
        <f t="shared" si="2"/>
        <v/>
      </c>
      <c r="S26" s="5">
        <v>65.709999999999994</v>
      </c>
      <c r="T26" s="5">
        <f t="shared" si="3"/>
        <v>34.450000000000003</v>
      </c>
      <c r="U26" s="5">
        <f t="shared" si="4"/>
        <v>5.2</v>
      </c>
      <c r="V26" s="5">
        <v>1</v>
      </c>
      <c r="W26" s="5" t="s">
        <v>747</v>
      </c>
      <c r="X26" s="5" t="str">
        <f>IF(LEN('List chi tiet'!$B$2)=0,"",'List chi tiet'!$B$2)</f>
        <v>TCTN.DNS.26.004 ĐƯỜNG CAO TỐC VIN</v>
      </c>
      <c r="Y26" s="5" t="s">
        <v>38</v>
      </c>
      <c r="Z26" s="5" t="s">
        <v>748</v>
      </c>
    </row>
    <row r="27" spans="1:26" hidden="1" x14ac:dyDescent="0.25">
      <c r="A27" s="5">
        <v>23</v>
      </c>
      <c r="B27" s="5" t="str">
        <f>IF(LEN('List chi tiet'!$B$3)=0,"",'List chi tiet'!$B$3)</f>
        <v>TCTN.DNS-26004</v>
      </c>
      <c r="C27" s="5" t="s">
        <v>176</v>
      </c>
      <c r="D27" s="5" t="str">
        <f t="shared" si="0"/>
        <v>Project name
Dự Án</v>
      </c>
      <c r="E27" s="5" t="s">
        <v>744</v>
      </c>
      <c r="F27" s="5" t="s">
        <v>77</v>
      </c>
      <c r="G27" s="5" t="s">
        <v>750</v>
      </c>
      <c r="H27" s="5">
        <v>6</v>
      </c>
      <c r="I27" s="5">
        <v>1500</v>
      </c>
      <c r="J27" s="5">
        <v>12000</v>
      </c>
      <c r="K27" s="5" t="s">
        <v>746</v>
      </c>
      <c r="L27" s="5"/>
      <c r="M27" s="5">
        <v>1</v>
      </c>
      <c r="N27" s="5">
        <v>847.8</v>
      </c>
      <c r="O27" s="5" t="s">
        <v>39</v>
      </c>
      <c r="P27" s="5">
        <v>720.91</v>
      </c>
      <c r="Q27" s="5">
        <f t="shared" si="1"/>
        <v>847.8</v>
      </c>
      <c r="R27" s="5" t="str">
        <f t="shared" si="2"/>
        <v/>
      </c>
      <c r="S27" s="5">
        <v>95.38</v>
      </c>
      <c r="T27" s="5">
        <f t="shared" si="3"/>
        <v>26.46</v>
      </c>
      <c r="U27" s="5">
        <f t="shared" si="4"/>
        <v>5.05</v>
      </c>
      <c r="V27" s="5">
        <v>1</v>
      </c>
      <c r="W27" s="5" t="s">
        <v>747</v>
      </c>
      <c r="X27" s="5" t="str">
        <f>IF(LEN('List chi tiet'!$B$2)=0,"",'List chi tiet'!$B$2)</f>
        <v>TCTN.DNS.26.004 ĐƯỜNG CAO TỐC VIN</v>
      </c>
      <c r="Y27" s="5" t="s">
        <v>38</v>
      </c>
      <c r="Z27" s="5" t="s">
        <v>748</v>
      </c>
    </row>
    <row r="28" spans="1:26" hidden="1" x14ac:dyDescent="0.25">
      <c r="A28" s="5">
        <v>24</v>
      </c>
      <c r="B28" s="5" t="str">
        <f>IF(LEN('List chi tiet'!$B$3)=0,"",'List chi tiet'!$B$3)</f>
        <v>TCTN.DNS-26004</v>
      </c>
      <c r="C28" s="5" t="s">
        <v>181</v>
      </c>
      <c r="D28" s="5" t="str">
        <f t="shared" si="0"/>
        <v>Project name
Dự Án</v>
      </c>
      <c r="E28" s="5" t="s">
        <v>744</v>
      </c>
      <c r="F28" s="5" t="s">
        <v>77</v>
      </c>
      <c r="G28" s="5" t="s">
        <v>750</v>
      </c>
      <c r="H28" s="5">
        <v>6</v>
      </c>
      <c r="I28" s="5">
        <v>1500</v>
      </c>
      <c r="J28" s="5">
        <v>12000</v>
      </c>
      <c r="K28" s="5" t="s">
        <v>746</v>
      </c>
      <c r="L28" s="5"/>
      <c r="M28" s="5">
        <v>1</v>
      </c>
      <c r="N28" s="5">
        <v>847.8</v>
      </c>
      <c r="O28" s="5" t="s">
        <v>39</v>
      </c>
      <c r="P28" s="5">
        <v>720.91</v>
      </c>
      <c r="Q28" s="5">
        <f t="shared" si="1"/>
        <v>847.8</v>
      </c>
      <c r="R28" s="5" t="str">
        <f t="shared" si="2"/>
        <v/>
      </c>
      <c r="S28" s="5">
        <v>97.12</v>
      </c>
      <c r="T28" s="5">
        <f t="shared" si="3"/>
        <v>24.72</v>
      </c>
      <c r="U28" s="5">
        <f t="shared" si="4"/>
        <v>5.05</v>
      </c>
      <c r="V28" s="5">
        <v>1</v>
      </c>
      <c r="W28" s="5" t="s">
        <v>747</v>
      </c>
      <c r="X28" s="5" t="str">
        <f>IF(LEN('List chi tiet'!$B$2)=0,"",'List chi tiet'!$B$2)</f>
        <v>TCTN.DNS.26.004 ĐƯỜNG CAO TỐC VIN</v>
      </c>
      <c r="Y28" s="5" t="s">
        <v>38</v>
      </c>
      <c r="Z28" s="5" t="s">
        <v>748</v>
      </c>
    </row>
    <row r="29" spans="1:26" hidden="1" x14ac:dyDescent="0.25">
      <c r="A29" s="5">
        <v>25</v>
      </c>
      <c r="B29" s="5" t="str">
        <f>IF(LEN('List chi tiet'!$B$3)=0,"",'List chi tiet'!$B$3)</f>
        <v>TCTN.DNS-26004</v>
      </c>
      <c r="C29" s="5" t="s">
        <v>183</v>
      </c>
      <c r="D29" s="5" t="str">
        <f t="shared" si="0"/>
        <v>Project name
Dự Án</v>
      </c>
      <c r="E29" s="5" t="s">
        <v>744</v>
      </c>
      <c r="F29" s="5" t="s">
        <v>77</v>
      </c>
      <c r="G29" s="5" t="s">
        <v>750</v>
      </c>
      <c r="H29" s="5">
        <v>6</v>
      </c>
      <c r="I29" s="5">
        <v>1500</v>
      </c>
      <c r="J29" s="5">
        <v>12000</v>
      </c>
      <c r="K29" s="5" t="s">
        <v>746</v>
      </c>
      <c r="L29" s="5"/>
      <c r="M29" s="5">
        <v>1</v>
      </c>
      <c r="N29" s="5">
        <v>847.8</v>
      </c>
      <c r="O29" s="5" t="s">
        <v>39</v>
      </c>
      <c r="P29" s="5">
        <v>720.91</v>
      </c>
      <c r="Q29" s="5">
        <f t="shared" si="1"/>
        <v>847.8</v>
      </c>
      <c r="R29" s="5" t="str">
        <f t="shared" si="2"/>
        <v/>
      </c>
      <c r="S29" s="5">
        <v>97.12</v>
      </c>
      <c r="T29" s="5">
        <f t="shared" si="3"/>
        <v>24.72</v>
      </c>
      <c r="U29" s="5">
        <f t="shared" si="4"/>
        <v>5.05</v>
      </c>
      <c r="V29" s="5">
        <v>1</v>
      </c>
      <c r="W29" s="5" t="s">
        <v>747</v>
      </c>
      <c r="X29" s="5" t="str">
        <f>IF(LEN('List chi tiet'!$B$2)=0,"",'List chi tiet'!$B$2)</f>
        <v>TCTN.DNS.26.004 ĐƯỜNG CAO TỐC VIN</v>
      </c>
      <c r="Y29" s="5" t="s">
        <v>38</v>
      </c>
      <c r="Z29" s="5" t="s">
        <v>748</v>
      </c>
    </row>
    <row r="30" spans="1:26" hidden="1" x14ac:dyDescent="0.25">
      <c r="A30" s="5">
        <v>26</v>
      </c>
      <c r="B30" s="5" t="str">
        <f>IF(LEN('List chi tiet'!$B$3)=0,"",'List chi tiet'!$B$3)</f>
        <v>TCTN.DNS-26004</v>
      </c>
      <c r="C30" s="5" t="s">
        <v>187</v>
      </c>
      <c r="D30" s="5" t="str">
        <f t="shared" si="0"/>
        <v>Project name
Dự Án</v>
      </c>
      <c r="E30" s="5" t="s">
        <v>744</v>
      </c>
      <c r="F30" s="5" t="s">
        <v>77</v>
      </c>
      <c r="G30" s="5" t="s">
        <v>750</v>
      </c>
      <c r="H30" s="5">
        <v>6</v>
      </c>
      <c r="I30" s="5">
        <v>1500</v>
      </c>
      <c r="J30" s="5">
        <v>12000</v>
      </c>
      <c r="K30" s="5" t="s">
        <v>746</v>
      </c>
      <c r="L30" s="5"/>
      <c r="M30" s="5">
        <v>1</v>
      </c>
      <c r="N30" s="5">
        <v>847.8</v>
      </c>
      <c r="O30" s="5" t="s">
        <v>39</v>
      </c>
      <c r="P30" s="5">
        <v>727.45</v>
      </c>
      <c r="Q30" s="5">
        <f t="shared" si="1"/>
        <v>847.8</v>
      </c>
      <c r="R30" s="5" t="str">
        <f t="shared" si="2"/>
        <v/>
      </c>
      <c r="S30" s="5">
        <v>80.260000000000005</v>
      </c>
      <c r="T30" s="5">
        <f t="shared" si="3"/>
        <v>35</v>
      </c>
      <c r="U30" s="5">
        <f t="shared" si="4"/>
        <v>5.09</v>
      </c>
      <c r="V30" s="5">
        <v>1</v>
      </c>
      <c r="W30" s="5" t="s">
        <v>747</v>
      </c>
      <c r="X30" s="5" t="str">
        <f>IF(LEN('List chi tiet'!$B$2)=0,"",'List chi tiet'!$B$2)</f>
        <v>TCTN.DNS.26.004 ĐƯỜNG CAO TỐC VIN</v>
      </c>
      <c r="Y30" s="5" t="s">
        <v>38</v>
      </c>
      <c r="Z30" s="5" t="s">
        <v>748</v>
      </c>
    </row>
    <row r="31" spans="1:26" hidden="1" x14ac:dyDescent="0.25">
      <c r="A31" s="5">
        <v>27</v>
      </c>
      <c r="B31" s="5" t="str">
        <f>IF(LEN('List chi tiet'!$B$3)=0,"",'List chi tiet'!$B$3)</f>
        <v>TCTN.DNS-26004</v>
      </c>
      <c r="C31" s="5" t="s">
        <v>204</v>
      </c>
      <c r="D31" s="5" t="str">
        <f t="shared" si="0"/>
        <v>Project name
Dự Án</v>
      </c>
      <c r="E31" s="5" t="s">
        <v>744</v>
      </c>
      <c r="F31" s="5" t="s">
        <v>77</v>
      </c>
      <c r="G31" s="5" t="s">
        <v>750</v>
      </c>
      <c r="H31" s="5">
        <v>6</v>
      </c>
      <c r="I31" s="5">
        <v>1500</v>
      </c>
      <c r="J31" s="5">
        <v>12000</v>
      </c>
      <c r="K31" s="5" t="s">
        <v>746</v>
      </c>
      <c r="L31" s="5"/>
      <c r="M31" s="5">
        <v>1</v>
      </c>
      <c r="N31" s="5">
        <v>847.8</v>
      </c>
      <c r="O31" s="5" t="s">
        <v>39</v>
      </c>
      <c r="P31" s="5">
        <v>737.24</v>
      </c>
      <c r="Q31" s="5">
        <f t="shared" si="1"/>
        <v>847.8</v>
      </c>
      <c r="R31" s="5" t="str">
        <f t="shared" si="2"/>
        <v/>
      </c>
      <c r="S31" s="5">
        <v>80.260000000000005</v>
      </c>
      <c r="T31" s="5">
        <f t="shared" si="3"/>
        <v>25.14</v>
      </c>
      <c r="U31" s="5">
        <f t="shared" si="4"/>
        <v>5.16</v>
      </c>
      <c r="V31" s="5">
        <v>1</v>
      </c>
      <c r="W31" s="5" t="s">
        <v>747</v>
      </c>
      <c r="X31" s="5" t="str">
        <f>IF(LEN('List chi tiet'!$B$2)=0,"",'List chi tiet'!$B$2)</f>
        <v>TCTN.DNS.26.004 ĐƯỜNG CAO TỐC VIN</v>
      </c>
      <c r="Y31" s="5" t="s">
        <v>38</v>
      </c>
      <c r="Z31" s="5" t="s">
        <v>748</v>
      </c>
    </row>
    <row r="32" spans="1:26" hidden="1" x14ac:dyDescent="0.25">
      <c r="A32" s="5">
        <v>28</v>
      </c>
      <c r="B32" s="5" t="str">
        <f>IF(LEN('List chi tiet'!$B$3)=0,"",'List chi tiet'!$B$3)</f>
        <v>TCTN.DNS-26004</v>
      </c>
      <c r="C32" s="5" t="s">
        <v>213</v>
      </c>
      <c r="D32" s="5" t="str">
        <f t="shared" si="0"/>
        <v>Project name
Dự Án</v>
      </c>
      <c r="E32" s="5" t="s">
        <v>744</v>
      </c>
      <c r="F32" s="5" t="s">
        <v>77</v>
      </c>
      <c r="G32" s="5" t="s">
        <v>750</v>
      </c>
      <c r="H32" s="5">
        <v>6</v>
      </c>
      <c r="I32" s="5">
        <v>1500</v>
      </c>
      <c r="J32" s="5">
        <v>12000</v>
      </c>
      <c r="K32" s="5" t="s">
        <v>746</v>
      </c>
      <c r="L32" s="5"/>
      <c r="M32" s="5">
        <v>1</v>
      </c>
      <c r="N32" s="5">
        <v>847.8</v>
      </c>
      <c r="O32" s="5" t="s">
        <v>39</v>
      </c>
      <c r="P32" s="5">
        <v>773.2</v>
      </c>
      <c r="Q32" s="5">
        <f t="shared" si="1"/>
        <v>847.8</v>
      </c>
      <c r="R32" s="5" t="str">
        <f t="shared" si="2"/>
        <v/>
      </c>
      <c r="S32" s="5"/>
      <c r="T32" s="5">
        <f t="shared" si="3"/>
        <v>69.19</v>
      </c>
      <c r="U32" s="5">
        <f t="shared" si="4"/>
        <v>5.41</v>
      </c>
      <c r="V32" s="5">
        <v>1</v>
      </c>
      <c r="W32" s="5" t="s">
        <v>747</v>
      </c>
      <c r="X32" s="5" t="str">
        <f>IF(LEN('List chi tiet'!$B$2)=0,"",'List chi tiet'!$B$2)</f>
        <v>TCTN.DNS.26.004 ĐƯỜNG CAO TỐC VIN</v>
      </c>
      <c r="Y32" s="5" t="s">
        <v>38</v>
      </c>
      <c r="Z32" s="5" t="s">
        <v>748</v>
      </c>
    </row>
    <row r="33" spans="1:26" hidden="1" x14ac:dyDescent="0.25">
      <c r="A33" s="5">
        <v>29</v>
      </c>
      <c r="B33" s="5" t="str">
        <f>IF(LEN('List chi tiet'!$B$3)=0,"",'List chi tiet'!$B$3)</f>
        <v>TCTN.DNS-26004</v>
      </c>
      <c r="C33" s="5" t="s">
        <v>218</v>
      </c>
      <c r="D33" s="5" t="str">
        <f t="shared" si="0"/>
        <v>Project name
Dự Án</v>
      </c>
      <c r="E33" s="5" t="s">
        <v>744</v>
      </c>
      <c r="F33" s="5" t="s">
        <v>77</v>
      </c>
      <c r="G33" s="5" t="s">
        <v>750</v>
      </c>
      <c r="H33" s="5">
        <v>6</v>
      </c>
      <c r="I33" s="5">
        <v>1500</v>
      </c>
      <c r="J33" s="5">
        <v>12000</v>
      </c>
      <c r="K33" s="5" t="s">
        <v>746</v>
      </c>
      <c r="L33" s="5"/>
      <c r="M33" s="5">
        <v>1</v>
      </c>
      <c r="N33" s="5">
        <v>847.8</v>
      </c>
      <c r="O33" s="5" t="s">
        <v>39</v>
      </c>
      <c r="P33" s="5">
        <v>343.17</v>
      </c>
      <c r="Q33" s="5">
        <f t="shared" si="1"/>
        <v>847.8</v>
      </c>
      <c r="R33" s="5" t="str">
        <f t="shared" si="2"/>
        <v/>
      </c>
      <c r="S33" s="5">
        <v>486.42</v>
      </c>
      <c r="T33" s="5">
        <f t="shared" si="3"/>
        <v>15.81</v>
      </c>
      <c r="U33" s="5">
        <f t="shared" si="4"/>
        <v>2.4</v>
      </c>
      <c r="V33" s="5">
        <v>1</v>
      </c>
      <c r="W33" s="5" t="s">
        <v>747</v>
      </c>
      <c r="X33" s="5" t="str">
        <f>IF(LEN('List chi tiet'!$B$2)=0,"",'List chi tiet'!$B$2)</f>
        <v>TCTN.DNS.26.004 ĐƯỜNG CAO TỐC VIN</v>
      </c>
      <c r="Y33" s="5" t="s">
        <v>38</v>
      </c>
      <c r="Z33" s="5" t="s">
        <v>748</v>
      </c>
    </row>
    <row r="34" spans="1:26" hidden="1" x14ac:dyDescent="0.25">
      <c r="A34" s="5">
        <v>30</v>
      </c>
      <c r="B34" s="5" t="str">
        <f>IF(LEN('List chi tiet'!$B$3)=0,"",'List chi tiet'!$B$3)</f>
        <v>TCTN.DNS-26004</v>
      </c>
      <c r="C34" s="5" t="s">
        <v>224</v>
      </c>
      <c r="D34" s="5" t="str">
        <f t="shared" si="0"/>
        <v>Project name
Dự Án</v>
      </c>
      <c r="E34" s="5" t="s">
        <v>744</v>
      </c>
      <c r="F34" s="5" t="s">
        <v>77</v>
      </c>
      <c r="G34" s="5" t="s">
        <v>751</v>
      </c>
      <c r="H34" s="5">
        <v>8</v>
      </c>
      <c r="I34" s="5">
        <v>2000</v>
      </c>
      <c r="J34" s="5">
        <v>12000</v>
      </c>
      <c r="K34" s="5" t="s">
        <v>746</v>
      </c>
      <c r="L34" s="5"/>
      <c r="M34" s="5">
        <v>1</v>
      </c>
      <c r="N34" s="5">
        <v>1507.2</v>
      </c>
      <c r="O34" s="5" t="s">
        <v>39</v>
      </c>
      <c r="P34" s="5">
        <v>1450.53</v>
      </c>
      <c r="Q34" s="5">
        <f t="shared" si="1"/>
        <v>1507.2</v>
      </c>
      <c r="R34" s="5" t="str">
        <f t="shared" si="2"/>
        <v/>
      </c>
      <c r="S34" s="5"/>
      <c r="T34" s="5">
        <f t="shared" si="3"/>
        <v>46.52</v>
      </c>
      <c r="U34" s="5">
        <f t="shared" si="4"/>
        <v>10.15</v>
      </c>
      <c r="V34" s="5">
        <v>1</v>
      </c>
      <c r="W34" s="5" t="s">
        <v>747</v>
      </c>
      <c r="X34" s="5" t="str">
        <f>IF(LEN('List chi tiet'!$B$2)=0,"",'List chi tiet'!$B$2)</f>
        <v>TCTN.DNS.26.004 ĐƯỜNG CAO TỐC VIN</v>
      </c>
      <c r="Y34" s="5" t="s">
        <v>38</v>
      </c>
      <c r="Z34" s="5" t="s">
        <v>748</v>
      </c>
    </row>
    <row r="35" spans="1:26" hidden="1" x14ac:dyDescent="0.25">
      <c r="A35" s="5">
        <v>31</v>
      </c>
      <c r="B35" s="5" t="str">
        <f>IF(LEN('List chi tiet'!$B$3)=0,"",'List chi tiet'!$B$3)</f>
        <v>TCTN.DNS-26004</v>
      </c>
      <c r="C35" s="5" t="s">
        <v>239</v>
      </c>
      <c r="D35" s="5" t="str">
        <f t="shared" si="0"/>
        <v>Project name
Dự Án</v>
      </c>
      <c r="E35" s="5" t="s">
        <v>744</v>
      </c>
      <c r="F35" s="5" t="s">
        <v>77</v>
      </c>
      <c r="G35" s="5" t="s">
        <v>751</v>
      </c>
      <c r="H35" s="5">
        <v>8</v>
      </c>
      <c r="I35" s="5">
        <v>2000</v>
      </c>
      <c r="J35" s="5">
        <v>12000</v>
      </c>
      <c r="K35" s="5" t="s">
        <v>746</v>
      </c>
      <c r="L35" s="5"/>
      <c r="M35" s="5">
        <v>1</v>
      </c>
      <c r="N35" s="5">
        <v>1507.2</v>
      </c>
      <c r="O35" s="5" t="s">
        <v>39</v>
      </c>
      <c r="P35" s="5">
        <v>1422.67</v>
      </c>
      <c r="Q35" s="5">
        <f t="shared" si="1"/>
        <v>1507.2</v>
      </c>
      <c r="R35" s="5" t="str">
        <f t="shared" si="2"/>
        <v/>
      </c>
      <c r="S35" s="5"/>
      <c r="T35" s="5">
        <f t="shared" si="3"/>
        <v>74.569999999999993</v>
      </c>
      <c r="U35" s="5">
        <f t="shared" si="4"/>
        <v>9.9600000000000009</v>
      </c>
      <c r="V35" s="5">
        <v>1</v>
      </c>
      <c r="W35" s="5" t="s">
        <v>747</v>
      </c>
      <c r="X35" s="5" t="str">
        <f>IF(LEN('List chi tiet'!$B$2)=0,"",'List chi tiet'!$B$2)</f>
        <v>TCTN.DNS.26.004 ĐƯỜNG CAO TỐC VIN</v>
      </c>
      <c r="Y35" s="5" t="s">
        <v>38</v>
      </c>
      <c r="Z35" s="5" t="s">
        <v>748</v>
      </c>
    </row>
    <row r="36" spans="1:26" hidden="1" x14ac:dyDescent="0.25">
      <c r="A36" s="5">
        <v>32</v>
      </c>
      <c r="B36" s="5" t="str">
        <f>IF(LEN('List chi tiet'!$B$3)=0,"",'List chi tiet'!$B$3)</f>
        <v>TCTN.DNS-26004</v>
      </c>
      <c r="C36" s="5" t="s">
        <v>247</v>
      </c>
      <c r="D36" s="5" t="str">
        <f t="shared" si="0"/>
        <v>Project name
Dự Án</v>
      </c>
      <c r="E36" s="5" t="s">
        <v>744</v>
      </c>
      <c r="F36" s="5" t="s">
        <v>77</v>
      </c>
      <c r="G36" s="5" t="s">
        <v>751</v>
      </c>
      <c r="H36" s="5">
        <v>8</v>
      </c>
      <c r="I36" s="5">
        <v>2000</v>
      </c>
      <c r="J36" s="5">
        <v>12000</v>
      </c>
      <c r="K36" s="5" t="s">
        <v>746</v>
      </c>
      <c r="L36" s="5"/>
      <c r="M36" s="5">
        <v>1</v>
      </c>
      <c r="N36" s="5">
        <v>1507.2</v>
      </c>
      <c r="O36" s="5" t="s">
        <v>39</v>
      </c>
      <c r="P36" s="5">
        <v>1422.45</v>
      </c>
      <c r="Q36" s="5">
        <f t="shared" si="1"/>
        <v>1507.2</v>
      </c>
      <c r="R36" s="5" t="str">
        <f t="shared" si="2"/>
        <v/>
      </c>
      <c r="S36" s="5"/>
      <c r="T36" s="5">
        <f t="shared" si="3"/>
        <v>74.790000000000006</v>
      </c>
      <c r="U36" s="5">
        <f t="shared" si="4"/>
        <v>9.9600000000000009</v>
      </c>
      <c r="V36" s="5">
        <v>1</v>
      </c>
      <c r="W36" s="5" t="s">
        <v>747</v>
      </c>
      <c r="X36" s="5" t="str">
        <f>IF(LEN('List chi tiet'!$B$2)=0,"",'List chi tiet'!$B$2)</f>
        <v>TCTN.DNS.26.004 ĐƯỜNG CAO TỐC VIN</v>
      </c>
      <c r="Y36" s="5" t="s">
        <v>38</v>
      </c>
      <c r="Z36" s="5" t="s">
        <v>748</v>
      </c>
    </row>
    <row r="37" spans="1:26" hidden="1" x14ac:dyDescent="0.25">
      <c r="A37" s="5">
        <v>33</v>
      </c>
      <c r="B37" s="5" t="str">
        <f>IF(LEN('List chi tiet'!$B$3)=0,"",'List chi tiet'!$B$3)</f>
        <v>TCTN.DNS-26004</v>
      </c>
      <c r="C37" s="5" t="s">
        <v>253</v>
      </c>
      <c r="D37" s="5" t="str">
        <f t="shared" ref="D37:D68" si="5">IF(LEN($B$4)=0,"",$B$4)</f>
        <v>Project name
Dự Án</v>
      </c>
      <c r="E37" s="5" t="s">
        <v>744</v>
      </c>
      <c r="F37" s="5" t="s">
        <v>77</v>
      </c>
      <c r="G37" s="5" t="s">
        <v>751</v>
      </c>
      <c r="H37" s="5">
        <v>8</v>
      </c>
      <c r="I37" s="5">
        <v>2000</v>
      </c>
      <c r="J37" s="5">
        <v>12000</v>
      </c>
      <c r="K37" s="5" t="s">
        <v>746</v>
      </c>
      <c r="L37" s="5"/>
      <c r="M37" s="5">
        <v>1</v>
      </c>
      <c r="N37" s="5">
        <v>1507.2</v>
      </c>
      <c r="O37" s="5" t="s">
        <v>39</v>
      </c>
      <c r="P37" s="5">
        <v>1396.27</v>
      </c>
      <c r="Q37" s="5">
        <f t="shared" ref="Q37:Q68" si="6">IF(O37="NEWPLATE", N37, "")</f>
        <v>1507.2</v>
      </c>
      <c r="R37" s="5" t="str">
        <f t="shared" ref="R37:R68" si="7">IF(O37&lt;&gt;"NEWPLATE", N37, "")</f>
        <v/>
      </c>
      <c r="S37" s="5"/>
      <c r="T37" s="5">
        <f t="shared" ref="T37:T68" si="8">MAX(ROUND(N37-P37-IF(S37="",0,S37)-U37, 2), 0)</f>
        <v>101.16</v>
      </c>
      <c r="U37" s="5">
        <f t="shared" ref="U37:U68" si="9">ROUND(P37*0.7/100, 2)</f>
        <v>9.77</v>
      </c>
      <c r="V37" s="5">
        <v>1</v>
      </c>
      <c r="W37" s="5" t="s">
        <v>747</v>
      </c>
      <c r="X37" s="5" t="str">
        <f>IF(LEN('List chi tiet'!$B$2)=0,"",'List chi tiet'!$B$2)</f>
        <v>TCTN.DNS.26.004 ĐƯỜNG CAO TỐC VIN</v>
      </c>
      <c r="Y37" s="5" t="s">
        <v>38</v>
      </c>
      <c r="Z37" s="5" t="s">
        <v>748</v>
      </c>
    </row>
    <row r="38" spans="1:26" hidden="1" x14ac:dyDescent="0.25">
      <c r="A38" s="5">
        <v>34</v>
      </c>
      <c r="B38" s="5" t="str">
        <f>IF(LEN('List chi tiet'!$B$3)=0,"",'List chi tiet'!$B$3)</f>
        <v>TCTN.DNS-26004</v>
      </c>
      <c r="C38" s="5" t="s">
        <v>258</v>
      </c>
      <c r="D38" s="5" t="str">
        <f t="shared" si="5"/>
        <v>Project name
Dự Án</v>
      </c>
      <c r="E38" s="5" t="s">
        <v>744</v>
      </c>
      <c r="F38" s="5" t="s">
        <v>77</v>
      </c>
      <c r="G38" s="5" t="s">
        <v>751</v>
      </c>
      <c r="H38" s="5">
        <v>8</v>
      </c>
      <c r="I38" s="5">
        <v>2000</v>
      </c>
      <c r="J38" s="5">
        <v>12000</v>
      </c>
      <c r="K38" s="5" t="s">
        <v>746</v>
      </c>
      <c r="L38" s="5"/>
      <c r="M38" s="5">
        <v>1</v>
      </c>
      <c r="N38" s="5">
        <v>1507.2</v>
      </c>
      <c r="O38" s="5" t="s">
        <v>39</v>
      </c>
      <c r="P38" s="5">
        <v>1397.65</v>
      </c>
      <c r="Q38" s="5">
        <f t="shared" si="6"/>
        <v>1507.2</v>
      </c>
      <c r="R38" s="5" t="str">
        <f t="shared" si="7"/>
        <v/>
      </c>
      <c r="S38" s="5"/>
      <c r="T38" s="5">
        <f t="shared" si="8"/>
        <v>99.77</v>
      </c>
      <c r="U38" s="5">
        <f t="shared" si="9"/>
        <v>9.7799999999999994</v>
      </c>
      <c r="V38" s="5">
        <v>1</v>
      </c>
      <c r="W38" s="5" t="s">
        <v>747</v>
      </c>
      <c r="X38" s="5" t="str">
        <f>IF(LEN('List chi tiet'!$B$2)=0,"",'List chi tiet'!$B$2)</f>
        <v>TCTN.DNS.26.004 ĐƯỜNG CAO TỐC VIN</v>
      </c>
      <c r="Y38" s="5" t="s">
        <v>38</v>
      </c>
      <c r="Z38" s="5" t="s">
        <v>748</v>
      </c>
    </row>
    <row r="39" spans="1:26" hidden="1" x14ac:dyDescent="0.25">
      <c r="A39" s="5">
        <v>35</v>
      </c>
      <c r="B39" s="5" t="str">
        <f>IF(LEN('List chi tiet'!$B$3)=0,"",'List chi tiet'!$B$3)</f>
        <v>TCTN.DNS-26004</v>
      </c>
      <c r="C39" s="5" t="s">
        <v>263</v>
      </c>
      <c r="D39" s="5" t="str">
        <f t="shared" si="5"/>
        <v>Project name
Dự Án</v>
      </c>
      <c r="E39" s="5" t="s">
        <v>744</v>
      </c>
      <c r="F39" s="5" t="s">
        <v>77</v>
      </c>
      <c r="G39" s="5" t="s">
        <v>751</v>
      </c>
      <c r="H39" s="5">
        <v>8</v>
      </c>
      <c r="I39" s="5">
        <v>2000</v>
      </c>
      <c r="J39" s="5">
        <v>12000</v>
      </c>
      <c r="K39" s="5" t="s">
        <v>746</v>
      </c>
      <c r="L39" s="5"/>
      <c r="M39" s="5">
        <v>1</v>
      </c>
      <c r="N39" s="5">
        <v>1507.2</v>
      </c>
      <c r="O39" s="5" t="s">
        <v>39</v>
      </c>
      <c r="P39" s="5">
        <v>1412.28</v>
      </c>
      <c r="Q39" s="5">
        <f t="shared" si="6"/>
        <v>1507.2</v>
      </c>
      <c r="R39" s="5" t="str">
        <f t="shared" si="7"/>
        <v/>
      </c>
      <c r="S39" s="5"/>
      <c r="T39" s="5">
        <f t="shared" si="8"/>
        <v>85.03</v>
      </c>
      <c r="U39" s="5">
        <f t="shared" si="9"/>
        <v>9.89</v>
      </c>
      <c r="V39" s="5">
        <v>1</v>
      </c>
      <c r="W39" s="5" t="s">
        <v>747</v>
      </c>
      <c r="X39" s="5" t="str">
        <f>IF(LEN('List chi tiet'!$B$2)=0,"",'List chi tiet'!$B$2)</f>
        <v>TCTN.DNS.26.004 ĐƯỜNG CAO TỐC VIN</v>
      </c>
      <c r="Y39" s="5" t="s">
        <v>38</v>
      </c>
      <c r="Z39" s="5" t="s">
        <v>748</v>
      </c>
    </row>
    <row r="40" spans="1:26" hidden="1" x14ac:dyDescent="0.25">
      <c r="A40" s="5">
        <v>36</v>
      </c>
      <c r="B40" s="5" t="str">
        <f>IF(LEN('List chi tiet'!$B$3)=0,"",'List chi tiet'!$B$3)</f>
        <v>TCTN.DNS-26004</v>
      </c>
      <c r="C40" s="5" t="s">
        <v>271</v>
      </c>
      <c r="D40" s="5" t="str">
        <f t="shared" si="5"/>
        <v>Project name
Dự Án</v>
      </c>
      <c r="E40" s="5" t="s">
        <v>744</v>
      </c>
      <c r="F40" s="5" t="s">
        <v>77</v>
      </c>
      <c r="G40" s="5" t="s">
        <v>751</v>
      </c>
      <c r="H40" s="5">
        <v>8</v>
      </c>
      <c r="I40" s="5">
        <v>2000</v>
      </c>
      <c r="J40" s="5">
        <v>12000</v>
      </c>
      <c r="K40" s="5" t="s">
        <v>746</v>
      </c>
      <c r="L40" s="5"/>
      <c r="M40" s="5">
        <v>1</v>
      </c>
      <c r="N40" s="5">
        <v>1507.2</v>
      </c>
      <c r="O40" s="5" t="s">
        <v>39</v>
      </c>
      <c r="P40" s="5">
        <v>1422.01</v>
      </c>
      <c r="Q40" s="5">
        <f t="shared" si="6"/>
        <v>1507.2</v>
      </c>
      <c r="R40" s="5" t="str">
        <f t="shared" si="7"/>
        <v/>
      </c>
      <c r="S40" s="5"/>
      <c r="T40" s="5">
        <f t="shared" si="8"/>
        <v>75.239999999999995</v>
      </c>
      <c r="U40" s="5">
        <f t="shared" si="9"/>
        <v>9.9499999999999993</v>
      </c>
      <c r="V40" s="5">
        <v>1</v>
      </c>
      <c r="W40" s="5" t="s">
        <v>747</v>
      </c>
      <c r="X40" s="5" t="str">
        <f>IF(LEN('List chi tiet'!$B$2)=0,"",'List chi tiet'!$B$2)</f>
        <v>TCTN.DNS.26.004 ĐƯỜNG CAO TỐC VIN</v>
      </c>
      <c r="Y40" s="5" t="s">
        <v>38</v>
      </c>
      <c r="Z40" s="5" t="s">
        <v>748</v>
      </c>
    </row>
    <row r="41" spans="1:26" hidden="1" x14ac:dyDescent="0.25">
      <c r="A41" s="5">
        <v>37</v>
      </c>
      <c r="B41" s="5" t="str">
        <f>IF(LEN('List chi tiet'!$B$3)=0,"",'List chi tiet'!$B$3)</f>
        <v>TCTN.DNS-26004</v>
      </c>
      <c r="C41" s="5" t="s">
        <v>288</v>
      </c>
      <c r="D41" s="5" t="str">
        <f t="shared" si="5"/>
        <v>Project name
Dự Án</v>
      </c>
      <c r="E41" s="5" t="s">
        <v>744</v>
      </c>
      <c r="F41" s="5" t="s">
        <v>77</v>
      </c>
      <c r="G41" s="5" t="s">
        <v>751</v>
      </c>
      <c r="H41" s="5">
        <v>8</v>
      </c>
      <c r="I41" s="5">
        <v>2000</v>
      </c>
      <c r="J41" s="5">
        <v>12000</v>
      </c>
      <c r="K41" s="5" t="s">
        <v>746</v>
      </c>
      <c r="L41" s="5"/>
      <c r="M41" s="5">
        <v>1</v>
      </c>
      <c r="N41" s="5">
        <v>1507.2</v>
      </c>
      <c r="O41" s="5" t="s">
        <v>39</v>
      </c>
      <c r="P41" s="5">
        <v>1448.71</v>
      </c>
      <c r="Q41" s="5">
        <f t="shared" si="6"/>
        <v>1507.2</v>
      </c>
      <c r="R41" s="5" t="str">
        <f t="shared" si="7"/>
        <v/>
      </c>
      <c r="S41" s="5"/>
      <c r="T41" s="5">
        <f t="shared" si="8"/>
        <v>48.35</v>
      </c>
      <c r="U41" s="5">
        <f t="shared" si="9"/>
        <v>10.14</v>
      </c>
      <c r="V41" s="5">
        <v>1</v>
      </c>
      <c r="W41" s="5" t="s">
        <v>747</v>
      </c>
      <c r="X41" s="5" t="str">
        <f>IF(LEN('List chi tiet'!$B$2)=0,"",'List chi tiet'!$B$2)</f>
        <v>TCTN.DNS.26.004 ĐƯỜNG CAO TỐC VIN</v>
      </c>
      <c r="Y41" s="5" t="s">
        <v>38</v>
      </c>
      <c r="Z41" s="5" t="s">
        <v>748</v>
      </c>
    </row>
    <row r="42" spans="1:26" hidden="1" x14ac:dyDescent="0.25">
      <c r="A42" s="5">
        <v>38</v>
      </c>
      <c r="B42" s="5" t="str">
        <f>IF(LEN('List chi tiet'!$B$3)=0,"",'List chi tiet'!$B$3)</f>
        <v>TCTN.DNS-26004</v>
      </c>
      <c r="C42" s="5" t="s">
        <v>294</v>
      </c>
      <c r="D42" s="5" t="str">
        <f t="shared" si="5"/>
        <v>Project name
Dự Án</v>
      </c>
      <c r="E42" s="5" t="s">
        <v>744</v>
      </c>
      <c r="F42" s="5" t="s">
        <v>77</v>
      </c>
      <c r="G42" s="5" t="s">
        <v>751</v>
      </c>
      <c r="H42" s="5">
        <v>8</v>
      </c>
      <c r="I42" s="5">
        <v>2000</v>
      </c>
      <c r="J42" s="5">
        <v>12000</v>
      </c>
      <c r="K42" s="5" t="s">
        <v>746</v>
      </c>
      <c r="L42" s="5"/>
      <c r="M42" s="5">
        <v>1</v>
      </c>
      <c r="N42" s="5">
        <v>1507.2</v>
      </c>
      <c r="O42" s="5" t="s">
        <v>39</v>
      </c>
      <c r="P42" s="5">
        <v>1434.86</v>
      </c>
      <c r="Q42" s="5">
        <f t="shared" si="6"/>
        <v>1507.2</v>
      </c>
      <c r="R42" s="5" t="str">
        <f t="shared" si="7"/>
        <v/>
      </c>
      <c r="S42" s="5"/>
      <c r="T42" s="5">
        <f t="shared" si="8"/>
        <v>62.3</v>
      </c>
      <c r="U42" s="5">
        <f t="shared" si="9"/>
        <v>10.039999999999999</v>
      </c>
      <c r="V42" s="5">
        <v>1</v>
      </c>
      <c r="W42" s="5" t="s">
        <v>747</v>
      </c>
      <c r="X42" s="5" t="str">
        <f>IF(LEN('List chi tiet'!$B$2)=0,"",'List chi tiet'!$B$2)</f>
        <v>TCTN.DNS.26.004 ĐƯỜNG CAO TỐC VIN</v>
      </c>
      <c r="Y42" s="5" t="s">
        <v>38</v>
      </c>
      <c r="Z42" s="5" t="s">
        <v>748</v>
      </c>
    </row>
    <row r="43" spans="1:26" hidden="1" x14ac:dyDescent="0.25">
      <c r="A43" s="5">
        <v>39</v>
      </c>
      <c r="B43" s="5" t="str">
        <f>IF(LEN('List chi tiet'!$B$3)=0,"",'List chi tiet'!$B$3)</f>
        <v>TCTN.DNS-26004</v>
      </c>
      <c r="C43" s="5" t="s">
        <v>315</v>
      </c>
      <c r="D43" s="5" t="str">
        <f t="shared" si="5"/>
        <v>Project name
Dự Án</v>
      </c>
      <c r="E43" s="5" t="s">
        <v>744</v>
      </c>
      <c r="F43" s="5" t="s">
        <v>77</v>
      </c>
      <c r="G43" s="5" t="s">
        <v>751</v>
      </c>
      <c r="H43" s="5">
        <v>8</v>
      </c>
      <c r="I43" s="5">
        <v>2000</v>
      </c>
      <c r="J43" s="5">
        <v>12000</v>
      </c>
      <c r="K43" s="5" t="s">
        <v>746</v>
      </c>
      <c r="L43" s="5"/>
      <c r="M43" s="5">
        <v>1</v>
      </c>
      <c r="N43" s="5">
        <v>1507.2</v>
      </c>
      <c r="O43" s="5" t="s">
        <v>39</v>
      </c>
      <c r="P43" s="5">
        <v>1424.4</v>
      </c>
      <c r="Q43" s="5">
        <f t="shared" si="6"/>
        <v>1507.2</v>
      </c>
      <c r="R43" s="5" t="str">
        <f t="shared" si="7"/>
        <v/>
      </c>
      <c r="S43" s="5"/>
      <c r="T43" s="5">
        <f t="shared" si="8"/>
        <v>72.83</v>
      </c>
      <c r="U43" s="5">
        <f t="shared" si="9"/>
        <v>9.9700000000000006</v>
      </c>
      <c r="V43" s="5">
        <v>1</v>
      </c>
      <c r="W43" s="5" t="s">
        <v>747</v>
      </c>
      <c r="X43" s="5" t="str">
        <f>IF(LEN('List chi tiet'!$B$2)=0,"",'List chi tiet'!$B$2)</f>
        <v>TCTN.DNS.26.004 ĐƯỜNG CAO TỐC VIN</v>
      </c>
      <c r="Y43" s="5" t="s">
        <v>38</v>
      </c>
      <c r="Z43" s="5" t="s">
        <v>748</v>
      </c>
    </row>
    <row r="44" spans="1:26" hidden="1" x14ac:dyDescent="0.25">
      <c r="A44" s="5">
        <v>40</v>
      </c>
      <c r="B44" s="5" t="str">
        <f>IF(LEN('List chi tiet'!$B$3)=0,"",'List chi tiet'!$B$3)</f>
        <v>TCTN.DNS-26004</v>
      </c>
      <c r="C44" s="5" t="s">
        <v>354</v>
      </c>
      <c r="D44" s="5" t="str">
        <f t="shared" si="5"/>
        <v>Project name
Dự Án</v>
      </c>
      <c r="E44" s="5" t="s">
        <v>744</v>
      </c>
      <c r="F44" s="5" t="s">
        <v>77</v>
      </c>
      <c r="G44" s="5" t="s">
        <v>752</v>
      </c>
      <c r="H44" s="5">
        <v>8</v>
      </c>
      <c r="I44" s="5">
        <v>322</v>
      </c>
      <c r="J44" s="5">
        <v>696</v>
      </c>
      <c r="K44" s="5" t="s">
        <v>746</v>
      </c>
      <c r="L44" s="5"/>
      <c r="M44" s="5">
        <v>1</v>
      </c>
      <c r="N44" s="5">
        <v>14.06</v>
      </c>
      <c r="O44" s="5" t="s">
        <v>355</v>
      </c>
      <c r="P44" s="5">
        <v>10.99</v>
      </c>
      <c r="Q44" s="5" t="str">
        <f t="shared" si="6"/>
        <v/>
      </c>
      <c r="R44" s="5">
        <f t="shared" si="7"/>
        <v>14.06</v>
      </c>
      <c r="S44" s="5"/>
      <c r="T44" s="5">
        <f t="shared" si="8"/>
        <v>2.99</v>
      </c>
      <c r="U44" s="5">
        <f t="shared" si="9"/>
        <v>0.08</v>
      </c>
      <c r="V44" s="5">
        <v>1</v>
      </c>
      <c r="W44" s="5" t="s">
        <v>747</v>
      </c>
      <c r="X44" s="5" t="str">
        <f>IF(LEN('List chi tiet'!$B$2)=0,"",'List chi tiet'!$B$2)</f>
        <v>TCTN.DNS.26.004 ĐƯỜNG CAO TỐC VIN</v>
      </c>
      <c r="Y44" s="5" t="s">
        <v>38</v>
      </c>
      <c r="Z44" s="5" t="s">
        <v>748</v>
      </c>
    </row>
    <row r="45" spans="1:26" hidden="1" x14ac:dyDescent="0.25">
      <c r="A45" s="5">
        <v>41</v>
      </c>
      <c r="B45" s="5" t="str">
        <f>IF(LEN('List chi tiet'!$B$3)=0,"",'List chi tiet'!$B$3)</f>
        <v>TCTN.DNS-26004</v>
      </c>
      <c r="C45" s="5" t="s">
        <v>361</v>
      </c>
      <c r="D45" s="5" t="str">
        <f t="shared" si="5"/>
        <v>Project name
Dự Án</v>
      </c>
      <c r="E45" s="5" t="s">
        <v>744</v>
      </c>
      <c r="F45" s="5" t="s">
        <v>77</v>
      </c>
      <c r="G45" s="5" t="s">
        <v>753</v>
      </c>
      <c r="H45" s="5">
        <v>10</v>
      </c>
      <c r="I45" s="5">
        <v>1500</v>
      </c>
      <c r="J45" s="5">
        <v>12000</v>
      </c>
      <c r="K45" s="5" t="s">
        <v>746</v>
      </c>
      <c r="L45" s="5"/>
      <c r="M45" s="5">
        <v>1</v>
      </c>
      <c r="N45" s="5">
        <v>1413</v>
      </c>
      <c r="O45" s="5" t="s">
        <v>39</v>
      </c>
      <c r="P45" s="5">
        <v>1375.31</v>
      </c>
      <c r="Q45" s="5">
        <f t="shared" si="6"/>
        <v>1413</v>
      </c>
      <c r="R45" s="5" t="str">
        <f t="shared" si="7"/>
        <v/>
      </c>
      <c r="S45" s="5"/>
      <c r="T45" s="5">
        <f t="shared" si="8"/>
        <v>28.06</v>
      </c>
      <c r="U45" s="5">
        <f t="shared" si="9"/>
        <v>9.6300000000000008</v>
      </c>
      <c r="V45" s="5">
        <v>1</v>
      </c>
      <c r="W45" s="5" t="s">
        <v>747</v>
      </c>
      <c r="X45" s="5" t="str">
        <f>IF(LEN('List chi tiet'!$B$2)=0,"",'List chi tiet'!$B$2)</f>
        <v>TCTN.DNS.26.004 ĐƯỜNG CAO TỐC VIN</v>
      </c>
      <c r="Y45" s="5" t="s">
        <v>38</v>
      </c>
      <c r="Z45" s="5" t="s">
        <v>748</v>
      </c>
    </row>
    <row r="46" spans="1:26" hidden="1" x14ac:dyDescent="0.25">
      <c r="A46" s="5">
        <v>42</v>
      </c>
      <c r="B46" s="5" t="str">
        <f>IF(LEN('List chi tiet'!$B$3)=0,"",'List chi tiet'!$B$3)</f>
        <v>TCTN.DNS-26004</v>
      </c>
      <c r="C46" s="5" t="s">
        <v>367</v>
      </c>
      <c r="D46" s="5" t="str">
        <f t="shared" si="5"/>
        <v>Project name
Dự Án</v>
      </c>
      <c r="E46" s="5" t="s">
        <v>744</v>
      </c>
      <c r="F46" s="5" t="s">
        <v>77</v>
      </c>
      <c r="G46" s="5" t="s">
        <v>753</v>
      </c>
      <c r="H46" s="5">
        <v>10</v>
      </c>
      <c r="I46" s="5">
        <v>1500</v>
      </c>
      <c r="J46" s="5">
        <v>12000</v>
      </c>
      <c r="K46" s="5" t="s">
        <v>746</v>
      </c>
      <c r="L46" s="5"/>
      <c r="M46" s="5">
        <v>1</v>
      </c>
      <c r="N46" s="5">
        <v>1413</v>
      </c>
      <c r="O46" s="5" t="s">
        <v>39</v>
      </c>
      <c r="P46" s="5">
        <v>1375.31</v>
      </c>
      <c r="Q46" s="5">
        <f t="shared" si="6"/>
        <v>1413</v>
      </c>
      <c r="R46" s="5" t="str">
        <f t="shared" si="7"/>
        <v/>
      </c>
      <c r="S46" s="5"/>
      <c r="T46" s="5">
        <f t="shared" si="8"/>
        <v>28.06</v>
      </c>
      <c r="U46" s="5">
        <f t="shared" si="9"/>
        <v>9.6300000000000008</v>
      </c>
      <c r="V46" s="5">
        <v>1</v>
      </c>
      <c r="W46" s="5" t="s">
        <v>747</v>
      </c>
      <c r="X46" s="5" t="str">
        <f>IF(LEN('List chi tiet'!$B$2)=0,"",'List chi tiet'!$B$2)</f>
        <v>TCTN.DNS.26.004 ĐƯỜNG CAO TỐC VIN</v>
      </c>
      <c r="Y46" s="5" t="s">
        <v>38</v>
      </c>
      <c r="Z46" s="5" t="s">
        <v>748</v>
      </c>
    </row>
    <row r="47" spans="1:26" hidden="1" x14ac:dyDescent="0.25">
      <c r="A47" s="5">
        <v>43</v>
      </c>
      <c r="B47" s="5" t="str">
        <f>IF(LEN('List chi tiet'!$B$3)=0,"",'List chi tiet'!$B$3)</f>
        <v>TCTN.DNS-26004</v>
      </c>
      <c r="C47" s="5" t="s">
        <v>372</v>
      </c>
      <c r="D47" s="5" t="str">
        <f t="shared" si="5"/>
        <v>Project name
Dự Án</v>
      </c>
      <c r="E47" s="5" t="s">
        <v>744</v>
      </c>
      <c r="F47" s="5" t="s">
        <v>77</v>
      </c>
      <c r="G47" s="5" t="s">
        <v>753</v>
      </c>
      <c r="H47" s="5">
        <v>10</v>
      </c>
      <c r="I47" s="5">
        <v>1500</v>
      </c>
      <c r="J47" s="5">
        <v>12000</v>
      </c>
      <c r="K47" s="5" t="s">
        <v>746</v>
      </c>
      <c r="L47" s="5"/>
      <c r="M47" s="5">
        <v>1</v>
      </c>
      <c r="N47" s="5">
        <v>1413</v>
      </c>
      <c r="O47" s="5" t="s">
        <v>39</v>
      </c>
      <c r="P47" s="5">
        <v>1375.32</v>
      </c>
      <c r="Q47" s="5">
        <f t="shared" si="6"/>
        <v>1413</v>
      </c>
      <c r="R47" s="5" t="str">
        <f t="shared" si="7"/>
        <v/>
      </c>
      <c r="S47" s="5"/>
      <c r="T47" s="5">
        <f t="shared" si="8"/>
        <v>28.05</v>
      </c>
      <c r="U47" s="5">
        <f t="shared" si="9"/>
        <v>9.6300000000000008</v>
      </c>
      <c r="V47" s="5">
        <v>1</v>
      </c>
      <c r="W47" s="5" t="s">
        <v>747</v>
      </c>
      <c r="X47" s="5" t="str">
        <f>IF(LEN('List chi tiet'!$B$2)=0,"",'List chi tiet'!$B$2)</f>
        <v>TCTN.DNS.26.004 ĐƯỜNG CAO TỐC VIN</v>
      </c>
      <c r="Y47" s="5" t="s">
        <v>38</v>
      </c>
      <c r="Z47" s="5" t="s">
        <v>748</v>
      </c>
    </row>
    <row r="48" spans="1:26" hidden="1" x14ac:dyDescent="0.25">
      <c r="A48" s="5">
        <v>44</v>
      </c>
      <c r="B48" s="5" t="str">
        <f>IF(LEN('List chi tiet'!$B$3)=0,"",'List chi tiet'!$B$3)</f>
        <v>TCTN.DNS-26004</v>
      </c>
      <c r="C48" s="5" t="s">
        <v>375</v>
      </c>
      <c r="D48" s="5" t="str">
        <f t="shared" si="5"/>
        <v>Project name
Dự Án</v>
      </c>
      <c r="E48" s="5" t="s">
        <v>744</v>
      </c>
      <c r="F48" s="5" t="s">
        <v>77</v>
      </c>
      <c r="G48" s="5" t="s">
        <v>753</v>
      </c>
      <c r="H48" s="5">
        <v>10</v>
      </c>
      <c r="I48" s="5">
        <v>1500</v>
      </c>
      <c r="J48" s="5">
        <v>12000</v>
      </c>
      <c r="K48" s="5" t="s">
        <v>746</v>
      </c>
      <c r="L48" s="5"/>
      <c r="M48" s="5">
        <v>1</v>
      </c>
      <c r="N48" s="5">
        <v>1413</v>
      </c>
      <c r="O48" s="5" t="s">
        <v>39</v>
      </c>
      <c r="P48" s="5">
        <v>1365.89</v>
      </c>
      <c r="Q48" s="5">
        <f t="shared" si="6"/>
        <v>1413</v>
      </c>
      <c r="R48" s="5" t="str">
        <f t="shared" si="7"/>
        <v/>
      </c>
      <c r="S48" s="5"/>
      <c r="T48" s="5">
        <f t="shared" si="8"/>
        <v>37.549999999999997</v>
      </c>
      <c r="U48" s="5">
        <f t="shared" si="9"/>
        <v>9.56</v>
      </c>
      <c r="V48" s="5">
        <v>1</v>
      </c>
      <c r="W48" s="5" t="s">
        <v>747</v>
      </c>
      <c r="X48" s="5" t="str">
        <f>IF(LEN('List chi tiet'!$B$2)=0,"",'List chi tiet'!$B$2)</f>
        <v>TCTN.DNS.26.004 ĐƯỜNG CAO TỐC VIN</v>
      </c>
      <c r="Y48" s="5" t="s">
        <v>38</v>
      </c>
      <c r="Z48" s="5" t="s">
        <v>748</v>
      </c>
    </row>
    <row r="49" spans="1:26" hidden="1" x14ac:dyDescent="0.25">
      <c r="A49" s="5">
        <v>45</v>
      </c>
      <c r="B49" s="5" t="str">
        <f>IF(LEN('List chi tiet'!$B$3)=0,"",'List chi tiet'!$B$3)</f>
        <v>TCTN.DNS-26004</v>
      </c>
      <c r="C49" s="5" t="s">
        <v>381</v>
      </c>
      <c r="D49" s="5" t="str">
        <f t="shared" si="5"/>
        <v>Project name
Dự Án</v>
      </c>
      <c r="E49" s="5" t="s">
        <v>744</v>
      </c>
      <c r="F49" s="5" t="s">
        <v>77</v>
      </c>
      <c r="G49" s="5" t="s">
        <v>753</v>
      </c>
      <c r="H49" s="5">
        <v>10</v>
      </c>
      <c r="I49" s="5">
        <v>1500</v>
      </c>
      <c r="J49" s="5">
        <v>12000</v>
      </c>
      <c r="K49" s="5" t="s">
        <v>746</v>
      </c>
      <c r="L49" s="5"/>
      <c r="M49" s="5">
        <v>1</v>
      </c>
      <c r="N49" s="5">
        <v>1413</v>
      </c>
      <c r="O49" s="5" t="s">
        <v>39</v>
      </c>
      <c r="P49" s="5">
        <v>1313.14</v>
      </c>
      <c r="Q49" s="5">
        <f t="shared" si="6"/>
        <v>1413</v>
      </c>
      <c r="R49" s="5" t="str">
        <f t="shared" si="7"/>
        <v/>
      </c>
      <c r="S49" s="5"/>
      <c r="T49" s="5">
        <f t="shared" si="8"/>
        <v>90.67</v>
      </c>
      <c r="U49" s="5">
        <f t="shared" si="9"/>
        <v>9.19</v>
      </c>
      <c r="V49" s="5">
        <v>1</v>
      </c>
      <c r="W49" s="5" t="s">
        <v>747</v>
      </c>
      <c r="X49" s="5" t="str">
        <f>IF(LEN('List chi tiet'!$B$2)=0,"",'List chi tiet'!$B$2)</f>
        <v>TCTN.DNS.26.004 ĐƯỜNG CAO TỐC VIN</v>
      </c>
      <c r="Y49" s="5" t="s">
        <v>38</v>
      </c>
      <c r="Z49" s="5" t="s">
        <v>748</v>
      </c>
    </row>
    <row r="50" spans="1:26" hidden="1" x14ac:dyDescent="0.25">
      <c r="A50" s="5">
        <v>46</v>
      </c>
      <c r="B50" s="5" t="str">
        <f>IF(LEN('List chi tiet'!$B$3)=0,"",'List chi tiet'!$B$3)</f>
        <v>TCTN.DNS-26004</v>
      </c>
      <c r="C50" s="5" t="s">
        <v>391</v>
      </c>
      <c r="D50" s="5" t="str">
        <f t="shared" si="5"/>
        <v>Project name
Dự Án</v>
      </c>
      <c r="E50" s="5" t="s">
        <v>744</v>
      </c>
      <c r="F50" s="5" t="s">
        <v>77</v>
      </c>
      <c r="G50" s="5" t="s">
        <v>753</v>
      </c>
      <c r="H50" s="5">
        <v>10</v>
      </c>
      <c r="I50" s="5">
        <v>1500</v>
      </c>
      <c r="J50" s="5">
        <v>12000</v>
      </c>
      <c r="K50" s="5" t="s">
        <v>746</v>
      </c>
      <c r="L50" s="5"/>
      <c r="M50" s="5">
        <v>1</v>
      </c>
      <c r="N50" s="5">
        <v>1413</v>
      </c>
      <c r="O50" s="5" t="s">
        <v>39</v>
      </c>
      <c r="P50" s="5">
        <v>1338.6</v>
      </c>
      <c r="Q50" s="5">
        <f t="shared" si="6"/>
        <v>1413</v>
      </c>
      <c r="R50" s="5" t="str">
        <f t="shared" si="7"/>
        <v/>
      </c>
      <c r="S50" s="5"/>
      <c r="T50" s="5">
        <f t="shared" si="8"/>
        <v>65.03</v>
      </c>
      <c r="U50" s="5">
        <f t="shared" si="9"/>
        <v>9.3699999999999992</v>
      </c>
      <c r="V50" s="5">
        <v>1</v>
      </c>
      <c r="W50" s="5" t="s">
        <v>747</v>
      </c>
      <c r="X50" s="5" t="str">
        <f>IF(LEN('List chi tiet'!$B$2)=0,"",'List chi tiet'!$B$2)</f>
        <v>TCTN.DNS.26.004 ĐƯỜNG CAO TỐC VIN</v>
      </c>
      <c r="Y50" s="5" t="s">
        <v>38</v>
      </c>
      <c r="Z50" s="5" t="s">
        <v>748</v>
      </c>
    </row>
    <row r="51" spans="1:26" hidden="1" x14ac:dyDescent="0.25">
      <c r="A51" s="5">
        <v>47</v>
      </c>
      <c r="B51" s="5" t="str">
        <f>IF(LEN('List chi tiet'!$B$3)=0,"",'List chi tiet'!$B$3)</f>
        <v>TCTN.DNS-26004</v>
      </c>
      <c r="C51" s="5" t="s">
        <v>409</v>
      </c>
      <c r="D51" s="5" t="str">
        <f t="shared" si="5"/>
        <v>Project name
Dự Án</v>
      </c>
      <c r="E51" s="5" t="s">
        <v>744</v>
      </c>
      <c r="F51" s="5" t="s">
        <v>77</v>
      </c>
      <c r="G51" s="5" t="s">
        <v>753</v>
      </c>
      <c r="H51" s="5">
        <v>10</v>
      </c>
      <c r="I51" s="5">
        <v>1500</v>
      </c>
      <c r="J51" s="5">
        <v>12000</v>
      </c>
      <c r="K51" s="5" t="s">
        <v>746</v>
      </c>
      <c r="L51" s="5"/>
      <c r="M51" s="5">
        <v>1</v>
      </c>
      <c r="N51" s="5">
        <v>1413</v>
      </c>
      <c r="O51" s="5" t="s">
        <v>39</v>
      </c>
      <c r="P51" s="5">
        <v>1327.92</v>
      </c>
      <c r="Q51" s="5">
        <f t="shared" si="6"/>
        <v>1413</v>
      </c>
      <c r="R51" s="5" t="str">
        <f t="shared" si="7"/>
        <v/>
      </c>
      <c r="S51" s="5"/>
      <c r="T51" s="5">
        <f t="shared" si="8"/>
        <v>75.78</v>
      </c>
      <c r="U51" s="5">
        <f t="shared" si="9"/>
        <v>9.3000000000000007</v>
      </c>
      <c r="V51" s="5">
        <v>1</v>
      </c>
      <c r="W51" s="5" t="s">
        <v>747</v>
      </c>
      <c r="X51" s="5" t="str">
        <f>IF(LEN('List chi tiet'!$B$2)=0,"",'List chi tiet'!$B$2)</f>
        <v>TCTN.DNS.26.004 ĐƯỜNG CAO TỐC VIN</v>
      </c>
      <c r="Y51" s="5" t="s">
        <v>38</v>
      </c>
      <c r="Z51" s="5" t="s">
        <v>748</v>
      </c>
    </row>
    <row r="52" spans="1:26" hidden="1" x14ac:dyDescent="0.25">
      <c r="A52" s="5">
        <v>48</v>
      </c>
      <c r="B52" s="5" t="str">
        <f>IF(LEN('List chi tiet'!$B$3)=0,"",'List chi tiet'!$B$3)</f>
        <v>TCTN.DNS-26004</v>
      </c>
      <c r="C52" s="5" t="s">
        <v>424</v>
      </c>
      <c r="D52" s="5" t="str">
        <f t="shared" si="5"/>
        <v>Project name
Dự Án</v>
      </c>
      <c r="E52" s="5" t="s">
        <v>744</v>
      </c>
      <c r="F52" s="5" t="s">
        <v>77</v>
      </c>
      <c r="G52" s="5" t="s">
        <v>753</v>
      </c>
      <c r="H52" s="5">
        <v>10</v>
      </c>
      <c r="I52" s="5">
        <v>1500</v>
      </c>
      <c r="J52" s="5">
        <v>12000</v>
      </c>
      <c r="K52" s="5" t="s">
        <v>746</v>
      </c>
      <c r="L52" s="5"/>
      <c r="M52" s="5">
        <v>1</v>
      </c>
      <c r="N52" s="5">
        <v>1413</v>
      </c>
      <c r="O52" s="5" t="s">
        <v>39</v>
      </c>
      <c r="P52" s="5">
        <v>1338.82</v>
      </c>
      <c r="Q52" s="5">
        <f t="shared" si="6"/>
        <v>1413</v>
      </c>
      <c r="R52" s="5" t="str">
        <f t="shared" si="7"/>
        <v/>
      </c>
      <c r="S52" s="5"/>
      <c r="T52" s="5">
        <f t="shared" si="8"/>
        <v>64.81</v>
      </c>
      <c r="U52" s="5">
        <f t="shared" si="9"/>
        <v>9.3699999999999992</v>
      </c>
      <c r="V52" s="5">
        <v>1</v>
      </c>
      <c r="W52" s="5" t="s">
        <v>747</v>
      </c>
      <c r="X52" s="5" t="str">
        <f>IF(LEN('List chi tiet'!$B$2)=0,"",'List chi tiet'!$B$2)</f>
        <v>TCTN.DNS.26.004 ĐƯỜNG CAO TỐC VIN</v>
      </c>
      <c r="Y52" s="5" t="s">
        <v>38</v>
      </c>
      <c r="Z52" s="5" t="s">
        <v>748</v>
      </c>
    </row>
    <row r="53" spans="1:26" hidden="1" x14ac:dyDescent="0.25">
      <c r="A53" s="5">
        <v>49</v>
      </c>
      <c r="B53" s="5" t="str">
        <f>IF(LEN('List chi tiet'!$B$3)=0,"",'List chi tiet'!$B$3)</f>
        <v>TCTN.DNS-26004</v>
      </c>
      <c r="C53" s="5" t="s">
        <v>443</v>
      </c>
      <c r="D53" s="5" t="str">
        <f t="shared" si="5"/>
        <v>Project name
Dự Án</v>
      </c>
      <c r="E53" s="5" t="s">
        <v>744</v>
      </c>
      <c r="F53" s="5" t="s">
        <v>77</v>
      </c>
      <c r="G53" s="5" t="s">
        <v>753</v>
      </c>
      <c r="H53" s="5">
        <v>10</v>
      </c>
      <c r="I53" s="5">
        <v>1500</v>
      </c>
      <c r="J53" s="5">
        <v>12000</v>
      </c>
      <c r="K53" s="5" t="s">
        <v>746</v>
      </c>
      <c r="L53" s="5"/>
      <c r="M53" s="5">
        <v>1</v>
      </c>
      <c r="N53" s="5">
        <v>1413</v>
      </c>
      <c r="O53" s="5" t="s">
        <v>39</v>
      </c>
      <c r="P53" s="5">
        <v>1343.39</v>
      </c>
      <c r="Q53" s="5">
        <f t="shared" si="6"/>
        <v>1413</v>
      </c>
      <c r="R53" s="5" t="str">
        <f t="shared" si="7"/>
        <v/>
      </c>
      <c r="S53" s="5"/>
      <c r="T53" s="5">
        <f t="shared" si="8"/>
        <v>60.21</v>
      </c>
      <c r="U53" s="5">
        <f t="shared" si="9"/>
        <v>9.4</v>
      </c>
      <c r="V53" s="5">
        <v>1</v>
      </c>
      <c r="W53" s="5" t="s">
        <v>747</v>
      </c>
      <c r="X53" s="5" t="str">
        <f>IF(LEN('List chi tiet'!$B$2)=0,"",'List chi tiet'!$B$2)</f>
        <v>TCTN.DNS.26.004 ĐƯỜNG CAO TỐC VIN</v>
      </c>
      <c r="Y53" s="5" t="s">
        <v>38</v>
      </c>
      <c r="Z53" s="5" t="s">
        <v>748</v>
      </c>
    </row>
    <row r="54" spans="1:26" hidden="1" x14ac:dyDescent="0.25">
      <c r="A54" s="5">
        <v>50</v>
      </c>
      <c r="B54" s="5" t="str">
        <f>IF(LEN('List chi tiet'!$B$3)=0,"",'List chi tiet'!$B$3)</f>
        <v>TCTN.DNS-26004</v>
      </c>
      <c r="C54" s="5" t="s">
        <v>454</v>
      </c>
      <c r="D54" s="5" t="str">
        <f t="shared" si="5"/>
        <v>Project name
Dự Án</v>
      </c>
      <c r="E54" s="5" t="s">
        <v>744</v>
      </c>
      <c r="F54" s="5" t="s">
        <v>77</v>
      </c>
      <c r="G54" s="5" t="s">
        <v>753</v>
      </c>
      <c r="H54" s="5">
        <v>10</v>
      </c>
      <c r="I54" s="5">
        <v>1500</v>
      </c>
      <c r="J54" s="5">
        <v>12000</v>
      </c>
      <c r="K54" s="5" t="s">
        <v>746</v>
      </c>
      <c r="L54" s="5"/>
      <c r="M54" s="5">
        <v>1</v>
      </c>
      <c r="N54" s="5">
        <v>1413</v>
      </c>
      <c r="O54" s="5" t="s">
        <v>39</v>
      </c>
      <c r="P54" s="5">
        <v>1309.3499999999999</v>
      </c>
      <c r="Q54" s="5">
        <f t="shared" si="6"/>
        <v>1413</v>
      </c>
      <c r="R54" s="5" t="str">
        <f t="shared" si="7"/>
        <v/>
      </c>
      <c r="S54" s="5"/>
      <c r="T54" s="5">
        <f t="shared" si="8"/>
        <v>94.48</v>
      </c>
      <c r="U54" s="5">
        <f t="shared" si="9"/>
        <v>9.17</v>
      </c>
      <c r="V54" s="5">
        <v>1</v>
      </c>
      <c r="W54" s="5" t="s">
        <v>747</v>
      </c>
      <c r="X54" s="5" t="str">
        <f>IF(LEN('List chi tiet'!$B$2)=0,"",'List chi tiet'!$B$2)</f>
        <v>TCTN.DNS.26.004 ĐƯỜNG CAO TỐC VIN</v>
      </c>
      <c r="Y54" s="5" t="s">
        <v>38</v>
      </c>
      <c r="Z54" s="5" t="s">
        <v>748</v>
      </c>
    </row>
    <row r="55" spans="1:26" hidden="1" x14ac:dyDescent="0.25">
      <c r="A55" s="5">
        <v>51</v>
      </c>
      <c r="B55" s="5" t="str">
        <f>IF(LEN('List chi tiet'!$B$3)=0,"",'List chi tiet'!$B$3)</f>
        <v>TCTN.DNS-26004</v>
      </c>
      <c r="C55" s="5" t="s">
        <v>465</v>
      </c>
      <c r="D55" s="5" t="str">
        <f t="shared" si="5"/>
        <v>Project name
Dự Án</v>
      </c>
      <c r="E55" s="5" t="s">
        <v>744</v>
      </c>
      <c r="F55" s="5" t="s">
        <v>77</v>
      </c>
      <c r="G55" s="5" t="s">
        <v>753</v>
      </c>
      <c r="H55" s="5">
        <v>10</v>
      </c>
      <c r="I55" s="5">
        <v>1500</v>
      </c>
      <c r="J55" s="5">
        <v>12000</v>
      </c>
      <c r="K55" s="5" t="s">
        <v>746</v>
      </c>
      <c r="L55" s="5"/>
      <c r="M55" s="5">
        <v>1</v>
      </c>
      <c r="N55" s="5">
        <v>1413</v>
      </c>
      <c r="O55" s="5" t="s">
        <v>39</v>
      </c>
      <c r="P55" s="5">
        <v>36.46</v>
      </c>
      <c r="Q55" s="5">
        <f t="shared" si="6"/>
        <v>1413</v>
      </c>
      <c r="R55" s="5" t="str">
        <f t="shared" si="7"/>
        <v/>
      </c>
      <c r="S55" s="5">
        <v>1359.07</v>
      </c>
      <c r="T55" s="5">
        <f t="shared" si="8"/>
        <v>17.21</v>
      </c>
      <c r="U55" s="5">
        <f t="shared" si="9"/>
        <v>0.26</v>
      </c>
      <c r="V55" s="5">
        <v>1</v>
      </c>
      <c r="W55" s="5" t="s">
        <v>747</v>
      </c>
      <c r="X55" s="5" t="str">
        <f>IF(LEN('List chi tiet'!$B$2)=0,"",'List chi tiet'!$B$2)</f>
        <v>TCTN.DNS.26.004 ĐƯỜNG CAO TỐC VIN</v>
      </c>
      <c r="Y55" s="5" t="s">
        <v>38</v>
      </c>
      <c r="Z55" s="5" t="s">
        <v>748</v>
      </c>
    </row>
    <row r="56" spans="1:26" hidden="1" x14ac:dyDescent="0.25">
      <c r="A56" s="5">
        <v>52</v>
      </c>
      <c r="B56" s="5" t="str">
        <f>IF(LEN('List chi tiet'!$B$3)=0,"",'List chi tiet'!$B$3)</f>
        <v>TCTN.DNS-26004</v>
      </c>
      <c r="C56" s="5" t="s">
        <v>476</v>
      </c>
      <c r="D56" s="5" t="str">
        <f t="shared" si="5"/>
        <v>Project name
Dự Án</v>
      </c>
      <c r="E56" s="5" t="s">
        <v>744</v>
      </c>
      <c r="F56" s="5" t="s">
        <v>77</v>
      </c>
      <c r="G56" s="5" t="s">
        <v>754</v>
      </c>
      <c r="H56" s="5">
        <v>12</v>
      </c>
      <c r="I56" s="5">
        <v>1500</v>
      </c>
      <c r="J56" s="5">
        <v>12000</v>
      </c>
      <c r="K56" s="5" t="s">
        <v>746</v>
      </c>
      <c r="L56" s="5"/>
      <c r="M56" s="5">
        <v>1</v>
      </c>
      <c r="N56" s="5">
        <v>1695.6</v>
      </c>
      <c r="O56" s="5" t="s">
        <v>39</v>
      </c>
      <c r="P56" s="5">
        <v>1492.14</v>
      </c>
      <c r="Q56" s="5">
        <f t="shared" si="6"/>
        <v>1695.6</v>
      </c>
      <c r="R56" s="5" t="str">
        <f t="shared" si="7"/>
        <v/>
      </c>
      <c r="S56" s="5">
        <v>169.54</v>
      </c>
      <c r="T56" s="5">
        <f t="shared" si="8"/>
        <v>23.48</v>
      </c>
      <c r="U56" s="5">
        <f t="shared" si="9"/>
        <v>10.44</v>
      </c>
      <c r="V56" s="5">
        <v>1</v>
      </c>
      <c r="W56" s="5" t="s">
        <v>747</v>
      </c>
      <c r="X56" s="5" t="str">
        <f>IF(LEN('List chi tiet'!$B$2)=0,"",'List chi tiet'!$B$2)</f>
        <v>TCTN.DNS.26.004 ĐƯỜNG CAO TỐC VIN</v>
      </c>
      <c r="Y56" s="5" t="s">
        <v>38</v>
      </c>
      <c r="Z56" s="5" t="s">
        <v>748</v>
      </c>
    </row>
    <row r="57" spans="1:26" hidden="1" x14ac:dyDescent="0.25">
      <c r="A57" s="5">
        <v>53</v>
      </c>
      <c r="B57" s="5" t="str">
        <f>IF(LEN('List chi tiet'!$B$3)=0,"",'List chi tiet'!$B$3)</f>
        <v>TCTN.DNS-26004</v>
      </c>
      <c r="C57" s="5" t="s">
        <v>482</v>
      </c>
      <c r="D57" s="5" t="str">
        <f t="shared" si="5"/>
        <v>Project name
Dự Án</v>
      </c>
      <c r="E57" s="5" t="s">
        <v>744</v>
      </c>
      <c r="F57" s="5" t="s">
        <v>77</v>
      </c>
      <c r="G57" s="5" t="s">
        <v>754</v>
      </c>
      <c r="H57" s="5">
        <v>12</v>
      </c>
      <c r="I57" s="5">
        <v>1500</v>
      </c>
      <c r="J57" s="5">
        <v>12000</v>
      </c>
      <c r="K57" s="5" t="s">
        <v>746</v>
      </c>
      <c r="L57" s="5"/>
      <c r="M57" s="5">
        <v>1</v>
      </c>
      <c r="N57" s="5">
        <v>1695.6</v>
      </c>
      <c r="O57" s="5" t="s">
        <v>39</v>
      </c>
      <c r="P57" s="5">
        <v>1491.23</v>
      </c>
      <c r="Q57" s="5">
        <f t="shared" si="6"/>
        <v>1695.6</v>
      </c>
      <c r="R57" s="5" t="str">
        <f t="shared" si="7"/>
        <v/>
      </c>
      <c r="S57" s="5">
        <v>169.55</v>
      </c>
      <c r="T57" s="5">
        <f t="shared" si="8"/>
        <v>24.38</v>
      </c>
      <c r="U57" s="5">
        <f t="shared" si="9"/>
        <v>10.44</v>
      </c>
      <c r="V57" s="5">
        <v>1</v>
      </c>
      <c r="W57" s="5" t="s">
        <v>747</v>
      </c>
      <c r="X57" s="5" t="str">
        <f>IF(LEN('List chi tiet'!$B$2)=0,"",'List chi tiet'!$B$2)</f>
        <v>TCTN.DNS.26.004 ĐƯỜNG CAO TỐC VIN</v>
      </c>
      <c r="Y57" s="5" t="s">
        <v>38</v>
      </c>
      <c r="Z57" s="5" t="s">
        <v>748</v>
      </c>
    </row>
    <row r="58" spans="1:26" hidden="1" x14ac:dyDescent="0.25">
      <c r="A58" s="5">
        <v>54</v>
      </c>
      <c r="B58" s="5" t="str">
        <f>IF(LEN('List chi tiet'!$B$3)=0,"",'List chi tiet'!$B$3)</f>
        <v>TCTN.DNS-26004</v>
      </c>
      <c r="C58" s="5" t="s">
        <v>488</v>
      </c>
      <c r="D58" s="5" t="str">
        <f t="shared" si="5"/>
        <v>Project name
Dự Án</v>
      </c>
      <c r="E58" s="5" t="s">
        <v>744</v>
      </c>
      <c r="F58" s="5" t="s">
        <v>77</v>
      </c>
      <c r="G58" s="5" t="s">
        <v>754</v>
      </c>
      <c r="H58" s="5">
        <v>12</v>
      </c>
      <c r="I58" s="5">
        <v>1500</v>
      </c>
      <c r="J58" s="5">
        <v>12000</v>
      </c>
      <c r="K58" s="5" t="s">
        <v>746</v>
      </c>
      <c r="L58" s="5"/>
      <c r="M58" s="5">
        <v>1</v>
      </c>
      <c r="N58" s="5">
        <v>1695.6</v>
      </c>
      <c r="O58" s="5" t="s">
        <v>39</v>
      </c>
      <c r="P58" s="5">
        <v>940.39</v>
      </c>
      <c r="Q58" s="5">
        <f t="shared" si="6"/>
        <v>1695.6</v>
      </c>
      <c r="R58" s="5" t="str">
        <f t="shared" si="7"/>
        <v/>
      </c>
      <c r="S58" s="5">
        <v>728.5</v>
      </c>
      <c r="T58" s="5">
        <f t="shared" si="8"/>
        <v>20.13</v>
      </c>
      <c r="U58" s="5">
        <f t="shared" si="9"/>
        <v>6.58</v>
      </c>
      <c r="V58" s="5">
        <v>1</v>
      </c>
      <c r="W58" s="5" t="s">
        <v>747</v>
      </c>
      <c r="X58" s="5" t="str">
        <f>IF(LEN('List chi tiet'!$B$2)=0,"",'List chi tiet'!$B$2)</f>
        <v>TCTN.DNS.26.004 ĐƯỜNG CAO TỐC VIN</v>
      </c>
      <c r="Y58" s="5" t="s">
        <v>38</v>
      </c>
      <c r="Z58" s="5" t="s">
        <v>748</v>
      </c>
    </row>
    <row r="59" spans="1:26" hidden="1" x14ac:dyDescent="0.25">
      <c r="A59" s="5">
        <v>55</v>
      </c>
      <c r="B59" s="5" t="str">
        <f>IF(LEN('List chi tiet'!$B$3)=0,"",'List chi tiet'!$B$3)</f>
        <v>TCTN.DNS-26004</v>
      </c>
      <c r="C59" s="5" t="s">
        <v>496</v>
      </c>
      <c r="D59" s="5" t="str">
        <f t="shared" si="5"/>
        <v>Project name
Dự Án</v>
      </c>
      <c r="E59" s="5" t="s">
        <v>744</v>
      </c>
      <c r="F59" s="5" t="s">
        <v>77</v>
      </c>
      <c r="G59" s="5" t="s">
        <v>754</v>
      </c>
      <c r="H59" s="5">
        <v>12</v>
      </c>
      <c r="I59" s="5">
        <v>1500</v>
      </c>
      <c r="J59" s="5">
        <v>12000</v>
      </c>
      <c r="K59" s="5" t="s">
        <v>746</v>
      </c>
      <c r="L59" s="5"/>
      <c r="M59" s="5">
        <v>1</v>
      </c>
      <c r="N59" s="5">
        <v>1695.6</v>
      </c>
      <c r="O59" s="5" t="s">
        <v>39</v>
      </c>
      <c r="P59" s="5">
        <v>1491.18</v>
      </c>
      <c r="Q59" s="5">
        <f t="shared" si="6"/>
        <v>1695.6</v>
      </c>
      <c r="R59" s="5" t="str">
        <f t="shared" si="7"/>
        <v/>
      </c>
      <c r="S59" s="5">
        <v>169.56</v>
      </c>
      <c r="T59" s="5">
        <f t="shared" si="8"/>
        <v>24.42</v>
      </c>
      <c r="U59" s="5">
        <f t="shared" si="9"/>
        <v>10.44</v>
      </c>
      <c r="V59" s="5">
        <v>1</v>
      </c>
      <c r="W59" s="5" t="s">
        <v>747</v>
      </c>
      <c r="X59" s="5" t="str">
        <f>IF(LEN('List chi tiet'!$B$2)=0,"",'List chi tiet'!$B$2)</f>
        <v>TCTN.DNS.26.004 ĐƯỜNG CAO TỐC VIN</v>
      </c>
      <c r="Y59" s="5" t="s">
        <v>38</v>
      </c>
      <c r="Z59" s="5" t="s">
        <v>748</v>
      </c>
    </row>
    <row r="60" spans="1:26" hidden="1" x14ac:dyDescent="0.25">
      <c r="A60" s="5">
        <v>56</v>
      </c>
      <c r="B60" s="5" t="str">
        <f>IF(LEN('List chi tiet'!$B$3)=0,"",'List chi tiet'!$B$3)</f>
        <v>TCTN.DNS-26004</v>
      </c>
      <c r="C60" s="5" t="s">
        <v>502</v>
      </c>
      <c r="D60" s="5" t="str">
        <f t="shared" si="5"/>
        <v>Project name
Dự Án</v>
      </c>
      <c r="E60" s="5" t="s">
        <v>744</v>
      </c>
      <c r="F60" s="5" t="s">
        <v>77</v>
      </c>
      <c r="G60" s="5" t="s">
        <v>754</v>
      </c>
      <c r="H60" s="5">
        <v>12</v>
      </c>
      <c r="I60" s="5">
        <v>1500</v>
      </c>
      <c r="J60" s="5">
        <v>12000</v>
      </c>
      <c r="K60" s="5" t="s">
        <v>746</v>
      </c>
      <c r="L60" s="5"/>
      <c r="M60" s="5">
        <v>1</v>
      </c>
      <c r="N60" s="5">
        <v>1695.6</v>
      </c>
      <c r="O60" s="5" t="s">
        <v>39</v>
      </c>
      <c r="P60" s="5">
        <v>1491</v>
      </c>
      <c r="Q60" s="5">
        <f t="shared" si="6"/>
        <v>1695.6</v>
      </c>
      <c r="R60" s="5" t="str">
        <f t="shared" si="7"/>
        <v/>
      </c>
      <c r="S60" s="5">
        <v>169.56</v>
      </c>
      <c r="T60" s="5">
        <f t="shared" si="8"/>
        <v>24.6</v>
      </c>
      <c r="U60" s="5">
        <f t="shared" si="9"/>
        <v>10.44</v>
      </c>
      <c r="V60" s="5">
        <v>1</v>
      </c>
      <c r="W60" s="5" t="s">
        <v>747</v>
      </c>
      <c r="X60" s="5" t="str">
        <f>IF(LEN('List chi tiet'!$B$2)=0,"",'List chi tiet'!$B$2)</f>
        <v>TCTN.DNS.26.004 ĐƯỜNG CAO TỐC VIN</v>
      </c>
      <c r="Y60" s="5" t="s">
        <v>38</v>
      </c>
      <c r="Z60" s="5" t="s">
        <v>748</v>
      </c>
    </row>
    <row r="61" spans="1:26" hidden="1" x14ac:dyDescent="0.25">
      <c r="A61" s="5">
        <v>57</v>
      </c>
      <c r="B61" s="5" t="str">
        <f>IF(LEN('List chi tiet'!$B$3)=0,"",'List chi tiet'!$B$3)</f>
        <v>TCTN.DNS-26004</v>
      </c>
      <c r="C61" s="5" t="s">
        <v>508</v>
      </c>
      <c r="D61" s="5" t="str">
        <f t="shared" si="5"/>
        <v>Project name
Dự Án</v>
      </c>
      <c r="E61" s="5" t="s">
        <v>744</v>
      </c>
      <c r="F61" s="5" t="s">
        <v>77</v>
      </c>
      <c r="G61" s="5" t="s">
        <v>754</v>
      </c>
      <c r="H61" s="5">
        <v>12</v>
      </c>
      <c r="I61" s="5">
        <v>1500</v>
      </c>
      <c r="J61" s="5">
        <v>12000</v>
      </c>
      <c r="K61" s="5" t="s">
        <v>746</v>
      </c>
      <c r="L61" s="5"/>
      <c r="M61" s="5">
        <v>1</v>
      </c>
      <c r="N61" s="5">
        <v>1695.6</v>
      </c>
      <c r="O61" s="5" t="s">
        <v>39</v>
      </c>
      <c r="P61" s="5">
        <v>313.51</v>
      </c>
      <c r="Q61" s="5">
        <f t="shared" si="6"/>
        <v>1695.6</v>
      </c>
      <c r="R61" s="5" t="str">
        <f t="shared" si="7"/>
        <v/>
      </c>
      <c r="S61" s="5">
        <v>1373.29</v>
      </c>
      <c r="T61" s="5">
        <f t="shared" si="8"/>
        <v>6.61</v>
      </c>
      <c r="U61" s="5">
        <f t="shared" si="9"/>
        <v>2.19</v>
      </c>
      <c r="V61" s="5">
        <v>1</v>
      </c>
      <c r="W61" s="5" t="s">
        <v>747</v>
      </c>
      <c r="X61" s="5" t="str">
        <f>IF(LEN('List chi tiet'!$B$2)=0,"",'List chi tiet'!$B$2)</f>
        <v>TCTN.DNS.26.004 ĐƯỜNG CAO TỐC VIN</v>
      </c>
      <c r="Y61" s="5" t="s">
        <v>38</v>
      </c>
      <c r="Z61" s="5" t="s">
        <v>748</v>
      </c>
    </row>
    <row r="62" spans="1:26" hidden="1" x14ac:dyDescent="0.25">
      <c r="A62" s="5">
        <v>58</v>
      </c>
      <c r="B62" s="5" t="str">
        <f>IF(LEN('List chi tiet'!$B$3)=0,"",'List chi tiet'!$B$3)</f>
        <v>TCTN.DNS-26004</v>
      </c>
      <c r="C62" s="5" t="s">
        <v>513</v>
      </c>
      <c r="D62" s="5" t="str">
        <f t="shared" si="5"/>
        <v>Project name
Dự Án</v>
      </c>
      <c r="E62" s="5" t="s">
        <v>744</v>
      </c>
      <c r="F62" s="5" t="s">
        <v>77</v>
      </c>
      <c r="G62" s="5" t="s">
        <v>755</v>
      </c>
      <c r="H62" s="5">
        <v>16</v>
      </c>
      <c r="I62" s="5">
        <v>2000</v>
      </c>
      <c r="J62" s="5">
        <v>12000</v>
      </c>
      <c r="K62" s="5" t="s">
        <v>746</v>
      </c>
      <c r="L62" s="5"/>
      <c r="M62" s="5">
        <v>1</v>
      </c>
      <c r="N62" s="5">
        <v>3014.4</v>
      </c>
      <c r="O62" s="5" t="s">
        <v>39</v>
      </c>
      <c r="P62" s="5">
        <v>2873.98</v>
      </c>
      <c r="Q62" s="5">
        <f t="shared" si="6"/>
        <v>3014.4</v>
      </c>
      <c r="R62" s="5" t="str">
        <f t="shared" si="7"/>
        <v/>
      </c>
      <c r="S62" s="5"/>
      <c r="T62" s="5">
        <f t="shared" si="8"/>
        <v>120.3</v>
      </c>
      <c r="U62" s="5">
        <f t="shared" si="9"/>
        <v>20.12</v>
      </c>
      <c r="V62" s="5">
        <v>1</v>
      </c>
      <c r="W62" s="5" t="s">
        <v>747</v>
      </c>
      <c r="X62" s="5" t="str">
        <f>IF(LEN('List chi tiet'!$B$2)=0,"",'List chi tiet'!$B$2)</f>
        <v>TCTN.DNS.26.004 ĐƯỜNG CAO TỐC VIN</v>
      </c>
      <c r="Y62" s="5" t="s">
        <v>38</v>
      </c>
      <c r="Z62" s="5" t="s">
        <v>748</v>
      </c>
    </row>
    <row r="63" spans="1:26" hidden="1" x14ac:dyDescent="0.25">
      <c r="A63" s="5">
        <v>59</v>
      </c>
      <c r="B63" s="5" t="str">
        <f>IF(LEN('List chi tiet'!$B$3)=0,"",'List chi tiet'!$B$3)</f>
        <v>TCTN.DNS-26004</v>
      </c>
      <c r="C63" s="5" t="s">
        <v>548</v>
      </c>
      <c r="D63" s="5" t="str">
        <f t="shared" si="5"/>
        <v>Project name
Dự Án</v>
      </c>
      <c r="E63" s="5" t="s">
        <v>744</v>
      </c>
      <c r="F63" s="5" t="s">
        <v>77</v>
      </c>
      <c r="G63" s="5" t="s">
        <v>755</v>
      </c>
      <c r="H63" s="5">
        <v>16</v>
      </c>
      <c r="I63" s="5">
        <v>2000</v>
      </c>
      <c r="J63" s="5">
        <v>12000</v>
      </c>
      <c r="K63" s="5" t="s">
        <v>746</v>
      </c>
      <c r="L63" s="5"/>
      <c r="M63" s="5">
        <v>1</v>
      </c>
      <c r="N63" s="5">
        <v>3014.4</v>
      </c>
      <c r="O63" s="5" t="s">
        <v>39</v>
      </c>
      <c r="P63" s="5">
        <v>2899.83</v>
      </c>
      <c r="Q63" s="5">
        <f t="shared" si="6"/>
        <v>3014.4</v>
      </c>
      <c r="R63" s="5" t="str">
        <f t="shared" si="7"/>
        <v/>
      </c>
      <c r="S63" s="5"/>
      <c r="T63" s="5">
        <f t="shared" si="8"/>
        <v>94.27</v>
      </c>
      <c r="U63" s="5">
        <f t="shared" si="9"/>
        <v>20.3</v>
      </c>
      <c r="V63" s="5">
        <v>1</v>
      </c>
      <c r="W63" s="5" t="s">
        <v>747</v>
      </c>
      <c r="X63" s="5" t="str">
        <f>IF(LEN('List chi tiet'!$B$2)=0,"",'List chi tiet'!$B$2)</f>
        <v>TCTN.DNS.26.004 ĐƯỜNG CAO TỐC VIN</v>
      </c>
      <c r="Y63" s="5" t="s">
        <v>38</v>
      </c>
      <c r="Z63" s="5" t="s">
        <v>748</v>
      </c>
    </row>
    <row r="64" spans="1:26" hidden="1" x14ac:dyDescent="0.25">
      <c r="A64" s="5">
        <v>60</v>
      </c>
      <c r="B64" s="5" t="str">
        <f>IF(LEN('List chi tiet'!$B$3)=0,"",'List chi tiet'!$B$3)</f>
        <v>TCTN.DNS-26004</v>
      </c>
      <c r="C64" s="5" t="s">
        <v>561</v>
      </c>
      <c r="D64" s="5" t="str">
        <f t="shared" si="5"/>
        <v>Project name
Dự Án</v>
      </c>
      <c r="E64" s="5" t="s">
        <v>744</v>
      </c>
      <c r="F64" s="5" t="s">
        <v>77</v>
      </c>
      <c r="G64" s="5" t="s">
        <v>755</v>
      </c>
      <c r="H64" s="5">
        <v>16</v>
      </c>
      <c r="I64" s="5">
        <v>2000</v>
      </c>
      <c r="J64" s="5">
        <v>12000</v>
      </c>
      <c r="K64" s="5" t="s">
        <v>746</v>
      </c>
      <c r="L64" s="5"/>
      <c r="M64" s="5">
        <v>1</v>
      </c>
      <c r="N64" s="5">
        <v>3014.4</v>
      </c>
      <c r="O64" s="5" t="s">
        <v>39</v>
      </c>
      <c r="P64" s="5">
        <v>548.09</v>
      </c>
      <c r="Q64" s="5">
        <f t="shared" si="6"/>
        <v>3014.4</v>
      </c>
      <c r="R64" s="5" t="str">
        <f t="shared" si="7"/>
        <v/>
      </c>
      <c r="S64" s="5">
        <v>2437.98</v>
      </c>
      <c r="T64" s="5">
        <f t="shared" si="8"/>
        <v>24.49</v>
      </c>
      <c r="U64" s="5">
        <f t="shared" si="9"/>
        <v>3.84</v>
      </c>
      <c r="V64" s="5">
        <v>1</v>
      </c>
      <c r="W64" s="5" t="s">
        <v>747</v>
      </c>
      <c r="X64" s="5" t="str">
        <f>IF(LEN('List chi tiet'!$B$2)=0,"",'List chi tiet'!$B$2)</f>
        <v>TCTN.DNS.26.004 ĐƯỜNG CAO TỐC VIN</v>
      </c>
      <c r="Y64" s="5" t="s">
        <v>38</v>
      </c>
      <c r="Z64" s="5" t="s">
        <v>748</v>
      </c>
    </row>
    <row r="65" spans="1:26" hidden="1" x14ac:dyDescent="0.25">
      <c r="A65" s="5">
        <v>61</v>
      </c>
      <c r="B65" s="5" t="str">
        <f>IF(LEN('List chi tiet'!$B$3)=0,"",'List chi tiet'!$B$3)</f>
        <v>TCTN.DNS-26004</v>
      </c>
      <c r="C65" s="5" t="s">
        <v>569</v>
      </c>
      <c r="D65" s="5" t="str">
        <f t="shared" si="5"/>
        <v>Project name
Dự Án</v>
      </c>
      <c r="E65" s="5" t="s">
        <v>744</v>
      </c>
      <c r="F65" s="5" t="s">
        <v>77</v>
      </c>
      <c r="G65" s="5" t="s">
        <v>756</v>
      </c>
      <c r="H65" s="5">
        <v>20</v>
      </c>
      <c r="I65" s="5">
        <v>2000</v>
      </c>
      <c r="J65" s="5">
        <v>12000</v>
      </c>
      <c r="K65" s="5" t="s">
        <v>746</v>
      </c>
      <c r="L65" s="5"/>
      <c r="M65" s="5">
        <v>1</v>
      </c>
      <c r="N65" s="5">
        <v>3768</v>
      </c>
      <c r="O65" s="5" t="s">
        <v>39</v>
      </c>
      <c r="P65" s="5">
        <v>3183.02</v>
      </c>
      <c r="Q65" s="5">
        <f t="shared" si="6"/>
        <v>3768</v>
      </c>
      <c r="R65" s="5" t="str">
        <f t="shared" si="7"/>
        <v/>
      </c>
      <c r="S65" s="5">
        <v>105.48</v>
      </c>
      <c r="T65" s="5">
        <f t="shared" si="8"/>
        <v>457.22</v>
      </c>
      <c r="U65" s="5">
        <f t="shared" si="9"/>
        <v>22.28</v>
      </c>
      <c r="V65" s="5">
        <v>1</v>
      </c>
      <c r="W65" s="5" t="s">
        <v>747</v>
      </c>
      <c r="X65" s="5" t="str">
        <f>IF(LEN('List chi tiet'!$B$2)=0,"",'List chi tiet'!$B$2)</f>
        <v>TCTN.DNS.26.004 ĐƯỜNG CAO TỐC VIN</v>
      </c>
      <c r="Y65" s="5" t="s">
        <v>38</v>
      </c>
      <c r="Z65" s="5" t="s">
        <v>748</v>
      </c>
    </row>
    <row r="66" spans="1:26" hidden="1" x14ac:dyDescent="0.25">
      <c r="A66" s="5">
        <v>62</v>
      </c>
      <c r="B66" s="5" t="str">
        <f>IF(LEN('List chi tiet'!$B$3)=0,"",'List chi tiet'!$B$3)</f>
        <v>TCTN.DNS-26004</v>
      </c>
      <c r="C66" s="5" t="s">
        <v>630</v>
      </c>
      <c r="D66" s="5" t="str">
        <f t="shared" si="5"/>
        <v>Project name
Dự Án</v>
      </c>
      <c r="E66" s="5" t="s">
        <v>744</v>
      </c>
      <c r="F66" s="5" t="s">
        <v>77</v>
      </c>
      <c r="G66" s="5" t="s">
        <v>757</v>
      </c>
      <c r="H66" s="5">
        <v>25</v>
      </c>
      <c r="I66" s="5">
        <v>2000</v>
      </c>
      <c r="J66" s="5">
        <v>12000</v>
      </c>
      <c r="K66" s="5" t="s">
        <v>746</v>
      </c>
      <c r="L66" s="5"/>
      <c r="M66" s="5">
        <v>1</v>
      </c>
      <c r="N66" s="5">
        <v>4710</v>
      </c>
      <c r="O66" s="5" t="s">
        <v>39</v>
      </c>
      <c r="P66" s="5">
        <v>2504.38</v>
      </c>
      <c r="Q66" s="5">
        <f t="shared" si="6"/>
        <v>4710</v>
      </c>
      <c r="R66" s="5" t="str">
        <f t="shared" si="7"/>
        <v/>
      </c>
      <c r="S66" s="5">
        <v>1852.47</v>
      </c>
      <c r="T66" s="5">
        <f t="shared" si="8"/>
        <v>335.62</v>
      </c>
      <c r="U66" s="5">
        <f t="shared" si="9"/>
        <v>17.53</v>
      </c>
      <c r="V66" s="5">
        <v>1</v>
      </c>
      <c r="W66" s="5" t="s">
        <v>747</v>
      </c>
      <c r="X66" s="5" t="str">
        <f>IF(LEN('List chi tiet'!$B$2)=0,"",'List chi tiet'!$B$2)</f>
        <v>TCTN.DNS.26.004 ĐƯỜNG CAO TỐC VIN</v>
      </c>
      <c r="Y66" s="5" t="s">
        <v>38</v>
      </c>
      <c r="Z66" s="5" t="s">
        <v>748</v>
      </c>
    </row>
    <row r="67" spans="1:26" hidden="1" x14ac:dyDescent="0.25">
      <c r="A67" s="5">
        <v>63</v>
      </c>
      <c r="B67" s="5" t="str">
        <f>IF(LEN('List chi tiet'!$B$3)=0,"",'List chi tiet'!$B$3)</f>
        <v>TCTN.DNS-26004</v>
      </c>
      <c r="C67" s="5" t="s">
        <v>676</v>
      </c>
      <c r="D67" s="5" t="str">
        <f t="shared" si="5"/>
        <v>Project name
Dự Án</v>
      </c>
      <c r="E67" s="5" t="s">
        <v>744</v>
      </c>
      <c r="F67" s="5" t="s">
        <v>77</v>
      </c>
      <c r="G67" s="5" t="s">
        <v>758</v>
      </c>
      <c r="H67" s="5">
        <v>30</v>
      </c>
      <c r="I67" s="5">
        <v>2000</v>
      </c>
      <c r="J67" s="5">
        <v>12000</v>
      </c>
      <c r="K67" s="5" t="s">
        <v>746</v>
      </c>
      <c r="L67" s="5"/>
      <c r="M67" s="5">
        <v>1</v>
      </c>
      <c r="N67" s="5">
        <v>5652</v>
      </c>
      <c r="O67" s="5" t="s">
        <v>39</v>
      </c>
      <c r="P67" s="5">
        <v>1431.5</v>
      </c>
      <c r="Q67" s="5">
        <f t="shared" si="6"/>
        <v>5652</v>
      </c>
      <c r="R67" s="5" t="str">
        <f t="shared" si="7"/>
        <v/>
      </c>
      <c r="S67" s="5">
        <v>3939.44</v>
      </c>
      <c r="T67" s="5">
        <f t="shared" si="8"/>
        <v>271.04000000000002</v>
      </c>
      <c r="U67" s="5">
        <f t="shared" si="9"/>
        <v>10.02</v>
      </c>
      <c r="V67" s="5">
        <v>1</v>
      </c>
      <c r="W67" s="5" t="s">
        <v>747</v>
      </c>
      <c r="X67" s="5" t="str">
        <f>IF(LEN('List chi tiet'!$B$2)=0,"",'List chi tiet'!$B$2)</f>
        <v>TCTN.DNS.26.004 ĐƯỜNG CAO TỐC VIN</v>
      </c>
      <c r="Y67" s="5" t="s">
        <v>38</v>
      </c>
      <c r="Z67" s="5" t="s">
        <v>748</v>
      </c>
    </row>
    <row r="68" spans="1:26" hidden="1" x14ac:dyDescent="0.25">
      <c r="A68" s="5">
        <v>64</v>
      </c>
      <c r="B68" s="5" t="str">
        <f>IF(LEN('List chi tiet'!$B$3)=0,"",'List chi tiet'!$B$3)</f>
        <v>TCTN.DNS-26004</v>
      </c>
      <c r="C68" s="5" t="s">
        <v>703</v>
      </c>
      <c r="D68" s="5" t="str">
        <f t="shared" si="5"/>
        <v>Project name
Dự Án</v>
      </c>
      <c r="E68" s="5" t="s">
        <v>744</v>
      </c>
      <c r="F68" s="5" t="s">
        <v>700</v>
      </c>
      <c r="G68" s="5" t="s">
        <v>759</v>
      </c>
      <c r="H68" s="5">
        <v>60</v>
      </c>
      <c r="I68" s="5">
        <v>594</v>
      </c>
      <c r="J68" s="5">
        <v>12000</v>
      </c>
      <c r="K68" s="5" t="s">
        <v>746</v>
      </c>
      <c r="L68" s="5"/>
      <c r="M68" s="5">
        <v>1</v>
      </c>
      <c r="N68" s="5">
        <v>3358.99</v>
      </c>
      <c r="O68" s="5" t="s">
        <v>704</v>
      </c>
      <c r="P68" s="5">
        <v>2536.8200000000002</v>
      </c>
      <c r="Q68" s="5" t="str">
        <f t="shared" si="6"/>
        <v/>
      </c>
      <c r="R68" s="5">
        <f t="shared" si="7"/>
        <v>3358.99</v>
      </c>
      <c r="S68" s="5">
        <v>559.39</v>
      </c>
      <c r="T68" s="5">
        <f t="shared" si="8"/>
        <v>245.02</v>
      </c>
      <c r="U68" s="5">
        <f t="shared" si="9"/>
        <v>17.760000000000002</v>
      </c>
      <c r="V68" s="5">
        <v>1</v>
      </c>
      <c r="W68" s="5" t="s">
        <v>747</v>
      </c>
      <c r="X68" s="5" t="str">
        <f>IF(LEN('List chi tiet'!$B$2)=0,"",'List chi tiet'!$B$2)</f>
        <v>TCTN.DNS.26.004 ĐƯỜNG CAO TỐC VIN</v>
      </c>
      <c r="Y68" s="5" t="s">
        <v>38</v>
      </c>
      <c r="Z68" s="5" t="s">
        <v>748</v>
      </c>
    </row>
    <row r="69" spans="1:26" hidden="1" x14ac:dyDescent="0.25">
      <c r="A69">
        <v>1</v>
      </c>
      <c r="B69" t="s">
        <v>921</v>
      </c>
      <c r="C69" t="s">
        <v>923</v>
      </c>
      <c r="D69" t="s">
        <v>924</v>
      </c>
      <c r="E69" t="s">
        <v>744</v>
      </c>
      <c r="F69" t="s">
        <v>33</v>
      </c>
      <c r="G69" t="s">
        <v>745</v>
      </c>
      <c r="H69">
        <v>2</v>
      </c>
      <c r="I69">
        <v>1300</v>
      </c>
      <c r="J69">
        <v>4000</v>
      </c>
      <c r="K69" t="s">
        <v>746</v>
      </c>
      <c r="M69">
        <v>1</v>
      </c>
      <c r="N69">
        <v>81.64</v>
      </c>
      <c r="O69" t="s">
        <v>39</v>
      </c>
      <c r="P69">
        <v>67.819999999999993</v>
      </c>
      <c r="Q69">
        <v>81.64</v>
      </c>
      <c r="S69">
        <v>7.92</v>
      </c>
      <c r="T69">
        <v>5.43</v>
      </c>
      <c r="U69">
        <v>0.47</v>
      </c>
      <c r="V69">
        <v>2</v>
      </c>
      <c r="W69" t="s">
        <v>1085</v>
      </c>
      <c r="X69" t="s">
        <v>920</v>
      </c>
      <c r="Y69" t="s">
        <v>38</v>
      </c>
      <c r="Z69" t="s">
        <v>748</v>
      </c>
    </row>
    <row r="70" spans="1:26" hidden="1" x14ac:dyDescent="0.25">
      <c r="A70">
        <v>2</v>
      </c>
      <c r="B70" t="s">
        <v>921</v>
      </c>
      <c r="C70" t="s">
        <v>926</v>
      </c>
      <c r="D70" t="s">
        <v>924</v>
      </c>
      <c r="E70" t="s">
        <v>744</v>
      </c>
      <c r="F70" t="s">
        <v>33</v>
      </c>
      <c r="G70" t="s">
        <v>745</v>
      </c>
      <c r="H70">
        <v>2</v>
      </c>
      <c r="I70">
        <v>1300</v>
      </c>
      <c r="J70">
        <v>4000</v>
      </c>
      <c r="K70" t="s">
        <v>746</v>
      </c>
      <c r="M70">
        <v>1</v>
      </c>
      <c r="N70">
        <v>81.64</v>
      </c>
      <c r="O70" t="s">
        <v>39</v>
      </c>
      <c r="P70">
        <v>81.64</v>
      </c>
      <c r="Q70">
        <v>81.64</v>
      </c>
      <c r="T70">
        <v>0</v>
      </c>
      <c r="U70">
        <v>0.56999999999999995</v>
      </c>
      <c r="V70">
        <v>2</v>
      </c>
      <c r="W70" t="s">
        <v>1085</v>
      </c>
      <c r="X70" t="s">
        <v>920</v>
      </c>
      <c r="Y70" t="s">
        <v>38</v>
      </c>
      <c r="Z70" t="s">
        <v>748</v>
      </c>
    </row>
    <row r="71" spans="1:26" hidden="1" x14ac:dyDescent="0.25">
      <c r="A71">
        <v>3</v>
      </c>
      <c r="B71" t="s">
        <v>921</v>
      </c>
      <c r="C71" t="s">
        <v>928</v>
      </c>
      <c r="D71" t="s">
        <v>924</v>
      </c>
      <c r="E71" t="s">
        <v>744</v>
      </c>
      <c r="F71" t="s">
        <v>33</v>
      </c>
      <c r="G71" t="s">
        <v>745</v>
      </c>
      <c r="H71">
        <v>2</v>
      </c>
      <c r="I71">
        <v>1300</v>
      </c>
      <c r="J71">
        <v>4000</v>
      </c>
      <c r="K71" t="s">
        <v>746</v>
      </c>
      <c r="M71">
        <v>1</v>
      </c>
      <c r="N71">
        <v>81.64</v>
      </c>
      <c r="O71" t="s">
        <v>39</v>
      </c>
      <c r="P71">
        <v>81.64</v>
      </c>
      <c r="Q71">
        <v>81.64</v>
      </c>
      <c r="T71">
        <v>0</v>
      </c>
      <c r="U71">
        <v>0.56999999999999995</v>
      </c>
      <c r="V71">
        <v>2</v>
      </c>
      <c r="W71" t="s">
        <v>1085</v>
      </c>
      <c r="X71" t="s">
        <v>920</v>
      </c>
      <c r="Y71" t="s">
        <v>38</v>
      </c>
      <c r="Z71" t="s">
        <v>748</v>
      </c>
    </row>
    <row r="72" spans="1:26" hidden="1" x14ac:dyDescent="0.25">
      <c r="A72">
        <v>4</v>
      </c>
      <c r="B72" t="s">
        <v>921</v>
      </c>
      <c r="C72" t="s">
        <v>930</v>
      </c>
      <c r="D72" t="s">
        <v>924</v>
      </c>
      <c r="E72" t="s">
        <v>744</v>
      </c>
      <c r="F72" t="s">
        <v>33</v>
      </c>
      <c r="G72" t="s">
        <v>745</v>
      </c>
      <c r="H72">
        <v>2</v>
      </c>
      <c r="I72">
        <v>1300</v>
      </c>
      <c r="J72">
        <v>4000</v>
      </c>
      <c r="K72" t="s">
        <v>746</v>
      </c>
      <c r="M72">
        <v>1</v>
      </c>
      <c r="N72">
        <v>81.64</v>
      </c>
      <c r="O72" t="s">
        <v>39</v>
      </c>
      <c r="P72">
        <v>66.569999999999993</v>
      </c>
      <c r="Q72">
        <v>81.64</v>
      </c>
      <c r="S72">
        <v>15.07</v>
      </c>
      <c r="T72">
        <v>0</v>
      </c>
      <c r="U72">
        <v>0.47</v>
      </c>
      <c r="V72">
        <v>2</v>
      </c>
      <c r="W72" t="s">
        <v>1085</v>
      </c>
      <c r="X72" t="s">
        <v>920</v>
      </c>
      <c r="Y72" t="s">
        <v>38</v>
      </c>
      <c r="Z72" t="s">
        <v>748</v>
      </c>
    </row>
    <row r="73" spans="1:26" hidden="1" x14ac:dyDescent="0.25">
      <c r="A73">
        <v>5</v>
      </c>
      <c r="B73" t="s">
        <v>921</v>
      </c>
      <c r="C73" t="s">
        <v>932</v>
      </c>
      <c r="D73" t="s">
        <v>924</v>
      </c>
      <c r="E73" t="s">
        <v>744</v>
      </c>
      <c r="F73" t="s">
        <v>33</v>
      </c>
      <c r="G73" t="s">
        <v>745</v>
      </c>
      <c r="H73">
        <v>2</v>
      </c>
      <c r="I73">
        <v>1300</v>
      </c>
      <c r="J73">
        <v>4000</v>
      </c>
      <c r="K73" t="s">
        <v>746</v>
      </c>
      <c r="M73">
        <v>1</v>
      </c>
      <c r="N73">
        <v>81.64</v>
      </c>
      <c r="O73" t="s">
        <v>39</v>
      </c>
      <c r="P73">
        <v>66.569999999999993</v>
      </c>
      <c r="Q73">
        <v>81.64</v>
      </c>
      <c r="S73">
        <v>15.07</v>
      </c>
      <c r="T73">
        <v>0</v>
      </c>
      <c r="U73">
        <v>0.47</v>
      </c>
      <c r="V73">
        <v>2</v>
      </c>
      <c r="W73" t="s">
        <v>1085</v>
      </c>
      <c r="X73" t="s">
        <v>920</v>
      </c>
      <c r="Y73" t="s">
        <v>38</v>
      </c>
      <c r="Z73" t="s">
        <v>748</v>
      </c>
    </row>
    <row r="74" spans="1:26" hidden="1" x14ac:dyDescent="0.25">
      <c r="A74">
        <v>6</v>
      </c>
      <c r="B74" t="s">
        <v>921</v>
      </c>
      <c r="C74" t="s">
        <v>934</v>
      </c>
      <c r="D74" t="s">
        <v>924</v>
      </c>
      <c r="E74" t="s">
        <v>744</v>
      </c>
      <c r="F74" t="s">
        <v>33</v>
      </c>
      <c r="G74" t="s">
        <v>745</v>
      </c>
      <c r="H74">
        <v>2</v>
      </c>
      <c r="I74">
        <v>1300</v>
      </c>
      <c r="J74">
        <v>4000</v>
      </c>
      <c r="K74" t="s">
        <v>746</v>
      </c>
      <c r="M74">
        <v>1</v>
      </c>
      <c r="N74">
        <v>81.64</v>
      </c>
      <c r="O74" t="s">
        <v>39</v>
      </c>
      <c r="P74">
        <v>66.569999999999993</v>
      </c>
      <c r="Q74">
        <v>81.64</v>
      </c>
      <c r="S74">
        <v>15.07</v>
      </c>
      <c r="T74">
        <v>0</v>
      </c>
      <c r="U74">
        <v>0.47</v>
      </c>
      <c r="V74">
        <v>2</v>
      </c>
      <c r="W74" t="s">
        <v>1085</v>
      </c>
      <c r="X74" t="s">
        <v>920</v>
      </c>
      <c r="Y74" t="s">
        <v>38</v>
      </c>
      <c r="Z74" t="s">
        <v>748</v>
      </c>
    </row>
    <row r="75" spans="1:26" hidden="1" x14ac:dyDescent="0.25">
      <c r="A75">
        <v>7</v>
      </c>
      <c r="B75" t="s">
        <v>921</v>
      </c>
      <c r="C75" t="s">
        <v>936</v>
      </c>
      <c r="D75" t="s">
        <v>924</v>
      </c>
      <c r="E75" t="s">
        <v>744</v>
      </c>
      <c r="F75" t="s">
        <v>33</v>
      </c>
      <c r="G75" t="s">
        <v>745</v>
      </c>
      <c r="H75">
        <v>2</v>
      </c>
      <c r="I75">
        <v>1300</v>
      </c>
      <c r="J75">
        <v>4000</v>
      </c>
      <c r="K75" t="s">
        <v>746</v>
      </c>
      <c r="M75">
        <v>1</v>
      </c>
      <c r="N75">
        <v>81.64</v>
      </c>
      <c r="O75" t="s">
        <v>39</v>
      </c>
      <c r="P75">
        <v>66.569999999999993</v>
      </c>
      <c r="Q75">
        <v>81.64</v>
      </c>
      <c r="S75">
        <v>15.07</v>
      </c>
      <c r="T75">
        <v>0</v>
      </c>
      <c r="U75">
        <v>0.47</v>
      </c>
      <c r="V75">
        <v>2</v>
      </c>
      <c r="W75" t="s">
        <v>1085</v>
      </c>
      <c r="X75" t="s">
        <v>920</v>
      </c>
      <c r="Y75" t="s">
        <v>38</v>
      </c>
      <c r="Z75" t="s">
        <v>748</v>
      </c>
    </row>
    <row r="76" spans="1:26" hidden="1" x14ac:dyDescent="0.25">
      <c r="A76">
        <v>8</v>
      </c>
      <c r="B76" t="s">
        <v>921</v>
      </c>
      <c r="C76" t="s">
        <v>938</v>
      </c>
      <c r="D76" t="s">
        <v>924</v>
      </c>
      <c r="E76" t="s">
        <v>744</v>
      </c>
      <c r="F76" t="s">
        <v>33</v>
      </c>
      <c r="G76" t="s">
        <v>745</v>
      </c>
      <c r="H76">
        <v>2</v>
      </c>
      <c r="I76">
        <v>1300</v>
      </c>
      <c r="J76">
        <v>4000</v>
      </c>
      <c r="K76" t="s">
        <v>746</v>
      </c>
      <c r="M76">
        <v>1</v>
      </c>
      <c r="N76">
        <v>81.64</v>
      </c>
      <c r="O76" t="s">
        <v>39</v>
      </c>
      <c r="P76">
        <v>62.8</v>
      </c>
      <c r="Q76">
        <v>81.64</v>
      </c>
      <c r="S76">
        <v>15.07</v>
      </c>
      <c r="T76">
        <v>3.33</v>
      </c>
      <c r="U76">
        <v>0.44</v>
      </c>
      <c r="V76">
        <v>2</v>
      </c>
      <c r="W76" t="s">
        <v>1085</v>
      </c>
      <c r="X76" t="s">
        <v>920</v>
      </c>
      <c r="Y76" t="s">
        <v>38</v>
      </c>
      <c r="Z76" t="s">
        <v>748</v>
      </c>
    </row>
    <row r="77" spans="1:26" hidden="1" x14ac:dyDescent="0.25">
      <c r="A77">
        <v>9</v>
      </c>
      <c r="B77" t="s">
        <v>921</v>
      </c>
      <c r="C77" t="s">
        <v>940</v>
      </c>
      <c r="D77" t="s">
        <v>924</v>
      </c>
      <c r="E77" t="s">
        <v>744</v>
      </c>
      <c r="F77" t="s">
        <v>33</v>
      </c>
      <c r="G77" t="s">
        <v>745</v>
      </c>
      <c r="H77">
        <v>2</v>
      </c>
      <c r="I77">
        <v>1300</v>
      </c>
      <c r="J77">
        <v>4000</v>
      </c>
      <c r="K77" t="s">
        <v>746</v>
      </c>
      <c r="M77">
        <v>1</v>
      </c>
      <c r="N77">
        <v>61.67</v>
      </c>
      <c r="O77" t="s">
        <v>941</v>
      </c>
      <c r="P77">
        <v>19.97</v>
      </c>
      <c r="R77">
        <v>61.67</v>
      </c>
      <c r="S77">
        <v>41.7</v>
      </c>
      <c r="T77">
        <v>0</v>
      </c>
      <c r="U77">
        <v>0.14000000000000001</v>
      </c>
      <c r="V77">
        <v>2</v>
      </c>
      <c r="W77" t="s">
        <v>1085</v>
      </c>
      <c r="X77" t="s">
        <v>920</v>
      </c>
      <c r="Y77" t="s">
        <v>38</v>
      </c>
      <c r="Z77" t="s">
        <v>748</v>
      </c>
    </row>
    <row r="78" spans="1:26" hidden="1" x14ac:dyDescent="0.25">
      <c r="A78">
        <v>10</v>
      </c>
      <c r="B78" t="s">
        <v>921</v>
      </c>
      <c r="C78" t="s">
        <v>943</v>
      </c>
      <c r="D78" t="s">
        <v>924</v>
      </c>
      <c r="E78" t="s">
        <v>744</v>
      </c>
      <c r="F78" t="s">
        <v>33</v>
      </c>
      <c r="G78" t="s">
        <v>745</v>
      </c>
      <c r="H78">
        <v>2</v>
      </c>
      <c r="I78">
        <v>1300</v>
      </c>
      <c r="J78">
        <v>4000</v>
      </c>
      <c r="K78" t="s">
        <v>746</v>
      </c>
      <c r="M78">
        <v>1</v>
      </c>
      <c r="N78">
        <v>81.64</v>
      </c>
      <c r="O78" t="s">
        <v>39</v>
      </c>
      <c r="P78">
        <v>48.23</v>
      </c>
      <c r="Q78">
        <v>81.64</v>
      </c>
      <c r="S78">
        <v>32.880000000000003</v>
      </c>
      <c r="T78">
        <v>0.19</v>
      </c>
      <c r="U78">
        <v>0.34</v>
      </c>
      <c r="V78">
        <v>2</v>
      </c>
      <c r="W78" t="s">
        <v>1085</v>
      </c>
      <c r="X78" t="s">
        <v>920</v>
      </c>
      <c r="Y78" t="s">
        <v>38</v>
      </c>
      <c r="Z78" t="s">
        <v>748</v>
      </c>
    </row>
    <row r="79" spans="1:26" hidden="1" x14ac:dyDescent="0.25">
      <c r="A79">
        <v>11</v>
      </c>
      <c r="B79" t="s">
        <v>921</v>
      </c>
      <c r="C79" t="s">
        <v>946</v>
      </c>
      <c r="D79" t="s">
        <v>924</v>
      </c>
      <c r="E79" t="s">
        <v>744</v>
      </c>
      <c r="F79" t="s">
        <v>77</v>
      </c>
      <c r="G79" t="s">
        <v>1086</v>
      </c>
      <c r="H79">
        <v>5</v>
      </c>
      <c r="I79">
        <v>1500</v>
      </c>
      <c r="J79">
        <v>1800</v>
      </c>
      <c r="K79" t="s">
        <v>746</v>
      </c>
      <c r="M79">
        <v>1</v>
      </c>
      <c r="N79">
        <v>105.98</v>
      </c>
      <c r="O79" t="s">
        <v>947</v>
      </c>
      <c r="P79">
        <v>88.69</v>
      </c>
      <c r="R79">
        <v>105.98</v>
      </c>
      <c r="T79">
        <v>16.670000000000002</v>
      </c>
      <c r="U79">
        <v>0.62</v>
      </c>
      <c r="V79">
        <v>2</v>
      </c>
      <c r="W79" t="s">
        <v>1085</v>
      </c>
      <c r="X79" t="s">
        <v>920</v>
      </c>
      <c r="Y79" t="s">
        <v>38</v>
      </c>
      <c r="Z79" t="s">
        <v>748</v>
      </c>
    </row>
    <row r="80" spans="1:26" hidden="1" x14ac:dyDescent="0.25">
      <c r="A80">
        <v>12</v>
      </c>
      <c r="B80" t="s">
        <v>921</v>
      </c>
      <c r="C80" t="s">
        <v>949</v>
      </c>
      <c r="D80" t="s">
        <v>924</v>
      </c>
      <c r="E80" t="s">
        <v>744</v>
      </c>
      <c r="F80" t="s">
        <v>77</v>
      </c>
      <c r="G80" t="s">
        <v>749</v>
      </c>
      <c r="H80">
        <v>5</v>
      </c>
      <c r="I80">
        <v>1500</v>
      </c>
      <c r="J80">
        <v>6000</v>
      </c>
      <c r="K80" t="s">
        <v>746</v>
      </c>
      <c r="M80">
        <v>1</v>
      </c>
      <c r="N80">
        <v>353.25</v>
      </c>
      <c r="O80" t="s">
        <v>39</v>
      </c>
      <c r="P80">
        <v>114.11</v>
      </c>
      <c r="Q80">
        <v>353.25</v>
      </c>
      <c r="S80">
        <v>210.3</v>
      </c>
      <c r="T80">
        <v>28.04</v>
      </c>
      <c r="U80">
        <v>0.8</v>
      </c>
      <c r="V80">
        <v>2</v>
      </c>
      <c r="W80" t="s">
        <v>1085</v>
      </c>
      <c r="X80" t="s">
        <v>920</v>
      </c>
      <c r="Y80" t="s">
        <v>38</v>
      </c>
      <c r="Z80" t="s">
        <v>748</v>
      </c>
    </row>
    <row r="81" spans="1:26" hidden="1" x14ac:dyDescent="0.25">
      <c r="A81">
        <v>13</v>
      </c>
      <c r="B81" t="s">
        <v>921</v>
      </c>
      <c r="C81" t="s">
        <v>951</v>
      </c>
      <c r="D81" t="s">
        <v>924</v>
      </c>
      <c r="E81" t="s">
        <v>744</v>
      </c>
      <c r="F81" t="s">
        <v>77</v>
      </c>
      <c r="G81" t="s">
        <v>750</v>
      </c>
      <c r="H81">
        <v>6</v>
      </c>
      <c r="I81">
        <v>1500</v>
      </c>
      <c r="J81">
        <v>12000</v>
      </c>
      <c r="K81" t="s">
        <v>746</v>
      </c>
      <c r="M81">
        <v>1</v>
      </c>
      <c r="N81">
        <v>847.8</v>
      </c>
      <c r="O81" t="s">
        <v>39</v>
      </c>
      <c r="P81">
        <v>717.6</v>
      </c>
      <c r="Q81">
        <v>847.8</v>
      </c>
      <c r="S81">
        <v>92.71</v>
      </c>
      <c r="T81">
        <v>32.47</v>
      </c>
      <c r="U81">
        <v>5.0199999999999996</v>
      </c>
      <c r="V81">
        <v>2</v>
      </c>
      <c r="W81" t="s">
        <v>1085</v>
      </c>
      <c r="X81" t="s">
        <v>920</v>
      </c>
      <c r="Y81" t="s">
        <v>38</v>
      </c>
      <c r="Z81" t="s">
        <v>748</v>
      </c>
    </row>
    <row r="82" spans="1:26" hidden="1" x14ac:dyDescent="0.25">
      <c r="A82">
        <v>14</v>
      </c>
      <c r="B82" t="s">
        <v>921</v>
      </c>
      <c r="C82" t="s">
        <v>953</v>
      </c>
      <c r="D82" t="s">
        <v>924</v>
      </c>
      <c r="E82" t="s">
        <v>744</v>
      </c>
      <c r="F82" t="s">
        <v>77</v>
      </c>
      <c r="G82" t="s">
        <v>750</v>
      </c>
      <c r="H82">
        <v>6</v>
      </c>
      <c r="I82">
        <v>1500</v>
      </c>
      <c r="J82">
        <v>12000</v>
      </c>
      <c r="K82" t="s">
        <v>746</v>
      </c>
      <c r="M82">
        <v>1</v>
      </c>
      <c r="N82">
        <v>847.8</v>
      </c>
      <c r="O82" t="s">
        <v>39</v>
      </c>
      <c r="P82">
        <v>727.26</v>
      </c>
      <c r="Q82">
        <v>847.8</v>
      </c>
      <c r="S82">
        <v>92.71</v>
      </c>
      <c r="T82">
        <v>22.74</v>
      </c>
      <c r="U82">
        <v>5.09</v>
      </c>
      <c r="V82">
        <v>2</v>
      </c>
      <c r="W82" t="s">
        <v>1085</v>
      </c>
      <c r="X82" t="s">
        <v>920</v>
      </c>
      <c r="Y82" t="s">
        <v>38</v>
      </c>
      <c r="Z82" t="s">
        <v>748</v>
      </c>
    </row>
    <row r="83" spans="1:26" hidden="1" x14ac:dyDescent="0.25">
      <c r="A83">
        <v>15</v>
      </c>
      <c r="B83" t="s">
        <v>921</v>
      </c>
      <c r="C83" t="s">
        <v>955</v>
      </c>
      <c r="D83" t="s">
        <v>924</v>
      </c>
      <c r="E83" t="s">
        <v>744</v>
      </c>
      <c r="F83" t="s">
        <v>77</v>
      </c>
      <c r="G83" t="s">
        <v>750</v>
      </c>
      <c r="H83">
        <v>6</v>
      </c>
      <c r="I83">
        <v>1500</v>
      </c>
      <c r="J83">
        <v>12000</v>
      </c>
      <c r="K83" t="s">
        <v>746</v>
      </c>
      <c r="M83">
        <v>1</v>
      </c>
      <c r="N83">
        <v>847.8</v>
      </c>
      <c r="O83" t="s">
        <v>39</v>
      </c>
      <c r="P83">
        <v>723.2</v>
      </c>
      <c r="Q83">
        <v>847.8</v>
      </c>
      <c r="S83">
        <v>92.71</v>
      </c>
      <c r="T83">
        <v>26.83</v>
      </c>
      <c r="U83">
        <v>5.0599999999999996</v>
      </c>
      <c r="V83">
        <v>2</v>
      </c>
      <c r="W83" t="s">
        <v>1085</v>
      </c>
      <c r="X83" t="s">
        <v>920</v>
      </c>
      <c r="Y83" t="s">
        <v>38</v>
      </c>
      <c r="Z83" t="s">
        <v>748</v>
      </c>
    </row>
    <row r="84" spans="1:26" hidden="1" x14ac:dyDescent="0.25">
      <c r="A84">
        <v>16</v>
      </c>
      <c r="B84" t="s">
        <v>921</v>
      </c>
      <c r="C84" t="s">
        <v>957</v>
      </c>
      <c r="D84" t="s">
        <v>924</v>
      </c>
      <c r="E84" t="s">
        <v>744</v>
      </c>
      <c r="F84" t="s">
        <v>77</v>
      </c>
      <c r="G84" t="s">
        <v>750</v>
      </c>
      <c r="H84">
        <v>6</v>
      </c>
      <c r="I84">
        <v>1500</v>
      </c>
      <c r="J84">
        <v>12000</v>
      </c>
      <c r="K84" t="s">
        <v>746</v>
      </c>
      <c r="M84">
        <v>1</v>
      </c>
      <c r="N84">
        <v>847.8</v>
      </c>
      <c r="O84" t="s">
        <v>39</v>
      </c>
      <c r="P84">
        <v>723.1</v>
      </c>
      <c r="Q84">
        <v>847.8</v>
      </c>
      <c r="S84">
        <v>93.17</v>
      </c>
      <c r="T84">
        <v>26.47</v>
      </c>
      <c r="U84">
        <v>5.0599999999999996</v>
      </c>
      <c r="V84">
        <v>2</v>
      </c>
      <c r="W84" t="s">
        <v>1085</v>
      </c>
      <c r="X84" t="s">
        <v>920</v>
      </c>
      <c r="Y84" t="s">
        <v>38</v>
      </c>
      <c r="Z84" t="s">
        <v>748</v>
      </c>
    </row>
    <row r="85" spans="1:26" hidden="1" x14ac:dyDescent="0.25">
      <c r="A85">
        <v>17</v>
      </c>
      <c r="B85" t="s">
        <v>921</v>
      </c>
      <c r="C85" t="s">
        <v>959</v>
      </c>
      <c r="D85" t="s">
        <v>924</v>
      </c>
      <c r="E85" t="s">
        <v>744</v>
      </c>
      <c r="F85" t="s">
        <v>77</v>
      </c>
      <c r="G85" t="s">
        <v>750</v>
      </c>
      <c r="H85">
        <v>6</v>
      </c>
      <c r="I85">
        <v>1500</v>
      </c>
      <c r="J85">
        <v>12000</v>
      </c>
      <c r="K85" t="s">
        <v>746</v>
      </c>
      <c r="M85">
        <v>1</v>
      </c>
      <c r="N85">
        <v>847.8</v>
      </c>
      <c r="O85" t="s">
        <v>39</v>
      </c>
      <c r="P85">
        <v>722.86</v>
      </c>
      <c r="Q85">
        <v>847.8</v>
      </c>
      <c r="S85">
        <v>80.27</v>
      </c>
      <c r="T85">
        <v>39.61</v>
      </c>
      <c r="U85">
        <v>5.0599999999999996</v>
      </c>
      <c r="V85">
        <v>2</v>
      </c>
      <c r="W85" t="s">
        <v>1085</v>
      </c>
      <c r="X85" t="s">
        <v>920</v>
      </c>
      <c r="Y85" t="s">
        <v>38</v>
      </c>
      <c r="Z85" t="s">
        <v>748</v>
      </c>
    </row>
    <row r="86" spans="1:26" hidden="1" x14ac:dyDescent="0.25">
      <c r="A86">
        <v>18</v>
      </c>
      <c r="B86" t="s">
        <v>921</v>
      </c>
      <c r="C86" t="s">
        <v>961</v>
      </c>
      <c r="D86" t="s">
        <v>924</v>
      </c>
      <c r="E86" t="s">
        <v>744</v>
      </c>
      <c r="F86" t="s">
        <v>77</v>
      </c>
      <c r="G86" t="s">
        <v>750</v>
      </c>
      <c r="H86">
        <v>6</v>
      </c>
      <c r="I86">
        <v>1500</v>
      </c>
      <c r="J86">
        <v>12000</v>
      </c>
      <c r="K86" t="s">
        <v>746</v>
      </c>
      <c r="M86">
        <v>1</v>
      </c>
      <c r="N86">
        <v>847.8</v>
      </c>
      <c r="O86" t="s">
        <v>39</v>
      </c>
      <c r="P86">
        <v>722.84</v>
      </c>
      <c r="Q86">
        <v>847.8</v>
      </c>
      <c r="S86">
        <v>80.27</v>
      </c>
      <c r="T86">
        <v>39.630000000000003</v>
      </c>
      <c r="U86">
        <v>5.0599999999999996</v>
      </c>
      <c r="V86">
        <v>2</v>
      </c>
      <c r="W86" t="s">
        <v>1085</v>
      </c>
      <c r="X86" t="s">
        <v>920</v>
      </c>
      <c r="Y86" t="s">
        <v>38</v>
      </c>
      <c r="Z86" t="s">
        <v>748</v>
      </c>
    </row>
    <row r="87" spans="1:26" hidden="1" x14ac:dyDescent="0.25">
      <c r="A87">
        <v>19</v>
      </c>
      <c r="B87" t="s">
        <v>921</v>
      </c>
      <c r="C87" t="s">
        <v>963</v>
      </c>
      <c r="D87" t="s">
        <v>924</v>
      </c>
      <c r="E87" t="s">
        <v>744</v>
      </c>
      <c r="F87" t="s">
        <v>77</v>
      </c>
      <c r="G87" t="s">
        <v>750</v>
      </c>
      <c r="H87">
        <v>6</v>
      </c>
      <c r="I87">
        <v>1500</v>
      </c>
      <c r="J87">
        <v>12000</v>
      </c>
      <c r="K87" t="s">
        <v>746</v>
      </c>
      <c r="M87">
        <v>1</v>
      </c>
      <c r="N87">
        <v>847.8</v>
      </c>
      <c r="O87" t="s">
        <v>39</v>
      </c>
      <c r="P87">
        <v>722.69</v>
      </c>
      <c r="Q87">
        <v>847.8</v>
      </c>
      <c r="S87">
        <v>94.75</v>
      </c>
      <c r="T87">
        <v>25.3</v>
      </c>
      <c r="U87">
        <v>5.0599999999999996</v>
      </c>
      <c r="V87">
        <v>2</v>
      </c>
      <c r="W87" t="s">
        <v>1085</v>
      </c>
      <c r="X87" t="s">
        <v>920</v>
      </c>
      <c r="Y87" t="s">
        <v>38</v>
      </c>
      <c r="Z87" t="s">
        <v>748</v>
      </c>
    </row>
    <row r="88" spans="1:26" hidden="1" x14ac:dyDescent="0.25">
      <c r="A88">
        <v>20</v>
      </c>
      <c r="B88" t="s">
        <v>921</v>
      </c>
      <c r="C88" t="s">
        <v>965</v>
      </c>
      <c r="D88" t="s">
        <v>924</v>
      </c>
      <c r="E88" t="s">
        <v>744</v>
      </c>
      <c r="F88" t="s">
        <v>77</v>
      </c>
      <c r="G88" t="s">
        <v>750</v>
      </c>
      <c r="H88">
        <v>6</v>
      </c>
      <c r="I88">
        <v>1500</v>
      </c>
      <c r="J88">
        <v>12000</v>
      </c>
      <c r="K88" t="s">
        <v>746</v>
      </c>
      <c r="M88">
        <v>1</v>
      </c>
      <c r="N88">
        <v>847.8</v>
      </c>
      <c r="O88" t="s">
        <v>39</v>
      </c>
      <c r="P88">
        <v>722.67</v>
      </c>
      <c r="Q88">
        <v>847.8</v>
      </c>
      <c r="S88">
        <v>93.43</v>
      </c>
      <c r="T88">
        <v>26.64</v>
      </c>
      <c r="U88">
        <v>5.0599999999999996</v>
      </c>
      <c r="V88">
        <v>2</v>
      </c>
      <c r="W88" t="s">
        <v>1085</v>
      </c>
      <c r="X88" t="s">
        <v>920</v>
      </c>
      <c r="Y88" t="s">
        <v>38</v>
      </c>
      <c r="Z88" t="s">
        <v>748</v>
      </c>
    </row>
    <row r="89" spans="1:26" hidden="1" x14ac:dyDescent="0.25">
      <c r="A89">
        <v>21</v>
      </c>
      <c r="B89" t="s">
        <v>921</v>
      </c>
      <c r="C89" t="s">
        <v>967</v>
      </c>
      <c r="D89" t="s">
        <v>924</v>
      </c>
      <c r="E89" t="s">
        <v>744</v>
      </c>
      <c r="F89" t="s">
        <v>77</v>
      </c>
      <c r="G89" t="s">
        <v>750</v>
      </c>
      <c r="H89">
        <v>6</v>
      </c>
      <c r="I89">
        <v>1500</v>
      </c>
      <c r="J89">
        <v>12000</v>
      </c>
      <c r="K89" t="s">
        <v>746</v>
      </c>
      <c r="M89">
        <v>1</v>
      </c>
      <c r="N89">
        <v>847.8</v>
      </c>
      <c r="O89" t="s">
        <v>39</v>
      </c>
      <c r="P89">
        <v>736.28</v>
      </c>
      <c r="Q89">
        <v>847.8</v>
      </c>
      <c r="S89">
        <v>80.27</v>
      </c>
      <c r="T89">
        <v>26.1</v>
      </c>
      <c r="U89">
        <v>5.15</v>
      </c>
      <c r="V89">
        <v>2</v>
      </c>
      <c r="W89" t="s">
        <v>1085</v>
      </c>
      <c r="X89" t="s">
        <v>920</v>
      </c>
      <c r="Y89" t="s">
        <v>38</v>
      </c>
      <c r="Z89" t="s">
        <v>748</v>
      </c>
    </row>
    <row r="90" spans="1:26" hidden="1" x14ac:dyDescent="0.25">
      <c r="A90">
        <v>22</v>
      </c>
      <c r="B90" t="s">
        <v>921</v>
      </c>
      <c r="C90" t="s">
        <v>969</v>
      </c>
      <c r="D90" t="s">
        <v>924</v>
      </c>
      <c r="E90" t="s">
        <v>744</v>
      </c>
      <c r="F90" t="s">
        <v>77</v>
      </c>
      <c r="G90" t="s">
        <v>750</v>
      </c>
      <c r="H90">
        <v>6</v>
      </c>
      <c r="I90">
        <v>1500</v>
      </c>
      <c r="J90">
        <v>12000</v>
      </c>
      <c r="K90" t="s">
        <v>746</v>
      </c>
      <c r="M90">
        <v>1</v>
      </c>
      <c r="N90">
        <v>847.8</v>
      </c>
      <c r="O90" t="s">
        <v>39</v>
      </c>
      <c r="P90">
        <v>742.43</v>
      </c>
      <c r="Q90">
        <v>847.8</v>
      </c>
      <c r="S90">
        <v>65.959999999999994</v>
      </c>
      <c r="T90">
        <v>34.21</v>
      </c>
      <c r="U90">
        <v>5.2</v>
      </c>
      <c r="V90">
        <v>2</v>
      </c>
      <c r="W90" t="s">
        <v>1085</v>
      </c>
      <c r="X90" t="s">
        <v>920</v>
      </c>
      <c r="Y90" t="s">
        <v>38</v>
      </c>
      <c r="Z90" t="s">
        <v>748</v>
      </c>
    </row>
    <row r="91" spans="1:26" hidden="1" x14ac:dyDescent="0.25">
      <c r="A91">
        <v>23</v>
      </c>
      <c r="B91" t="s">
        <v>921</v>
      </c>
      <c r="C91" t="s">
        <v>971</v>
      </c>
      <c r="D91" t="s">
        <v>924</v>
      </c>
      <c r="E91" t="s">
        <v>744</v>
      </c>
      <c r="F91" t="s">
        <v>77</v>
      </c>
      <c r="G91" t="s">
        <v>750</v>
      </c>
      <c r="H91">
        <v>6</v>
      </c>
      <c r="I91">
        <v>1500</v>
      </c>
      <c r="J91">
        <v>12000</v>
      </c>
      <c r="K91" t="s">
        <v>746</v>
      </c>
      <c r="M91">
        <v>1</v>
      </c>
      <c r="N91">
        <v>847.8</v>
      </c>
      <c r="O91" t="s">
        <v>39</v>
      </c>
      <c r="P91">
        <v>742.44</v>
      </c>
      <c r="Q91">
        <v>847.8</v>
      </c>
      <c r="S91">
        <v>65.709999999999994</v>
      </c>
      <c r="T91">
        <v>34.450000000000003</v>
      </c>
      <c r="U91">
        <v>5.2</v>
      </c>
      <c r="V91">
        <v>2</v>
      </c>
      <c r="W91" t="s">
        <v>1085</v>
      </c>
      <c r="X91" t="s">
        <v>920</v>
      </c>
      <c r="Y91" t="s">
        <v>38</v>
      </c>
      <c r="Z91" t="s">
        <v>748</v>
      </c>
    </row>
    <row r="92" spans="1:26" hidden="1" x14ac:dyDescent="0.25">
      <c r="A92">
        <v>24</v>
      </c>
      <c r="B92" t="s">
        <v>921</v>
      </c>
      <c r="C92" t="s">
        <v>973</v>
      </c>
      <c r="D92" t="s">
        <v>924</v>
      </c>
      <c r="E92" t="s">
        <v>744</v>
      </c>
      <c r="F92" t="s">
        <v>77</v>
      </c>
      <c r="G92" t="s">
        <v>750</v>
      </c>
      <c r="H92">
        <v>6</v>
      </c>
      <c r="I92">
        <v>1500</v>
      </c>
      <c r="J92">
        <v>12000</v>
      </c>
      <c r="K92" t="s">
        <v>746</v>
      </c>
      <c r="M92">
        <v>1</v>
      </c>
      <c r="N92">
        <v>847.8</v>
      </c>
      <c r="O92" t="s">
        <v>39</v>
      </c>
      <c r="P92">
        <v>720.91</v>
      </c>
      <c r="Q92">
        <v>847.8</v>
      </c>
      <c r="S92">
        <v>95.38</v>
      </c>
      <c r="T92">
        <v>26.46</v>
      </c>
      <c r="U92">
        <v>5.05</v>
      </c>
      <c r="V92">
        <v>2</v>
      </c>
      <c r="W92" t="s">
        <v>1085</v>
      </c>
      <c r="X92" t="s">
        <v>920</v>
      </c>
      <c r="Y92" t="s">
        <v>38</v>
      </c>
      <c r="Z92" t="s">
        <v>748</v>
      </c>
    </row>
    <row r="93" spans="1:26" hidden="1" x14ac:dyDescent="0.25">
      <c r="A93">
        <v>25</v>
      </c>
      <c r="B93" t="s">
        <v>921</v>
      </c>
      <c r="C93" t="s">
        <v>975</v>
      </c>
      <c r="D93" t="s">
        <v>924</v>
      </c>
      <c r="E93" t="s">
        <v>744</v>
      </c>
      <c r="F93" t="s">
        <v>77</v>
      </c>
      <c r="G93" t="s">
        <v>750</v>
      </c>
      <c r="H93">
        <v>6</v>
      </c>
      <c r="I93">
        <v>1500</v>
      </c>
      <c r="J93">
        <v>12000</v>
      </c>
      <c r="K93" t="s">
        <v>746</v>
      </c>
      <c r="M93">
        <v>1</v>
      </c>
      <c r="N93">
        <v>847.8</v>
      </c>
      <c r="O93" t="s">
        <v>39</v>
      </c>
      <c r="P93">
        <v>720.91</v>
      </c>
      <c r="Q93">
        <v>847.8</v>
      </c>
      <c r="S93">
        <v>97.12</v>
      </c>
      <c r="T93">
        <v>24.72</v>
      </c>
      <c r="U93">
        <v>5.05</v>
      </c>
      <c r="V93">
        <v>2</v>
      </c>
      <c r="W93" t="s">
        <v>1085</v>
      </c>
      <c r="X93" t="s">
        <v>920</v>
      </c>
      <c r="Y93" t="s">
        <v>38</v>
      </c>
      <c r="Z93" t="s">
        <v>748</v>
      </c>
    </row>
    <row r="94" spans="1:26" hidden="1" x14ac:dyDescent="0.25">
      <c r="A94">
        <v>26</v>
      </c>
      <c r="B94" t="s">
        <v>921</v>
      </c>
      <c r="C94" t="s">
        <v>977</v>
      </c>
      <c r="D94" t="s">
        <v>924</v>
      </c>
      <c r="E94" t="s">
        <v>744</v>
      </c>
      <c r="F94" t="s">
        <v>77</v>
      </c>
      <c r="G94" t="s">
        <v>750</v>
      </c>
      <c r="H94">
        <v>6</v>
      </c>
      <c r="I94">
        <v>1500</v>
      </c>
      <c r="J94">
        <v>12000</v>
      </c>
      <c r="K94" t="s">
        <v>746</v>
      </c>
      <c r="M94">
        <v>1</v>
      </c>
      <c r="N94">
        <v>847.8</v>
      </c>
      <c r="O94" t="s">
        <v>39</v>
      </c>
      <c r="P94">
        <v>720.91</v>
      </c>
      <c r="Q94">
        <v>847.8</v>
      </c>
      <c r="S94">
        <v>97.12</v>
      </c>
      <c r="T94">
        <v>24.72</v>
      </c>
      <c r="U94">
        <v>5.05</v>
      </c>
      <c r="V94">
        <v>2</v>
      </c>
      <c r="W94" t="s">
        <v>1085</v>
      </c>
      <c r="X94" t="s">
        <v>920</v>
      </c>
      <c r="Y94" t="s">
        <v>38</v>
      </c>
      <c r="Z94" t="s">
        <v>748</v>
      </c>
    </row>
    <row r="95" spans="1:26" hidden="1" x14ac:dyDescent="0.25">
      <c r="A95">
        <v>27</v>
      </c>
      <c r="B95" t="s">
        <v>921</v>
      </c>
      <c r="C95" t="s">
        <v>979</v>
      </c>
      <c r="D95" t="s">
        <v>924</v>
      </c>
      <c r="E95" t="s">
        <v>744</v>
      </c>
      <c r="F95" t="s">
        <v>77</v>
      </c>
      <c r="G95" t="s">
        <v>750</v>
      </c>
      <c r="H95">
        <v>6</v>
      </c>
      <c r="I95">
        <v>1500</v>
      </c>
      <c r="J95">
        <v>12000</v>
      </c>
      <c r="K95" t="s">
        <v>746</v>
      </c>
      <c r="M95">
        <v>1</v>
      </c>
      <c r="N95">
        <v>847.8</v>
      </c>
      <c r="O95" t="s">
        <v>39</v>
      </c>
      <c r="P95">
        <v>727.45</v>
      </c>
      <c r="Q95">
        <v>847.8</v>
      </c>
      <c r="S95">
        <v>80.260000000000005</v>
      </c>
      <c r="T95">
        <v>35</v>
      </c>
      <c r="U95">
        <v>5.09</v>
      </c>
      <c r="V95">
        <v>2</v>
      </c>
      <c r="W95" t="s">
        <v>1085</v>
      </c>
      <c r="X95" t="s">
        <v>920</v>
      </c>
      <c r="Y95" t="s">
        <v>38</v>
      </c>
      <c r="Z95" t="s">
        <v>748</v>
      </c>
    </row>
    <row r="96" spans="1:26" hidden="1" x14ac:dyDescent="0.25">
      <c r="A96">
        <v>28</v>
      </c>
      <c r="B96" t="s">
        <v>921</v>
      </c>
      <c r="C96" t="s">
        <v>981</v>
      </c>
      <c r="D96" t="s">
        <v>924</v>
      </c>
      <c r="E96" t="s">
        <v>744</v>
      </c>
      <c r="F96" t="s">
        <v>77</v>
      </c>
      <c r="G96" t="s">
        <v>750</v>
      </c>
      <c r="H96">
        <v>6</v>
      </c>
      <c r="I96">
        <v>1500</v>
      </c>
      <c r="J96">
        <v>12000</v>
      </c>
      <c r="K96" t="s">
        <v>746</v>
      </c>
      <c r="M96">
        <v>1</v>
      </c>
      <c r="N96">
        <v>847.8</v>
      </c>
      <c r="O96" t="s">
        <v>39</v>
      </c>
      <c r="P96">
        <v>737.24</v>
      </c>
      <c r="Q96">
        <v>847.8</v>
      </c>
      <c r="S96">
        <v>80.260000000000005</v>
      </c>
      <c r="T96">
        <v>25.14</v>
      </c>
      <c r="U96">
        <v>5.16</v>
      </c>
      <c r="V96">
        <v>2</v>
      </c>
      <c r="W96" t="s">
        <v>1085</v>
      </c>
      <c r="X96" t="s">
        <v>920</v>
      </c>
      <c r="Y96" t="s">
        <v>38</v>
      </c>
      <c r="Z96" t="s">
        <v>748</v>
      </c>
    </row>
    <row r="97" spans="1:26" hidden="1" x14ac:dyDescent="0.25">
      <c r="A97">
        <v>29</v>
      </c>
      <c r="B97" t="s">
        <v>921</v>
      </c>
      <c r="C97" t="s">
        <v>983</v>
      </c>
      <c r="D97" t="s">
        <v>924</v>
      </c>
      <c r="E97" t="s">
        <v>744</v>
      </c>
      <c r="F97" t="s">
        <v>77</v>
      </c>
      <c r="G97" t="s">
        <v>750</v>
      </c>
      <c r="H97">
        <v>6</v>
      </c>
      <c r="I97">
        <v>1500</v>
      </c>
      <c r="J97">
        <v>12000</v>
      </c>
      <c r="K97" t="s">
        <v>746</v>
      </c>
      <c r="M97">
        <v>1</v>
      </c>
      <c r="N97">
        <v>847.8</v>
      </c>
      <c r="O97" t="s">
        <v>39</v>
      </c>
      <c r="P97">
        <v>773.2</v>
      </c>
      <c r="Q97">
        <v>847.8</v>
      </c>
      <c r="T97">
        <v>69.19</v>
      </c>
      <c r="U97">
        <v>5.41</v>
      </c>
      <c r="V97">
        <v>2</v>
      </c>
      <c r="W97" t="s">
        <v>1085</v>
      </c>
      <c r="X97" t="s">
        <v>920</v>
      </c>
      <c r="Y97" t="s">
        <v>38</v>
      </c>
      <c r="Z97" t="s">
        <v>748</v>
      </c>
    </row>
    <row r="98" spans="1:26" hidden="1" x14ac:dyDescent="0.25">
      <c r="A98">
        <v>30</v>
      </c>
      <c r="B98" t="s">
        <v>921</v>
      </c>
      <c r="C98" t="s">
        <v>986</v>
      </c>
      <c r="D98" t="s">
        <v>924</v>
      </c>
      <c r="E98" t="s">
        <v>744</v>
      </c>
      <c r="F98" t="s">
        <v>77</v>
      </c>
      <c r="G98" t="s">
        <v>1087</v>
      </c>
      <c r="H98">
        <v>6</v>
      </c>
      <c r="I98">
        <v>1500</v>
      </c>
      <c r="J98">
        <v>6325</v>
      </c>
      <c r="K98" t="s">
        <v>746</v>
      </c>
      <c r="M98">
        <v>1</v>
      </c>
      <c r="N98">
        <v>446.86</v>
      </c>
      <c r="O98" t="s">
        <v>987</v>
      </c>
      <c r="P98">
        <v>343.17</v>
      </c>
      <c r="R98">
        <v>446.86</v>
      </c>
      <c r="S98">
        <v>83.87</v>
      </c>
      <c r="T98">
        <v>17.420000000000002</v>
      </c>
      <c r="U98">
        <v>2.4</v>
      </c>
      <c r="V98">
        <v>2</v>
      </c>
      <c r="W98" t="s">
        <v>1085</v>
      </c>
      <c r="X98" t="s">
        <v>920</v>
      </c>
      <c r="Y98" t="s">
        <v>38</v>
      </c>
      <c r="Z98" t="s">
        <v>748</v>
      </c>
    </row>
    <row r="99" spans="1:26" hidden="1" x14ac:dyDescent="0.25">
      <c r="A99">
        <v>31</v>
      </c>
      <c r="B99" t="s">
        <v>921</v>
      </c>
      <c r="C99" t="s">
        <v>989</v>
      </c>
      <c r="D99" t="s">
        <v>924</v>
      </c>
      <c r="E99" t="s">
        <v>744</v>
      </c>
      <c r="F99" t="s">
        <v>77</v>
      </c>
      <c r="G99" t="s">
        <v>751</v>
      </c>
      <c r="H99">
        <v>8</v>
      </c>
      <c r="I99">
        <v>2000</v>
      </c>
      <c r="J99">
        <v>12000</v>
      </c>
      <c r="K99" t="s">
        <v>746</v>
      </c>
      <c r="M99">
        <v>1</v>
      </c>
      <c r="N99">
        <v>1507.2</v>
      </c>
      <c r="O99" t="s">
        <v>39</v>
      </c>
      <c r="P99">
        <v>1450.53</v>
      </c>
      <c r="Q99">
        <v>1507.2</v>
      </c>
      <c r="T99">
        <v>46.52</v>
      </c>
      <c r="U99">
        <v>10.15</v>
      </c>
      <c r="V99">
        <v>2</v>
      </c>
      <c r="W99" t="s">
        <v>1085</v>
      </c>
      <c r="X99" t="s">
        <v>920</v>
      </c>
      <c r="Y99" t="s">
        <v>38</v>
      </c>
      <c r="Z99" t="s">
        <v>748</v>
      </c>
    </row>
    <row r="100" spans="1:26" hidden="1" x14ac:dyDescent="0.25">
      <c r="A100">
        <v>32</v>
      </c>
      <c r="B100" t="s">
        <v>921</v>
      </c>
      <c r="C100" t="s">
        <v>991</v>
      </c>
      <c r="D100" t="s">
        <v>924</v>
      </c>
      <c r="E100" t="s">
        <v>744</v>
      </c>
      <c r="F100" t="s">
        <v>77</v>
      </c>
      <c r="G100" t="s">
        <v>751</v>
      </c>
      <c r="H100">
        <v>8</v>
      </c>
      <c r="I100">
        <v>2000</v>
      </c>
      <c r="J100">
        <v>12000</v>
      </c>
      <c r="K100" t="s">
        <v>746</v>
      </c>
      <c r="M100">
        <v>1</v>
      </c>
      <c r="N100">
        <v>1507.2</v>
      </c>
      <c r="O100" t="s">
        <v>39</v>
      </c>
      <c r="P100">
        <v>1422.67</v>
      </c>
      <c r="Q100">
        <v>1507.2</v>
      </c>
      <c r="T100">
        <v>74.569999999999993</v>
      </c>
      <c r="U100">
        <v>9.9600000000000009</v>
      </c>
      <c r="V100">
        <v>2</v>
      </c>
      <c r="W100" t="s">
        <v>1085</v>
      </c>
      <c r="X100" t="s">
        <v>920</v>
      </c>
      <c r="Y100" t="s">
        <v>38</v>
      </c>
      <c r="Z100" t="s">
        <v>748</v>
      </c>
    </row>
    <row r="101" spans="1:26" hidden="1" x14ac:dyDescent="0.25">
      <c r="A101">
        <v>33</v>
      </c>
      <c r="B101" t="s">
        <v>921</v>
      </c>
      <c r="C101" t="s">
        <v>993</v>
      </c>
      <c r="D101" t="s">
        <v>924</v>
      </c>
      <c r="E101" t="s">
        <v>744</v>
      </c>
      <c r="F101" t="s">
        <v>77</v>
      </c>
      <c r="G101" t="s">
        <v>751</v>
      </c>
      <c r="H101">
        <v>8</v>
      </c>
      <c r="I101">
        <v>2000</v>
      </c>
      <c r="J101">
        <v>12000</v>
      </c>
      <c r="K101" t="s">
        <v>746</v>
      </c>
      <c r="M101">
        <v>1</v>
      </c>
      <c r="N101">
        <v>1507.2</v>
      </c>
      <c r="O101" t="s">
        <v>39</v>
      </c>
      <c r="P101">
        <v>1422.45</v>
      </c>
      <c r="Q101">
        <v>1507.2</v>
      </c>
      <c r="T101">
        <v>74.790000000000006</v>
      </c>
      <c r="U101">
        <v>9.9600000000000009</v>
      </c>
      <c r="V101">
        <v>2</v>
      </c>
      <c r="W101" t="s">
        <v>1085</v>
      </c>
      <c r="X101" t="s">
        <v>920</v>
      </c>
      <c r="Y101" t="s">
        <v>38</v>
      </c>
      <c r="Z101" t="s">
        <v>748</v>
      </c>
    </row>
    <row r="102" spans="1:26" hidden="1" x14ac:dyDescent="0.25">
      <c r="A102">
        <v>34</v>
      </c>
      <c r="B102" t="s">
        <v>921</v>
      </c>
      <c r="C102" t="s">
        <v>995</v>
      </c>
      <c r="D102" t="s">
        <v>924</v>
      </c>
      <c r="E102" t="s">
        <v>744</v>
      </c>
      <c r="F102" t="s">
        <v>77</v>
      </c>
      <c r="G102" t="s">
        <v>751</v>
      </c>
      <c r="H102">
        <v>8</v>
      </c>
      <c r="I102">
        <v>2000</v>
      </c>
      <c r="J102">
        <v>12000</v>
      </c>
      <c r="K102" t="s">
        <v>746</v>
      </c>
      <c r="M102">
        <v>1</v>
      </c>
      <c r="N102">
        <v>1507.2</v>
      </c>
      <c r="O102" t="s">
        <v>39</v>
      </c>
      <c r="P102">
        <v>1396.27</v>
      </c>
      <c r="Q102">
        <v>1507.2</v>
      </c>
      <c r="T102">
        <v>101.16</v>
      </c>
      <c r="U102">
        <v>9.77</v>
      </c>
      <c r="V102">
        <v>2</v>
      </c>
      <c r="W102" t="s">
        <v>1085</v>
      </c>
      <c r="X102" t="s">
        <v>920</v>
      </c>
      <c r="Y102" t="s">
        <v>38</v>
      </c>
      <c r="Z102" t="s">
        <v>748</v>
      </c>
    </row>
    <row r="103" spans="1:26" hidden="1" x14ac:dyDescent="0.25">
      <c r="A103">
        <v>35</v>
      </c>
      <c r="B103" t="s">
        <v>921</v>
      </c>
      <c r="C103" t="s">
        <v>997</v>
      </c>
      <c r="D103" t="s">
        <v>924</v>
      </c>
      <c r="E103" t="s">
        <v>744</v>
      </c>
      <c r="F103" t="s">
        <v>77</v>
      </c>
      <c r="G103" t="s">
        <v>751</v>
      </c>
      <c r="H103">
        <v>8</v>
      </c>
      <c r="I103">
        <v>2000</v>
      </c>
      <c r="J103">
        <v>12000</v>
      </c>
      <c r="K103" t="s">
        <v>746</v>
      </c>
      <c r="M103">
        <v>1</v>
      </c>
      <c r="N103">
        <v>1507.2</v>
      </c>
      <c r="O103" t="s">
        <v>39</v>
      </c>
      <c r="P103">
        <v>1397.65</v>
      </c>
      <c r="Q103">
        <v>1507.2</v>
      </c>
      <c r="T103">
        <v>99.77</v>
      </c>
      <c r="U103">
        <v>9.7799999999999994</v>
      </c>
      <c r="V103">
        <v>2</v>
      </c>
      <c r="W103" t="s">
        <v>1085</v>
      </c>
      <c r="X103" t="s">
        <v>920</v>
      </c>
      <c r="Y103" t="s">
        <v>38</v>
      </c>
      <c r="Z103" t="s">
        <v>748</v>
      </c>
    </row>
    <row r="104" spans="1:26" hidden="1" x14ac:dyDescent="0.25">
      <c r="A104">
        <v>36</v>
      </c>
      <c r="B104" t="s">
        <v>921</v>
      </c>
      <c r="C104" t="s">
        <v>999</v>
      </c>
      <c r="D104" t="s">
        <v>924</v>
      </c>
      <c r="E104" t="s">
        <v>744</v>
      </c>
      <c r="F104" t="s">
        <v>77</v>
      </c>
      <c r="G104" t="s">
        <v>751</v>
      </c>
      <c r="H104">
        <v>8</v>
      </c>
      <c r="I104">
        <v>2000</v>
      </c>
      <c r="J104">
        <v>12000</v>
      </c>
      <c r="K104" t="s">
        <v>746</v>
      </c>
      <c r="M104">
        <v>1</v>
      </c>
      <c r="N104">
        <v>1507.2</v>
      </c>
      <c r="O104" t="s">
        <v>39</v>
      </c>
      <c r="P104">
        <v>1412.28</v>
      </c>
      <c r="Q104">
        <v>1507.2</v>
      </c>
      <c r="T104">
        <v>85.03</v>
      </c>
      <c r="U104">
        <v>9.89</v>
      </c>
      <c r="V104">
        <v>2</v>
      </c>
      <c r="W104" t="s">
        <v>1085</v>
      </c>
      <c r="X104" t="s">
        <v>920</v>
      </c>
      <c r="Y104" t="s">
        <v>38</v>
      </c>
      <c r="Z104" t="s">
        <v>748</v>
      </c>
    </row>
    <row r="105" spans="1:26" hidden="1" x14ac:dyDescent="0.25">
      <c r="A105">
        <v>37</v>
      </c>
      <c r="B105" t="s">
        <v>921</v>
      </c>
      <c r="C105" t="s">
        <v>1001</v>
      </c>
      <c r="D105" t="s">
        <v>924</v>
      </c>
      <c r="E105" t="s">
        <v>744</v>
      </c>
      <c r="F105" t="s">
        <v>77</v>
      </c>
      <c r="G105" t="s">
        <v>751</v>
      </c>
      <c r="H105">
        <v>8</v>
      </c>
      <c r="I105">
        <v>2000</v>
      </c>
      <c r="J105">
        <v>12000</v>
      </c>
      <c r="K105" t="s">
        <v>746</v>
      </c>
      <c r="M105">
        <v>1</v>
      </c>
      <c r="N105">
        <v>1507.2</v>
      </c>
      <c r="O105" t="s">
        <v>39</v>
      </c>
      <c r="P105">
        <v>1422.01</v>
      </c>
      <c r="Q105">
        <v>1507.2</v>
      </c>
      <c r="T105">
        <v>75.239999999999995</v>
      </c>
      <c r="U105">
        <v>9.9499999999999993</v>
      </c>
      <c r="V105">
        <v>2</v>
      </c>
      <c r="W105" t="s">
        <v>1085</v>
      </c>
      <c r="X105" t="s">
        <v>920</v>
      </c>
      <c r="Y105" t="s">
        <v>38</v>
      </c>
      <c r="Z105" t="s">
        <v>748</v>
      </c>
    </row>
    <row r="106" spans="1:26" hidden="1" x14ac:dyDescent="0.25">
      <c r="A106">
        <v>38</v>
      </c>
      <c r="B106" t="s">
        <v>921</v>
      </c>
      <c r="C106" t="s">
        <v>1003</v>
      </c>
      <c r="D106" t="s">
        <v>924</v>
      </c>
      <c r="E106" t="s">
        <v>744</v>
      </c>
      <c r="F106" t="s">
        <v>77</v>
      </c>
      <c r="G106" t="s">
        <v>751</v>
      </c>
      <c r="H106">
        <v>8</v>
      </c>
      <c r="I106">
        <v>2000</v>
      </c>
      <c r="J106">
        <v>12000</v>
      </c>
      <c r="K106" t="s">
        <v>746</v>
      </c>
      <c r="M106">
        <v>1</v>
      </c>
      <c r="N106">
        <v>1507.2</v>
      </c>
      <c r="O106" t="s">
        <v>39</v>
      </c>
      <c r="P106">
        <v>1448.71</v>
      </c>
      <c r="Q106">
        <v>1507.2</v>
      </c>
      <c r="T106">
        <v>48.35</v>
      </c>
      <c r="U106">
        <v>10.14</v>
      </c>
      <c r="V106">
        <v>2</v>
      </c>
      <c r="W106" t="s">
        <v>1085</v>
      </c>
      <c r="X106" t="s">
        <v>920</v>
      </c>
      <c r="Y106" t="s">
        <v>38</v>
      </c>
      <c r="Z106" t="s">
        <v>748</v>
      </c>
    </row>
    <row r="107" spans="1:26" hidden="1" x14ac:dyDescent="0.25">
      <c r="A107">
        <v>39</v>
      </c>
      <c r="B107" t="s">
        <v>921</v>
      </c>
      <c r="C107" t="s">
        <v>1005</v>
      </c>
      <c r="D107" t="s">
        <v>924</v>
      </c>
      <c r="E107" t="s">
        <v>744</v>
      </c>
      <c r="F107" t="s">
        <v>77</v>
      </c>
      <c r="G107" t="s">
        <v>751</v>
      </c>
      <c r="H107">
        <v>8</v>
      </c>
      <c r="I107">
        <v>2000</v>
      </c>
      <c r="J107">
        <v>12000</v>
      </c>
      <c r="K107" t="s">
        <v>746</v>
      </c>
      <c r="M107">
        <v>1</v>
      </c>
      <c r="N107">
        <v>1507.2</v>
      </c>
      <c r="O107" t="s">
        <v>39</v>
      </c>
      <c r="P107">
        <v>1434.86</v>
      </c>
      <c r="Q107">
        <v>1507.2</v>
      </c>
      <c r="T107">
        <v>62.3</v>
      </c>
      <c r="U107">
        <v>10.039999999999999</v>
      </c>
      <c r="V107">
        <v>2</v>
      </c>
      <c r="W107" t="s">
        <v>1085</v>
      </c>
      <c r="X107" t="s">
        <v>920</v>
      </c>
      <c r="Y107" t="s">
        <v>38</v>
      </c>
      <c r="Z107" t="s">
        <v>748</v>
      </c>
    </row>
    <row r="108" spans="1:26" hidden="1" x14ac:dyDescent="0.25">
      <c r="A108">
        <v>40</v>
      </c>
      <c r="B108" t="s">
        <v>921</v>
      </c>
      <c r="C108" t="s">
        <v>1007</v>
      </c>
      <c r="D108" t="s">
        <v>924</v>
      </c>
      <c r="E108" t="s">
        <v>744</v>
      </c>
      <c r="F108" t="s">
        <v>77</v>
      </c>
      <c r="G108" t="s">
        <v>751</v>
      </c>
      <c r="H108">
        <v>8</v>
      </c>
      <c r="I108">
        <v>2000</v>
      </c>
      <c r="J108">
        <v>12000</v>
      </c>
      <c r="K108" t="s">
        <v>746</v>
      </c>
      <c r="M108">
        <v>1</v>
      </c>
      <c r="N108">
        <v>1507.2</v>
      </c>
      <c r="O108" t="s">
        <v>39</v>
      </c>
      <c r="P108">
        <v>1424.4</v>
      </c>
      <c r="Q108">
        <v>1507.2</v>
      </c>
      <c r="T108">
        <v>72.83</v>
      </c>
      <c r="U108">
        <v>9.9700000000000006</v>
      </c>
      <c r="V108">
        <v>2</v>
      </c>
      <c r="W108" t="s">
        <v>1085</v>
      </c>
      <c r="X108" t="s">
        <v>920</v>
      </c>
      <c r="Y108" t="s">
        <v>38</v>
      </c>
      <c r="Z108" t="s">
        <v>748</v>
      </c>
    </row>
    <row r="109" spans="1:26" hidden="1" x14ac:dyDescent="0.25">
      <c r="A109">
        <v>41</v>
      </c>
      <c r="B109" t="s">
        <v>921</v>
      </c>
      <c r="C109" t="s">
        <v>1009</v>
      </c>
      <c r="D109" t="s">
        <v>924</v>
      </c>
      <c r="E109" t="s">
        <v>744</v>
      </c>
      <c r="F109" t="s">
        <v>77</v>
      </c>
      <c r="G109" t="s">
        <v>752</v>
      </c>
      <c r="H109">
        <v>8</v>
      </c>
      <c r="I109">
        <v>322</v>
      </c>
      <c r="J109">
        <v>696</v>
      </c>
      <c r="K109" t="s">
        <v>746</v>
      </c>
      <c r="M109">
        <v>1</v>
      </c>
      <c r="N109">
        <v>14.06</v>
      </c>
      <c r="O109" t="s">
        <v>355</v>
      </c>
      <c r="P109">
        <v>10.99</v>
      </c>
      <c r="R109">
        <v>14.06</v>
      </c>
      <c r="T109">
        <v>2.99</v>
      </c>
      <c r="U109">
        <v>0.08</v>
      </c>
      <c r="V109">
        <v>2</v>
      </c>
      <c r="W109" t="s">
        <v>1085</v>
      </c>
      <c r="X109" t="s">
        <v>920</v>
      </c>
      <c r="Y109" t="s">
        <v>38</v>
      </c>
      <c r="Z109" t="s">
        <v>748</v>
      </c>
    </row>
    <row r="110" spans="1:26" hidden="1" x14ac:dyDescent="0.25">
      <c r="A110">
        <v>42</v>
      </c>
      <c r="B110" t="s">
        <v>921</v>
      </c>
      <c r="C110" t="s">
        <v>1011</v>
      </c>
      <c r="D110" t="s">
        <v>924</v>
      </c>
      <c r="E110" t="s">
        <v>744</v>
      </c>
      <c r="F110" t="s">
        <v>77</v>
      </c>
      <c r="G110" t="s">
        <v>753</v>
      </c>
      <c r="H110">
        <v>10</v>
      </c>
      <c r="I110">
        <v>1500</v>
      </c>
      <c r="J110">
        <v>12000</v>
      </c>
      <c r="K110" t="s">
        <v>746</v>
      </c>
      <c r="M110">
        <v>1</v>
      </c>
      <c r="N110">
        <v>1413</v>
      </c>
      <c r="O110" t="s">
        <v>39</v>
      </c>
      <c r="P110">
        <v>1375.31</v>
      </c>
      <c r="Q110">
        <v>1413</v>
      </c>
      <c r="T110">
        <v>28.06</v>
      </c>
      <c r="U110">
        <v>9.6300000000000008</v>
      </c>
      <c r="V110">
        <v>2</v>
      </c>
      <c r="W110" t="s">
        <v>1085</v>
      </c>
      <c r="X110" t="s">
        <v>920</v>
      </c>
      <c r="Y110" t="s">
        <v>38</v>
      </c>
      <c r="Z110" t="s">
        <v>748</v>
      </c>
    </row>
    <row r="111" spans="1:26" hidden="1" x14ac:dyDescent="0.25">
      <c r="A111">
        <v>43</v>
      </c>
      <c r="B111" t="s">
        <v>921</v>
      </c>
      <c r="C111" t="s">
        <v>1013</v>
      </c>
      <c r="D111" t="s">
        <v>924</v>
      </c>
      <c r="E111" t="s">
        <v>744</v>
      </c>
      <c r="F111" t="s">
        <v>77</v>
      </c>
      <c r="G111" t="s">
        <v>753</v>
      </c>
      <c r="H111">
        <v>10</v>
      </c>
      <c r="I111">
        <v>1500</v>
      </c>
      <c r="J111">
        <v>12000</v>
      </c>
      <c r="K111" t="s">
        <v>746</v>
      </c>
      <c r="M111">
        <v>1</v>
      </c>
      <c r="N111">
        <v>1413</v>
      </c>
      <c r="O111" t="s">
        <v>39</v>
      </c>
      <c r="P111">
        <v>1375.31</v>
      </c>
      <c r="Q111">
        <v>1413</v>
      </c>
      <c r="T111">
        <v>28.06</v>
      </c>
      <c r="U111">
        <v>9.6300000000000008</v>
      </c>
      <c r="V111">
        <v>2</v>
      </c>
      <c r="W111" t="s">
        <v>1085</v>
      </c>
      <c r="X111" t="s">
        <v>920</v>
      </c>
      <c r="Y111" t="s">
        <v>38</v>
      </c>
      <c r="Z111" t="s">
        <v>748</v>
      </c>
    </row>
    <row r="112" spans="1:26" hidden="1" x14ac:dyDescent="0.25">
      <c r="A112">
        <v>44</v>
      </c>
      <c r="B112" t="s">
        <v>921</v>
      </c>
      <c r="C112" t="s">
        <v>1015</v>
      </c>
      <c r="D112" t="s">
        <v>924</v>
      </c>
      <c r="E112" t="s">
        <v>744</v>
      </c>
      <c r="F112" t="s">
        <v>77</v>
      </c>
      <c r="G112" t="s">
        <v>753</v>
      </c>
      <c r="H112">
        <v>10</v>
      </c>
      <c r="I112">
        <v>1500</v>
      </c>
      <c r="J112">
        <v>12000</v>
      </c>
      <c r="K112" t="s">
        <v>746</v>
      </c>
      <c r="M112">
        <v>1</v>
      </c>
      <c r="N112">
        <v>1413</v>
      </c>
      <c r="O112" t="s">
        <v>39</v>
      </c>
      <c r="P112">
        <v>1375.32</v>
      </c>
      <c r="Q112">
        <v>1413</v>
      </c>
      <c r="T112">
        <v>28.05</v>
      </c>
      <c r="U112">
        <v>9.6300000000000008</v>
      </c>
      <c r="V112">
        <v>2</v>
      </c>
      <c r="W112" t="s">
        <v>1085</v>
      </c>
      <c r="X112" t="s">
        <v>920</v>
      </c>
      <c r="Y112" t="s">
        <v>38</v>
      </c>
      <c r="Z112" t="s">
        <v>748</v>
      </c>
    </row>
    <row r="113" spans="1:26" hidden="1" x14ac:dyDescent="0.25">
      <c r="A113">
        <v>45</v>
      </c>
      <c r="B113" t="s">
        <v>921</v>
      </c>
      <c r="C113" t="s">
        <v>1017</v>
      </c>
      <c r="D113" t="s">
        <v>924</v>
      </c>
      <c r="E113" t="s">
        <v>744</v>
      </c>
      <c r="F113" t="s">
        <v>77</v>
      </c>
      <c r="G113" t="s">
        <v>753</v>
      </c>
      <c r="H113">
        <v>10</v>
      </c>
      <c r="I113">
        <v>1500</v>
      </c>
      <c r="J113">
        <v>12000</v>
      </c>
      <c r="K113" t="s">
        <v>746</v>
      </c>
      <c r="M113">
        <v>1</v>
      </c>
      <c r="N113">
        <v>1413</v>
      </c>
      <c r="O113" t="s">
        <v>39</v>
      </c>
      <c r="P113">
        <v>1365.89</v>
      </c>
      <c r="Q113">
        <v>1413</v>
      </c>
      <c r="T113">
        <v>37.549999999999997</v>
      </c>
      <c r="U113">
        <v>9.56</v>
      </c>
      <c r="V113">
        <v>2</v>
      </c>
      <c r="W113" t="s">
        <v>1085</v>
      </c>
      <c r="X113" t="s">
        <v>920</v>
      </c>
      <c r="Y113" t="s">
        <v>38</v>
      </c>
      <c r="Z113" t="s">
        <v>748</v>
      </c>
    </row>
    <row r="114" spans="1:26" hidden="1" x14ac:dyDescent="0.25">
      <c r="A114">
        <v>46</v>
      </c>
      <c r="B114" t="s">
        <v>921</v>
      </c>
      <c r="C114" t="s">
        <v>1019</v>
      </c>
      <c r="D114" t="s">
        <v>924</v>
      </c>
      <c r="E114" t="s">
        <v>744</v>
      </c>
      <c r="F114" t="s">
        <v>77</v>
      </c>
      <c r="G114" t="s">
        <v>753</v>
      </c>
      <c r="H114">
        <v>10</v>
      </c>
      <c r="I114">
        <v>1500</v>
      </c>
      <c r="J114">
        <v>12000</v>
      </c>
      <c r="K114" t="s">
        <v>746</v>
      </c>
      <c r="M114">
        <v>1</v>
      </c>
      <c r="N114">
        <v>1413</v>
      </c>
      <c r="O114" t="s">
        <v>39</v>
      </c>
      <c r="P114">
        <v>1313.14</v>
      </c>
      <c r="Q114">
        <v>1413</v>
      </c>
      <c r="T114">
        <v>90.67</v>
      </c>
      <c r="U114">
        <v>9.19</v>
      </c>
      <c r="V114">
        <v>2</v>
      </c>
      <c r="W114" t="s">
        <v>1085</v>
      </c>
      <c r="X114" t="s">
        <v>920</v>
      </c>
      <c r="Y114" t="s">
        <v>38</v>
      </c>
      <c r="Z114" t="s">
        <v>748</v>
      </c>
    </row>
    <row r="115" spans="1:26" hidden="1" x14ac:dyDescent="0.25">
      <c r="A115">
        <v>47</v>
      </c>
      <c r="B115" t="s">
        <v>921</v>
      </c>
      <c r="C115" t="s">
        <v>1021</v>
      </c>
      <c r="D115" t="s">
        <v>924</v>
      </c>
      <c r="E115" t="s">
        <v>744</v>
      </c>
      <c r="F115" t="s">
        <v>77</v>
      </c>
      <c r="G115" t="s">
        <v>753</v>
      </c>
      <c r="H115">
        <v>10</v>
      </c>
      <c r="I115">
        <v>1500</v>
      </c>
      <c r="J115">
        <v>12000</v>
      </c>
      <c r="K115" t="s">
        <v>746</v>
      </c>
      <c r="M115">
        <v>1</v>
      </c>
      <c r="N115">
        <v>1413</v>
      </c>
      <c r="O115" t="s">
        <v>39</v>
      </c>
      <c r="P115">
        <v>1338.6</v>
      </c>
      <c r="Q115">
        <v>1413</v>
      </c>
      <c r="T115">
        <v>65.03</v>
      </c>
      <c r="U115">
        <v>9.3699999999999992</v>
      </c>
      <c r="V115">
        <v>2</v>
      </c>
      <c r="W115" t="s">
        <v>1085</v>
      </c>
      <c r="X115" t="s">
        <v>920</v>
      </c>
      <c r="Y115" t="s">
        <v>38</v>
      </c>
      <c r="Z115" t="s">
        <v>748</v>
      </c>
    </row>
    <row r="116" spans="1:26" hidden="1" x14ac:dyDescent="0.25">
      <c r="A116">
        <v>48</v>
      </c>
      <c r="B116" t="s">
        <v>921</v>
      </c>
      <c r="C116" t="s">
        <v>1023</v>
      </c>
      <c r="D116" t="s">
        <v>924</v>
      </c>
      <c r="E116" t="s">
        <v>744</v>
      </c>
      <c r="F116" t="s">
        <v>77</v>
      </c>
      <c r="G116" t="s">
        <v>753</v>
      </c>
      <c r="H116">
        <v>10</v>
      </c>
      <c r="I116">
        <v>1500</v>
      </c>
      <c r="J116">
        <v>12000</v>
      </c>
      <c r="K116" t="s">
        <v>746</v>
      </c>
      <c r="M116">
        <v>1</v>
      </c>
      <c r="N116">
        <v>1413</v>
      </c>
      <c r="O116" t="s">
        <v>39</v>
      </c>
      <c r="P116">
        <v>1327.92</v>
      </c>
      <c r="Q116">
        <v>1413</v>
      </c>
      <c r="T116">
        <v>75.78</v>
      </c>
      <c r="U116">
        <v>9.3000000000000007</v>
      </c>
      <c r="V116">
        <v>2</v>
      </c>
      <c r="W116" t="s">
        <v>1085</v>
      </c>
      <c r="X116" t="s">
        <v>920</v>
      </c>
      <c r="Y116" t="s">
        <v>38</v>
      </c>
      <c r="Z116" t="s">
        <v>748</v>
      </c>
    </row>
    <row r="117" spans="1:26" hidden="1" x14ac:dyDescent="0.25">
      <c r="A117">
        <v>49</v>
      </c>
      <c r="B117" t="s">
        <v>921</v>
      </c>
      <c r="C117" t="s">
        <v>1025</v>
      </c>
      <c r="D117" t="s">
        <v>924</v>
      </c>
      <c r="E117" t="s">
        <v>744</v>
      </c>
      <c r="F117" t="s">
        <v>77</v>
      </c>
      <c r="G117" t="s">
        <v>753</v>
      </c>
      <c r="H117">
        <v>10</v>
      </c>
      <c r="I117">
        <v>1500</v>
      </c>
      <c r="J117">
        <v>12000</v>
      </c>
      <c r="K117" t="s">
        <v>746</v>
      </c>
      <c r="M117">
        <v>1</v>
      </c>
      <c r="N117">
        <v>1413</v>
      </c>
      <c r="O117" t="s">
        <v>39</v>
      </c>
      <c r="P117">
        <v>1338.82</v>
      </c>
      <c r="Q117">
        <v>1413</v>
      </c>
      <c r="T117">
        <v>64.81</v>
      </c>
      <c r="U117">
        <v>9.3699999999999992</v>
      </c>
      <c r="V117">
        <v>2</v>
      </c>
      <c r="W117" t="s">
        <v>1085</v>
      </c>
      <c r="X117" t="s">
        <v>920</v>
      </c>
      <c r="Y117" t="s">
        <v>38</v>
      </c>
      <c r="Z117" t="s">
        <v>748</v>
      </c>
    </row>
    <row r="118" spans="1:26" hidden="1" x14ac:dyDescent="0.25">
      <c r="A118">
        <v>50</v>
      </c>
      <c r="B118" t="s">
        <v>921</v>
      </c>
      <c r="C118" t="s">
        <v>1027</v>
      </c>
      <c r="D118" t="s">
        <v>924</v>
      </c>
      <c r="E118" t="s">
        <v>744</v>
      </c>
      <c r="F118" t="s">
        <v>77</v>
      </c>
      <c r="G118" t="s">
        <v>753</v>
      </c>
      <c r="H118">
        <v>10</v>
      </c>
      <c r="I118">
        <v>1500</v>
      </c>
      <c r="J118">
        <v>12000</v>
      </c>
      <c r="K118" t="s">
        <v>746</v>
      </c>
      <c r="M118">
        <v>1</v>
      </c>
      <c r="N118">
        <v>1413</v>
      </c>
      <c r="O118" t="s">
        <v>39</v>
      </c>
      <c r="P118">
        <v>1343.39</v>
      </c>
      <c r="Q118">
        <v>1413</v>
      </c>
      <c r="T118">
        <v>60.21</v>
      </c>
      <c r="U118">
        <v>9.4</v>
      </c>
      <c r="V118">
        <v>2</v>
      </c>
      <c r="W118" t="s">
        <v>1085</v>
      </c>
      <c r="X118" t="s">
        <v>920</v>
      </c>
      <c r="Y118" t="s">
        <v>38</v>
      </c>
      <c r="Z118" t="s">
        <v>748</v>
      </c>
    </row>
    <row r="119" spans="1:26" hidden="1" x14ac:dyDescent="0.25">
      <c r="A119">
        <v>51</v>
      </c>
      <c r="B119" t="s">
        <v>921</v>
      </c>
      <c r="C119" t="s">
        <v>1029</v>
      </c>
      <c r="D119" t="s">
        <v>924</v>
      </c>
      <c r="E119" t="s">
        <v>744</v>
      </c>
      <c r="F119" t="s">
        <v>77</v>
      </c>
      <c r="G119" t="s">
        <v>753</v>
      </c>
      <c r="H119">
        <v>10</v>
      </c>
      <c r="I119">
        <v>1500</v>
      </c>
      <c r="J119">
        <v>12000</v>
      </c>
      <c r="K119" t="s">
        <v>746</v>
      </c>
      <c r="M119">
        <v>1</v>
      </c>
      <c r="N119">
        <v>1413</v>
      </c>
      <c r="O119" t="s">
        <v>39</v>
      </c>
      <c r="P119">
        <v>1309.3499999999999</v>
      </c>
      <c r="Q119">
        <v>1413</v>
      </c>
      <c r="T119">
        <v>94.48</v>
      </c>
      <c r="U119">
        <v>9.17</v>
      </c>
      <c r="V119">
        <v>2</v>
      </c>
      <c r="W119" t="s">
        <v>1085</v>
      </c>
      <c r="X119" t="s">
        <v>920</v>
      </c>
      <c r="Y119" t="s">
        <v>38</v>
      </c>
      <c r="Z119" t="s">
        <v>748</v>
      </c>
    </row>
    <row r="120" spans="1:26" hidden="1" x14ac:dyDescent="0.25">
      <c r="A120">
        <v>52</v>
      </c>
      <c r="B120" t="s">
        <v>921</v>
      </c>
      <c r="C120" t="s">
        <v>1032</v>
      </c>
      <c r="D120" t="s">
        <v>924</v>
      </c>
      <c r="E120" t="s">
        <v>744</v>
      </c>
      <c r="F120" t="s">
        <v>77</v>
      </c>
      <c r="G120" t="s">
        <v>1088</v>
      </c>
      <c r="H120">
        <v>10</v>
      </c>
      <c r="I120">
        <v>1500</v>
      </c>
      <c r="J120">
        <v>11542</v>
      </c>
      <c r="K120" t="s">
        <v>746</v>
      </c>
      <c r="M120">
        <v>1</v>
      </c>
      <c r="N120">
        <v>1359.07</v>
      </c>
      <c r="O120" t="s">
        <v>1033</v>
      </c>
      <c r="P120">
        <v>36.46</v>
      </c>
      <c r="R120">
        <v>1359.07</v>
      </c>
      <c r="S120">
        <v>1305.1400000000001</v>
      </c>
      <c r="T120">
        <v>17.21</v>
      </c>
      <c r="U120">
        <v>0.26</v>
      </c>
      <c r="V120">
        <v>2</v>
      </c>
      <c r="W120" t="s">
        <v>1085</v>
      </c>
      <c r="X120" t="s">
        <v>920</v>
      </c>
      <c r="Y120" t="s">
        <v>38</v>
      </c>
      <c r="Z120" t="s">
        <v>748</v>
      </c>
    </row>
    <row r="121" spans="1:26" hidden="1" x14ac:dyDescent="0.25">
      <c r="A121">
        <v>53</v>
      </c>
      <c r="B121" t="s">
        <v>921</v>
      </c>
      <c r="C121" t="s">
        <v>1035</v>
      </c>
      <c r="D121" t="s">
        <v>924</v>
      </c>
      <c r="E121" t="s">
        <v>744</v>
      </c>
      <c r="F121" t="s">
        <v>77</v>
      </c>
      <c r="G121" t="s">
        <v>754</v>
      </c>
      <c r="H121">
        <v>12</v>
      </c>
      <c r="I121">
        <v>1500</v>
      </c>
      <c r="J121">
        <v>12000</v>
      </c>
      <c r="K121" t="s">
        <v>746</v>
      </c>
      <c r="M121">
        <v>1</v>
      </c>
      <c r="N121">
        <v>1695.6</v>
      </c>
      <c r="O121" t="s">
        <v>39</v>
      </c>
      <c r="P121">
        <v>1492.14</v>
      </c>
      <c r="Q121">
        <v>1695.6</v>
      </c>
      <c r="S121">
        <v>169.54</v>
      </c>
      <c r="T121">
        <v>23.48</v>
      </c>
      <c r="U121">
        <v>10.44</v>
      </c>
      <c r="V121">
        <v>2</v>
      </c>
      <c r="W121" t="s">
        <v>1085</v>
      </c>
      <c r="X121" t="s">
        <v>920</v>
      </c>
      <c r="Y121" t="s">
        <v>38</v>
      </c>
      <c r="Z121" t="s">
        <v>748</v>
      </c>
    </row>
    <row r="122" spans="1:26" hidden="1" x14ac:dyDescent="0.25">
      <c r="A122">
        <v>54</v>
      </c>
      <c r="B122" t="s">
        <v>921</v>
      </c>
      <c r="C122" t="s">
        <v>1037</v>
      </c>
      <c r="D122" t="s">
        <v>924</v>
      </c>
      <c r="E122" t="s">
        <v>744</v>
      </c>
      <c r="F122" t="s">
        <v>77</v>
      </c>
      <c r="G122" t="s">
        <v>754</v>
      </c>
      <c r="H122">
        <v>12</v>
      </c>
      <c r="I122">
        <v>1500</v>
      </c>
      <c r="J122">
        <v>12000</v>
      </c>
      <c r="K122" t="s">
        <v>746</v>
      </c>
      <c r="M122">
        <v>1</v>
      </c>
      <c r="N122">
        <v>1695.6</v>
      </c>
      <c r="O122" t="s">
        <v>39</v>
      </c>
      <c r="P122">
        <v>1491.23</v>
      </c>
      <c r="Q122">
        <v>1695.6</v>
      </c>
      <c r="S122">
        <v>169.55</v>
      </c>
      <c r="T122">
        <v>24.38</v>
      </c>
      <c r="U122">
        <v>10.44</v>
      </c>
      <c r="V122">
        <v>2</v>
      </c>
      <c r="W122" t="s">
        <v>1085</v>
      </c>
      <c r="X122" t="s">
        <v>920</v>
      </c>
      <c r="Y122" t="s">
        <v>38</v>
      </c>
      <c r="Z122" t="s">
        <v>748</v>
      </c>
    </row>
    <row r="123" spans="1:26" hidden="1" x14ac:dyDescent="0.25">
      <c r="A123">
        <v>55</v>
      </c>
      <c r="B123" t="s">
        <v>921</v>
      </c>
      <c r="C123" t="s">
        <v>1039</v>
      </c>
      <c r="D123" t="s">
        <v>924</v>
      </c>
      <c r="E123" t="s">
        <v>744</v>
      </c>
      <c r="F123" t="s">
        <v>77</v>
      </c>
      <c r="G123" t="s">
        <v>754</v>
      </c>
      <c r="H123">
        <v>12</v>
      </c>
      <c r="I123">
        <v>1500</v>
      </c>
      <c r="J123">
        <v>12000</v>
      </c>
      <c r="K123" t="s">
        <v>746</v>
      </c>
      <c r="M123">
        <v>1</v>
      </c>
      <c r="N123">
        <v>1695.6</v>
      </c>
      <c r="O123" t="s">
        <v>39</v>
      </c>
      <c r="P123">
        <v>940.39</v>
      </c>
      <c r="Q123">
        <v>1695.6</v>
      </c>
      <c r="S123">
        <v>728.5</v>
      </c>
      <c r="T123">
        <v>20.13</v>
      </c>
      <c r="U123">
        <v>6.58</v>
      </c>
      <c r="V123">
        <v>2</v>
      </c>
      <c r="W123" t="s">
        <v>1085</v>
      </c>
      <c r="X123" t="s">
        <v>920</v>
      </c>
      <c r="Y123" t="s">
        <v>38</v>
      </c>
      <c r="Z123" t="s">
        <v>748</v>
      </c>
    </row>
    <row r="124" spans="1:26" hidden="1" x14ac:dyDescent="0.25">
      <c r="A124">
        <v>56</v>
      </c>
      <c r="B124" t="s">
        <v>921</v>
      </c>
      <c r="C124" t="s">
        <v>1041</v>
      </c>
      <c r="D124" t="s">
        <v>924</v>
      </c>
      <c r="E124" t="s">
        <v>744</v>
      </c>
      <c r="F124" t="s">
        <v>77</v>
      </c>
      <c r="G124" t="s">
        <v>754</v>
      </c>
      <c r="H124">
        <v>12</v>
      </c>
      <c r="I124">
        <v>1500</v>
      </c>
      <c r="J124">
        <v>12000</v>
      </c>
      <c r="K124" t="s">
        <v>746</v>
      </c>
      <c r="M124">
        <v>1</v>
      </c>
      <c r="N124">
        <v>1695.6</v>
      </c>
      <c r="O124" t="s">
        <v>39</v>
      </c>
      <c r="P124">
        <v>1491.18</v>
      </c>
      <c r="Q124">
        <v>1695.6</v>
      </c>
      <c r="S124">
        <v>169.56</v>
      </c>
      <c r="T124">
        <v>24.42</v>
      </c>
      <c r="U124">
        <v>10.44</v>
      </c>
      <c r="V124">
        <v>2</v>
      </c>
      <c r="W124" t="s">
        <v>1085</v>
      </c>
      <c r="X124" t="s">
        <v>920</v>
      </c>
      <c r="Y124" t="s">
        <v>38</v>
      </c>
      <c r="Z124" t="s">
        <v>748</v>
      </c>
    </row>
    <row r="125" spans="1:26" hidden="1" x14ac:dyDescent="0.25">
      <c r="A125">
        <v>57</v>
      </c>
      <c r="B125" t="s">
        <v>921</v>
      </c>
      <c r="C125" t="s">
        <v>1043</v>
      </c>
      <c r="D125" t="s">
        <v>924</v>
      </c>
      <c r="E125" t="s">
        <v>744</v>
      </c>
      <c r="F125" t="s">
        <v>77</v>
      </c>
      <c r="G125" t="s">
        <v>754</v>
      </c>
      <c r="H125">
        <v>12</v>
      </c>
      <c r="I125">
        <v>1500</v>
      </c>
      <c r="J125">
        <v>12000</v>
      </c>
      <c r="K125" t="s">
        <v>746</v>
      </c>
      <c r="M125">
        <v>1</v>
      </c>
      <c r="N125">
        <v>1695.6</v>
      </c>
      <c r="O125" t="s">
        <v>39</v>
      </c>
      <c r="P125">
        <v>1491</v>
      </c>
      <c r="Q125">
        <v>1695.6</v>
      </c>
      <c r="S125">
        <v>169.56</v>
      </c>
      <c r="T125">
        <v>24.6</v>
      </c>
      <c r="U125">
        <v>10.44</v>
      </c>
      <c r="V125">
        <v>2</v>
      </c>
      <c r="W125" t="s">
        <v>1085</v>
      </c>
      <c r="X125" t="s">
        <v>920</v>
      </c>
      <c r="Y125" t="s">
        <v>38</v>
      </c>
      <c r="Z125" t="s">
        <v>748</v>
      </c>
    </row>
    <row r="126" spans="1:26" hidden="1" x14ac:dyDescent="0.25">
      <c r="A126">
        <v>58</v>
      </c>
      <c r="B126" t="s">
        <v>921</v>
      </c>
      <c r="C126" t="s">
        <v>1045</v>
      </c>
      <c r="D126" t="s">
        <v>924</v>
      </c>
      <c r="E126" t="s">
        <v>744</v>
      </c>
      <c r="F126" t="s">
        <v>77</v>
      </c>
      <c r="G126" t="s">
        <v>754</v>
      </c>
      <c r="H126">
        <v>12</v>
      </c>
      <c r="I126">
        <v>1500</v>
      </c>
      <c r="J126">
        <v>12000</v>
      </c>
      <c r="K126" t="s">
        <v>746</v>
      </c>
      <c r="M126">
        <v>1</v>
      </c>
      <c r="N126">
        <v>1373.29</v>
      </c>
      <c r="O126" t="s">
        <v>1046</v>
      </c>
      <c r="P126">
        <v>313.51</v>
      </c>
      <c r="R126">
        <v>1373.29</v>
      </c>
      <c r="S126">
        <v>1055.26</v>
      </c>
      <c r="T126">
        <v>2.33</v>
      </c>
      <c r="U126">
        <v>2.19</v>
      </c>
      <c r="V126">
        <v>2</v>
      </c>
      <c r="W126" t="s">
        <v>1085</v>
      </c>
      <c r="X126" t="s">
        <v>920</v>
      </c>
      <c r="Y126" t="s">
        <v>38</v>
      </c>
      <c r="Z126" t="s">
        <v>748</v>
      </c>
    </row>
    <row r="127" spans="1:26" hidden="1" x14ac:dyDescent="0.25">
      <c r="A127">
        <v>59</v>
      </c>
      <c r="B127" t="s">
        <v>921</v>
      </c>
      <c r="C127" t="s">
        <v>1048</v>
      </c>
      <c r="D127" t="s">
        <v>924</v>
      </c>
      <c r="E127" t="s">
        <v>744</v>
      </c>
      <c r="F127" t="s">
        <v>77</v>
      </c>
      <c r="G127" t="s">
        <v>755</v>
      </c>
      <c r="H127">
        <v>16</v>
      </c>
      <c r="I127">
        <v>2000</v>
      </c>
      <c r="J127">
        <v>12000</v>
      </c>
      <c r="K127" t="s">
        <v>746</v>
      </c>
      <c r="M127">
        <v>1</v>
      </c>
      <c r="N127">
        <v>3014.4</v>
      </c>
      <c r="O127" t="s">
        <v>39</v>
      </c>
      <c r="P127">
        <v>2873.98</v>
      </c>
      <c r="Q127">
        <v>3014.4</v>
      </c>
      <c r="T127">
        <v>120.3</v>
      </c>
      <c r="U127">
        <v>20.12</v>
      </c>
      <c r="V127">
        <v>2</v>
      </c>
      <c r="W127" t="s">
        <v>1085</v>
      </c>
      <c r="X127" t="s">
        <v>920</v>
      </c>
      <c r="Y127" t="s">
        <v>38</v>
      </c>
      <c r="Z127" t="s">
        <v>748</v>
      </c>
    </row>
    <row r="128" spans="1:26" hidden="1" x14ac:dyDescent="0.25">
      <c r="A128">
        <v>60</v>
      </c>
      <c r="B128" t="s">
        <v>921</v>
      </c>
      <c r="C128" t="s">
        <v>1050</v>
      </c>
      <c r="D128" t="s">
        <v>924</v>
      </c>
      <c r="E128" t="s">
        <v>744</v>
      </c>
      <c r="F128" t="s">
        <v>77</v>
      </c>
      <c r="G128" t="s">
        <v>755</v>
      </c>
      <c r="H128">
        <v>16</v>
      </c>
      <c r="I128">
        <v>2000</v>
      </c>
      <c r="J128">
        <v>12000</v>
      </c>
      <c r="K128" t="s">
        <v>746</v>
      </c>
      <c r="M128">
        <v>1</v>
      </c>
      <c r="N128">
        <v>3014.4</v>
      </c>
      <c r="O128" t="s">
        <v>39</v>
      </c>
      <c r="P128">
        <v>2899.83</v>
      </c>
      <c r="Q128">
        <v>3014.4</v>
      </c>
      <c r="T128">
        <v>94.27</v>
      </c>
      <c r="U128">
        <v>20.3</v>
      </c>
      <c r="V128">
        <v>2</v>
      </c>
      <c r="W128" t="s">
        <v>1085</v>
      </c>
      <c r="X128" t="s">
        <v>920</v>
      </c>
      <c r="Y128" t="s">
        <v>38</v>
      </c>
      <c r="Z128" t="s">
        <v>748</v>
      </c>
    </row>
    <row r="129" spans="1:26" hidden="1" x14ac:dyDescent="0.25">
      <c r="A129">
        <v>61</v>
      </c>
      <c r="B129" t="s">
        <v>921</v>
      </c>
      <c r="C129" t="s">
        <v>1053</v>
      </c>
      <c r="D129" t="s">
        <v>924</v>
      </c>
      <c r="E129" t="s">
        <v>744</v>
      </c>
      <c r="F129" t="s">
        <v>77</v>
      </c>
      <c r="G129" t="s">
        <v>1089</v>
      </c>
      <c r="H129">
        <v>16</v>
      </c>
      <c r="I129">
        <v>2000</v>
      </c>
      <c r="J129">
        <v>12020</v>
      </c>
      <c r="K129" t="s">
        <v>746</v>
      </c>
      <c r="M129">
        <v>1</v>
      </c>
      <c r="N129">
        <v>2437.98</v>
      </c>
      <c r="O129" t="s">
        <v>1054</v>
      </c>
      <c r="P129">
        <v>548.09</v>
      </c>
      <c r="R129">
        <v>2437.98</v>
      </c>
      <c r="S129">
        <v>1850.26</v>
      </c>
      <c r="T129">
        <v>35.79</v>
      </c>
      <c r="U129">
        <v>3.84</v>
      </c>
      <c r="V129">
        <v>2</v>
      </c>
      <c r="W129" t="s">
        <v>1085</v>
      </c>
      <c r="X129" t="s">
        <v>920</v>
      </c>
      <c r="Y129" t="s">
        <v>38</v>
      </c>
      <c r="Z129" t="s">
        <v>748</v>
      </c>
    </row>
    <row r="130" spans="1:26" hidden="1" x14ac:dyDescent="0.25">
      <c r="A130">
        <v>62</v>
      </c>
      <c r="B130" t="s">
        <v>921</v>
      </c>
      <c r="C130" t="s">
        <v>1056</v>
      </c>
      <c r="D130" t="s">
        <v>924</v>
      </c>
      <c r="E130" t="s">
        <v>744</v>
      </c>
      <c r="F130" t="s">
        <v>77</v>
      </c>
      <c r="G130" t="s">
        <v>756</v>
      </c>
      <c r="H130">
        <v>20</v>
      </c>
      <c r="I130">
        <v>2000</v>
      </c>
      <c r="J130">
        <v>12000</v>
      </c>
      <c r="K130" t="s">
        <v>746</v>
      </c>
      <c r="M130">
        <v>1</v>
      </c>
      <c r="N130">
        <v>3768</v>
      </c>
      <c r="O130" t="s">
        <v>39</v>
      </c>
      <c r="P130">
        <v>3123.19</v>
      </c>
      <c r="Q130">
        <v>3768</v>
      </c>
      <c r="S130">
        <v>190.54</v>
      </c>
      <c r="T130">
        <v>432.41</v>
      </c>
      <c r="U130">
        <v>21.86</v>
      </c>
      <c r="V130">
        <v>2</v>
      </c>
      <c r="W130" t="s">
        <v>1085</v>
      </c>
      <c r="X130" t="s">
        <v>920</v>
      </c>
      <c r="Y130" t="s">
        <v>38</v>
      </c>
      <c r="Z130" t="s">
        <v>748</v>
      </c>
    </row>
    <row r="131" spans="1:26" hidden="1" x14ac:dyDescent="0.25">
      <c r="A131">
        <v>63</v>
      </c>
      <c r="B131" t="s">
        <v>921</v>
      </c>
      <c r="C131" t="s">
        <v>1061</v>
      </c>
      <c r="D131" t="s">
        <v>924</v>
      </c>
      <c r="E131" t="s">
        <v>744</v>
      </c>
      <c r="F131" t="s">
        <v>77</v>
      </c>
      <c r="G131" t="s">
        <v>1090</v>
      </c>
      <c r="H131">
        <v>20</v>
      </c>
      <c r="I131">
        <v>715</v>
      </c>
      <c r="J131">
        <v>984</v>
      </c>
      <c r="K131" t="s">
        <v>746</v>
      </c>
      <c r="M131">
        <v>1</v>
      </c>
      <c r="N131">
        <v>105.48</v>
      </c>
      <c r="O131" t="s">
        <v>1062</v>
      </c>
      <c r="P131">
        <v>89.92</v>
      </c>
      <c r="R131">
        <v>105.48</v>
      </c>
      <c r="T131">
        <v>14.93</v>
      </c>
      <c r="U131">
        <v>0.63</v>
      </c>
      <c r="V131">
        <v>2</v>
      </c>
      <c r="W131" t="s">
        <v>1085</v>
      </c>
      <c r="X131" t="s">
        <v>920</v>
      </c>
      <c r="Y131" t="s">
        <v>38</v>
      </c>
      <c r="Z131" t="s">
        <v>748</v>
      </c>
    </row>
    <row r="132" spans="1:26" hidden="1" x14ac:dyDescent="0.25">
      <c r="A132">
        <v>64</v>
      </c>
      <c r="B132" t="s">
        <v>921</v>
      </c>
      <c r="C132" t="s">
        <v>1065</v>
      </c>
      <c r="D132" t="s">
        <v>924</v>
      </c>
      <c r="E132" t="s">
        <v>744</v>
      </c>
      <c r="F132" t="s">
        <v>77</v>
      </c>
      <c r="G132" t="s">
        <v>1091</v>
      </c>
      <c r="H132">
        <v>25</v>
      </c>
      <c r="I132">
        <v>2000</v>
      </c>
      <c r="J132">
        <v>4720</v>
      </c>
      <c r="K132" t="s">
        <v>746</v>
      </c>
      <c r="M132">
        <v>1</v>
      </c>
      <c r="N132">
        <v>1852.47</v>
      </c>
      <c r="O132" t="s">
        <v>1066</v>
      </c>
      <c r="P132">
        <v>1613.52</v>
      </c>
      <c r="R132">
        <v>1852.47</v>
      </c>
      <c r="T132">
        <v>227.66</v>
      </c>
      <c r="U132">
        <v>11.29</v>
      </c>
      <c r="V132">
        <v>2</v>
      </c>
      <c r="W132" t="s">
        <v>1085</v>
      </c>
      <c r="X132" t="s">
        <v>920</v>
      </c>
      <c r="Y132" t="s">
        <v>38</v>
      </c>
      <c r="Z132" t="s">
        <v>748</v>
      </c>
    </row>
    <row r="133" spans="1:26" hidden="1" x14ac:dyDescent="0.25">
      <c r="A133">
        <v>65</v>
      </c>
      <c r="B133" t="s">
        <v>921</v>
      </c>
      <c r="C133" t="s">
        <v>1070</v>
      </c>
      <c r="D133" t="s">
        <v>924</v>
      </c>
      <c r="E133" t="s">
        <v>744</v>
      </c>
      <c r="F133" t="s">
        <v>77</v>
      </c>
      <c r="G133" t="s">
        <v>757</v>
      </c>
      <c r="H133">
        <v>25</v>
      </c>
      <c r="I133">
        <v>2000</v>
      </c>
      <c r="J133">
        <v>12000</v>
      </c>
      <c r="K133" t="s">
        <v>746</v>
      </c>
      <c r="M133">
        <v>1</v>
      </c>
      <c r="N133">
        <v>4710</v>
      </c>
      <c r="O133" t="s">
        <v>39</v>
      </c>
      <c r="P133">
        <v>908.21</v>
      </c>
      <c r="Q133">
        <v>4710</v>
      </c>
      <c r="S133">
        <v>3693.82</v>
      </c>
      <c r="T133">
        <v>101.61</v>
      </c>
      <c r="U133">
        <v>6.36</v>
      </c>
      <c r="V133">
        <v>2</v>
      </c>
      <c r="W133" t="s">
        <v>1085</v>
      </c>
      <c r="X133" t="s">
        <v>920</v>
      </c>
      <c r="Y133" t="s">
        <v>38</v>
      </c>
      <c r="Z133" t="s">
        <v>748</v>
      </c>
    </row>
    <row r="134" spans="1:26" hidden="1" x14ac:dyDescent="0.25">
      <c r="A134">
        <v>66</v>
      </c>
      <c r="B134" t="s">
        <v>921</v>
      </c>
      <c r="C134" t="s">
        <v>1074</v>
      </c>
      <c r="D134" t="s">
        <v>924</v>
      </c>
      <c r="E134" t="s">
        <v>744</v>
      </c>
      <c r="F134" t="s">
        <v>77</v>
      </c>
      <c r="G134" t="s">
        <v>1092</v>
      </c>
      <c r="H134">
        <v>30</v>
      </c>
      <c r="I134">
        <v>2000</v>
      </c>
      <c r="J134">
        <v>8364</v>
      </c>
      <c r="K134" t="s">
        <v>746</v>
      </c>
      <c r="M134">
        <v>1</v>
      </c>
      <c r="N134">
        <v>3939.44</v>
      </c>
      <c r="O134" t="s">
        <v>1075</v>
      </c>
      <c r="P134">
        <v>1431.5</v>
      </c>
      <c r="R134">
        <v>3939.44</v>
      </c>
      <c r="S134">
        <v>2226.81</v>
      </c>
      <c r="T134">
        <v>271.11</v>
      </c>
      <c r="U134">
        <v>10.02</v>
      </c>
      <c r="V134">
        <v>2</v>
      </c>
      <c r="W134" t="s">
        <v>1085</v>
      </c>
      <c r="X134" t="s">
        <v>920</v>
      </c>
      <c r="Y134" t="s">
        <v>38</v>
      </c>
      <c r="Z134" t="s">
        <v>748</v>
      </c>
    </row>
    <row r="135" spans="1:26" hidden="1" x14ac:dyDescent="0.25">
      <c r="A135">
        <v>67</v>
      </c>
      <c r="B135" t="s">
        <v>921</v>
      </c>
      <c r="C135" t="s">
        <v>1078</v>
      </c>
      <c r="D135" t="s">
        <v>924</v>
      </c>
      <c r="E135" t="s">
        <v>744</v>
      </c>
      <c r="F135" t="s">
        <v>700</v>
      </c>
      <c r="G135" t="s">
        <v>1093</v>
      </c>
      <c r="H135">
        <v>60</v>
      </c>
      <c r="I135">
        <v>432</v>
      </c>
      <c r="J135">
        <v>11364</v>
      </c>
      <c r="K135" t="s">
        <v>746</v>
      </c>
      <c r="M135">
        <v>1</v>
      </c>
      <c r="N135">
        <v>2310.56</v>
      </c>
      <c r="O135" t="s">
        <v>1079</v>
      </c>
      <c r="P135">
        <v>1337.46</v>
      </c>
      <c r="R135">
        <v>2310.56</v>
      </c>
      <c r="S135">
        <v>843.15</v>
      </c>
      <c r="T135">
        <v>120.59</v>
      </c>
      <c r="U135">
        <v>9.36</v>
      </c>
      <c r="V135">
        <v>2</v>
      </c>
      <c r="W135" t="s">
        <v>1085</v>
      </c>
      <c r="X135" t="s">
        <v>920</v>
      </c>
      <c r="Y135" t="s">
        <v>38</v>
      </c>
      <c r="Z135" t="s">
        <v>748</v>
      </c>
    </row>
    <row r="136" spans="1:26" hidden="1" x14ac:dyDescent="0.25">
      <c r="A136">
        <v>68</v>
      </c>
      <c r="B136" t="s">
        <v>921</v>
      </c>
      <c r="C136" t="s">
        <v>1082</v>
      </c>
      <c r="D136" t="s">
        <v>924</v>
      </c>
      <c r="E136" t="s">
        <v>744</v>
      </c>
      <c r="F136" t="s">
        <v>700</v>
      </c>
      <c r="G136" t="s">
        <v>1094</v>
      </c>
      <c r="H136">
        <v>60</v>
      </c>
      <c r="I136">
        <v>432</v>
      </c>
      <c r="J136">
        <v>12000</v>
      </c>
      <c r="K136" t="s">
        <v>746</v>
      </c>
      <c r="M136">
        <v>1</v>
      </c>
      <c r="N136">
        <v>2438.85</v>
      </c>
      <c r="O136" t="s">
        <v>1083</v>
      </c>
      <c r="P136">
        <v>1199.3599999999999</v>
      </c>
      <c r="R136">
        <v>2438.85</v>
      </c>
      <c r="S136">
        <v>1105.74</v>
      </c>
      <c r="T136">
        <v>125.35</v>
      </c>
      <c r="U136">
        <v>8.4</v>
      </c>
      <c r="V136">
        <v>2</v>
      </c>
      <c r="W136" t="s">
        <v>1085</v>
      </c>
      <c r="X136" t="s">
        <v>920</v>
      </c>
      <c r="Y136" t="s">
        <v>38</v>
      </c>
      <c r="Z136" t="s">
        <v>748</v>
      </c>
    </row>
    <row r="137" spans="1:26" hidden="1" x14ac:dyDescent="0.25">
      <c r="A137">
        <v>1</v>
      </c>
      <c r="B137" t="s">
        <v>921</v>
      </c>
      <c r="C137" t="s">
        <v>923</v>
      </c>
      <c r="D137" t="s">
        <v>924</v>
      </c>
      <c r="E137" t="s">
        <v>744</v>
      </c>
      <c r="F137" t="s">
        <v>33</v>
      </c>
      <c r="G137" t="s">
        <v>745</v>
      </c>
      <c r="H137">
        <v>2</v>
      </c>
      <c r="I137">
        <v>1300</v>
      </c>
      <c r="J137">
        <v>4000</v>
      </c>
      <c r="K137" t="s">
        <v>746</v>
      </c>
      <c r="M137">
        <v>1</v>
      </c>
      <c r="N137">
        <v>81.64</v>
      </c>
      <c r="O137" t="s">
        <v>39</v>
      </c>
      <c r="P137">
        <v>67.819999999999993</v>
      </c>
      <c r="Q137">
        <v>81.64</v>
      </c>
      <c r="S137">
        <v>7.92</v>
      </c>
      <c r="T137">
        <v>5.43</v>
      </c>
      <c r="U137">
        <v>0.47</v>
      </c>
      <c r="V137">
        <v>2</v>
      </c>
      <c r="W137" t="s">
        <v>1085</v>
      </c>
      <c r="X137" t="s">
        <v>920</v>
      </c>
      <c r="Y137" t="s">
        <v>38</v>
      </c>
      <c r="Z137" t="s">
        <v>748</v>
      </c>
    </row>
    <row r="138" spans="1:26" hidden="1" x14ac:dyDescent="0.25">
      <c r="A138">
        <v>2</v>
      </c>
      <c r="B138" t="s">
        <v>921</v>
      </c>
      <c r="C138" t="s">
        <v>926</v>
      </c>
      <c r="D138" t="s">
        <v>924</v>
      </c>
      <c r="E138" t="s">
        <v>744</v>
      </c>
      <c r="F138" t="s">
        <v>33</v>
      </c>
      <c r="G138" t="s">
        <v>745</v>
      </c>
      <c r="H138">
        <v>2</v>
      </c>
      <c r="I138">
        <v>1300</v>
      </c>
      <c r="J138">
        <v>4000</v>
      </c>
      <c r="K138" t="s">
        <v>746</v>
      </c>
      <c r="M138">
        <v>1</v>
      </c>
      <c r="N138">
        <v>81.64</v>
      </c>
      <c r="O138" t="s">
        <v>39</v>
      </c>
      <c r="P138">
        <v>81.64</v>
      </c>
      <c r="Q138">
        <v>81.64</v>
      </c>
      <c r="T138">
        <v>0</v>
      </c>
      <c r="U138">
        <v>0.56999999999999995</v>
      </c>
      <c r="V138">
        <v>2</v>
      </c>
      <c r="W138" t="s">
        <v>1085</v>
      </c>
      <c r="X138" t="s">
        <v>920</v>
      </c>
      <c r="Y138" t="s">
        <v>38</v>
      </c>
      <c r="Z138" t="s">
        <v>748</v>
      </c>
    </row>
    <row r="139" spans="1:26" hidden="1" x14ac:dyDescent="0.25">
      <c r="A139">
        <v>3</v>
      </c>
      <c r="B139" t="s">
        <v>921</v>
      </c>
      <c r="C139" t="s">
        <v>928</v>
      </c>
      <c r="D139" t="s">
        <v>924</v>
      </c>
      <c r="E139" t="s">
        <v>744</v>
      </c>
      <c r="F139" t="s">
        <v>33</v>
      </c>
      <c r="G139" t="s">
        <v>745</v>
      </c>
      <c r="H139">
        <v>2</v>
      </c>
      <c r="I139">
        <v>1300</v>
      </c>
      <c r="J139">
        <v>4000</v>
      </c>
      <c r="K139" t="s">
        <v>746</v>
      </c>
      <c r="M139">
        <v>1</v>
      </c>
      <c r="N139">
        <v>81.64</v>
      </c>
      <c r="O139" t="s">
        <v>39</v>
      </c>
      <c r="P139">
        <v>81.64</v>
      </c>
      <c r="Q139">
        <v>81.64</v>
      </c>
      <c r="T139">
        <v>0</v>
      </c>
      <c r="U139">
        <v>0.56999999999999995</v>
      </c>
      <c r="V139">
        <v>2</v>
      </c>
      <c r="W139" t="s">
        <v>1085</v>
      </c>
      <c r="X139" t="s">
        <v>920</v>
      </c>
      <c r="Y139" t="s">
        <v>38</v>
      </c>
      <c r="Z139" t="s">
        <v>748</v>
      </c>
    </row>
    <row r="140" spans="1:26" hidden="1" x14ac:dyDescent="0.25">
      <c r="A140">
        <v>4</v>
      </c>
      <c r="B140" t="s">
        <v>921</v>
      </c>
      <c r="C140" t="s">
        <v>930</v>
      </c>
      <c r="D140" t="s">
        <v>924</v>
      </c>
      <c r="E140" t="s">
        <v>744</v>
      </c>
      <c r="F140" t="s">
        <v>33</v>
      </c>
      <c r="G140" t="s">
        <v>745</v>
      </c>
      <c r="H140">
        <v>2</v>
      </c>
      <c r="I140">
        <v>1300</v>
      </c>
      <c r="J140">
        <v>4000</v>
      </c>
      <c r="K140" t="s">
        <v>746</v>
      </c>
      <c r="M140">
        <v>1</v>
      </c>
      <c r="N140">
        <v>81.64</v>
      </c>
      <c r="O140" t="s">
        <v>39</v>
      </c>
      <c r="P140">
        <v>66.569999999999993</v>
      </c>
      <c r="Q140">
        <v>81.64</v>
      </c>
      <c r="S140">
        <v>15.07</v>
      </c>
      <c r="T140">
        <v>0</v>
      </c>
      <c r="U140">
        <v>0.47</v>
      </c>
      <c r="V140">
        <v>2</v>
      </c>
      <c r="W140" t="s">
        <v>1085</v>
      </c>
      <c r="X140" t="s">
        <v>920</v>
      </c>
      <c r="Y140" t="s">
        <v>38</v>
      </c>
      <c r="Z140" t="s">
        <v>748</v>
      </c>
    </row>
    <row r="141" spans="1:26" hidden="1" x14ac:dyDescent="0.25">
      <c r="A141">
        <v>5</v>
      </c>
      <c r="B141" t="s">
        <v>921</v>
      </c>
      <c r="C141" t="s">
        <v>932</v>
      </c>
      <c r="D141" t="s">
        <v>924</v>
      </c>
      <c r="E141" t="s">
        <v>744</v>
      </c>
      <c r="F141" t="s">
        <v>33</v>
      </c>
      <c r="G141" t="s">
        <v>745</v>
      </c>
      <c r="H141">
        <v>2</v>
      </c>
      <c r="I141">
        <v>1300</v>
      </c>
      <c r="J141">
        <v>4000</v>
      </c>
      <c r="K141" t="s">
        <v>746</v>
      </c>
      <c r="M141">
        <v>1</v>
      </c>
      <c r="N141">
        <v>81.64</v>
      </c>
      <c r="O141" t="s">
        <v>39</v>
      </c>
      <c r="P141">
        <v>66.569999999999993</v>
      </c>
      <c r="Q141">
        <v>81.64</v>
      </c>
      <c r="S141">
        <v>15.07</v>
      </c>
      <c r="T141">
        <v>0</v>
      </c>
      <c r="U141">
        <v>0.47</v>
      </c>
      <c r="V141">
        <v>2</v>
      </c>
      <c r="W141" t="s">
        <v>1085</v>
      </c>
      <c r="X141" t="s">
        <v>920</v>
      </c>
      <c r="Y141" t="s">
        <v>38</v>
      </c>
      <c r="Z141" t="s">
        <v>748</v>
      </c>
    </row>
    <row r="142" spans="1:26" hidden="1" x14ac:dyDescent="0.25">
      <c r="A142">
        <v>6</v>
      </c>
      <c r="B142" t="s">
        <v>921</v>
      </c>
      <c r="C142" t="s">
        <v>934</v>
      </c>
      <c r="D142" t="s">
        <v>924</v>
      </c>
      <c r="E142" t="s">
        <v>744</v>
      </c>
      <c r="F142" t="s">
        <v>33</v>
      </c>
      <c r="G142" t="s">
        <v>745</v>
      </c>
      <c r="H142">
        <v>2</v>
      </c>
      <c r="I142">
        <v>1300</v>
      </c>
      <c r="J142">
        <v>4000</v>
      </c>
      <c r="K142" t="s">
        <v>746</v>
      </c>
      <c r="M142">
        <v>1</v>
      </c>
      <c r="N142">
        <v>81.64</v>
      </c>
      <c r="O142" t="s">
        <v>39</v>
      </c>
      <c r="P142">
        <v>66.569999999999993</v>
      </c>
      <c r="Q142">
        <v>81.64</v>
      </c>
      <c r="S142">
        <v>15.07</v>
      </c>
      <c r="T142">
        <v>0</v>
      </c>
      <c r="U142">
        <v>0.47</v>
      </c>
      <c r="V142">
        <v>2</v>
      </c>
      <c r="W142" t="s">
        <v>1085</v>
      </c>
      <c r="X142" t="s">
        <v>920</v>
      </c>
      <c r="Y142" t="s">
        <v>38</v>
      </c>
      <c r="Z142" t="s">
        <v>748</v>
      </c>
    </row>
    <row r="143" spans="1:26" hidden="1" x14ac:dyDescent="0.25">
      <c r="A143">
        <v>7</v>
      </c>
      <c r="B143" t="s">
        <v>921</v>
      </c>
      <c r="C143" t="s">
        <v>936</v>
      </c>
      <c r="D143" t="s">
        <v>924</v>
      </c>
      <c r="E143" t="s">
        <v>744</v>
      </c>
      <c r="F143" t="s">
        <v>33</v>
      </c>
      <c r="G143" t="s">
        <v>745</v>
      </c>
      <c r="H143">
        <v>2</v>
      </c>
      <c r="I143">
        <v>1300</v>
      </c>
      <c r="J143">
        <v>4000</v>
      </c>
      <c r="K143" t="s">
        <v>746</v>
      </c>
      <c r="M143">
        <v>1</v>
      </c>
      <c r="N143">
        <v>81.64</v>
      </c>
      <c r="O143" t="s">
        <v>39</v>
      </c>
      <c r="P143">
        <v>66.569999999999993</v>
      </c>
      <c r="Q143">
        <v>81.64</v>
      </c>
      <c r="S143">
        <v>15.07</v>
      </c>
      <c r="T143">
        <v>0</v>
      </c>
      <c r="U143">
        <v>0.47</v>
      </c>
      <c r="V143">
        <v>2</v>
      </c>
      <c r="W143" t="s">
        <v>1085</v>
      </c>
      <c r="X143" t="s">
        <v>920</v>
      </c>
      <c r="Y143" t="s">
        <v>38</v>
      </c>
      <c r="Z143" t="s">
        <v>748</v>
      </c>
    </row>
    <row r="144" spans="1:26" hidden="1" x14ac:dyDescent="0.25">
      <c r="A144">
        <v>8</v>
      </c>
      <c r="B144" t="s">
        <v>921</v>
      </c>
      <c r="C144" t="s">
        <v>938</v>
      </c>
      <c r="D144" t="s">
        <v>924</v>
      </c>
      <c r="E144" t="s">
        <v>744</v>
      </c>
      <c r="F144" t="s">
        <v>33</v>
      </c>
      <c r="G144" t="s">
        <v>745</v>
      </c>
      <c r="H144">
        <v>2</v>
      </c>
      <c r="I144">
        <v>1300</v>
      </c>
      <c r="J144">
        <v>4000</v>
      </c>
      <c r="K144" t="s">
        <v>746</v>
      </c>
      <c r="M144">
        <v>1</v>
      </c>
      <c r="N144">
        <v>81.64</v>
      </c>
      <c r="O144" t="s">
        <v>39</v>
      </c>
      <c r="P144">
        <v>62.8</v>
      </c>
      <c r="Q144">
        <v>81.64</v>
      </c>
      <c r="S144">
        <v>15.07</v>
      </c>
      <c r="T144">
        <v>3.33</v>
      </c>
      <c r="U144">
        <v>0.44</v>
      </c>
      <c r="V144">
        <v>2</v>
      </c>
      <c r="W144" t="s">
        <v>1085</v>
      </c>
      <c r="X144" t="s">
        <v>920</v>
      </c>
      <c r="Y144" t="s">
        <v>38</v>
      </c>
      <c r="Z144" t="s">
        <v>748</v>
      </c>
    </row>
    <row r="145" spans="1:26" hidden="1" x14ac:dyDescent="0.25">
      <c r="A145">
        <v>9</v>
      </c>
      <c r="B145" t="s">
        <v>921</v>
      </c>
      <c r="C145" t="s">
        <v>940</v>
      </c>
      <c r="D145" t="s">
        <v>924</v>
      </c>
      <c r="E145" t="s">
        <v>744</v>
      </c>
      <c r="F145" t="s">
        <v>33</v>
      </c>
      <c r="G145" t="s">
        <v>745</v>
      </c>
      <c r="H145">
        <v>2</v>
      </c>
      <c r="I145">
        <v>1300</v>
      </c>
      <c r="J145">
        <v>4000</v>
      </c>
      <c r="K145" t="s">
        <v>746</v>
      </c>
      <c r="M145">
        <v>1</v>
      </c>
      <c r="N145">
        <v>61.67</v>
      </c>
      <c r="O145" t="s">
        <v>941</v>
      </c>
      <c r="P145">
        <v>19.97</v>
      </c>
      <c r="R145">
        <v>61.67</v>
      </c>
      <c r="S145">
        <v>41.7</v>
      </c>
      <c r="T145">
        <v>0</v>
      </c>
      <c r="U145">
        <v>0.14000000000000001</v>
      </c>
      <c r="V145">
        <v>2</v>
      </c>
      <c r="W145" t="s">
        <v>1085</v>
      </c>
      <c r="X145" t="s">
        <v>920</v>
      </c>
      <c r="Y145" t="s">
        <v>38</v>
      </c>
      <c r="Z145" t="s">
        <v>748</v>
      </c>
    </row>
    <row r="146" spans="1:26" hidden="1" x14ac:dyDescent="0.25">
      <c r="A146">
        <v>10</v>
      </c>
      <c r="B146" t="s">
        <v>921</v>
      </c>
      <c r="C146" t="s">
        <v>943</v>
      </c>
      <c r="D146" t="s">
        <v>924</v>
      </c>
      <c r="E146" t="s">
        <v>744</v>
      </c>
      <c r="F146" t="s">
        <v>33</v>
      </c>
      <c r="G146" t="s">
        <v>745</v>
      </c>
      <c r="H146">
        <v>2</v>
      </c>
      <c r="I146">
        <v>1300</v>
      </c>
      <c r="J146">
        <v>4000</v>
      </c>
      <c r="K146" t="s">
        <v>746</v>
      </c>
      <c r="M146">
        <v>1</v>
      </c>
      <c r="N146">
        <v>81.64</v>
      </c>
      <c r="O146" t="s">
        <v>39</v>
      </c>
      <c r="P146">
        <v>48.23</v>
      </c>
      <c r="Q146">
        <v>81.64</v>
      </c>
      <c r="S146">
        <v>32.880000000000003</v>
      </c>
      <c r="T146">
        <v>0.19</v>
      </c>
      <c r="U146">
        <v>0.34</v>
      </c>
      <c r="V146">
        <v>2</v>
      </c>
      <c r="W146" t="s">
        <v>1085</v>
      </c>
      <c r="X146" t="s">
        <v>920</v>
      </c>
      <c r="Y146" t="s">
        <v>38</v>
      </c>
      <c r="Z146" t="s">
        <v>748</v>
      </c>
    </row>
    <row r="147" spans="1:26" hidden="1" x14ac:dyDescent="0.25">
      <c r="A147">
        <v>11</v>
      </c>
      <c r="B147" t="s">
        <v>921</v>
      </c>
      <c r="C147" t="s">
        <v>946</v>
      </c>
      <c r="D147" t="s">
        <v>924</v>
      </c>
      <c r="E147" t="s">
        <v>744</v>
      </c>
      <c r="F147" t="s">
        <v>77</v>
      </c>
      <c r="G147" t="s">
        <v>1086</v>
      </c>
      <c r="H147">
        <v>5</v>
      </c>
      <c r="I147">
        <v>1500</v>
      </c>
      <c r="J147">
        <v>1800</v>
      </c>
      <c r="K147" t="s">
        <v>746</v>
      </c>
      <c r="M147">
        <v>1</v>
      </c>
      <c r="N147">
        <v>105.98</v>
      </c>
      <c r="O147" t="s">
        <v>947</v>
      </c>
      <c r="P147">
        <v>88.69</v>
      </c>
      <c r="R147">
        <v>105.98</v>
      </c>
      <c r="T147">
        <v>16.670000000000002</v>
      </c>
      <c r="U147">
        <v>0.62</v>
      </c>
      <c r="V147">
        <v>2</v>
      </c>
      <c r="W147" t="s">
        <v>1085</v>
      </c>
      <c r="X147" t="s">
        <v>920</v>
      </c>
      <c r="Y147" t="s">
        <v>38</v>
      </c>
      <c r="Z147" t="s">
        <v>748</v>
      </c>
    </row>
    <row r="148" spans="1:26" hidden="1" x14ac:dyDescent="0.25">
      <c r="A148">
        <v>12</v>
      </c>
      <c r="B148" t="s">
        <v>921</v>
      </c>
      <c r="C148" t="s">
        <v>949</v>
      </c>
      <c r="D148" t="s">
        <v>924</v>
      </c>
      <c r="E148" t="s">
        <v>744</v>
      </c>
      <c r="F148" t="s">
        <v>77</v>
      </c>
      <c r="G148" t="s">
        <v>749</v>
      </c>
      <c r="H148">
        <v>5</v>
      </c>
      <c r="I148">
        <v>1500</v>
      </c>
      <c r="J148">
        <v>6000</v>
      </c>
      <c r="K148" t="s">
        <v>746</v>
      </c>
      <c r="M148">
        <v>1</v>
      </c>
      <c r="N148">
        <v>353.25</v>
      </c>
      <c r="O148" t="s">
        <v>39</v>
      </c>
      <c r="P148">
        <v>114.11</v>
      </c>
      <c r="Q148">
        <v>353.25</v>
      </c>
      <c r="S148">
        <v>210.3</v>
      </c>
      <c r="T148">
        <v>28.04</v>
      </c>
      <c r="U148">
        <v>0.8</v>
      </c>
      <c r="V148">
        <v>2</v>
      </c>
      <c r="W148" t="s">
        <v>1085</v>
      </c>
      <c r="X148" t="s">
        <v>920</v>
      </c>
      <c r="Y148" t="s">
        <v>38</v>
      </c>
      <c r="Z148" t="s">
        <v>748</v>
      </c>
    </row>
    <row r="149" spans="1:26" hidden="1" x14ac:dyDescent="0.25">
      <c r="A149">
        <v>13</v>
      </c>
      <c r="B149" t="s">
        <v>921</v>
      </c>
      <c r="C149" t="s">
        <v>951</v>
      </c>
      <c r="D149" t="s">
        <v>924</v>
      </c>
      <c r="E149" t="s">
        <v>744</v>
      </c>
      <c r="F149" t="s">
        <v>77</v>
      </c>
      <c r="G149" t="s">
        <v>750</v>
      </c>
      <c r="H149">
        <v>6</v>
      </c>
      <c r="I149">
        <v>1500</v>
      </c>
      <c r="J149">
        <v>12000</v>
      </c>
      <c r="K149" t="s">
        <v>746</v>
      </c>
      <c r="M149">
        <v>1</v>
      </c>
      <c r="N149">
        <v>847.8</v>
      </c>
      <c r="O149" t="s">
        <v>39</v>
      </c>
      <c r="P149">
        <v>717.6</v>
      </c>
      <c r="Q149">
        <v>847.8</v>
      </c>
      <c r="S149">
        <v>92.71</v>
      </c>
      <c r="T149">
        <v>32.47</v>
      </c>
      <c r="U149">
        <v>5.0199999999999996</v>
      </c>
      <c r="V149">
        <v>2</v>
      </c>
      <c r="W149" t="s">
        <v>1085</v>
      </c>
      <c r="X149" t="s">
        <v>920</v>
      </c>
      <c r="Y149" t="s">
        <v>38</v>
      </c>
      <c r="Z149" t="s">
        <v>748</v>
      </c>
    </row>
    <row r="150" spans="1:26" hidden="1" x14ac:dyDescent="0.25">
      <c r="A150">
        <v>14</v>
      </c>
      <c r="B150" t="s">
        <v>921</v>
      </c>
      <c r="C150" t="s">
        <v>953</v>
      </c>
      <c r="D150" t="s">
        <v>924</v>
      </c>
      <c r="E150" t="s">
        <v>744</v>
      </c>
      <c r="F150" t="s">
        <v>77</v>
      </c>
      <c r="G150" t="s">
        <v>750</v>
      </c>
      <c r="H150">
        <v>6</v>
      </c>
      <c r="I150">
        <v>1500</v>
      </c>
      <c r="J150">
        <v>12000</v>
      </c>
      <c r="K150" t="s">
        <v>746</v>
      </c>
      <c r="M150">
        <v>1</v>
      </c>
      <c r="N150">
        <v>847.8</v>
      </c>
      <c r="O150" t="s">
        <v>39</v>
      </c>
      <c r="P150">
        <v>727.26</v>
      </c>
      <c r="Q150">
        <v>847.8</v>
      </c>
      <c r="S150">
        <v>92.71</v>
      </c>
      <c r="T150">
        <v>22.74</v>
      </c>
      <c r="U150">
        <v>5.09</v>
      </c>
      <c r="V150">
        <v>2</v>
      </c>
      <c r="W150" t="s">
        <v>1085</v>
      </c>
      <c r="X150" t="s">
        <v>920</v>
      </c>
      <c r="Y150" t="s">
        <v>38</v>
      </c>
      <c r="Z150" t="s">
        <v>748</v>
      </c>
    </row>
    <row r="151" spans="1:26" hidden="1" x14ac:dyDescent="0.25">
      <c r="A151">
        <v>15</v>
      </c>
      <c r="B151" t="s">
        <v>921</v>
      </c>
      <c r="C151" t="s">
        <v>955</v>
      </c>
      <c r="D151" t="s">
        <v>924</v>
      </c>
      <c r="E151" t="s">
        <v>744</v>
      </c>
      <c r="F151" t="s">
        <v>77</v>
      </c>
      <c r="G151" t="s">
        <v>750</v>
      </c>
      <c r="H151">
        <v>6</v>
      </c>
      <c r="I151">
        <v>1500</v>
      </c>
      <c r="J151">
        <v>12000</v>
      </c>
      <c r="K151" t="s">
        <v>746</v>
      </c>
      <c r="M151">
        <v>1</v>
      </c>
      <c r="N151">
        <v>847.8</v>
      </c>
      <c r="O151" t="s">
        <v>39</v>
      </c>
      <c r="P151">
        <v>723.2</v>
      </c>
      <c r="Q151">
        <v>847.8</v>
      </c>
      <c r="S151">
        <v>92.71</v>
      </c>
      <c r="T151">
        <v>26.83</v>
      </c>
      <c r="U151">
        <v>5.0599999999999996</v>
      </c>
      <c r="V151">
        <v>2</v>
      </c>
      <c r="W151" t="s">
        <v>1085</v>
      </c>
      <c r="X151" t="s">
        <v>920</v>
      </c>
      <c r="Y151" t="s">
        <v>38</v>
      </c>
      <c r="Z151" t="s">
        <v>748</v>
      </c>
    </row>
    <row r="152" spans="1:26" hidden="1" x14ac:dyDescent="0.25">
      <c r="A152">
        <v>16</v>
      </c>
      <c r="B152" t="s">
        <v>921</v>
      </c>
      <c r="C152" t="s">
        <v>957</v>
      </c>
      <c r="D152" t="s">
        <v>924</v>
      </c>
      <c r="E152" t="s">
        <v>744</v>
      </c>
      <c r="F152" t="s">
        <v>77</v>
      </c>
      <c r="G152" t="s">
        <v>750</v>
      </c>
      <c r="H152">
        <v>6</v>
      </c>
      <c r="I152">
        <v>1500</v>
      </c>
      <c r="J152">
        <v>12000</v>
      </c>
      <c r="K152" t="s">
        <v>746</v>
      </c>
      <c r="M152">
        <v>1</v>
      </c>
      <c r="N152">
        <v>847.8</v>
      </c>
      <c r="O152" t="s">
        <v>39</v>
      </c>
      <c r="P152">
        <v>723.1</v>
      </c>
      <c r="Q152">
        <v>847.8</v>
      </c>
      <c r="S152">
        <v>93.17</v>
      </c>
      <c r="T152">
        <v>26.47</v>
      </c>
      <c r="U152">
        <v>5.0599999999999996</v>
      </c>
      <c r="V152">
        <v>2</v>
      </c>
      <c r="W152" t="s">
        <v>1085</v>
      </c>
      <c r="X152" t="s">
        <v>920</v>
      </c>
      <c r="Y152" t="s">
        <v>38</v>
      </c>
      <c r="Z152" t="s">
        <v>748</v>
      </c>
    </row>
    <row r="153" spans="1:26" hidden="1" x14ac:dyDescent="0.25">
      <c r="A153">
        <v>17</v>
      </c>
      <c r="B153" t="s">
        <v>921</v>
      </c>
      <c r="C153" t="s">
        <v>959</v>
      </c>
      <c r="D153" t="s">
        <v>924</v>
      </c>
      <c r="E153" t="s">
        <v>744</v>
      </c>
      <c r="F153" t="s">
        <v>77</v>
      </c>
      <c r="G153" t="s">
        <v>750</v>
      </c>
      <c r="H153">
        <v>6</v>
      </c>
      <c r="I153">
        <v>1500</v>
      </c>
      <c r="J153">
        <v>12000</v>
      </c>
      <c r="K153" t="s">
        <v>746</v>
      </c>
      <c r="M153">
        <v>1</v>
      </c>
      <c r="N153">
        <v>847.8</v>
      </c>
      <c r="O153" t="s">
        <v>39</v>
      </c>
      <c r="P153">
        <v>722.86</v>
      </c>
      <c r="Q153">
        <v>847.8</v>
      </c>
      <c r="S153">
        <v>80.27</v>
      </c>
      <c r="T153">
        <v>39.61</v>
      </c>
      <c r="U153">
        <v>5.0599999999999996</v>
      </c>
      <c r="V153">
        <v>2</v>
      </c>
      <c r="W153" t="s">
        <v>1085</v>
      </c>
      <c r="X153" t="s">
        <v>920</v>
      </c>
      <c r="Y153" t="s">
        <v>38</v>
      </c>
      <c r="Z153" t="s">
        <v>748</v>
      </c>
    </row>
    <row r="154" spans="1:26" hidden="1" x14ac:dyDescent="0.25">
      <c r="A154">
        <v>18</v>
      </c>
      <c r="B154" t="s">
        <v>921</v>
      </c>
      <c r="C154" t="s">
        <v>961</v>
      </c>
      <c r="D154" t="s">
        <v>924</v>
      </c>
      <c r="E154" t="s">
        <v>744</v>
      </c>
      <c r="F154" t="s">
        <v>77</v>
      </c>
      <c r="G154" t="s">
        <v>750</v>
      </c>
      <c r="H154">
        <v>6</v>
      </c>
      <c r="I154">
        <v>1500</v>
      </c>
      <c r="J154">
        <v>12000</v>
      </c>
      <c r="K154" t="s">
        <v>746</v>
      </c>
      <c r="M154">
        <v>1</v>
      </c>
      <c r="N154">
        <v>847.8</v>
      </c>
      <c r="O154" t="s">
        <v>39</v>
      </c>
      <c r="P154">
        <v>722.84</v>
      </c>
      <c r="Q154">
        <v>847.8</v>
      </c>
      <c r="S154">
        <v>80.27</v>
      </c>
      <c r="T154">
        <v>39.630000000000003</v>
      </c>
      <c r="U154">
        <v>5.0599999999999996</v>
      </c>
      <c r="V154">
        <v>2</v>
      </c>
      <c r="W154" t="s">
        <v>1085</v>
      </c>
      <c r="X154" t="s">
        <v>920</v>
      </c>
      <c r="Y154" t="s">
        <v>38</v>
      </c>
      <c r="Z154" t="s">
        <v>748</v>
      </c>
    </row>
    <row r="155" spans="1:26" hidden="1" x14ac:dyDescent="0.25">
      <c r="A155">
        <v>19</v>
      </c>
      <c r="B155" t="s">
        <v>921</v>
      </c>
      <c r="C155" t="s">
        <v>963</v>
      </c>
      <c r="D155" t="s">
        <v>924</v>
      </c>
      <c r="E155" t="s">
        <v>744</v>
      </c>
      <c r="F155" t="s">
        <v>77</v>
      </c>
      <c r="G155" t="s">
        <v>750</v>
      </c>
      <c r="H155">
        <v>6</v>
      </c>
      <c r="I155">
        <v>1500</v>
      </c>
      <c r="J155">
        <v>12000</v>
      </c>
      <c r="K155" t="s">
        <v>746</v>
      </c>
      <c r="M155">
        <v>1</v>
      </c>
      <c r="N155">
        <v>847.8</v>
      </c>
      <c r="O155" t="s">
        <v>39</v>
      </c>
      <c r="P155">
        <v>722.69</v>
      </c>
      <c r="Q155">
        <v>847.8</v>
      </c>
      <c r="S155">
        <v>94.75</v>
      </c>
      <c r="T155">
        <v>25.3</v>
      </c>
      <c r="U155">
        <v>5.0599999999999996</v>
      </c>
      <c r="V155">
        <v>2</v>
      </c>
      <c r="W155" t="s">
        <v>1085</v>
      </c>
      <c r="X155" t="s">
        <v>920</v>
      </c>
      <c r="Y155" t="s">
        <v>38</v>
      </c>
      <c r="Z155" t="s">
        <v>748</v>
      </c>
    </row>
    <row r="156" spans="1:26" hidden="1" x14ac:dyDescent="0.25">
      <c r="A156">
        <v>20</v>
      </c>
      <c r="B156" t="s">
        <v>921</v>
      </c>
      <c r="C156" t="s">
        <v>965</v>
      </c>
      <c r="D156" t="s">
        <v>924</v>
      </c>
      <c r="E156" t="s">
        <v>744</v>
      </c>
      <c r="F156" t="s">
        <v>77</v>
      </c>
      <c r="G156" t="s">
        <v>750</v>
      </c>
      <c r="H156">
        <v>6</v>
      </c>
      <c r="I156">
        <v>1500</v>
      </c>
      <c r="J156">
        <v>12000</v>
      </c>
      <c r="K156" t="s">
        <v>746</v>
      </c>
      <c r="M156">
        <v>1</v>
      </c>
      <c r="N156">
        <v>847.8</v>
      </c>
      <c r="O156" t="s">
        <v>39</v>
      </c>
      <c r="P156">
        <v>722.67</v>
      </c>
      <c r="Q156">
        <v>847.8</v>
      </c>
      <c r="S156">
        <v>93.43</v>
      </c>
      <c r="T156">
        <v>26.64</v>
      </c>
      <c r="U156">
        <v>5.0599999999999996</v>
      </c>
      <c r="V156">
        <v>2</v>
      </c>
      <c r="W156" t="s">
        <v>1085</v>
      </c>
      <c r="X156" t="s">
        <v>920</v>
      </c>
      <c r="Y156" t="s">
        <v>38</v>
      </c>
      <c r="Z156" t="s">
        <v>748</v>
      </c>
    </row>
    <row r="157" spans="1:26" hidden="1" x14ac:dyDescent="0.25">
      <c r="A157">
        <v>21</v>
      </c>
      <c r="B157" t="s">
        <v>921</v>
      </c>
      <c r="C157" t="s">
        <v>967</v>
      </c>
      <c r="D157" t="s">
        <v>924</v>
      </c>
      <c r="E157" t="s">
        <v>744</v>
      </c>
      <c r="F157" t="s">
        <v>77</v>
      </c>
      <c r="G157" t="s">
        <v>750</v>
      </c>
      <c r="H157">
        <v>6</v>
      </c>
      <c r="I157">
        <v>1500</v>
      </c>
      <c r="J157">
        <v>12000</v>
      </c>
      <c r="K157" t="s">
        <v>746</v>
      </c>
      <c r="M157">
        <v>1</v>
      </c>
      <c r="N157">
        <v>847.8</v>
      </c>
      <c r="O157" t="s">
        <v>39</v>
      </c>
      <c r="P157">
        <v>736.28</v>
      </c>
      <c r="Q157">
        <v>847.8</v>
      </c>
      <c r="S157">
        <v>80.27</v>
      </c>
      <c r="T157">
        <v>26.1</v>
      </c>
      <c r="U157">
        <v>5.15</v>
      </c>
      <c r="V157">
        <v>2</v>
      </c>
      <c r="W157" t="s">
        <v>1085</v>
      </c>
      <c r="X157" t="s">
        <v>920</v>
      </c>
      <c r="Y157" t="s">
        <v>38</v>
      </c>
      <c r="Z157" t="s">
        <v>748</v>
      </c>
    </row>
    <row r="158" spans="1:26" hidden="1" x14ac:dyDescent="0.25">
      <c r="A158">
        <v>22</v>
      </c>
      <c r="B158" t="s">
        <v>921</v>
      </c>
      <c r="C158" t="s">
        <v>969</v>
      </c>
      <c r="D158" t="s">
        <v>924</v>
      </c>
      <c r="E158" t="s">
        <v>744</v>
      </c>
      <c r="F158" t="s">
        <v>77</v>
      </c>
      <c r="G158" t="s">
        <v>750</v>
      </c>
      <c r="H158">
        <v>6</v>
      </c>
      <c r="I158">
        <v>1500</v>
      </c>
      <c r="J158">
        <v>12000</v>
      </c>
      <c r="K158" t="s">
        <v>746</v>
      </c>
      <c r="M158">
        <v>1</v>
      </c>
      <c r="N158">
        <v>847.8</v>
      </c>
      <c r="O158" t="s">
        <v>39</v>
      </c>
      <c r="P158">
        <v>742.43</v>
      </c>
      <c r="Q158">
        <v>847.8</v>
      </c>
      <c r="S158">
        <v>65.959999999999994</v>
      </c>
      <c r="T158">
        <v>34.21</v>
      </c>
      <c r="U158">
        <v>5.2</v>
      </c>
      <c r="V158">
        <v>2</v>
      </c>
      <c r="W158" t="s">
        <v>1085</v>
      </c>
      <c r="X158" t="s">
        <v>920</v>
      </c>
      <c r="Y158" t="s">
        <v>38</v>
      </c>
      <c r="Z158" t="s">
        <v>748</v>
      </c>
    </row>
    <row r="159" spans="1:26" hidden="1" x14ac:dyDescent="0.25">
      <c r="A159">
        <v>23</v>
      </c>
      <c r="B159" t="s">
        <v>921</v>
      </c>
      <c r="C159" t="s">
        <v>971</v>
      </c>
      <c r="D159" t="s">
        <v>924</v>
      </c>
      <c r="E159" t="s">
        <v>744</v>
      </c>
      <c r="F159" t="s">
        <v>77</v>
      </c>
      <c r="G159" t="s">
        <v>750</v>
      </c>
      <c r="H159">
        <v>6</v>
      </c>
      <c r="I159">
        <v>1500</v>
      </c>
      <c r="J159">
        <v>12000</v>
      </c>
      <c r="K159" t="s">
        <v>746</v>
      </c>
      <c r="M159">
        <v>1</v>
      </c>
      <c r="N159">
        <v>847.8</v>
      </c>
      <c r="O159" t="s">
        <v>39</v>
      </c>
      <c r="P159">
        <v>742.44</v>
      </c>
      <c r="Q159">
        <v>847.8</v>
      </c>
      <c r="S159">
        <v>65.709999999999994</v>
      </c>
      <c r="T159">
        <v>34.450000000000003</v>
      </c>
      <c r="U159">
        <v>5.2</v>
      </c>
      <c r="V159">
        <v>2</v>
      </c>
      <c r="W159" t="s">
        <v>1085</v>
      </c>
      <c r="X159" t="s">
        <v>920</v>
      </c>
      <c r="Y159" t="s">
        <v>38</v>
      </c>
      <c r="Z159" t="s">
        <v>748</v>
      </c>
    </row>
    <row r="160" spans="1:26" hidden="1" x14ac:dyDescent="0.25">
      <c r="A160">
        <v>24</v>
      </c>
      <c r="B160" t="s">
        <v>921</v>
      </c>
      <c r="C160" t="s">
        <v>973</v>
      </c>
      <c r="D160" t="s">
        <v>924</v>
      </c>
      <c r="E160" t="s">
        <v>744</v>
      </c>
      <c r="F160" t="s">
        <v>77</v>
      </c>
      <c r="G160" t="s">
        <v>750</v>
      </c>
      <c r="H160">
        <v>6</v>
      </c>
      <c r="I160">
        <v>1500</v>
      </c>
      <c r="J160">
        <v>12000</v>
      </c>
      <c r="K160" t="s">
        <v>746</v>
      </c>
      <c r="M160">
        <v>1</v>
      </c>
      <c r="N160">
        <v>847.8</v>
      </c>
      <c r="O160" t="s">
        <v>39</v>
      </c>
      <c r="P160">
        <v>720.91</v>
      </c>
      <c r="Q160">
        <v>847.8</v>
      </c>
      <c r="S160">
        <v>95.38</v>
      </c>
      <c r="T160">
        <v>26.46</v>
      </c>
      <c r="U160">
        <v>5.05</v>
      </c>
      <c r="V160">
        <v>2</v>
      </c>
      <c r="W160" t="s">
        <v>1085</v>
      </c>
      <c r="X160" t="s">
        <v>920</v>
      </c>
      <c r="Y160" t="s">
        <v>38</v>
      </c>
      <c r="Z160" t="s">
        <v>748</v>
      </c>
    </row>
    <row r="161" spans="1:26" hidden="1" x14ac:dyDescent="0.25">
      <c r="A161">
        <v>25</v>
      </c>
      <c r="B161" t="s">
        <v>921</v>
      </c>
      <c r="C161" t="s">
        <v>975</v>
      </c>
      <c r="D161" t="s">
        <v>924</v>
      </c>
      <c r="E161" t="s">
        <v>744</v>
      </c>
      <c r="F161" t="s">
        <v>77</v>
      </c>
      <c r="G161" t="s">
        <v>750</v>
      </c>
      <c r="H161">
        <v>6</v>
      </c>
      <c r="I161">
        <v>1500</v>
      </c>
      <c r="J161">
        <v>12000</v>
      </c>
      <c r="K161" t="s">
        <v>746</v>
      </c>
      <c r="M161">
        <v>1</v>
      </c>
      <c r="N161">
        <v>847.8</v>
      </c>
      <c r="O161" t="s">
        <v>39</v>
      </c>
      <c r="P161">
        <v>720.91</v>
      </c>
      <c r="Q161">
        <v>847.8</v>
      </c>
      <c r="S161">
        <v>97.12</v>
      </c>
      <c r="T161">
        <v>24.72</v>
      </c>
      <c r="U161">
        <v>5.05</v>
      </c>
      <c r="V161">
        <v>2</v>
      </c>
      <c r="W161" t="s">
        <v>1085</v>
      </c>
      <c r="X161" t="s">
        <v>920</v>
      </c>
      <c r="Y161" t="s">
        <v>38</v>
      </c>
      <c r="Z161" t="s">
        <v>748</v>
      </c>
    </row>
    <row r="162" spans="1:26" hidden="1" x14ac:dyDescent="0.25">
      <c r="A162">
        <v>26</v>
      </c>
      <c r="B162" t="s">
        <v>921</v>
      </c>
      <c r="C162" t="s">
        <v>977</v>
      </c>
      <c r="D162" t="s">
        <v>924</v>
      </c>
      <c r="E162" t="s">
        <v>744</v>
      </c>
      <c r="F162" t="s">
        <v>77</v>
      </c>
      <c r="G162" t="s">
        <v>750</v>
      </c>
      <c r="H162">
        <v>6</v>
      </c>
      <c r="I162">
        <v>1500</v>
      </c>
      <c r="J162">
        <v>12000</v>
      </c>
      <c r="K162" t="s">
        <v>746</v>
      </c>
      <c r="M162">
        <v>1</v>
      </c>
      <c r="N162">
        <v>847.8</v>
      </c>
      <c r="O162" t="s">
        <v>39</v>
      </c>
      <c r="P162">
        <v>720.91</v>
      </c>
      <c r="Q162">
        <v>847.8</v>
      </c>
      <c r="S162">
        <v>97.12</v>
      </c>
      <c r="T162">
        <v>24.72</v>
      </c>
      <c r="U162">
        <v>5.05</v>
      </c>
      <c r="V162">
        <v>2</v>
      </c>
      <c r="W162" t="s">
        <v>1085</v>
      </c>
      <c r="X162" t="s">
        <v>920</v>
      </c>
      <c r="Y162" t="s">
        <v>38</v>
      </c>
      <c r="Z162" t="s">
        <v>748</v>
      </c>
    </row>
    <row r="163" spans="1:26" hidden="1" x14ac:dyDescent="0.25">
      <c r="A163">
        <v>27</v>
      </c>
      <c r="B163" t="s">
        <v>921</v>
      </c>
      <c r="C163" t="s">
        <v>979</v>
      </c>
      <c r="D163" t="s">
        <v>924</v>
      </c>
      <c r="E163" t="s">
        <v>744</v>
      </c>
      <c r="F163" t="s">
        <v>77</v>
      </c>
      <c r="G163" t="s">
        <v>750</v>
      </c>
      <c r="H163">
        <v>6</v>
      </c>
      <c r="I163">
        <v>1500</v>
      </c>
      <c r="J163">
        <v>12000</v>
      </c>
      <c r="K163" t="s">
        <v>746</v>
      </c>
      <c r="M163">
        <v>1</v>
      </c>
      <c r="N163">
        <v>847.8</v>
      </c>
      <c r="O163" t="s">
        <v>39</v>
      </c>
      <c r="P163">
        <v>727.45</v>
      </c>
      <c r="Q163">
        <v>847.8</v>
      </c>
      <c r="S163">
        <v>80.260000000000005</v>
      </c>
      <c r="T163">
        <v>35</v>
      </c>
      <c r="U163">
        <v>5.09</v>
      </c>
      <c r="V163">
        <v>2</v>
      </c>
      <c r="W163" t="s">
        <v>1085</v>
      </c>
      <c r="X163" t="s">
        <v>920</v>
      </c>
      <c r="Y163" t="s">
        <v>38</v>
      </c>
      <c r="Z163" t="s">
        <v>748</v>
      </c>
    </row>
    <row r="164" spans="1:26" hidden="1" x14ac:dyDescent="0.25">
      <c r="A164">
        <v>28</v>
      </c>
      <c r="B164" t="s">
        <v>921</v>
      </c>
      <c r="C164" t="s">
        <v>981</v>
      </c>
      <c r="D164" t="s">
        <v>924</v>
      </c>
      <c r="E164" t="s">
        <v>744</v>
      </c>
      <c r="F164" t="s">
        <v>77</v>
      </c>
      <c r="G164" t="s">
        <v>750</v>
      </c>
      <c r="H164">
        <v>6</v>
      </c>
      <c r="I164">
        <v>1500</v>
      </c>
      <c r="J164">
        <v>12000</v>
      </c>
      <c r="K164" t="s">
        <v>746</v>
      </c>
      <c r="M164">
        <v>1</v>
      </c>
      <c r="N164">
        <v>847.8</v>
      </c>
      <c r="O164" t="s">
        <v>39</v>
      </c>
      <c r="P164">
        <v>737.24</v>
      </c>
      <c r="Q164">
        <v>847.8</v>
      </c>
      <c r="S164">
        <v>80.260000000000005</v>
      </c>
      <c r="T164">
        <v>25.14</v>
      </c>
      <c r="U164">
        <v>5.16</v>
      </c>
      <c r="V164">
        <v>2</v>
      </c>
      <c r="W164" t="s">
        <v>1085</v>
      </c>
      <c r="X164" t="s">
        <v>920</v>
      </c>
      <c r="Y164" t="s">
        <v>38</v>
      </c>
      <c r="Z164" t="s">
        <v>748</v>
      </c>
    </row>
    <row r="165" spans="1:26" hidden="1" x14ac:dyDescent="0.25">
      <c r="A165">
        <v>29</v>
      </c>
      <c r="B165" t="s">
        <v>921</v>
      </c>
      <c r="C165" t="s">
        <v>983</v>
      </c>
      <c r="D165" t="s">
        <v>924</v>
      </c>
      <c r="E165" t="s">
        <v>744</v>
      </c>
      <c r="F165" t="s">
        <v>77</v>
      </c>
      <c r="G165" t="s">
        <v>750</v>
      </c>
      <c r="H165">
        <v>6</v>
      </c>
      <c r="I165">
        <v>1500</v>
      </c>
      <c r="J165">
        <v>12000</v>
      </c>
      <c r="K165" t="s">
        <v>746</v>
      </c>
      <c r="M165">
        <v>1</v>
      </c>
      <c r="N165">
        <v>847.8</v>
      </c>
      <c r="O165" t="s">
        <v>39</v>
      </c>
      <c r="P165">
        <v>773.2</v>
      </c>
      <c r="Q165">
        <v>847.8</v>
      </c>
      <c r="T165">
        <v>69.19</v>
      </c>
      <c r="U165">
        <v>5.41</v>
      </c>
      <c r="V165">
        <v>2</v>
      </c>
      <c r="W165" t="s">
        <v>1085</v>
      </c>
      <c r="X165" t="s">
        <v>920</v>
      </c>
      <c r="Y165" t="s">
        <v>38</v>
      </c>
      <c r="Z165" t="s">
        <v>748</v>
      </c>
    </row>
    <row r="166" spans="1:26" hidden="1" x14ac:dyDescent="0.25">
      <c r="A166">
        <v>30</v>
      </c>
      <c r="B166" t="s">
        <v>921</v>
      </c>
      <c r="C166" t="s">
        <v>986</v>
      </c>
      <c r="D166" t="s">
        <v>924</v>
      </c>
      <c r="E166" t="s">
        <v>744</v>
      </c>
      <c r="F166" t="s">
        <v>77</v>
      </c>
      <c r="G166" t="s">
        <v>1087</v>
      </c>
      <c r="H166">
        <v>6</v>
      </c>
      <c r="I166">
        <v>1500</v>
      </c>
      <c r="J166">
        <v>6325</v>
      </c>
      <c r="K166" t="s">
        <v>746</v>
      </c>
      <c r="M166">
        <v>1</v>
      </c>
      <c r="N166">
        <v>446.86</v>
      </c>
      <c r="O166" t="s">
        <v>987</v>
      </c>
      <c r="P166">
        <v>343.17</v>
      </c>
      <c r="R166">
        <v>446.86</v>
      </c>
      <c r="S166">
        <v>83.87</v>
      </c>
      <c r="T166">
        <v>17.420000000000002</v>
      </c>
      <c r="U166">
        <v>2.4</v>
      </c>
      <c r="V166">
        <v>2</v>
      </c>
      <c r="W166" t="s">
        <v>1085</v>
      </c>
      <c r="X166" t="s">
        <v>920</v>
      </c>
      <c r="Y166" t="s">
        <v>38</v>
      </c>
      <c r="Z166" t="s">
        <v>748</v>
      </c>
    </row>
    <row r="167" spans="1:26" hidden="1" x14ac:dyDescent="0.25">
      <c r="A167">
        <v>31</v>
      </c>
      <c r="B167" t="s">
        <v>921</v>
      </c>
      <c r="C167" t="s">
        <v>989</v>
      </c>
      <c r="D167" t="s">
        <v>924</v>
      </c>
      <c r="E167" t="s">
        <v>744</v>
      </c>
      <c r="F167" t="s">
        <v>77</v>
      </c>
      <c r="G167" t="s">
        <v>751</v>
      </c>
      <c r="H167">
        <v>8</v>
      </c>
      <c r="I167">
        <v>2000</v>
      </c>
      <c r="J167">
        <v>12000</v>
      </c>
      <c r="K167" t="s">
        <v>746</v>
      </c>
      <c r="M167">
        <v>1</v>
      </c>
      <c r="N167">
        <v>1507.2</v>
      </c>
      <c r="O167" t="s">
        <v>39</v>
      </c>
      <c r="P167">
        <v>1450.53</v>
      </c>
      <c r="Q167">
        <v>1507.2</v>
      </c>
      <c r="T167">
        <v>46.52</v>
      </c>
      <c r="U167">
        <v>10.15</v>
      </c>
      <c r="V167">
        <v>2</v>
      </c>
      <c r="W167" t="s">
        <v>1085</v>
      </c>
      <c r="X167" t="s">
        <v>920</v>
      </c>
      <c r="Y167" t="s">
        <v>38</v>
      </c>
      <c r="Z167" t="s">
        <v>748</v>
      </c>
    </row>
    <row r="168" spans="1:26" hidden="1" x14ac:dyDescent="0.25">
      <c r="A168">
        <v>32</v>
      </c>
      <c r="B168" t="s">
        <v>921</v>
      </c>
      <c r="C168" t="s">
        <v>991</v>
      </c>
      <c r="D168" t="s">
        <v>924</v>
      </c>
      <c r="E168" t="s">
        <v>744</v>
      </c>
      <c r="F168" t="s">
        <v>77</v>
      </c>
      <c r="G168" t="s">
        <v>751</v>
      </c>
      <c r="H168">
        <v>8</v>
      </c>
      <c r="I168">
        <v>2000</v>
      </c>
      <c r="J168">
        <v>12000</v>
      </c>
      <c r="K168" t="s">
        <v>746</v>
      </c>
      <c r="M168">
        <v>1</v>
      </c>
      <c r="N168">
        <v>1507.2</v>
      </c>
      <c r="O168" t="s">
        <v>39</v>
      </c>
      <c r="P168">
        <v>1422.67</v>
      </c>
      <c r="Q168">
        <v>1507.2</v>
      </c>
      <c r="T168">
        <v>74.569999999999993</v>
      </c>
      <c r="U168">
        <v>9.9600000000000009</v>
      </c>
      <c r="V168">
        <v>2</v>
      </c>
      <c r="W168" t="s">
        <v>1085</v>
      </c>
      <c r="X168" t="s">
        <v>920</v>
      </c>
      <c r="Y168" t="s">
        <v>38</v>
      </c>
      <c r="Z168" t="s">
        <v>748</v>
      </c>
    </row>
    <row r="169" spans="1:26" hidden="1" x14ac:dyDescent="0.25">
      <c r="A169">
        <v>33</v>
      </c>
      <c r="B169" t="s">
        <v>921</v>
      </c>
      <c r="C169" t="s">
        <v>993</v>
      </c>
      <c r="D169" t="s">
        <v>924</v>
      </c>
      <c r="E169" t="s">
        <v>744</v>
      </c>
      <c r="F169" t="s">
        <v>77</v>
      </c>
      <c r="G169" t="s">
        <v>751</v>
      </c>
      <c r="H169">
        <v>8</v>
      </c>
      <c r="I169">
        <v>2000</v>
      </c>
      <c r="J169">
        <v>12000</v>
      </c>
      <c r="K169" t="s">
        <v>746</v>
      </c>
      <c r="M169">
        <v>1</v>
      </c>
      <c r="N169">
        <v>1507.2</v>
      </c>
      <c r="O169" t="s">
        <v>39</v>
      </c>
      <c r="P169">
        <v>1422.45</v>
      </c>
      <c r="Q169">
        <v>1507.2</v>
      </c>
      <c r="T169">
        <v>74.790000000000006</v>
      </c>
      <c r="U169">
        <v>9.9600000000000009</v>
      </c>
      <c r="V169">
        <v>2</v>
      </c>
      <c r="W169" t="s">
        <v>1085</v>
      </c>
      <c r="X169" t="s">
        <v>920</v>
      </c>
      <c r="Y169" t="s">
        <v>38</v>
      </c>
      <c r="Z169" t="s">
        <v>748</v>
      </c>
    </row>
    <row r="170" spans="1:26" hidden="1" x14ac:dyDescent="0.25">
      <c r="A170">
        <v>34</v>
      </c>
      <c r="B170" t="s">
        <v>921</v>
      </c>
      <c r="C170" t="s">
        <v>995</v>
      </c>
      <c r="D170" t="s">
        <v>924</v>
      </c>
      <c r="E170" t="s">
        <v>744</v>
      </c>
      <c r="F170" t="s">
        <v>77</v>
      </c>
      <c r="G170" t="s">
        <v>751</v>
      </c>
      <c r="H170">
        <v>8</v>
      </c>
      <c r="I170">
        <v>2000</v>
      </c>
      <c r="J170">
        <v>12000</v>
      </c>
      <c r="K170" t="s">
        <v>746</v>
      </c>
      <c r="M170">
        <v>1</v>
      </c>
      <c r="N170">
        <v>1507.2</v>
      </c>
      <c r="O170" t="s">
        <v>39</v>
      </c>
      <c r="P170">
        <v>1396.27</v>
      </c>
      <c r="Q170">
        <v>1507.2</v>
      </c>
      <c r="T170">
        <v>101.16</v>
      </c>
      <c r="U170">
        <v>9.77</v>
      </c>
      <c r="V170">
        <v>2</v>
      </c>
      <c r="W170" t="s">
        <v>1085</v>
      </c>
      <c r="X170" t="s">
        <v>920</v>
      </c>
      <c r="Y170" t="s">
        <v>38</v>
      </c>
      <c r="Z170" t="s">
        <v>748</v>
      </c>
    </row>
    <row r="171" spans="1:26" hidden="1" x14ac:dyDescent="0.25">
      <c r="A171">
        <v>35</v>
      </c>
      <c r="B171" t="s">
        <v>921</v>
      </c>
      <c r="C171" t="s">
        <v>997</v>
      </c>
      <c r="D171" t="s">
        <v>924</v>
      </c>
      <c r="E171" t="s">
        <v>744</v>
      </c>
      <c r="F171" t="s">
        <v>77</v>
      </c>
      <c r="G171" t="s">
        <v>751</v>
      </c>
      <c r="H171">
        <v>8</v>
      </c>
      <c r="I171">
        <v>2000</v>
      </c>
      <c r="J171">
        <v>12000</v>
      </c>
      <c r="K171" t="s">
        <v>746</v>
      </c>
      <c r="M171">
        <v>1</v>
      </c>
      <c r="N171">
        <v>1507.2</v>
      </c>
      <c r="O171" t="s">
        <v>39</v>
      </c>
      <c r="P171">
        <v>1397.65</v>
      </c>
      <c r="Q171">
        <v>1507.2</v>
      </c>
      <c r="T171">
        <v>99.77</v>
      </c>
      <c r="U171">
        <v>9.7799999999999994</v>
      </c>
      <c r="V171">
        <v>2</v>
      </c>
      <c r="W171" t="s">
        <v>1085</v>
      </c>
      <c r="X171" t="s">
        <v>920</v>
      </c>
      <c r="Y171" t="s">
        <v>38</v>
      </c>
      <c r="Z171" t="s">
        <v>748</v>
      </c>
    </row>
    <row r="172" spans="1:26" hidden="1" x14ac:dyDescent="0.25">
      <c r="A172">
        <v>36</v>
      </c>
      <c r="B172" t="s">
        <v>921</v>
      </c>
      <c r="C172" t="s">
        <v>999</v>
      </c>
      <c r="D172" t="s">
        <v>924</v>
      </c>
      <c r="E172" t="s">
        <v>744</v>
      </c>
      <c r="F172" t="s">
        <v>77</v>
      </c>
      <c r="G172" t="s">
        <v>751</v>
      </c>
      <c r="H172">
        <v>8</v>
      </c>
      <c r="I172">
        <v>2000</v>
      </c>
      <c r="J172">
        <v>12000</v>
      </c>
      <c r="K172" t="s">
        <v>746</v>
      </c>
      <c r="M172">
        <v>1</v>
      </c>
      <c r="N172">
        <v>1507.2</v>
      </c>
      <c r="O172" t="s">
        <v>39</v>
      </c>
      <c r="P172">
        <v>1412.28</v>
      </c>
      <c r="Q172">
        <v>1507.2</v>
      </c>
      <c r="T172">
        <v>85.03</v>
      </c>
      <c r="U172">
        <v>9.89</v>
      </c>
      <c r="V172">
        <v>2</v>
      </c>
      <c r="W172" t="s">
        <v>1085</v>
      </c>
      <c r="X172" t="s">
        <v>920</v>
      </c>
      <c r="Y172" t="s">
        <v>38</v>
      </c>
      <c r="Z172" t="s">
        <v>748</v>
      </c>
    </row>
    <row r="173" spans="1:26" hidden="1" x14ac:dyDescent="0.25">
      <c r="A173">
        <v>37</v>
      </c>
      <c r="B173" t="s">
        <v>921</v>
      </c>
      <c r="C173" t="s">
        <v>1001</v>
      </c>
      <c r="D173" t="s">
        <v>924</v>
      </c>
      <c r="E173" t="s">
        <v>744</v>
      </c>
      <c r="F173" t="s">
        <v>77</v>
      </c>
      <c r="G173" t="s">
        <v>751</v>
      </c>
      <c r="H173">
        <v>8</v>
      </c>
      <c r="I173">
        <v>2000</v>
      </c>
      <c r="J173">
        <v>12000</v>
      </c>
      <c r="K173" t="s">
        <v>746</v>
      </c>
      <c r="M173">
        <v>1</v>
      </c>
      <c r="N173">
        <v>1507.2</v>
      </c>
      <c r="O173" t="s">
        <v>39</v>
      </c>
      <c r="P173">
        <v>1422.01</v>
      </c>
      <c r="Q173">
        <v>1507.2</v>
      </c>
      <c r="T173">
        <v>75.239999999999995</v>
      </c>
      <c r="U173">
        <v>9.9499999999999993</v>
      </c>
      <c r="V173">
        <v>2</v>
      </c>
      <c r="W173" t="s">
        <v>1085</v>
      </c>
      <c r="X173" t="s">
        <v>920</v>
      </c>
      <c r="Y173" t="s">
        <v>38</v>
      </c>
      <c r="Z173" t="s">
        <v>748</v>
      </c>
    </row>
    <row r="174" spans="1:26" hidden="1" x14ac:dyDescent="0.25">
      <c r="A174">
        <v>38</v>
      </c>
      <c r="B174" t="s">
        <v>921</v>
      </c>
      <c r="C174" t="s">
        <v>1003</v>
      </c>
      <c r="D174" t="s">
        <v>924</v>
      </c>
      <c r="E174" t="s">
        <v>744</v>
      </c>
      <c r="F174" t="s">
        <v>77</v>
      </c>
      <c r="G174" t="s">
        <v>751</v>
      </c>
      <c r="H174">
        <v>8</v>
      </c>
      <c r="I174">
        <v>2000</v>
      </c>
      <c r="J174">
        <v>12000</v>
      </c>
      <c r="K174" t="s">
        <v>746</v>
      </c>
      <c r="M174">
        <v>1</v>
      </c>
      <c r="N174">
        <v>1507.2</v>
      </c>
      <c r="O174" t="s">
        <v>39</v>
      </c>
      <c r="P174">
        <v>1448.71</v>
      </c>
      <c r="Q174">
        <v>1507.2</v>
      </c>
      <c r="T174">
        <v>48.35</v>
      </c>
      <c r="U174">
        <v>10.14</v>
      </c>
      <c r="V174">
        <v>2</v>
      </c>
      <c r="W174" t="s">
        <v>1085</v>
      </c>
      <c r="X174" t="s">
        <v>920</v>
      </c>
      <c r="Y174" t="s">
        <v>38</v>
      </c>
      <c r="Z174" t="s">
        <v>748</v>
      </c>
    </row>
    <row r="175" spans="1:26" hidden="1" x14ac:dyDescent="0.25">
      <c r="A175">
        <v>39</v>
      </c>
      <c r="B175" t="s">
        <v>921</v>
      </c>
      <c r="C175" t="s">
        <v>1005</v>
      </c>
      <c r="D175" t="s">
        <v>924</v>
      </c>
      <c r="E175" t="s">
        <v>744</v>
      </c>
      <c r="F175" t="s">
        <v>77</v>
      </c>
      <c r="G175" t="s">
        <v>751</v>
      </c>
      <c r="H175">
        <v>8</v>
      </c>
      <c r="I175">
        <v>2000</v>
      </c>
      <c r="J175">
        <v>12000</v>
      </c>
      <c r="K175" t="s">
        <v>746</v>
      </c>
      <c r="M175">
        <v>1</v>
      </c>
      <c r="N175">
        <v>1507.2</v>
      </c>
      <c r="O175" t="s">
        <v>39</v>
      </c>
      <c r="P175">
        <v>1434.86</v>
      </c>
      <c r="Q175">
        <v>1507.2</v>
      </c>
      <c r="T175">
        <v>62.3</v>
      </c>
      <c r="U175">
        <v>10.039999999999999</v>
      </c>
      <c r="V175">
        <v>2</v>
      </c>
      <c r="W175" t="s">
        <v>1085</v>
      </c>
      <c r="X175" t="s">
        <v>920</v>
      </c>
      <c r="Y175" t="s">
        <v>38</v>
      </c>
      <c r="Z175" t="s">
        <v>748</v>
      </c>
    </row>
    <row r="176" spans="1:26" hidden="1" x14ac:dyDescent="0.25">
      <c r="A176">
        <v>40</v>
      </c>
      <c r="B176" t="s">
        <v>921</v>
      </c>
      <c r="C176" t="s">
        <v>1007</v>
      </c>
      <c r="D176" t="s">
        <v>924</v>
      </c>
      <c r="E176" t="s">
        <v>744</v>
      </c>
      <c r="F176" t="s">
        <v>77</v>
      </c>
      <c r="G176" t="s">
        <v>751</v>
      </c>
      <c r="H176">
        <v>8</v>
      </c>
      <c r="I176">
        <v>2000</v>
      </c>
      <c r="J176">
        <v>12000</v>
      </c>
      <c r="K176" t="s">
        <v>746</v>
      </c>
      <c r="M176">
        <v>1</v>
      </c>
      <c r="N176">
        <v>1507.2</v>
      </c>
      <c r="O176" t="s">
        <v>39</v>
      </c>
      <c r="P176">
        <v>1424.4</v>
      </c>
      <c r="Q176">
        <v>1507.2</v>
      </c>
      <c r="T176">
        <v>72.83</v>
      </c>
      <c r="U176">
        <v>9.9700000000000006</v>
      </c>
      <c r="V176">
        <v>2</v>
      </c>
      <c r="W176" t="s">
        <v>1085</v>
      </c>
      <c r="X176" t="s">
        <v>920</v>
      </c>
      <c r="Y176" t="s">
        <v>38</v>
      </c>
      <c r="Z176" t="s">
        <v>748</v>
      </c>
    </row>
    <row r="177" spans="1:26" hidden="1" x14ac:dyDescent="0.25">
      <c r="A177">
        <v>41</v>
      </c>
      <c r="B177" t="s">
        <v>921</v>
      </c>
      <c r="C177" t="s">
        <v>1009</v>
      </c>
      <c r="D177" t="s">
        <v>924</v>
      </c>
      <c r="E177" t="s">
        <v>744</v>
      </c>
      <c r="F177" t="s">
        <v>77</v>
      </c>
      <c r="G177" t="s">
        <v>752</v>
      </c>
      <c r="H177">
        <v>8</v>
      </c>
      <c r="I177">
        <v>322</v>
      </c>
      <c r="J177">
        <v>696</v>
      </c>
      <c r="K177" t="s">
        <v>746</v>
      </c>
      <c r="M177">
        <v>1</v>
      </c>
      <c r="N177">
        <v>14.06</v>
      </c>
      <c r="O177" t="s">
        <v>355</v>
      </c>
      <c r="P177">
        <v>10.99</v>
      </c>
      <c r="R177">
        <v>14.06</v>
      </c>
      <c r="T177">
        <v>2.99</v>
      </c>
      <c r="U177">
        <v>0.08</v>
      </c>
      <c r="V177">
        <v>2</v>
      </c>
      <c r="W177" t="s">
        <v>1085</v>
      </c>
      <c r="X177" t="s">
        <v>920</v>
      </c>
      <c r="Y177" t="s">
        <v>38</v>
      </c>
      <c r="Z177" t="s">
        <v>748</v>
      </c>
    </row>
    <row r="178" spans="1:26" hidden="1" x14ac:dyDescent="0.25">
      <c r="A178">
        <v>42</v>
      </c>
      <c r="B178" t="s">
        <v>921</v>
      </c>
      <c r="C178" t="s">
        <v>1011</v>
      </c>
      <c r="D178" t="s">
        <v>924</v>
      </c>
      <c r="E178" t="s">
        <v>744</v>
      </c>
      <c r="F178" t="s">
        <v>77</v>
      </c>
      <c r="G178" t="s">
        <v>753</v>
      </c>
      <c r="H178">
        <v>10</v>
      </c>
      <c r="I178">
        <v>1500</v>
      </c>
      <c r="J178">
        <v>12000</v>
      </c>
      <c r="K178" t="s">
        <v>746</v>
      </c>
      <c r="M178">
        <v>1</v>
      </c>
      <c r="N178">
        <v>1413</v>
      </c>
      <c r="O178" t="s">
        <v>39</v>
      </c>
      <c r="P178">
        <v>1375.31</v>
      </c>
      <c r="Q178">
        <v>1413</v>
      </c>
      <c r="T178">
        <v>28.06</v>
      </c>
      <c r="U178">
        <v>9.6300000000000008</v>
      </c>
      <c r="V178">
        <v>2</v>
      </c>
      <c r="W178" t="s">
        <v>1085</v>
      </c>
      <c r="X178" t="s">
        <v>920</v>
      </c>
      <c r="Y178" t="s">
        <v>38</v>
      </c>
      <c r="Z178" t="s">
        <v>748</v>
      </c>
    </row>
    <row r="179" spans="1:26" hidden="1" x14ac:dyDescent="0.25">
      <c r="A179">
        <v>43</v>
      </c>
      <c r="B179" t="s">
        <v>921</v>
      </c>
      <c r="C179" t="s">
        <v>1013</v>
      </c>
      <c r="D179" t="s">
        <v>924</v>
      </c>
      <c r="E179" t="s">
        <v>744</v>
      </c>
      <c r="F179" t="s">
        <v>77</v>
      </c>
      <c r="G179" t="s">
        <v>753</v>
      </c>
      <c r="H179">
        <v>10</v>
      </c>
      <c r="I179">
        <v>1500</v>
      </c>
      <c r="J179">
        <v>12000</v>
      </c>
      <c r="K179" t="s">
        <v>746</v>
      </c>
      <c r="M179">
        <v>1</v>
      </c>
      <c r="N179">
        <v>1413</v>
      </c>
      <c r="O179" t="s">
        <v>39</v>
      </c>
      <c r="P179">
        <v>1375.31</v>
      </c>
      <c r="Q179">
        <v>1413</v>
      </c>
      <c r="T179">
        <v>28.06</v>
      </c>
      <c r="U179">
        <v>9.6300000000000008</v>
      </c>
      <c r="V179">
        <v>2</v>
      </c>
      <c r="W179" t="s">
        <v>1085</v>
      </c>
      <c r="X179" t="s">
        <v>920</v>
      </c>
      <c r="Y179" t="s">
        <v>38</v>
      </c>
      <c r="Z179" t="s">
        <v>748</v>
      </c>
    </row>
    <row r="180" spans="1:26" hidden="1" x14ac:dyDescent="0.25">
      <c r="A180">
        <v>44</v>
      </c>
      <c r="B180" t="s">
        <v>921</v>
      </c>
      <c r="C180" t="s">
        <v>1015</v>
      </c>
      <c r="D180" t="s">
        <v>924</v>
      </c>
      <c r="E180" t="s">
        <v>744</v>
      </c>
      <c r="F180" t="s">
        <v>77</v>
      </c>
      <c r="G180" t="s">
        <v>753</v>
      </c>
      <c r="H180">
        <v>10</v>
      </c>
      <c r="I180">
        <v>1500</v>
      </c>
      <c r="J180">
        <v>12000</v>
      </c>
      <c r="K180" t="s">
        <v>746</v>
      </c>
      <c r="M180">
        <v>1</v>
      </c>
      <c r="N180">
        <v>1413</v>
      </c>
      <c r="O180" t="s">
        <v>39</v>
      </c>
      <c r="P180">
        <v>1375.32</v>
      </c>
      <c r="Q180">
        <v>1413</v>
      </c>
      <c r="T180">
        <v>28.05</v>
      </c>
      <c r="U180">
        <v>9.6300000000000008</v>
      </c>
      <c r="V180">
        <v>2</v>
      </c>
      <c r="W180" t="s">
        <v>1085</v>
      </c>
      <c r="X180" t="s">
        <v>920</v>
      </c>
      <c r="Y180" t="s">
        <v>38</v>
      </c>
      <c r="Z180" t="s">
        <v>748</v>
      </c>
    </row>
    <row r="181" spans="1:26" hidden="1" x14ac:dyDescent="0.25">
      <c r="A181">
        <v>45</v>
      </c>
      <c r="B181" t="s">
        <v>921</v>
      </c>
      <c r="C181" t="s">
        <v>1017</v>
      </c>
      <c r="D181" t="s">
        <v>924</v>
      </c>
      <c r="E181" t="s">
        <v>744</v>
      </c>
      <c r="F181" t="s">
        <v>77</v>
      </c>
      <c r="G181" t="s">
        <v>753</v>
      </c>
      <c r="H181">
        <v>10</v>
      </c>
      <c r="I181">
        <v>1500</v>
      </c>
      <c r="J181">
        <v>12000</v>
      </c>
      <c r="K181" t="s">
        <v>746</v>
      </c>
      <c r="M181">
        <v>1</v>
      </c>
      <c r="N181">
        <v>1413</v>
      </c>
      <c r="O181" t="s">
        <v>39</v>
      </c>
      <c r="P181">
        <v>1365.89</v>
      </c>
      <c r="Q181">
        <v>1413</v>
      </c>
      <c r="T181">
        <v>37.549999999999997</v>
      </c>
      <c r="U181">
        <v>9.56</v>
      </c>
      <c r="V181">
        <v>2</v>
      </c>
      <c r="W181" t="s">
        <v>1085</v>
      </c>
      <c r="X181" t="s">
        <v>920</v>
      </c>
      <c r="Y181" t="s">
        <v>38</v>
      </c>
      <c r="Z181" t="s">
        <v>748</v>
      </c>
    </row>
    <row r="182" spans="1:26" hidden="1" x14ac:dyDescent="0.25">
      <c r="A182">
        <v>46</v>
      </c>
      <c r="B182" t="s">
        <v>921</v>
      </c>
      <c r="C182" t="s">
        <v>1019</v>
      </c>
      <c r="D182" t="s">
        <v>924</v>
      </c>
      <c r="E182" t="s">
        <v>744</v>
      </c>
      <c r="F182" t="s">
        <v>77</v>
      </c>
      <c r="G182" t="s">
        <v>753</v>
      </c>
      <c r="H182">
        <v>10</v>
      </c>
      <c r="I182">
        <v>1500</v>
      </c>
      <c r="J182">
        <v>12000</v>
      </c>
      <c r="K182" t="s">
        <v>746</v>
      </c>
      <c r="M182">
        <v>1</v>
      </c>
      <c r="N182">
        <v>1413</v>
      </c>
      <c r="O182" t="s">
        <v>39</v>
      </c>
      <c r="P182">
        <v>1313.14</v>
      </c>
      <c r="Q182">
        <v>1413</v>
      </c>
      <c r="T182">
        <v>90.67</v>
      </c>
      <c r="U182">
        <v>9.19</v>
      </c>
      <c r="V182">
        <v>2</v>
      </c>
      <c r="W182" t="s">
        <v>1085</v>
      </c>
      <c r="X182" t="s">
        <v>920</v>
      </c>
      <c r="Y182" t="s">
        <v>38</v>
      </c>
      <c r="Z182" t="s">
        <v>748</v>
      </c>
    </row>
    <row r="183" spans="1:26" hidden="1" x14ac:dyDescent="0.25">
      <c r="A183">
        <v>47</v>
      </c>
      <c r="B183" t="s">
        <v>921</v>
      </c>
      <c r="C183" t="s">
        <v>1021</v>
      </c>
      <c r="D183" t="s">
        <v>924</v>
      </c>
      <c r="E183" t="s">
        <v>744</v>
      </c>
      <c r="F183" t="s">
        <v>77</v>
      </c>
      <c r="G183" t="s">
        <v>753</v>
      </c>
      <c r="H183">
        <v>10</v>
      </c>
      <c r="I183">
        <v>1500</v>
      </c>
      <c r="J183">
        <v>12000</v>
      </c>
      <c r="K183" t="s">
        <v>746</v>
      </c>
      <c r="M183">
        <v>1</v>
      </c>
      <c r="N183">
        <v>1413</v>
      </c>
      <c r="O183" t="s">
        <v>39</v>
      </c>
      <c r="P183">
        <v>1338.6</v>
      </c>
      <c r="Q183">
        <v>1413</v>
      </c>
      <c r="T183">
        <v>65.03</v>
      </c>
      <c r="U183">
        <v>9.3699999999999992</v>
      </c>
      <c r="V183">
        <v>2</v>
      </c>
      <c r="W183" t="s">
        <v>1085</v>
      </c>
      <c r="X183" t="s">
        <v>920</v>
      </c>
      <c r="Y183" t="s">
        <v>38</v>
      </c>
      <c r="Z183" t="s">
        <v>748</v>
      </c>
    </row>
    <row r="184" spans="1:26" hidden="1" x14ac:dyDescent="0.25">
      <c r="A184">
        <v>48</v>
      </c>
      <c r="B184" t="s">
        <v>921</v>
      </c>
      <c r="C184" t="s">
        <v>1023</v>
      </c>
      <c r="D184" t="s">
        <v>924</v>
      </c>
      <c r="E184" t="s">
        <v>744</v>
      </c>
      <c r="F184" t="s">
        <v>77</v>
      </c>
      <c r="G184" t="s">
        <v>753</v>
      </c>
      <c r="H184">
        <v>10</v>
      </c>
      <c r="I184">
        <v>1500</v>
      </c>
      <c r="J184">
        <v>12000</v>
      </c>
      <c r="K184" t="s">
        <v>746</v>
      </c>
      <c r="M184">
        <v>1</v>
      </c>
      <c r="N184">
        <v>1413</v>
      </c>
      <c r="O184" t="s">
        <v>39</v>
      </c>
      <c r="P184">
        <v>1327.92</v>
      </c>
      <c r="Q184">
        <v>1413</v>
      </c>
      <c r="T184">
        <v>75.78</v>
      </c>
      <c r="U184">
        <v>9.3000000000000007</v>
      </c>
      <c r="V184">
        <v>2</v>
      </c>
      <c r="W184" t="s">
        <v>1085</v>
      </c>
      <c r="X184" t="s">
        <v>920</v>
      </c>
      <c r="Y184" t="s">
        <v>38</v>
      </c>
      <c r="Z184" t="s">
        <v>748</v>
      </c>
    </row>
    <row r="185" spans="1:26" hidden="1" x14ac:dyDescent="0.25">
      <c r="A185">
        <v>49</v>
      </c>
      <c r="B185" t="s">
        <v>921</v>
      </c>
      <c r="C185" t="s">
        <v>1025</v>
      </c>
      <c r="D185" t="s">
        <v>924</v>
      </c>
      <c r="E185" t="s">
        <v>744</v>
      </c>
      <c r="F185" t="s">
        <v>77</v>
      </c>
      <c r="G185" t="s">
        <v>753</v>
      </c>
      <c r="H185">
        <v>10</v>
      </c>
      <c r="I185">
        <v>1500</v>
      </c>
      <c r="J185">
        <v>12000</v>
      </c>
      <c r="K185" t="s">
        <v>746</v>
      </c>
      <c r="M185">
        <v>1</v>
      </c>
      <c r="N185">
        <v>1413</v>
      </c>
      <c r="O185" t="s">
        <v>39</v>
      </c>
      <c r="P185">
        <v>1338.82</v>
      </c>
      <c r="Q185">
        <v>1413</v>
      </c>
      <c r="T185">
        <v>64.81</v>
      </c>
      <c r="U185">
        <v>9.3699999999999992</v>
      </c>
      <c r="V185">
        <v>2</v>
      </c>
      <c r="W185" t="s">
        <v>1085</v>
      </c>
      <c r="X185" t="s">
        <v>920</v>
      </c>
      <c r="Y185" t="s">
        <v>38</v>
      </c>
      <c r="Z185" t="s">
        <v>748</v>
      </c>
    </row>
    <row r="186" spans="1:26" hidden="1" x14ac:dyDescent="0.25">
      <c r="A186">
        <v>50</v>
      </c>
      <c r="B186" t="s">
        <v>921</v>
      </c>
      <c r="C186" t="s">
        <v>1027</v>
      </c>
      <c r="D186" t="s">
        <v>924</v>
      </c>
      <c r="E186" t="s">
        <v>744</v>
      </c>
      <c r="F186" t="s">
        <v>77</v>
      </c>
      <c r="G186" t="s">
        <v>753</v>
      </c>
      <c r="H186">
        <v>10</v>
      </c>
      <c r="I186">
        <v>1500</v>
      </c>
      <c r="J186">
        <v>12000</v>
      </c>
      <c r="K186" t="s">
        <v>746</v>
      </c>
      <c r="M186">
        <v>1</v>
      </c>
      <c r="N186">
        <v>1413</v>
      </c>
      <c r="O186" t="s">
        <v>39</v>
      </c>
      <c r="P186">
        <v>1343.39</v>
      </c>
      <c r="Q186">
        <v>1413</v>
      </c>
      <c r="T186">
        <v>60.21</v>
      </c>
      <c r="U186">
        <v>9.4</v>
      </c>
      <c r="V186">
        <v>2</v>
      </c>
      <c r="W186" t="s">
        <v>1085</v>
      </c>
      <c r="X186" t="s">
        <v>920</v>
      </c>
      <c r="Y186" t="s">
        <v>38</v>
      </c>
      <c r="Z186" t="s">
        <v>748</v>
      </c>
    </row>
    <row r="187" spans="1:26" hidden="1" x14ac:dyDescent="0.25">
      <c r="A187">
        <v>51</v>
      </c>
      <c r="B187" t="s">
        <v>921</v>
      </c>
      <c r="C187" t="s">
        <v>1029</v>
      </c>
      <c r="D187" t="s">
        <v>924</v>
      </c>
      <c r="E187" t="s">
        <v>744</v>
      </c>
      <c r="F187" t="s">
        <v>77</v>
      </c>
      <c r="G187" t="s">
        <v>753</v>
      </c>
      <c r="H187">
        <v>10</v>
      </c>
      <c r="I187">
        <v>1500</v>
      </c>
      <c r="J187">
        <v>12000</v>
      </c>
      <c r="K187" t="s">
        <v>746</v>
      </c>
      <c r="M187">
        <v>1</v>
      </c>
      <c r="N187">
        <v>1413</v>
      </c>
      <c r="O187" t="s">
        <v>39</v>
      </c>
      <c r="P187">
        <v>1309.3499999999999</v>
      </c>
      <c r="Q187">
        <v>1413</v>
      </c>
      <c r="T187">
        <v>94.48</v>
      </c>
      <c r="U187">
        <v>9.17</v>
      </c>
      <c r="V187">
        <v>2</v>
      </c>
      <c r="W187" t="s">
        <v>1085</v>
      </c>
      <c r="X187" t="s">
        <v>920</v>
      </c>
      <c r="Y187" t="s">
        <v>38</v>
      </c>
      <c r="Z187" t="s">
        <v>748</v>
      </c>
    </row>
    <row r="188" spans="1:26" hidden="1" x14ac:dyDescent="0.25">
      <c r="A188">
        <v>52</v>
      </c>
      <c r="B188" t="s">
        <v>921</v>
      </c>
      <c r="C188" t="s">
        <v>1032</v>
      </c>
      <c r="D188" t="s">
        <v>924</v>
      </c>
      <c r="E188" t="s">
        <v>744</v>
      </c>
      <c r="F188" t="s">
        <v>77</v>
      </c>
      <c r="G188" t="s">
        <v>1088</v>
      </c>
      <c r="H188">
        <v>10</v>
      </c>
      <c r="I188">
        <v>1500</v>
      </c>
      <c r="J188">
        <v>11542</v>
      </c>
      <c r="K188" t="s">
        <v>746</v>
      </c>
      <c r="M188">
        <v>1</v>
      </c>
      <c r="N188">
        <v>1359.07</v>
      </c>
      <c r="O188" t="s">
        <v>1033</v>
      </c>
      <c r="P188">
        <v>36.46</v>
      </c>
      <c r="R188">
        <v>1359.07</v>
      </c>
      <c r="S188">
        <v>1305.1400000000001</v>
      </c>
      <c r="T188">
        <v>17.21</v>
      </c>
      <c r="U188">
        <v>0.26</v>
      </c>
      <c r="V188">
        <v>2</v>
      </c>
      <c r="W188" t="s">
        <v>1085</v>
      </c>
      <c r="X188" t="s">
        <v>920</v>
      </c>
      <c r="Y188" t="s">
        <v>38</v>
      </c>
      <c r="Z188" t="s">
        <v>748</v>
      </c>
    </row>
    <row r="189" spans="1:26" hidden="1" x14ac:dyDescent="0.25">
      <c r="A189">
        <v>53</v>
      </c>
      <c r="B189" t="s">
        <v>921</v>
      </c>
      <c r="C189" t="s">
        <v>1035</v>
      </c>
      <c r="D189" t="s">
        <v>924</v>
      </c>
      <c r="E189" t="s">
        <v>744</v>
      </c>
      <c r="F189" t="s">
        <v>77</v>
      </c>
      <c r="G189" t="s">
        <v>754</v>
      </c>
      <c r="H189">
        <v>12</v>
      </c>
      <c r="I189">
        <v>1500</v>
      </c>
      <c r="J189">
        <v>12000</v>
      </c>
      <c r="K189" t="s">
        <v>746</v>
      </c>
      <c r="M189">
        <v>1</v>
      </c>
      <c r="N189">
        <v>1695.6</v>
      </c>
      <c r="O189" t="s">
        <v>39</v>
      </c>
      <c r="P189">
        <v>1492.14</v>
      </c>
      <c r="Q189">
        <v>1695.6</v>
      </c>
      <c r="S189">
        <v>169.54</v>
      </c>
      <c r="T189">
        <v>23.48</v>
      </c>
      <c r="U189">
        <v>10.44</v>
      </c>
      <c r="V189">
        <v>2</v>
      </c>
      <c r="W189" t="s">
        <v>1085</v>
      </c>
      <c r="X189" t="s">
        <v>920</v>
      </c>
      <c r="Y189" t="s">
        <v>38</v>
      </c>
      <c r="Z189" t="s">
        <v>748</v>
      </c>
    </row>
    <row r="190" spans="1:26" hidden="1" x14ac:dyDescent="0.25">
      <c r="A190">
        <v>54</v>
      </c>
      <c r="B190" t="s">
        <v>921</v>
      </c>
      <c r="C190" t="s">
        <v>1037</v>
      </c>
      <c r="D190" t="s">
        <v>924</v>
      </c>
      <c r="E190" t="s">
        <v>744</v>
      </c>
      <c r="F190" t="s">
        <v>77</v>
      </c>
      <c r="G190" t="s">
        <v>754</v>
      </c>
      <c r="H190">
        <v>12</v>
      </c>
      <c r="I190">
        <v>1500</v>
      </c>
      <c r="J190">
        <v>12000</v>
      </c>
      <c r="K190" t="s">
        <v>746</v>
      </c>
      <c r="M190">
        <v>1</v>
      </c>
      <c r="N190">
        <v>1695.6</v>
      </c>
      <c r="O190" t="s">
        <v>39</v>
      </c>
      <c r="P190">
        <v>1491.23</v>
      </c>
      <c r="Q190">
        <v>1695.6</v>
      </c>
      <c r="S190">
        <v>169.55</v>
      </c>
      <c r="T190">
        <v>24.38</v>
      </c>
      <c r="U190">
        <v>10.44</v>
      </c>
      <c r="V190">
        <v>2</v>
      </c>
      <c r="W190" t="s">
        <v>1085</v>
      </c>
      <c r="X190" t="s">
        <v>920</v>
      </c>
      <c r="Y190" t="s">
        <v>38</v>
      </c>
      <c r="Z190" t="s">
        <v>748</v>
      </c>
    </row>
    <row r="191" spans="1:26" hidden="1" x14ac:dyDescent="0.25">
      <c r="A191">
        <v>55</v>
      </c>
      <c r="B191" t="s">
        <v>921</v>
      </c>
      <c r="C191" t="s">
        <v>1039</v>
      </c>
      <c r="D191" t="s">
        <v>924</v>
      </c>
      <c r="E191" t="s">
        <v>744</v>
      </c>
      <c r="F191" t="s">
        <v>77</v>
      </c>
      <c r="G191" t="s">
        <v>754</v>
      </c>
      <c r="H191">
        <v>12</v>
      </c>
      <c r="I191">
        <v>1500</v>
      </c>
      <c r="J191">
        <v>12000</v>
      </c>
      <c r="K191" t="s">
        <v>746</v>
      </c>
      <c r="M191">
        <v>1</v>
      </c>
      <c r="N191">
        <v>1695.6</v>
      </c>
      <c r="O191" t="s">
        <v>39</v>
      </c>
      <c r="P191">
        <v>940.39</v>
      </c>
      <c r="Q191">
        <v>1695.6</v>
      </c>
      <c r="S191">
        <v>728.5</v>
      </c>
      <c r="T191">
        <v>20.13</v>
      </c>
      <c r="U191">
        <v>6.58</v>
      </c>
      <c r="V191">
        <v>2</v>
      </c>
      <c r="W191" t="s">
        <v>1085</v>
      </c>
      <c r="X191" t="s">
        <v>920</v>
      </c>
      <c r="Y191" t="s">
        <v>38</v>
      </c>
      <c r="Z191" t="s">
        <v>748</v>
      </c>
    </row>
    <row r="192" spans="1:26" hidden="1" x14ac:dyDescent="0.25">
      <c r="A192">
        <v>56</v>
      </c>
      <c r="B192" t="s">
        <v>921</v>
      </c>
      <c r="C192" t="s">
        <v>1041</v>
      </c>
      <c r="D192" t="s">
        <v>924</v>
      </c>
      <c r="E192" t="s">
        <v>744</v>
      </c>
      <c r="F192" t="s">
        <v>77</v>
      </c>
      <c r="G192" t="s">
        <v>754</v>
      </c>
      <c r="H192">
        <v>12</v>
      </c>
      <c r="I192">
        <v>1500</v>
      </c>
      <c r="J192">
        <v>12000</v>
      </c>
      <c r="K192" t="s">
        <v>746</v>
      </c>
      <c r="M192">
        <v>1</v>
      </c>
      <c r="N192">
        <v>1695.6</v>
      </c>
      <c r="O192" t="s">
        <v>39</v>
      </c>
      <c r="P192">
        <v>1491.18</v>
      </c>
      <c r="Q192">
        <v>1695.6</v>
      </c>
      <c r="S192">
        <v>169.56</v>
      </c>
      <c r="T192">
        <v>24.42</v>
      </c>
      <c r="U192">
        <v>10.44</v>
      </c>
      <c r="V192">
        <v>2</v>
      </c>
      <c r="W192" t="s">
        <v>1085</v>
      </c>
      <c r="X192" t="s">
        <v>920</v>
      </c>
      <c r="Y192" t="s">
        <v>38</v>
      </c>
      <c r="Z192" t="s">
        <v>748</v>
      </c>
    </row>
    <row r="193" spans="1:26" hidden="1" x14ac:dyDescent="0.25">
      <c r="A193">
        <v>57</v>
      </c>
      <c r="B193" t="s">
        <v>921</v>
      </c>
      <c r="C193" t="s">
        <v>1043</v>
      </c>
      <c r="D193" t="s">
        <v>924</v>
      </c>
      <c r="E193" t="s">
        <v>744</v>
      </c>
      <c r="F193" t="s">
        <v>77</v>
      </c>
      <c r="G193" t="s">
        <v>754</v>
      </c>
      <c r="H193">
        <v>12</v>
      </c>
      <c r="I193">
        <v>1500</v>
      </c>
      <c r="J193">
        <v>12000</v>
      </c>
      <c r="K193" t="s">
        <v>746</v>
      </c>
      <c r="M193">
        <v>1</v>
      </c>
      <c r="N193">
        <v>1695.6</v>
      </c>
      <c r="O193" t="s">
        <v>39</v>
      </c>
      <c r="P193">
        <v>1491</v>
      </c>
      <c r="Q193">
        <v>1695.6</v>
      </c>
      <c r="S193">
        <v>169.56</v>
      </c>
      <c r="T193">
        <v>24.6</v>
      </c>
      <c r="U193">
        <v>10.44</v>
      </c>
      <c r="V193">
        <v>2</v>
      </c>
      <c r="W193" t="s">
        <v>1085</v>
      </c>
      <c r="X193" t="s">
        <v>920</v>
      </c>
      <c r="Y193" t="s">
        <v>38</v>
      </c>
      <c r="Z193" t="s">
        <v>748</v>
      </c>
    </row>
    <row r="194" spans="1:26" hidden="1" x14ac:dyDescent="0.25">
      <c r="A194">
        <v>58</v>
      </c>
      <c r="B194" t="s">
        <v>921</v>
      </c>
      <c r="C194" t="s">
        <v>1045</v>
      </c>
      <c r="D194" t="s">
        <v>924</v>
      </c>
      <c r="E194" t="s">
        <v>744</v>
      </c>
      <c r="F194" t="s">
        <v>77</v>
      </c>
      <c r="G194" t="s">
        <v>754</v>
      </c>
      <c r="H194">
        <v>12</v>
      </c>
      <c r="I194">
        <v>1500</v>
      </c>
      <c r="J194">
        <v>12000</v>
      </c>
      <c r="K194" t="s">
        <v>746</v>
      </c>
      <c r="M194">
        <v>1</v>
      </c>
      <c r="N194">
        <v>1373.29</v>
      </c>
      <c r="O194" t="s">
        <v>1046</v>
      </c>
      <c r="P194">
        <v>313.51</v>
      </c>
      <c r="R194">
        <v>1373.29</v>
      </c>
      <c r="S194">
        <v>1055.26</v>
      </c>
      <c r="T194">
        <v>2.33</v>
      </c>
      <c r="U194">
        <v>2.19</v>
      </c>
      <c r="V194">
        <v>2</v>
      </c>
      <c r="W194" t="s">
        <v>1085</v>
      </c>
      <c r="X194" t="s">
        <v>920</v>
      </c>
      <c r="Y194" t="s">
        <v>38</v>
      </c>
      <c r="Z194" t="s">
        <v>748</v>
      </c>
    </row>
    <row r="195" spans="1:26" hidden="1" x14ac:dyDescent="0.25">
      <c r="A195">
        <v>59</v>
      </c>
      <c r="B195" t="s">
        <v>921</v>
      </c>
      <c r="C195" t="s">
        <v>1048</v>
      </c>
      <c r="D195" t="s">
        <v>924</v>
      </c>
      <c r="E195" t="s">
        <v>744</v>
      </c>
      <c r="F195" t="s">
        <v>77</v>
      </c>
      <c r="G195" t="s">
        <v>755</v>
      </c>
      <c r="H195">
        <v>16</v>
      </c>
      <c r="I195">
        <v>2000</v>
      </c>
      <c r="J195">
        <v>12000</v>
      </c>
      <c r="K195" t="s">
        <v>746</v>
      </c>
      <c r="M195">
        <v>1</v>
      </c>
      <c r="N195">
        <v>3014.4</v>
      </c>
      <c r="O195" t="s">
        <v>39</v>
      </c>
      <c r="P195">
        <v>2873.98</v>
      </c>
      <c r="Q195">
        <v>3014.4</v>
      </c>
      <c r="T195">
        <v>120.3</v>
      </c>
      <c r="U195">
        <v>20.12</v>
      </c>
      <c r="V195">
        <v>2</v>
      </c>
      <c r="W195" t="s">
        <v>1085</v>
      </c>
      <c r="X195" t="s">
        <v>920</v>
      </c>
      <c r="Y195" t="s">
        <v>38</v>
      </c>
      <c r="Z195" t="s">
        <v>748</v>
      </c>
    </row>
    <row r="196" spans="1:26" hidden="1" x14ac:dyDescent="0.25">
      <c r="A196">
        <v>60</v>
      </c>
      <c r="B196" t="s">
        <v>921</v>
      </c>
      <c r="C196" t="s">
        <v>1050</v>
      </c>
      <c r="D196" t="s">
        <v>924</v>
      </c>
      <c r="E196" t="s">
        <v>744</v>
      </c>
      <c r="F196" t="s">
        <v>77</v>
      </c>
      <c r="G196" t="s">
        <v>755</v>
      </c>
      <c r="H196">
        <v>16</v>
      </c>
      <c r="I196">
        <v>2000</v>
      </c>
      <c r="J196">
        <v>12000</v>
      </c>
      <c r="K196" t="s">
        <v>746</v>
      </c>
      <c r="M196">
        <v>1</v>
      </c>
      <c r="N196">
        <v>3014.4</v>
      </c>
      <c r="O196" t="s">
        <v>39</v>
      </c>
      <c r="P196">
        <v>2899.83</v>
      </c>
      <c r="Q196">
        <v>3014.4</v>
      </c>
      <c r="T196">
        <v>94.27</v>
      </c>
      <c r="U196">
        <v>20.3</v>
      </c>
      <c r="V196">
        <v>2</v>
      </c>
      <c r="W196" t="s">
        <v>1085</v>
      </c>
      <c r="X196" t="s">
        <v>920</v>
      </c>
      <c r="Y196" t="s">
        <v>38</v>
      </c>
      <c r="Z196" t="s">
        <v>748</v>
      </c>
    </row>
    <row r="197" spans="1:26" hidden="1" x14ac:dyDescent="0.25">
      <c r="A197">
        <v>61</v>
      </c>
      <c r="B197" t="s">
        <v>921</v>
      </c>
      <c r="C197" t="s">
        <v>1053</v>
      </c>
      <c r="D197" t="s">
        <v>924</v>
      </c>
      <c r="E197" t="s">
        <v>744</v>
      </c>
      <c r="F197" t="s">
        <v>77</v>
      </c>
      <c r="G197" t="s">
        <v>1089</v>
      </c>
      <c r="H197">
        <v>16</v>
      </c>
      <c r="I197">
        <v>2000</v>
      </c>
      <c r="J197">
        <v>12020</v>
      </c>
      <c r="K197" t="s">
        <v>746</v>
      </c>
      <c r="M197">
        <v>1</v>
      </c>
      <c r="N197">
        <v>2437.98</v>
      </c>
      <c r="O197" t="s">
        <v>1054</v>
      </c>
      <c r="P197">
        <v>548.09</v>
      </c>
      <c r="R197">
        <v>2437.98</v>
      </c>
      <c r="S197">
        <v>1850.26</v>
      </c>
      <c r="T197">
        <v>35.79</v>
      </c>
      <c r="U197">
        <v>3.84</v>
      </c>
      <c r="V197">
        <v>2</v>
      </c>
      <c r="W197" t="s">
        <v>1085</v>
      </c>
      <c r="X197" t="s">
        <v>920</v>
      </c>
      <c r="Y197" t="s">
        <v>38</v>
      </c>
      <c r="Z197" t="s">
        <v>748</v>
      </c>
    </row>
    <row r="198" spans="1:26" hidden="1" x14ac:dyDescent="0.25">
      <c r="A198">
        <v>62</v>
      </c>
      <c r="B198" t="s">
        <v>921</v>
      </c>
      <c r="C198" t="s">
        <v>1056</v>
      </c>
      <c r="D198" t="s">
        <v>924</v>
      </c>
      <c r="E198" t="s">
        <v>744</v>
      </c>
      <c r="F198" t="s">
        <v>77</v>
      </c>
      <c r="G198" t="s">
        <v>756</v>
      </c>
      <c r="H198">
        <v>20</v>
      </c>
      <c r="I198">
        <v>2000</v>
      </c>
      <c r="J198">
        <v>12000</v>
      </c>
      <c r="K198" t="s">
        <v>746</v>
      </c>
      <c r="M198">
        <v>1</v>
      </c>
      <c r="N198">
        <v>3768</v>
      </c>
      <c r="O198" t="s">
        <v>39</v>
      </c>
      <c r="P198">
        <v>3123.19</v>
      </c>
      <c r="Q198">
        <v>3768</v>
      </c>
      <c r="S198">
        <v>190.54</v>
      </c>
      <c r="T198">
        <v>432.41</v>
      </c>
      <c r="U198">
        <v>21.86</v>
      </c>
      <c r="V198">
        <v>2</v>
      </c>
      <c r="W198" t="s">
        <v>1085</v>
      </c>
      <c r="X198" t="s">
        <v>920</v>
      </c>
      <c r="Y198" t="s">
        <v>38</v>
      </c>
      <c r="Z198" t="s">
        <v>748</v>
      </c>
    </row>
    <row r="199" spans="1:26" hidden="1" x14ac:dyDescent="0.25">
      <c r="A199">
        <v>63</v>
      </c>
      <c r="B199" t="s">
        <v>921</v>
      </c>
      <c r="C199" t="s">
        <v>1061</v>
      </c>
      <c r="D199" t="s">
        <v>924</v>
      </c>
      <c r="E199" t="s">
        <v>744</v>
      </c>
      <c r="F199" t="s">
        <v>77</v>
      </c>
      <c r="G199" t="s">
        <v>1090</v>
      </c>
      <c r="H199">
        <v>20</v>
      </c>
      <c r="I199">
        <v>715</v>
      </c>
      <c r="J199">
        <v>984</v>
      </c>
      <c r="K199" t="s">
        <v>746</v>
      </c>
      <c r="M199">
        <v>1</v>
      </c>
      <c r="N199">
        <v>105.48</v>
      </c>
      <c r="O199" t="s">
        <v>1062</v>
      </c>
      <c r="P199">
        <v>89.92</v>
      </c>
      <c r="R199">
        <v>105.48</v>
      </c>
      <c r="T199">
        <v>14.93</v>
      </c>
      <c r="U199">
        <v>0.63</v>
      </c>
      <c r="V199">
        <v>2</v>
      </c>
      <c r="W199" t="s">
        <v>1085</v>
      </c>
      <c r="X199" t="s">
        <v>920</v>
      </c>
      <c r="Y199" t="s">
        <v>38</v>
      </c>
      <c r="Z199" t="s">
        <v>748</v>
      </c>
    </row>
    <row r="200" spans="1:26" hidden="1" x14ac:dyDescent="0.25">
      <c r="A200">
        <v>64</v>
      </c>
      <c r="B200" t="s">
        <v>921</v>
      </c>
      <c r="C200" t="s">
        <v>1065</v>
      </c>
      <c r="D200" t="s">
        <v>924</v>
      </c>
      <c r="E200" t="s">
        <v>744</v>
      </c>
      <c r="F200" t="s">
        <v>77</v>
      </c>
      <c r="G200" t="s">
        <v>1091</v>
      </c>
      <c r="H200">
        <v>25</v>
      </c>
      <c r="I200">
        <v>2000</v>
      </c>
      <c r="J200">
        <v>4720</v>
      </c>
      <c r="K200" t="s">
        <v>746</v>
      </c>
      <c r="M200">
        <v>1</v>
      </c>
      <c r="N200">
        <v>1852.47</v>
      </c>
      <c r="O200" t="s">
        <v>1066</v>
      </c>
      <c r="P200">
        <v>1613.52</v>
      </c>
      <c r="R200">
        <v>1852.47</v>
      </c>
      <c r="T200">
        <v>227.66</v>
      </c>
      <c r="U200">
        <v>11.29</v>
      </c>
      <c r="V200">
        <v>2</v>
      </c>
      <c r="W200" t="s">
        <v>1085</v>
      </c>
      <c r="X200" t="s">
        <v>920</v>
      </c>
      <c r="Y200" t="s">
        <v>38</v>
      </c>
      <c r="Z200" t="s">
        <v>748</v>
      </c>
    </row>
    <row r="201" spans="1:26" hidden="1" x14ac:dyDescent="0.25">
      <c r="A201">
        <v>65</v>
      </c>
      <c r="B201" t="s">
        <v>921</v>
      </c>
      <c r="C201" t="s">
        <v>1070</v>
      </c>
      <c r="D201" t="s">
        <v>924</v>
      </c>
      <c r="E201" t="s">
        <v>744</v>
      </c>
      <c r="F201" t="s">
        <v>77</v>
      </c>
      <c r="G201" t="s">
        <v>757</v>
      </c>
      <c r="H201">
        <v>25</v>
      </c>
      <c r="I201">
        <v>2000</v>
      </c>
      <c r="J201">
        <v>12000</v>
      </c>
      <c r="K201" t="s">
        <v>746</v>
      </c>
      <c r="M201">
        <v>1</v>
      </c>
      <c r="N201">
        <v>4710</v>
      </c>
      <c r="O201" t="s">
        <v>39</v>
      </c>
      <c r="P201">
        <v>908.21</v>
      </c>
      <c r="Q201">
        <v>4710</v>
      </c>
      <c r="S201">
        <v>3693.82</v>
      </c>
      <c r="T201">
        <v>101.61</v>
      </c>
      <c r="U201">
        <v>6.36</v>
      </c>
      <c r="V201">
        <v>2</v>
      </c>
      <c r="W201" t="s">
        <v>1085</v>
      </c>
      <c r="X201" t="s">
        <v>920</v>
      </c>
      <c r="Y201" t="s">
        <v>38</v>
      </c>
      <c r="Z201" t="s">
        <v>748</v>
      </c>
    </row>
    <row r="202" spans="1:26" hidden="1" x14ac:dyDescent="0.25">
      <c r="A202">
        <v>66</v>
      </c>
      <c r="B202" t="s">
        <v>921</v>
      </c>
      <c r="C202" t="s">
        <v>1074</v>
      </c>
      <c r="D202" t="s">
        <v>924</v>
      </c>
      <c r="E202" t="s">
        <v>744</v>
      </c>
      <c r="F202" t="s">
        <v>77</v>
      </c>
      <c r="G202" t="s">
        <v>1092</v>
      </c>
      <c r="H202">
        <v>30</v>
      </c>
      <c r="I202">
        <v>2000</v>
      </c>
      <c r="J202">
        <v>8364</v>
      </c>
      <c r="K202" t="s">
        <v>746</v>
      </c>
      <c r="M202">
        <v>1</v>
      </c>
      <c r="N202">
        <v>3939.44</v>
      </c>
      <c r="O202" t="s">
        <v>1075</v>
      </c>
      <c r="P202">
        <v>1431.5</v>
      </c>
      <c r="R202">
        <v>3939.44</v>
      </c>
      <c r="S202">
        <v>2226.81</v>
      </c>
      <c r="T202">
        <v>271.11</v>
      </c>
      <c r="U202">
        <v>10.02</v>
      </c>
      <c r="V202">
        <v>2</v>
      </c>
      <c r="W202" t="s">
        <v>1085</v>
      </c>
      <c r="X202" t="s">
        <v>920</v>
      </c>
      <c r="Y202" t="s">
        <v>38</v>
      </c>
      <c r="Z202" t="s">
        <v>748</v>
      </c>
    </row>
    <row r="203" spans="1:26" hidden="1" x14ac:dyDescent="0.25">
      <c r="A203">
        <v>67</v>
      </c>
      <c r="B203" t="s">
        <v>921</v>
      </c>
      <c r="C203" t="s">
        <v>1078</v>
      </c>
      <c r="D203" t="s">
        <v>924</v>
      </c>
      <c r="E203" t="s">
        <v>744</v>
      </c>
      <c r="F203" t="s">
        <v>700</v>
      </c>
      <c r="G203" t="s">
        <v>1093</v>
      </c>
      <c r="H203">
        <v>60</v>
      </c>
      <c r="I203">
        <v>432</v>
      </c>
      <c r="J203">
        <v>11364</v>
      </c>
      <c r="K203" t="s">
        <v>746</v>
      </c>
      <c r="M203">
        <v>1</v>
      </c>
      <c r="N203">
        <v>2310.56</v>
      </c>
      <c r="O203" t="s">
        <v>1079</v>
      </c>
      <c r="P203">
        <v>1337.46</v>
      </c>
      <c r="R203">
        <v>2310.56</v>
      </c>
      <c r="S203">
        <v>843.15</v>
      </c>
      <c r="T203">
        <v>120.59</v>
      </c>
      <c r="U203">
        <v>9.36</v>
      </c>
      <c r="V203">
        <v>2</v>
      </c>
      <c r="W203" t="s">
        <v>1085</v>
      </c>
      <c r="X203" t="s">
        <v>920</v>
      </c>
      <c r="Y203" t="s">
        <v>38</v>
      </c>
      <c r="Z203" t="s">
        <v>748</v>
      </c>
    </row>
    <row r="204" spans="1:26" hidden="1" x14ac:dyDescent="0.25">
      <c r="A204">
        <v>68</v>
      </c>
      <c r="B204" t="s">
        <v>921</v>
      </c>
      <c r="C204" t="s">
        <v>1082</v>
      </c>
      <c r="D204" t="s">
        <v>924</v>
      </c>
      <c r="E204" t="s">
        <v>744</v>
      </c>
      <c r="F204" t="s">
        <v>700</v>
      </c>
      <c r="G204" t="s">
        <v>1094</v>
      </c>
      <c r="H204">
        <v>60</v>
      </c>
      <c r="I204">
        <v>432</v>
      </c>
      <c r="J204">
        <v>12000</v>
      </c>
      <c r="K204" t="s">
        <v>746</v>
      </c>
      <c r="M204">
        <v>1</v>
      </c>
      <c r="N204">
        <v>2438.85</v>
      </c>
      <c r="O204" t="s">
        <v>1083</v>
      </c>
      <c r="P204">
        <v>1199.3599999999999</v>
      </c>
      <c r="R204">
        <v>2438.85</v>
      </c>
      <c r="S204">
        <v>1105.74</v>
      </c>
      <c r="T204">
        <v>125.35</v>
      </c>
      <c r="U204">
        <v>8.4</v>
      </c>
      <c r="V204">
        <v>2</v>
      </c>
      <c r="W204" t="s">
        <v>1085</v>
      </c>
      <c r="X204" t="s">
        <v>920</v>
      </c>
      <c r="Y204" t="s">
        <v>38</v>
      </c>
      <c r="Z204" t="s">
        <v>748</v>
      </c>
    </row>
    <row r="205" spans="1:26" hidden="1" x14ac:dyDescent="0.25">
      <c r="A205">
        <v>1</v>
      </c>
      <c r="B205" t="s">
        <v>921</v>
      </c>
      <c r="C205" t="s">
        <v>1134</v>
      </c>
      <c r="D205" t="s">
        <v>1136</v>
      </c>
      <c r="E205" t="s">
        <v>744</v>
      </c>
      <c r="F205" t="s">
        <v>33</v>
      </c>
      <c r="G205" t="s">
        <v>745</v>
      </c>
      <c r="H205">
        <v>2</v>
      </c>
      <c r="I205">
        <v>1300</v>
      </c>
      <c r="J205">
        <v>4000</v>
      </c>
      <c r="K205" t="s">
        <v>746</v>
      </c>
      <c r="M205">
        <v>1</v>
      </c>
      <c r="N205">
        <v>81.64</v>
      </c>
      <c r="O205" t="s">
        <v>39</v>
      </c>
      <c r="P205">
        <v>67.819999999999993</v>
      </c>
      <c r="Q205">
        <v>81.64</v>
      </c>
      <c r="S205">
        <v>7.92</v>
      </c>
      <c r="T205">
        <v>5.43</v>
      </c>
      <c r="U205">
        <v>0.47</v>
      </c>
      <c r="V205">
        <v>3</v>
      </c>
      <c r="W205" t="s">
        <v>1307</v>
      </c>
      <c r="X205" t="s">
        <v>920</v>
      </c>
      <c r="Y205" t="s">
        <v>38</v>
      </c>
      <c r="Z205" t="s">
        <v>748</v>
      </c>
    </row>
    <row r="206" spans="1:26" hidden="1" x14ac:dyDescent="0.25">
      <c r="A206">
        <v>2</v>
      </c>
      <c r="B206" t="s">
        <v>921</v>
      </c>
      <c r="C206" t="s">
        <v>1138</v>
      </c>
      <c r="D206" t="s">
        <v>1136</v>
      </c>
      <c r="E206" t="s">
        <v>744</v>
      </c>
      <c r="F206" t="s">
        <v>33</v>
      </c>
      <c r="G206" t="s">
        <v>745</v>
      </c>
      <c r="H206">
        <v>2</v>
      </c>
      <c r="I206">
        <v>1300</v>
      </c>
      <c r="J206">
        <v>4000</v>
      </c>
      <c r="K206" t="s">
        <v>746</v>
      </c>
      <c r="M206">
        <v>1</v>
      </c>
      <c r="N206">
        <v>81.64</v>
      </c>
      <c r="O206" t="s">
        <v>39</v>
      </c>
      <c r="P206">
        <v>81.64</v>
      </c>
      <c r="Q206">
        <v>81.64</v>
      </c>
      <c r="T206">
        <v>0</v>
      </c>
      <c r="U206">
        <v>0.56999999999999995</v>
      </c>
      <c r="V206">
        <v>3</v>
      </c>
      <c r="W206" t="s">
        <v>1307</v>
      </c>
      <c r="X206" t="s">
        <v>920</v>
      </c>
      <c r="Y206" t="s">
        <v>38</v>
      </c>
      <c r="Z206" t="s">
        <v>748</v>
      </c>
    </row>
    <row r="207" spans="1:26" hidden="1" x14ac:dyDescent="0.25">
      <c r="A207">
        <v>3</v>
      </c>
      <c r="B207" t="s">
        <v>921</v>
      </c>
      <c r="C207" t="s">
        <v>1140</v>
      </c>
      <c r="D207" t="s">
        <v>1136</v>
      </c>
      <c r="E207" t="s">
        <v>744</v>
      </c>
      <c r="F207" t="s">
        <v>33</v>
      </c>
      <c r="G207" t="s">
        <v>745</v>
      </c>
      <c r="H207">
        <v>2</v>
      </c>
      <c r="I207">
        <v>1300</v>
      </c>
      <c r="J207">
        <v>4000</v>
      </c>
      <c r="K207" t="s">
        <v>746</v>
      </c>
      <c r="M207">
        <v>1</v>
      </c>
      <c r="N207">
        <v>81.64</v>
      </c>
      <c r="O207" t="s">
        <v>39</v>
      </c>
      <c r="P207">
        <v>81.64</v>
      </c>
      <c r="Q207">
        <v>81.64</v>
      </c>
      <c r="T207">
        <v>0</v>
      </c>
      <c r="U207">
        <v>0.56999999999999995</v>
      </c>
      <c r="V207">
        <v>3</v>
      </c>
      <c r="W207" t="s">
        <v>1307</v>
      </c>
      <c r="X207" t="s">
        <v>920</v>
      </c>
      <c r="Y207" t="s">
        <v>38</v>
      </c>
      <c r="Z207" t="s">
        <v>748</v>
      </c>
    </row>
    <row r="208" spans="1:26" hidden="1" x14ac:dyDescent="0.25">
      <c r="A208">
        <v>4</v>
      </c>
      <c r="B208" t="s">
        <v>921</v>
      </c>
      <c r="C208" t="s">
        <v>1142</v>
      </c>
      <c r="D208" t="s">
        <v>1136</v>
      </c>
      <c r="E208" t="s">
        <v>744</v>
      </c>
      <c r="F208" t="s">
        <v>33</v>
      </c>
      <c r="G208" t="s">
        <v>745</v>
      </c>
      <c r="H208">
        <v>2</v>
      </c>
      <c r="I208">
        <v>1300</v>
      </c>
      <c r="J208">
        <v>4000</v>
      </c>
      <c r="K208" t="s">
        <v>746</v>
      </c>
      <c r="M208">
        <v>1</v>
      </c>
      <c r="N208">
        <v>81.64</v>
      </c>
      <c r="O208" t="s">
        <v>39</v>
      </c>
      <c r="P208">
        <v>66.569999999999993</v>
      </c>
      <c r="Q208">
        <v>81.64</v>
      </c>
      <c r="S208">
        <v>15.07</v>
      </c>
      <c r="T208">
        <v>0</v>
      </c>
      <c r="U208">
        <v>0.47</v>
      </c>
      <c r="V208">
        <v>3</v>
      </c>
      <c r="W208" t="s">
        <v>1307</v>
      </c>
      <c r="X208" t="s">
        <v>920</v>
      </c>
      <c r="Y208" t="s">
        <v>38</v>
      </c>
      <c r="Z208" t="s">
        <v>748</v>
      </c>
    </row>
    <row r="209" spans="1:26" hidden="1" x14ac:dyDescent="0.25">
      <c r="A209">
        <v>5</v>
      </c>
      <c r="B209" t="s">
        <v>921</v>
      </c>
      <c r="C209" t="s">
        <v>1144</v>
      </c>
      <c r="D209" t="s">
        <v>1136</v>
      </c>
      <c r="E209" t="s">
        <v>744</v>
      </c>
      <c r="F209" t="s">
        <v>33</v>
      </c>
      <c r="G209" t="s">
        <v>745</v>
      </c>
      <c r="H209">
        <v>2</v>
      </c>
      <c r="I209">
        <v>1300</v>
      </c>
      <c r="J209">
        <v>4000</v>
      </c>
      <c r="K209" t="s">
        <v>746</v>
      </c>
      <c r="M209">
        <v>1</v>
      </c>
      <c r="N209">
        <v>81.64</v>
      </c>
      <c r="O209" t="s">
        <v>39</v>
      </c>
      <c r="P209">
        <v>66.569999999999993</v>
      </c>
      <c r="Q209">
        <v>81.64</v>
      </c>
      <c r="S209">
        <v>15.07</v>
      </c>
      <c r="T209">
        <v>0</v>
      </c>
      <c r="U209">
        <v>0.47</v>
      </c>
      <c r="V209">
        <v>3</v>
      </c>
      <c r="W209" t="s">
        <v>1307</v>
      </c>
      <c r="X209" t="s">
        <v>920</v>
      </c>
      <c r="Y209" t="s">
        <v>38</v>
      </c>
      <c r="Z209" t="s">
        <v>748</v>
      </c>
    </row>
    <row r="210" spans="1:26" hidden="1" x14ac:dyDescent="0.25">
      <c r="A210">
        <v>6</v>
      </c>
      <c r="B210" t="s">
        <v>921</v>
      </c>
      <c r="C210" t="s">
        <v>1146</v>
      </c>
      <c r="D210" t="s">
        <v>1136</v>
      </c>
      <c r="E210" t="s">
        <v>744</v>
      </c>
      <c r="F210" t="s">
        <v>33</v>
      </c>
      <c r="G210" t="s">
        <v>745</v>
      </c>
      <c r="H210">
        <v>2</v>
      </c>
      <c r="I210">
        <v>1300</v>
      </c>
      <c r="J210">
        <v>4000</v>
      </c>
      <c r="K210" t="s">
        <v>746</v>
      </c>
      <c r="M210">
        <v>1</v>
      </c>
      <c r="N210">
        <v>81.64</v>
      </c>
      <c r="O210" t="s">
        <v>39</v>
      </c>
      <c r="P210">
        <v>66.569999999999993</v>
      </c>
      <c r="Q210">
        <v>81.64</v>
      </c>
      <c r="S210">
        <v>15.07</v>
      </c>
      <c r="T210">
        <v>0</v>
      </c>
      <c r="U210">
        <v>0.47</v>
      </c>
      <c r="V210">
        <v>3</v>
      </c>
      <c r="W210" t="s">
        <v>1307</v>
      </c>
      <c r="X210" t="s">
        <v>920</v>
      </c>
      <c r="Y210" t="s">
        <v>38</v>
      </c>
      <c r="Z210" t="s">
        <v>748</v>
      </c>
    </row>
    <row r="211" spans="1:26" hidden="1" x14ac:dyDescent="0.25">
      <c r="A211">
        <v>7</v>
      </c>
      <c r="B211" t="s">
        <v>921</v>
      </c>
      <c r="C211" t="s">
        <v>1148</v>
      </c>
      <c r="D211" t="s">
        <v>1136</v>
      </c>
      <c r="E211" t="s">
        <v>744</v>
      </c>
      <c r="F211" t="s">
        <v>33</v>
      </c>
      <c r="G211" t="s">
        <v>745</v>
      </c>
      <c r="H211">
        <v>2</v>
      </c>
      <c r="I211">
        <v>1300</v>
      </c>
      <c r="J211">
        <v>4000</v>
      </c>
      <c r="K211" t="s">
        <v>746</v>
      </c>
      <c r="M211">
        <v>1</v>
      </c>
      <c r="N211">
        <v>81.64</v>
      </c>
      <c r="O211" t="s">
        <v>39</v>
      </c>
      <c r="P211">
        <v>66.569999999999993</v>
      </c>
      <c r="Q211">
        <v>81.64</v>
      </c>
      <c r="S211">
        <v>15.07</v>
      </c>
      <c r="T211">
        <v>0</v>
      </c>
      <c r="U211">
        <v>0.47</v>
      </c>
      <c r="V211">
        <v>3</v>
      </c>
      <c r="W211" t="s">
        <v>1307</v>
      </c>
      <c r="X211" t="s">
        <v>920</v>
      </c>
      <c r="Y211" t="s">
        <v>38</v>
      </c>
      <c r="Z211" t="s">
        <v>748</v>
      </c>
    </row>
    <row r="212" spans="1:26" hidden="1" x14ac:dyDescent="0.25">
      <c r="A212">
        <v>8</v>
      </c>
      <c r="B212" t="s">
        <v>921</v>
      </c>
      <c r="C212" t="s">
        <v>1150</v>
      </c>
      <c r="D212" t="s">
        <v>1136</v>
      </c>
      <c r="E212" t="s">
        <v>744</v>
      </c>
      <c r="F212" t="s">
        <v>33</v>
      </c>
      <c r="G212" t="s">
        <v>745</v>
      </c>
      <c r="H212">
        <v>2</v>
      </c>
      <c r="I212">
        <v>1300</v>
      </c>
      <c r="J212">
        <v>4000</v>
      </c>
      <c r="K212" t="s">
        <v>746</v>
      </c>
      <c r="M212">
        <v>1</v>
      </c>
      <c r="N212">
        <v>81.64</v>
      </c>
      <c r="O212" t="s">
        <v>39</v>
      </c>
      <c r="P212">
        <v>62.8</v>
      </c>
      <c r="Q212">
        <v>81.64</v>
      </c>
      <c r="S212">
        <v>15.07</v>
      </c>
      <c r="T212">
        <v>3.33</v>
      </c>
      <c r="U212">
        <v>0.44</v>
      </c>
      <c r="V212">
        <v>3</v>
      </c>
      <c r="W212" t="s">
        <v>1307</v>
      </c>
      <c r="X212" t="s">
        <v>920</v>
      </c>
      <c r="Y212" t="s">
        <v>38</v>
      </c>
      <c r="Z212" t="s">
        <v>748</v>
      </c>
    </row>
    <row r="213" spans="1:26" hidden="1" x14ac:dyDescent="0.25">
      <c r="A213">
        <v>9</v>
      </c>
      <c r="B213" t="s">
        <v>921</v>
      </c>
      <c r="C213" t="s">
        <v>1152</v>
      </c>
      <c r="D213" t="s">
        <v>1136</v>
      </c>
      <c r="E213" t="s">
        <v>744</v>
      </c>
      <c r="F213" t="s">
        <v>33</v>
      </c>
      <c r="G213" t="s">
        <v>745</v>
      </c>
      <c r="H213">
        <v>2</v>
      </c>
      <c r="I213">
        <v>1300</v>
      </c>
      <c r="J213">
        <v>4000</v>
      </c>
      <c r="K213" t="s">
        <v>746</v>
      </c>
      <c r="M213">
        <v>1</v>
      </c>
      <c r="N213">
        <v>41.7</v>
      </c>
      <c r="O213" t="s">
        <v>1153</v>
      </c>
      <c r="P213">
        <v>22.09</v>
      </c>
      <c r="R213">
        <v>41.7</v>
      </c>
      <c r="S213">
        <v>18.899999999999999</v>
      </c>
      <c r="T213">
        <v>0.56000000000000005</v>
      </c>
      <c r="U213">
        <v>0.15</v>
      </c>
      <c r="V213">
        <v>3</v>
      </c>
      <c r="W213" t="s">
        <v>1307</v>
      </c>
      <c r="X213" t="s">
        <v>920</v>
      </c>
      <c r="Y213" t="s">
        <v>38</v>
      </c>
      <c r="Z213" t="s">
        <v>748</v>
      </c>
    </row>
    <row r="214" spans="1:26" hidden="1" x14ac:dyDescent="0.25">
      <c r="A214">
        <v>10</v>
      </c>
      <c r="B214" t="s">
        <v>921</v>
      </c>
      <c r="C214" t="s">
        <v>1157</v>
      </c>
      <c r="D214" t="s">
        <v>1136</v>
      </c>
      <c r="E214" t="s">
        <v>744</v>
      </c>
      <c r="F214" t="s">
        <v>33</v>
      </c>
      <c r="G214" t="s">
        <v>745</v>
      </c>
      <c r="H214">
        <v>2</v>
      </c>
      <c r="I214">
        <v>1300</v>
      </c>
      <c r="J214">
        <v>4000</v>
      </c>
      <c r="K214" t="s">
        <v>746</v>
      </c>
      <c r="M214">
        <v>1</v>
      </c>
      <c r="N214">
        <v>81.64</v>
      </c>
      <c r="O214" t="s">
        <v>39</v>
      </c>
      <c r="P214">
        <v>48.23</v>
      </c>
      <c r="Q214">
        <v>81.64</v>
      </c>
      <c r="S214">
        <v>32.880000000000003</v>
      </c>
      <c r="T214">
        <v>0.19</v>
      </c>
      <c r="U214">
        <v>0.34</v>
      </c>
      <c r="V214">
        <v>3</v>
      </c>
      <c r="W214" t="s">
        <v>1307</v>
      </c>
      <c r="X214" t="s">
        <v>920</v>
      </c>
      <c r="Y214" t="s">
        <v>38</v>
      </c>
      <c r="Z214" t="s">
        <v>748</v>
      </c>
    </row>
    <row r="215" spans="1:26" hidden="1" x14ac:dyDescent="0.25">
      <c r="A215">
        <v>11</v>
      </c>
      <c r="B215" t="s">
        <v>921</v>
      </c>
      <c r="C215" t="s">
        <v>1160</v>
      </c>
      <c r="D215" t="s">
        <v>1136</v>
      </c>
      <c r="E215" t="s">
        <v>744</v>
      </c>
      <c r="F215" t="s">
        <v>77</v>
      </c>
      <c r="G215" t="s">
        <v>1308</v>
      </c>
      <c r="H215">
        <v>5</v>
      </c>
      <c r="I215">
        <v>1500</v>
      </c>
      <c r="J215">
        <v>3572</v>
      </c>
      <c r="K215" t="s">
        <v>746</v>
      </c>
      <c r="M215">
        <v>1</v>
      </c>
      <c r="N215">
        <v>210.3</v>
      </c>
      <c r="O215" t="s">
        <v>1161</v>
      </c>
      <c r="P215">
        <v>172.52</v>
      </c>
      <c r="R215">
        <v>210.3</v>
      </c>
      <c r="T215">
        <v>36.57</v>
      </c>
      <c r="U215">
        <v>1.21</v>
      </c>
      <c r="V215">
        <v>3</v>
      </c>
      <c r="W215" t="s">
        <v>1307</v>
      </c>
      <c r="X215" t="s">
        <v>920</v>
      </c>
      <c r="Y215" t="s">
        <v>38</v>
      </c>
      <c r="Z215" t="s">
        <v>748</v>
      </c>
    </row>
    <row r="216" spans="1:26" hidden="1" x14ac:dyDescent="0.25">
      <c r="A216">
        <v>12</v>
      </c>
      <c r="B216" t="s">
        <v>921</v>
      </c>
      <c r="C216" t="s">
        <v>1163</v>
      </c>
      <c r="D216" t="s">
        <v>1136</v>
      </c>
      <c r="E216" t="s">
        <v>744</v>
      </c>
      <c r="F216" t="s">
        <v>77</v>
      </c>
      <c r="G216" t="s">
        <v>749</v>
      </c>
      <c r="H216">
        <v>5</v>
      </c>
      <c r="I216">
        <v>1500</v>
      </c>
      <c r="J216">
        <v>6000</v>
      </c>
      <c r="K216" t="s">
        <v>746</v>
      </c>
      <c r="M216">
        <v>1</v>
      </c>
      <c r="N216">
        <v>353.25</v>
      </c>
      <c r="O216" t="s">
        <v>39</v>
      </c>
      <c r="P216">
        <v>35.58</v>
      </c>
      <c r="Q216">
        <v>353.25</v>
      </c>
      <c r="S216">
        <v>309.62</v>
      </c>
      <c r="T216">
        <v>7.8</v>
      </c>
      <c r="U216">
        <v>0.25</v>
      </c>
      <c r="V216">
        <v>3</v>
      </c>
      <c r="W216" t="s">
        <v>1307</v>
      </c>
      <c r="X216" t="s">
        <v>920</v>
      </c>
      <c r="Y216" t="s">
        <v>38</v>
      </c>
      <c r="Z216" t="s">
        <v>748</v>
      </c>
    </row>
    <row r="217" spans="1:26" hidden="1" x14ac:dyDescent="0.25">
      <c r="A217">
        <v>13</v>
      </c>
      <c r="B217" t="s">
        <v>921</v>
      </c>
      <c r="C217" t="s">
        <v>1167</v>
      </c>
      <c r="D217" t="s">
        <v>1136</v>
      </c>
      <c r="E217" t="s">
        <v>744</v>
      </c>
      <c r="F217" t="s">
        <v>77</v>
      </c>
      <c r="G217" t="s">
        <v>750</v>
      </c>
      <c r="H217">
        <v>6</v>
      </c>
      <c r="I217">
        <v>1500</v>
      </c>
      <c r="J217">
        <v>12000</v>
      </c>
      <c r="K217" t="s">
        <v>746</v>
      </c>
      <c r="M217">
        <v>1</v>
      </c>
      <c r="N217">
        <v>847.8</v>
      </c>
      <c r="O217" t="s">
        <v>39</v>
      </c>
      <c r="P217">
        <v>723.96</v>
      </c>
      <c r="Q217">
        <v>847.8</v>
      </c>
      <c r="S217">
        <v>92.71</v>
      </c>
      <c r="T217">
        <v>26.06</v>
      </c>
      <c r="U217">
        <v>5.07</v>
      </c>
      <c r="V217">
        <v>3</v>
      </c>
      <c r="W217" t="s">
        <v>1307</v>
      </c>
      <c r="X217" t="s">
        <v>920</v>
      </c>
      <c r="Y217" t="s">
        <v>38</v>
      </c>
      <c r="Z217" t="s">
        <v>748</v>
      </c>
    </row>
    <row r="218" spans="1:26" hidden="1" x14ac:dyDescent="0.25">
      <c r="A218">
        <v>14</v>
      </c>
      <c r="B218" t="s">
        <v>921</v>
      </c>
      <c r="C218" t="s">
        <v>1171</v>
      </c>
      <c r="D218" t="s">
        <v>1136</v>
      </c>
      <c r="E218" t="s">
        <v>744</v>
      </c>
      <c r="F218" t="s">
        <v>77</v>
      </c>
      <c r="G218" t="s">
        <v>750</v>
      </c>
      <c r="H218">
        <v>6</v>
      </c>
      <c r="I218">
        <v>1500</v>
      </c>
      <c r="J218">
        <v>12000</v>
      </c>
      <c r="K218" t="s">
        <v>746</v>
      </c>
      <c r="M218">
        <v>1</v>
      </c>
      <c r="N218">
        <v>847.8</v>
      </c>
      <c r="O218" t="s">
        <v>39</v>
      </c>
      <c r="P218">
        <v>727.26</v>
      </c>
      <c r="Q218">
        <v>847.8</v>
      </c>
      <c r="S218">
        <v>92.71</v>
      </c>
      <c r="T218">
        <v>22.74</v>
      </c>
      <c r="U218">
        <v>5.09</v>
      </c>
      <c r="V218">
        <v>3</v>
      </c>
      <c r="W218" t="s">
        <v>1307</v>
      </c>
      <c r="X218" t="s">
        <v>920</v>
      </c>
      <c r="Y218" t="s">
        <v>38</v>
      </c>
      <c r="Z218" t="s">
        <v>748</v>
      </c>
    </row>
    <row r="219" spans="1:26" hidden="1" x14ac:dyDescent="0.25">
      <c r="A219">
        <v>15</v>
      </c>
      <c r="B219" t="s">
        <v>921</v>
      </c>
      <c r="C219" t="s">
        <v>1173</v>
      </c>
      <c r="D219" t="s">
        <v>1136</v>
      </c>
      <c r="E219" t="s">
        <v>744</v>
      </c>
      <c r="F219" t="s">
        <v>77</v>
      </c>
      <c r="G219" t="s">
        <v>750</v>
      </c>
      <c r="H219">
        <v>6</v>
      </c>
      <c r="I219">
        <v>1500</v>
      </c>
      <c r="J219">
        <v>12000</v>
      </c>
      <c r="K219" t="s">
        <v>746</v>
      </c>
      <c r="M219">
        <v>1</v>
      </c>
      <c r="N219">
        <v>847.8</v>
      </c>
      <c r="O219" t="s">
        <v>39</v>
      </c>
      <c r="P219">
        <v>723.2</v>
      </c>
      <c r="Q219">
        <v>847.8</v>
      </c>
      <c r="S219">
        <v>92.71</v>
      </c>
      <c r="T219">
        <v>26.83</v>
      </c>
      <c r="U219">
        <v>5.0599999999999996</v>
      </c>
      <c r="V219">
        <v>3</v>
      </c>
      <c r="W219" t="s">
        <v>1307</v>
      </c>
      <c r="X219" t="s">
        <v>920</v>
      </c>
      <c r="Y219" t="s">
        <v>38</v>
      </c>
      <c r="Z219" t="s">
        <v>748</v>
      </c>
    </row>
    <row r="220" spans="1:26" hidden="1" x14ac:dyDescent="0.25">
      <c r="A220">
        <v>16</v>
      </c>
      <c r="B220" t="s">
        <v>921</v>
      </c>
      <c r="C220" t="s">
        <v>1175</v>
      </c>
      <c r="D220" t="s">
        <v>1136</v>
      </c>
      <c r="E220" t="s">
        <v>744</v>
      </c>
      <c r="F220" t="s">
        <v>77</v>
      </c>
      <c r="G220" t="s">
        <v>750</v>
      </c>
      <c r="H220">
        <v>6</v>
      </c>
      <c r="I220">
        <v>1500</v>
      </c>
      <c r="J220">
        <v>12000</v>
      </c>
      <c r="K220" t="s">
        <v>746</v>
      </c>
      <c r="M220">
        <v>1</v>
      </c>
      <c r="N220">
        <v>847.8</v>
      </c>
      <c r="O220" t="s">
        <v>39</v>
      </c>
      <c r="P220">
        <v>723.1</v>
      </c>
      <c r="Q220">
        <v>847.8</v>
      </c>
      <c r="S220">
        <v>93.17</v>
      </c>
      <c r="T220">
        <v>26.47</v>
      </c>
      <c r="U220">
        <v>5.0599999999999996</v>
      </c>
      <c r="V220">
        <v>3</v>
      </c>
      <c r="W220" t="s">
        <v>1307</v>
      </c>
      <c r="X220" t="s">
        <v>920</v>
      </c>
      <c r="Y220" t="s">
        <v>38</v>
      </c>
      <c r="Z220" t="s">
        <v>748</v>
      </c>
    </row>
    <row r="221" spans="1:26" hidden="1" x14ac:dyDescent="0.25">
      <c r="A221">
        <v>17</v>
      </c>
      <c r="B221" t="s">
        <v>921</v>
      </c>
      <c r="C221" t="s">
        <v>1177</v>
      </c>
      <c r="D221" t="s">
        <v>1136</v>
      </c>
      <c r="E221" t="s">
        <v>744</v>
      </c>
      <c r="F221" t="s">
        <v>77</v>
      </c>
      <c r="G221" t="s">
        <v>750</v>
      </c>
      <c r="H221">
        <v>6</v>
      </c>
      <c r="I221">
        <v>1500</v>
      </c>
      <c r="J221">
        <v>12000</v>
      </c>
      <c r="K221" t="s">
        <v>746</v>
      </c>
      <c r="M221">
        <v>1</v>
      </c>
      <c r="N221">
        <v>847.8</v>
      </c>
      <c r="O221" t="s">
        <v>39</v>
      </c>
      <c r="P221">
        <v>722.86</v>
      </c>
      <c r="Q221">
        <v>847.8</v>
      </c>
      <c r="S221">
        <v>80.27</v>
      </c>
      <c r="T221">
        <v>39.61</v>
      </c>
      <c r="U221">
        <v>5.0599999999999996</v>
      </c>
      <c r="V221">
        <v>3</v>
      </c>
      <c r="W221" t="s">
        <v>1307</v>
      </c>
      <c r="X221" t="s">
        <v>920</v>
      </c>
      <c r="Y221" t="s">
        <v>38</v>
      </c>
      <c r="Z221" t="s">
        <v>748</v>
      </c>
    </row>
    <row r="222" spans="1:26" hidden="1" x14ac:dyDescent="0.25">
      <c r="A222">
        <v>18</v>
      </c>
      <c r="B222" t="s">
        <v>921</v>
      </c>
      <c r="C222" t="s">
        <v>1179</v>
      </c>
      <c r="D222" t="s">
        <v>1136</v>
      </c>
      <c r="E222" t="s">
        <v>744</v>
      </c>
      <c r="F222" t="s">
        <v>77</v>
      </c>
      <c r="G222" t="s">
        <v>750</v>
      </c>
      <c r="H222">
        <v>6</v>
      </c>
      <c r="I222">
        <v>1500</v>
      </c>
      <c r="J222">
        <v>12000</v>
      </c>
      <c r="K222" t="s">
        <v>746</v>
      </c>
      <c r="M222">
        <v>1</v>
      </c>
      <c r="N222">
        <v>847.8</v>
      </c>
      <c r="O222" t="s">
        <v>39</v>
      </c>
      <c r="P222">
        <v>722.84</v>
      </c>
      <c r="Q222">
        <v>847.8</v>
      </c>
      <c r="S222">
        <v>80.27</v>
      </c>
      <c r="T222">
        <v>39.630000000000003</v>
      </c>
      <c r="U222">
        <v>5.0599999999999996</v>
      </c>
      <c r="V222">
        <v>3</v>
      </c>
      <c r="W222" t="s">
        <v>1307</v>
      </c>
      <c r="X222" t="s">
        <v>920</v>
      </c>
      <c r="Y222" t="s">
        <v>38</v>
      </c>
      <c r="Z222" t="s">
        <v>748</v>
      </c>
    </row>
    <row r="223" spans="1:26" hidden="1" x14ac:dyDescent="0.25">
      <c r="A223">
        <v>19</v>
      </c>
      <c r="B223" t="s">
        <v>921</v>
      </c>
      <c r="C223" t="s">
        <v>1181</v>
      </c>
      <c r="D223" t="s">
        <v>1136</v>
      </c>
      <c r="E223" t="s">
        <v>744</v>
      </c>
      <c r="F223" t="s">
        <v>77</v>
      </c>
      <c r="G223" t="s">
        <v>750</v>
      </c>
      <c r="H223">
        <v>6</v>
      </c>
      <c r="I223">
        <v>1500</v>
      </c>
      <c r="J223">
        <v>12000</v>
      </c>
      <c r="K223" t="s">
        <v>746</v>
      </c>
      <c r="M223">
        <v>1</v>
      </c>
      <c r="N223">
        <v>847.8</v>
      </c>
      <c r="O223" t="s">
        <v>39</v>
      </c>
      <c r="P223">
        <v>722.69</v>
      </c>
      <c r="Q223">
        <v>847.8</v>
      </c>
      <c r="S223">
        <v>94.75</v>
      </c>
      <c r="T223">
        <v>25.3</v>
      </c>
      <c r="U223">
        <v>5.0599999999999996</v>
      </c>
      <c r="V223">
        <v>3</v>
      </c>
      <c r="W223" t="s">
        <v>1307</v>
      </c>
      <c r="X223" t="s">
        <v>920</v>
      </c>
      <c r="Y223" t="s">
        <v>38</v>
      </c>
      <c r="Z223" t="s">
        <v>748</v>
      </c>
    </row>
    <row r="224" spans="1:26" hidden="1" x14ac:dyDescent="0.25">
      <c r="A224">
        <v>20</v>
      </c>
      <c r="B224" t="s">
        <v>921</v>
      </c>
      <c r="C224" t="s">
        <v>1183</v>
      </c>
      <c r="D224" t="s">
        <v>1136</v>
      </c>
      <c r="E224" t="s">
        <v>744</v>
      </c>
      <c r="F224" t="s">
        <v>77</v>
      </c>
      <c r="G224" t="s">
        <v>750</v>
      </c>
      <c r="H224">
        <v>6</v>
      </c>
      <c r="I224">
        <v>1500</v>
      </c>
      <c r="J224">
        <v>12000</v>
      </c>
      <c r="K224" t="s">
        <v>746</v>
      </c>
      <c r="M224">
        <v>1</v>
      </c>
      <c r="N224">
        <v>847.8</v>
      </c>
      <c r="O224" t="s">
        <v>39</v>
      </c>
      <c r="P224">
        <v>722.67</v>
      </c>
      <c r="Q224">
        <v>847.8</v>
      </c>
      <c r="S224">
        <v>93.43</v>
      </c>
      <c r="T224">
        <v>26.64</v>
      </c>
      <c r="U224">
        <v>5.0599999999999996</v>
      </c>
      <c r="V224">
        <v>3</v>
      </c>
      <c r="W224" t="s">
        <v>1307</v>
      </c>
      <c r="X224" t="s">
        <v>920</v>
      </c>
      <c r="Y224" t="s">
        <v>38</v>
      </c>
      <c r="Z224" t="s">
        <v>748</v>
      </c>
    </row>
    <row r="225" spans="1:26" hidden="1" x14ac:dyDescent="0.25">
      <c r="A225">
        <v>21</v>
      </c>
      <c r="B225" t="s">
        <v>921</v>
      </c>
      <c r="C225" t="s">
        <v>1185</v>
      </c>
      <c r="D225" t="s">
        <v>1136</v>
      </c>
      <c r="E225" t="s">
        <v>744</v>
      </c>
      <c r="F225" t="s">
        <v>77</v>
      </c>
      <c r="G225" t="s">
        <v>750</v>
      </c>
      <c r="H225">
        <v>6</v>
      </c>
      <c r="I225">
        <v>1500</v>
      </c>
      <c r="J225">
        <v>12000</v>
      </c>
      <c r="K225" t="s">
        <v>746</v>
      </c>
      <c r="M225">
        <v>1</v>
      </c>
      <c r="N225">
        <v>847.8</v>
      </c>
      <c r="O225" t="s">
        <v>39</v>
      </c>
      <c r="P225">
        <v>736.28</v>
      </c>
      <c r="Q225">
        <v>847.8</v>
      </c>
      <c r="S225">
        <v>80.27</v>
      </c>
      <c r="T225">
        <v>26.1</v>
      </c>
      <c r="U225">
        <v>5.15</v>
      </c>
      <c r="V225">
        <v>3</v>
      </c>
      <c r="W225" t="s">
        <v>1307</v>
      </c>
      <c r="X225" t="s">
        <v>920</v>
      </c>
      <c r="Y225" t="s">
        <v>38</v>
      </c>
      <c r="Z225" t="s">
        <v>748</v>
      </c>
    </row>
    <row r="226" spans="1:26" hidden="1" x14ac:dyDescent="0.25">
      <c r="A226">
        <v>22</v>
      </c>
      <c r="B226" t="s">
        <v>921</v>
      </c>
      <c r="C226" t="s">
        <v>1187</v>
      </c>
      <c r="D226" t="s">
        <v>1136</v>
      </c>
      <c r="E226" t="s">
        <v>744</v>
      </c>
      <c r="F226" t="s">
        <v>77</v>
      </c>
      <c r="G226" t="s">
        <v>750</v>
      </c>
      <c r="H226">
        <v>6</v>
      </c>
      <c r="I226">
        <v>1500</v>
      </c>
      <c r="J226">
        <v>12000</v>
      </c>
      <c r="K226" t="s">
        <v>746</v>
      </c>
      <c r="M226">
        <v>1</v>
      </c>
      <c r="N226">
        <v>847.8</v>
      </c>
      <c r="O226" t="s">
        <v>39</v>
      </c>
      <c r="P226">
        <v>742.43</v>
      </c>
      <c r="Q226">
        <v>847.8</v>
      </c>
      <c r="S226">
        <v>65.959999999999994</v>
      </c>
      <c r="T226">
        <v>34.21</v>
      </c>
      <c r="U226">
        <v>5.2</v>
      </c>
      <c r="V226">
        <v>3</v>
      </c>
      <c r="W226" t="s">
        <v>1307</v>
      </c>
      <c r="X226" t="s">
        <v>920</v>
      </c>
      <c r="Y226" t="s">
        <v>38</v>
      </c>
      <c r="Z226" t="s">
        <v>748</v>
      </c>
    </row>
    <row r="227" spans="1:26" hidden="1" x14ac:dyDescent="0.25">
      <c r="A227">
        <v>23</v>
      </c>
      <c r="B227" t="s">
        <v>921</v>
      </c>
      <c r="C227" t="s">
        <v>1189</v>
      </c>
      <c r="D227" t="s">
        <v>1136</v>
      </c>
      <c r="E227" t="s">
        <v>744</v>
      </c>
      <c r="F227" t="s">
        <v>77</v>
      </c>
      <c r="G227" t="s">
        <v>750</v>
      </c>
      <c r="H227">
        <v>6</v>
      </c>
      <c r="I227">
        <v>1500</v>
      </c>
      <c r="J227">
        <v>12000</v>
      </c>
      <c r="K227" t="s">
        <v>746</v>
      </c>
      <c r="M227">
        <v>1</v>
      </c>
      <c r="N227">
        <v>847.8</v>
      </c>
      <c r="O227" t="s">
        <v>39</v>
      </c>
      <c r="P227">
        <v>742.44</v>
      </c>
      <c r="Q227">
        <v>847.8</v>
      </c>
      <c r="S227">
        <v>65.709999999999994</v>
      </c>
      <c r="T227">
        <v>34.450000000000003</v>
      </c>
      <c r="U227">
        <v>5.2</v>
      </c>
      <c r="V227">
        <v>3</v>
      </c>
      <c r="W227" t="s">
        <v>1307</v>
      </c>
      <c r="X227" t="s">
        <v>920</v>
      </c>
      <c r="Y227" t="s">
        <v>38</v>
      </c>
      <c r="Z227" t="s">
        <v>748</v>
      </c>
    </row>
    <row r="228" spans="1:26" hidden="1" x14ac:dyDescent="0.25">
      <c r="A228">
        <v>24</v>
      </c>
      <c r="B228" t="s">
        <v>921</v>
      </c>
      <c r="C228" t="s">
        <v>1191</v>
      </c>
      <c r="D228" t="s">
        <v>1136</v>
      </c>
      <c r="E228" t="s">
        <v>744</v>
      </c>
      <c r="F228" t="s">
        <v>77</v>
      </c>
      <c r="G228" t="s">
        <v>750</v>
      </c>
      <c r="H228">
        <v>6</v>
      </c>
      <c r="I228">
        <v>1500</v>
      </c>
      <c r="J228">
        <v>12000</v>
      </c>
      <c r="K228" t="s">
        <v>746</v>
      </c>
      <c r="M228">
        <v>1</v>
      </c>
      <c r="N228">
        <v>847.8</v>
      </c>
      <c r="O228" t="s">
        <v>39</v>
      </c>
      <c r="P228">
        <v>720.91</v>
      </c>
      <c r="Q228">
        <v>847.8</v>
      </c>
      <c r="S228">
        <v>95.38</v>
      </c>
      <c r="T228">
        <v>26.46</v>
      </c>
      <c r="U228">
        <v>5.05</v>
      </c>
      <c r="V228">
        <v>3</v>
      </c>
      <c r="W228" t="s">
        <v>1307</v>
      </c>
      <c r="X228" t="s">
        <v>920</v>
      </c>
      <c r="Y228" t="s">
        <v>38</v>
      </c>
      <c r="Z228" t="s">
        <v>748</v>
      </c>
    </row>
    <row r="229" spans="1:26" hidden="1" x14ac:dyDescent="0.25">
      <c r="A229">
        <v>25</v>
      </c>
      <c r="B229" t="s">
        <v>921</v>
      </c>
      <c r="C229" t="s">
        <v>1193</v>
      </c>
      <c r="D229" t="s">
        <v>1136</v>
      </c>
      <c r="E229" t="s">
        <v>744</v>
      </c>
      <c r="F229" t="s">
        <v>77</v>
      </c>
      <c r="G229" t="s">
        <v>750</v>
      </c>
      <c r="H229">
        <v>6</v>
      </c>
      <c r="I229">
        <v>1500</v>
      </c>
      <c r="J229">
        <v>12000</v>
      </c>
      <c r="K229" t="s">
        <v>746</v>
      </c>
      <c r="M229">
        <v>1</v>
      </c>
      <c r="N229">
        <v>847.8</v>
      </c>
      <c r="O229" t="s">
        <v>39</v>
      </c>
      <c r="P229">
        <v>720.91</v>
      </c>
      <c r="Q229">
        <v>847.8</v>
      </c>
      <c r="S229">
        <v>97.12</v>
      </c>
      <c r="T229">
        <v>24.72</v>
      </c>
      <c r="U229">
        <v>5.05</v>
      </c>
      <c r="V229">
        <v>3</v>
      </c>
      <c r="W229" t="s">
        <v>1307</v>
      </c>
      <c r="X229" t="s">
        <v>920</v>
      </c>
      <c r="Y229" t="s">
        <v>38</v>
      </c>
      <c r="Z229" t="s">
        <v>748</v>
      </c>
    </row>
    <row r="230" spans="1:26" hidden="1" x14ac:dyDescent="0.25">
      <c r="A230">
        <v>26</v>
      </c>
      <c r="B230" t="s">
        <v>921</v>
      </c>
      <c r="C230" t="s">
        <v>1195</v>
      </c>
      <c r="D230" t="s">
        <v>1136</v>
      </c>
      <c r="E230" t="s">
        <v>744</v>
      </c>
      <c r="F230" t="s">
        <v>77</v>
      </c>
      <c r="G230" t="s">
        <v>750</v>
      </c>
      <c r="H230">
        <v>6</v>
      </c>
      <c r="I230">
        <v>1500</v>
      </c>
      <c r="J230">
        <v>12000</v>
      </c>
      <c r="K230" t="s">
        <v>746</v>
      </c>
      <c r="M230">
        <v>1</v>
      </c>
      <c r="N230">
        <v>847.8</v>
      </c>
      <c r="O230" t="s">
        <v>39</v>
      </c>
      <c r="P230">
        <v>720.91</v>
      </c>
      <c r="Q230">
        <v>847.8</v>
      </c>
      <c r="S230">
        <v>97.12</v>
      </c>
      <c r="T230">
        <v>24.72</v>
      </c>
      <c r="U230">
        <v>5.05</v>
      </c>
      <c r="V230">
        <v>3</v>
      </c>
      <c r="W230" t="s">
        <v>1307</v>
      </c>
      <c r="X230" t="s">
        <v>920</v>
      </c>
      <c r="Y230" t="s">
        <v>38</v>
      </c>
      <c r="Z230" t="s">
        <v>748</v>
      </c>
    </row>
    <row r="231" spans="1:26" hidden="1" x14ac:dyDescent="0.25">
      <c r="A231">
        <v>27</v>
      </c>
      <c r="B231" t="s">
        <v>921</v>
      </c>
      <c r="C231" t="s">
        <v>1197</v>
      </c>
      <c r="D231" t="s">
        <v>1136</v>
      </c>
      <c r="E231" t="s">
        <v>744</v>
      </c>
      <c r="F231" t="s">
        <v>77</v>
      </c>
      <c r="G231" t="s">
        <v>750</v>
      </c>
      <c r="H231">
        <v>6</v>
      </c>
      <c r="I231">
        <v>1500</v>
      </c>
      <c r="J231">
        <v>12000</v>
      </c>
      <c r="K231" t="s">
        <v>746</v>
      </c>
      <c r="M231">
        <v>1</v>
      </c>
      <c r="N231">
        <v>847.8</v>
      </c>
      <c r="O231" t="s">
        <v>39</v>
      </c>
      <c r="P231">
        <v>727.45</v>
      </c>
      <c r="Q231">
        <v>847.8</v>
      </c>
      <c r="S231">
        <v>80.260000000000005</v>
      </c>
      <c r="T231">
        <v>35</v>
      </c>
      <c r="U231">
        <v>5.09</v>
      </c>
      <c r="V231">
        <v>3</v>
      </c>
      <c r="W231" t="s">
        <v>1307</v>
      </c>
      <c r="X231" t="s">
        <v>920</v>
      </c>
      <c r="Y231" t="s">
        <v>38</v>
      </c>
      <c r="Z231" t="s">
        <v>748</v>
      </c>
    </row>
    <row r="232" spans="1:26" hidden="1" x14ac:dyDescent="0.25">
      <c r="A232">
        <v>28</v>
      </c>
      <c r="B232" t="s">
        <v>921</v>
      </c>
      <c r="C232" t="s">
        <v>1199</v>
      </c>
      <c r="D232" t="s">
        <v>1136</v>
      </c>
      <c r="E232" t="s">
        <v>744</v>
      </c>
      <c r="F232" t="s">
        <v>77</v>
      </c>
      <c r="G232" t="s">
        <v>750</v>
      </c>
      <c r="H232">
        <v>6</v>
      </c>
      <c r="I232">
        <v>1500</v>
      </c>
      <c r="J232">
        <v>12000</v>
      </c>
      <c r="K232" t="s">
        <v>746</v>
      </c>
      <c r="M232">
        <v>1</v>
      </c>
      <c r="N232">
        <v>847.8</v>
      </c>
      <c r="O232" t="s">
        <v>39</v>
      </c>
      <c r="P232">
        <v>737.24</v>
      </c>
      <c r="Q232">
        <v>847.8</v>
      </c>
      <c r="S232">
        <v>80.260000000000005</v>
      </c>
      <c r="T232">
        <v>25.14</v>
      </c>
      <c r="U232">
        <v>5.16</v>
      </c>
      <c r="V232">
        <v>3</v>
      </c>
      <c r="W232" t="s">
        <v>1307</v>
      </c>
      <c r="X232" t="s">
        <v>920</v>
      </c>
      <c r="Y232" t="s">
        <v>38</v>
      </c>
      <c r="Z232" t="s">
        <v>748</v>
      </c>
    </row>
    <row r="233" spans="1:26" hidden="1" x14ac:dyDescent="0.25">
      <c r="A233">
        <v>29</v>
      </c>
      <c r="B233" t="s">
        <v>921</v>
      </c>
      <c r="C233" t="s">
        <v>1201</v>
      </c>
      <c r="D233" t="s">
        <v>1136</v>
      </c>
      <c r="E233" t="s">
        <v>744</v>
      </c>
      <c r="F233" t="s">
        <v>77</v>
      </c>
      <c r="G233" t="s">
        <v>750</v>
      </c>
      <c r="H233">
        <v>6</v>
      </c>
      <c r="I233">
        <v>1500</v>
      </c>
      <c r="J233">
        <v>12000</v>
      </c>
      <c r="K233" t="s">
        <v>746</v>
      </c>
      <c r="M233">
        <v>1</v>
      </c>
      <c r="N233">
        <v>847.8</v>
      </c>
      <c r="O233" t="s">
        <v>39</v>
      </c>
      <c r="P233">
        <v>773.2</v>
      </c>
      <c r="Q233">
        <v>847.8</v>
      </c>
      <c r="T233">
        <v>69.19</v>
      </c>
      <c r="U233">
        <v>5.41</v>
      </c>
      <c r="V233">
        <v>3</v>
      </c>
      <c r="W233" t="s">
        <v>1307</v>
      </c>
      <c r="X233" t="s">
        <v>920</v>
      </c>
      <c r="Y233" t="s">
        <v>38</v>
      </c>
      <c r="Z233" t="s">
        <v>748</v>
      </c>
    </row>
    <row r="234" spans="1:26" hidden="1" x14ac:dyDescent="0.25">
      <c r="A234">
        <v>30</v>
      </c>
      <c r="B234" t="s">
        <v>921</v>
      </c>
      <c r="C234" t="s">
        <v>1203</v>
      </c>
      <c r="D234" t="s">
        <v>1136</v>
      </c>
      <c r="E234" t="s">
        <v>744</v>
      </c>
      <c r="F234" t="s">
        <v>77</v>
      </c>
      <c r="G234" t="s">
        <v>1087</v>
      </c>
      <c r="H234">
        <v>6</v>
      </c>
      <c r="I234">
        <v>1500</v>
      </c>
      <c r="J234">
        <v>6325</v>
      </c>
      <c r="K234" t="s">
        <v>746</v>
      </c>
      <c r="M234">
        <v>1</v>
      </c>
      <c r="N234">
        <v>446.86</v>
      </c>
      <c r="O234" t="s">
        <v>987</v>
      </c>
      <c r="P234">
        <v>343.17</v>
      </c>
      <c r="R234">
        <v>446.86</v>
      </c>
      <c r="S234">
        <v>83.87</v>
      </c>
      <c r="T234">
        <v>17.420000000000002</v>
      </c>
      <c r="U234">
        <v>2.4</v>
      </c>
      <c r="V234">
        <v>3</v>
      </c>
      <c r="W234" t="s">
        <v>1307</v>
      </c>
      <c r="X234" t="s">
        <v>920</v>
      </c>
      <c r="Y234" t="s">
        <v>38</v>
      </c>
      <c r="Z234" t="s">
        <v>748</v>
      </c>
    </row>
    <row r="235" spans="1:26" hidden="1" x14ac:dyDescent="0.25">
      <c r="A235">
        <v>31</v>
      </c>
      <c r="B235" t="s">
        <v>921</v>
      </c>
      <c r="C235" t="s">
        <v>1205</v>
      </c>
      <c r="D235" t="s">
        <v>1136</v>
      </c>
      <c r="E235" t="s">
        <v>744</v>
      </c>
      <c r="F235" t="s">
        <v>77</v>
      </c>
      <c r="G235" t="s">
        <v>751</v>
      </c>
      <c r="H235">
        <v>8</v>
      </c>
      <c r="I235">
        <v>2000</v>
      </c>
      <c r="J235">
        <v>12000</v>
      </c>
      <c r="K235" t="s">
        <v>746</v>
      </c>
      <c r="M235">
        <v>1</v>
      </c>
      <c r="N235">
        <v>1507.2</v>
      </c>
      <c r="O235" t="s">
        <v>39</v>
      </c>
      <c r="P235">
        <v>1450.53</v>
      </c>
      <c r="Q235">
        <v>1507.2</v>
      </c>
      <c r="T235">
        <v>46.52</v>
      </c>
      <c r="U235">
        <v>10.15</v>
      </c>
      <c r="V235">
        <v>3</v>
      </c>
      <c r="W235" t="s">
        <v>1307</v>
      </c>
      <c r="X235" t="s">
        <v>920</v>
      </c>
      <c r="Y235" t="s">
        <v>38</v>
      </c>
      <c r="Z235" t="s">
        <v>748</v>
      </c>
    </row>
    <row r="236" spans="1:26" hidden="1" x14ac:dyDescent="0.25">
      <c r="A236">
        <v>32</v>
      </c>
      <c r="B236" t="s">
        <v>921</v>
      </c>
      <c r="C236" t="s">
        <v>1207</v>
      </c>
      <c r="D236" t="s">
        <v>1136</v>
      </c>
      <c r="E236" t="s">
        <v>744</v>
      </c>
      <c r="F236" t="s">
        <v>77</v>
      </c>
      <c r="G236" t="s">
        <v>751</v>
      </c>
      <c r="H236">
        <v>8</v>
      </c>
      <c r="I236">
        <v>2000</v>
      </c>
      <c r="J236">
        <v>12000</v>
      </c>
      <c r="K236" t="s">
        <v>746</v>
      </c>
      <c r="M236">
        <v>1</v>
      </c>
      <c r="N236">
        <v>1507.2</v>
      </c>
      <c r="O236" t="s">
        <v>39</v>
      </c>
      <c r="P236">
        <v>1422.67</v>
      </c>
      <c r="Q236">
        <v>1507.2</v>
      </c>
      <c r="T236">
        <v>74.569999999999993</v>
      </c>
      <c r="U236">
        <v>9.9600000000000009</v>
      </c>
      <c r="V236">
        <v>3</v>
      </c>
      <c r="W236" t="s">
        <v>1307</v>
      </c>
      <c r="X236" t="s">
        <v>920</v>
      </c>
      <c r="Y236" t="s">
        <v>38</v>
      </c>
      <c r="Z236" t="s">
        <v>748</v>
      </c>
    </row>
    <row r="237" spans="1:26" hidden="1" x14ac:dyDescent="0.25">
      <c r="A237">
        <v>33</v>
      </c>
      <c r="B237" t="s">
        <v>921</v>
      </c>
      <c r="C237" t="s">
        <v>1209</v>
      </c>
      <c r="D237" t="s">
        <v>1136</v>
      </c>
      <c r="E237" t="s">
        <v>744</v>
      </c>
      <c r="F237" t="s">
        <v>77</v>
      </c>
      <c r="G237" t="s">
        <v>751</v>
      </c>
      <c r="H237">
        <v>8</v>
      </c>
      <c r="I237">
        <v>2000</v>
      </c>
      <c r="J237">
        <v>12000</v>
      </c>
      <c r="K237" t="s">
        <v>746</v>
      </c>
      <c r="M237">
        <v>1</v>
      </c>
      <c r="N237">
        <v>1507.2</v>
      </c>
      <c r="O237" t="s">
        <v>39</v>
      </c>
      <c r="P237">
        <v>1422.45</v>
      </c>
      <c r="Q237">
        <v>1507.2</v>
      </c>
      <c r="T237">
        <v>74.790000000000006</v>
      </c>
      <c r="U237">
        <v>9.9600000000000009</v>
      </c>
      <c r="V237">
        <v>3</v>
      </c>
      <c r="W237" t="s">
        <v>1307</v>
      </c>
      <c r="X237" t="s">
        <v>920</v>
      </c>
      <c r="Y237" t="s">
        <v>38</v>
      </c>
      <c r="Z237" t="s">
        <v>748</v>
      </c>
    </row>
    <row r="238" spans="1:26" hidden="1" x14ac:dyDescent="0.25">
      <c r="A238">
        <v>34</v>
      </c>
      <c r="B238" t="s">
        <v>921</v>
      </c>
      <c r="C238" t="s">
        <v>1211</v>
      </c>
      <c r="D238" t="s">
        <v>1136</v>
      </c>
      <c r="E238" t="s">
        <v>744</v>
      </c>
      <c r="F238" t="s">
        <v>77</v>
      </c>
      <c r="G238" t="s">
        <v>751</v>
      </c>
      <c r="H238">
        <v>8</v>
      </c>
      <c r="I238">
        <v>2000</v>
      </c>
      <c r="J238">
        <v>12000</v>
      </c>
      <c r="K238" t="s">
        <v>746</v>
      </c>
      <c r="M238">
        <v>1</v>
      </c>
      <c r="N238">
        <v>1507.2</v>
      </c>
      <c r="O238" t="s">
        <v>39</v>
      </c>
      <c r="P238">
        <v>1396.27</v>
      </c>
      <c r="Q238">
        <v>1507.2</v>
      </c>
      <c r="T238">
        <v>101.16</v>
      </c>
      <c r="U238">
        <v>9.77</v>
      </c>
      <c r="V238">
        <v>3</v>
      </c>
      <c r="W238" t="s">
        <v>1307</v>
      </c>
      <c r="X238" t="s">
        <v>920</v>
      </c>
      <c r="Y238" t="s">
        <v>38</v>
      </c>
      <c r="Z238" t="s">
        <v>748</v>
      </c>
    </row>
    <row r="239" spans="1:26" hidden="1" x14ac:dyDescent="0.25">
      <c r="A239">
        <v>35</v>
      </c>
      <c r="B239" t="s">
        <v>921</v>
      </c>
      <c r="C239" t="s">
        <v>1213</v>
      </c>
      <c r="D239" t="s">
        <v>1136</v>
      </c>
      <c r="E239" t="s">
        <v>744</v>
      </c>
      <c r="F239" t="s">
        <v>77</v>
      </c>
      <c r="G239" t="s">
        <v>751</v>
      </c>
      <c r="H239">
        <v>8</v>
      </c>
      <c r="I239">
        <v>2000</v>
      </c>
      <c r="J239">
        <v>12000</v>
      </c>
      <c r="K239" t="s">
        <v>746</v>
      </c>
      <c r="M239">
        <v>1</v>
      </c>
      <c r="N239">
        <v>1507.2</v>
      </c>
      <c r="O239" t="s">
        <v>39</v>
      </c>
      <c r="P239">
        <v>1397.65</v>
      </c>
      <c r="Q239">
        <v>1507.2</v>
      </c>
      <c r="T239">
        <v>99.77</v>
      </c>
      <c r="U239">
        <v>9.7799999999999994</v>
      </c>
      <c r="V239">
        <v>3</v>
      </c>
      <c r="W239" t="s">
        <v>1307</v>
      </c>
      <c r="X239" t="s">
        <v>920</v>
      </c>
      <c r="Y239" t="s">
        <v>38</v>
      </c>
      <c r="Z239" t="s">
        <v>748</v>
      </c>
    </row>
    <row r="240" spans="1:26" hidden="1" x14ac:dyDescent="0.25">
      <c r="A240">
        <v>36</v>
      </c>
      <c r="B240" t="s">
        <v>921</v>
      </c>
      <c r="C240" t="s">
        <v>1215</v>
      </c>
      <c r="D240" t="s">
        <v>1136</v>
      </c>
      <c r="E240" t="s">
        <v>744</v>
      </c>
      <c r="F240" t="s">
        <v>77</v>
      </c>
      <c r="G240" t="s">
        <v>751</v>
      </c>
      <c r="H240">
        <v>8</v>
      </c>
      <c r="I240">
        <v>2000</v>
      </c>
      <c r="J240">
        <v>12000</v>
      </c>
      <c r="K240" t="s">
        <v>746</v>
      </c>
      <c r="M240">
        <v>1</v>
      </c>
      <c r="N240">
        <v>1507.2</v>
      </c>
      <c r="O240" t="s">
        <v>39</v>
      </c>
      <c r="P240">
        <v>1412.28</v>
      </c>
      <c r="Q240">
        <v>1507.2</v>
      </c>
      <c r="T240">
        <v>85.03</v>
      </c>
      <c r="U240">
        <v>9.89</v>
      </c>
      <c r="V240">
        <v>3</v>
      </c>
      <c r="W240" t="s">
        <v>1307</v>
      </c>
      <c r="X240" t="s">
        <v>920</v>
      </c>
      <c r="Y240" t="s">
        <v>38</v>
      </c>
      <c r="Z240" t="s">
        <v>748</v>
      </c>
    </row>
    <row r="241" spans="1:26" hidden="1" x14ac:dyDescent="0.25">
      <c r="A241">
        <v>37</v>
      </c>
      <c r="B241" t="s">
        <v>921</v>
      </c>
      <c r="C241" t="s">
        <v>1217</v>
      </c>
      <c r="D241" t="s">
        <v>1136</v>
      </c>
      <c r="E241" t="s">
        <v>744</v>
      </c>
      <c r="F241" t="s">
        <v>77</v>
      </c>
      <c r="G241" t="s">
        <v>751</v>
      </c>
      <c r="H241">
        <v>8</v>
      </c>
      <c r="I241">
        <v>2000</v>
      </c>
      <c r="J241">
        <v>12000</v>
      </c>
      <c r="K241" t="s">
        <v>746</v>
      </c>
      <c r="M241">
        <v>1</v>
      </c>
      <c r="N241">
        <v>1507.2</v>
      </c>
      <c r="O241" t="s">
        <v>39</v>
      </c>
      <c r="P241">
        <v>1422.01</v>
      </c>
      <c r="Q241">
        <v>1507.2</v>
      </c>
      <c r="T241">
        <v>75.239999999999995</v>
      </c>
      <c r="U241">
        <v>9.9499999999999993</v>
      </c>
      <c r="V241">
        <v>3</v>
      </c>
      <c r="W241" t="s">
        <v>1307</v>
      </c>
      <c r="X241" t="s">
        <v>920</v>
      </c>
      <c r="Y241" t="s">
        <v>38</v>
      </c>
      <c r="Z241" t="s">
        <v>748</v>
      </c>
    </row>
    <row r="242" spans="1:26" hidden="1" x14ac:dyDescent="0.25">
      <c r="A242">
        <v>38</v>
      </c>
      <c r="B242" t="s">
        <v>921</v>
      </c>
      <c r="C242" t="s">
        <v>1219</v>
      </c>
      <c r="D242" t="s">
        <v>1136</v>
      </c>
      <c r="E242" t="s">
        <v>744</v>
      </c>
      <c r="F242" t="s">
        <v>77</v>
      </c>
      <c r="G242" t="s">
        <v>751</v>
      </c>
      <c r="H242">
        <v>8</v>
      </c>
      <c r="I242">
        <v>2000</v>
      </c>
      <c r="J242">
        <v>12000</v>
      </c>
      <c r="K242" t="s">
        <v>746</v>
      </c>
      <c r="M242">
        <v>1</v>
      </c>
      <c r="N242">
        <v>1507.2</v>
      </c>
      <c r="O242" t="s">
        <v>39</v>
      </c>
      <c r="P242">
        <v>1448.71</v>
      </c>
      <c r="Q242">
        <v>1507.2</v>
      </c>
      <c r="T242">
        <v>48.35</v>
      </c>
      <c r="U242">
        <v>10.14</v>
      </c>
      <c r="V242">
        <v>3</v>
      </c>
      <c r="W242" t="s">
        <v>1307</v>
      </c>
      <c r="X242" t="s">
        <v>920</v>
      </c>
      <c r="Y242" t="s">
        <v>38</v>
      </c>
      <c r="Z242" t="s">
        <v>748</v>
      </c>
    </row>
    <row r="243" spans="1:26" hidden="1" x14ac:dyDescent="0.25">
      <c r="A243">
        <v>39</v>
      </c>
      <c r="B243" t="s">
        <v>921</v>
      </c>
      <c r="C243" t="s">
        <v>1221</v>
      </c>
      <c r="D243" t="s">
        <v>1136</v>
      </c>
      <c r="E243" t="s">
        <v>744</v>
      </c>
      <c r="F243" t="s">
        <v>77</v>
      </c>
      <c r="G243" t="s">
        <v>751</v>
      </c>
      <c r="H243">
        <v>8</v>
      </c>
      <c r="I243">
        <v>2000</v>
      </c>
      <c r="J243">
        <v>12000</v>
      </c>
      <c r="K243" t="s">
        <v>746</v>
      </c>
      <c r="M243">
        <v>1</v>
      </c>
      <c r="N243">
        <v>1507.2</v>
      </c>
      <c r="O243" t="s">
        <v>39</v>
      </c>
      <c r="P243">
        <v>1434.86</v>
      </c>
      <c r="Q243">
        <v>1507.2</v>
      </c>
      <c r="T243">
        <v>62.3</v>
      </c>
      <c r="U243">
        <v>10.039999999999999</v>
      </c>
      <c r="V243">
        <v>3</v>
      </c>
      <c r="W243" t="s">
        <v>1307</v>
      </c>
      <c r="X243" t="s">
        <v>920</v>
      </c>
      <c r="Y243" t="s">
        <v>38</v>
      </c>
      <c r="Z243" t="s">
        <v>748</v>
      </c>
    </row>
    <row r="244" spans="1:26" hidden="1" x14ac:dyDescent="0.25">
      <c r="A244">
        <v>40</v>
      </c>
      <c r="B244" t="s">
        <v>921</v>
      </c>
      <c r="C244" t="s">
        <v>1223</v>
      </c>
      <c r="D244" t="s">
        <v>1136</v>
      </c>
      <c r="E244" t="s">
        <v>744</v>
      </c>
      <c r="F244" t="s">
        <v>77</v>
      </c>
      <c r="G244" t="s">
        <v>751</v>
      </c>
      <c r="H244">
        <v>8</v>
      </c>
      <c r="I244">
        <v>2000</v>
      </c>
      <c r="J244">
        <v>12000</v>
      </c>
      <c r="K244" t="s">
        <v>746</v>
      </c>
      <c r="M244">
        <v>1</v>
      </c>
      <c r="N244">
        <v>1507.2</v>
      </c>
      <c r="O244" t="s">
        <v>39</v>
      </c>
      <c r="P244">
        <v>1424.4</v>
      </c>
      <c r="Q244">
        <v>1507.2</v>
      </c>
      <c r="T244">
        <v>72.83</v>
      </c>
      <c r="U244">
        <v>9.9700000000000006</v>
      </c>
      <c r="V244">
        <v>3</v>
      </c>
      <c r="W244" t="s">
        <v>1307</v>
      </c>
      <c r="X244" t="s">
        <v>920</v>
      </c>
      <c r="Y244" t="s">
        <v>38</v>
      </c>
      <c r="Z244" t="s">
        <v>748</v>
      </c>
    </row>
    <row r="245" spans="1:26" hidden="1" x14ac:dyDescent="0.25">
      <c r="A245">
        <v>41</v>
      </c>
      <c r="B245" t="s">
        <v>921</v>
      </c>
      <c r="C245" t="s">
        <v>1223</v>
      </c>
      <c r="D245" t="s">
        <v>1136</v>
      </c>
      <c r="E245" t="s">
        <v>744</v>
      </c>
      <c r="F245" t="s">
        <v>77</v>
      </c>
      <c r="G245" t="s">
        <v>751</v>
      </c>
      <c r="H245">
        <v>8</v>
      </c>
      <c r="I245">
        <v>2000</v>
      </c>
      <c r="J245">
        <v>12000</v>
      </c>
      <c r="K245" t="s">
        <v>746</v>
      </c>
      <c r="M245">
        <v>1</v>
      </c>
      <c r="N245">
        <v>1507.2</v>
      </c>
      <c r="O245" t="s">
        <v>39</v>
      </c>
      <c r="P245">
        <v>19.47</v>
      </c>
      <c r="Q245">
        <v>1507.2</v>
      </c>
      <c r="S245">
        <v>1484.53</v>
      </c>
      <c r="T245">
        <v>3.06</v>
      </c>
      <c r="U245">
        <v>0.14000000000000001</v>
      </c>
      <c r="V245">
        <v>3</v>
      </c>
      <c r="W245" t="s">
        <v>1307</v>
      </c>
      <c r="X245" t="s">
        <v>920</v>
      </c>
      <c r="Y245" t="s">
        <v>38</v>
      </c>
      <c r="Z245" t="s">
        <v>748</v>
      </c>
    </row>
    <row r="246" spans="1:26" hidden="1" x14ac:dyDescent="0.25">
      <c r="A246">
        <v>42</v>
      </c>
      <c r="B246" t="s">
        <v>921</v>
      </c>
      <c r="C246" t="s">
        <v>1227</v>
      </c>
      <c r="D246" t="s">
        <v>1136</v>
      </c>
      <c r="E246" t="s">
        <v>744</v>
      </c>
      <c r="F246" t="s">
        <v>77</v>
      </c>
      <c r="G246" t="s">
        <v>753</v>
      </c>
      <c r="H246">
        <v>10</v>
      </c>
      <c r="I246">
        <v>1500</v>
      </c>
      <c r="J246">
        <v>12000</v>
      </c>
      <c r="K246" t="s">
        <v>746</v>
      </c>
      <c r="M246">
        <v>1</v>
      </c>
      <c r="N246">
        <v>1413</v>
      </c>
      <c r="O246" t="s">
        <v>39</v>
      </c>
      <c r="P246">
        <v>1375.31</v>
      </c>
      <c r="Q246">
        <v>1413</v>
      </c>
      <c r="T246">
        <v>28.06</v>
      </c>
      <c r="U246">
        <v>9.6300000000000008</v>
      </c>
      <c r="V246">
        <v>3</v>
      </c>
      <c r="W246" t="s">
        <v>1307</v>
      </c>
      <c r="X246" t="s">
        <v>920</v>
      </c>
      <c r="Y246" t="s">
        <v>38</v>
      </c>
      <c r="Z246" t="s">
        <v>748</v>
      </c>
    </row>
    <row r="247" spans="1:26" hidden="1" x14ac:dyDescent="0.25">
      <c r="A247">
        <v>43</v>
      </c>
      <c r="B247" t="s">
        <v>921</v>
      </c>
      <c r="C247" t="s">
        <v>1229</v>
      </c>
      <c r="D247" t="s">
        <v>1136</v>
      </c>
      <c r="E247" t="s">
        <v>744</v>
      </c>
      <c r="F247" t="s">
        <v>77</v>
      </c>
      <c r="G247" t="s">
        <v>753</v>
      </c>
      <c r="H247">
        <v>10</v>
      </c>
      <c r="I247">
        <v>1500</v>
      </c>
      <c r="J247">
        <v>12000</v>
      </c>
      <c r="K247" t="s">
        <v>746</v>
      </c>
      <c r="M247">
        <v>1</v>
      </c>
      <c r="N247">
        <v>1413</v>
      </c>
      <c r="O247" t="s">
        <v>39</v>
      </c>
      <c r="P247">
        <v>1375.31</v>
      </c>
      <c r="Q247">
        <v>1413</v>
      </c>
      <c r="T247">
        <v>28.06</v>
      </c>
      <c r="U247">
        <v>9.6300000000000008</v>
      </c>
      <c r="V247">
        <v>3</v>
      </c>
      <c r="W247" t="s">
        <v>1307</v>
      </c>
      <c r="X247" t="s">
        <v>920</v>
      </c>
      <c r="Y247" t="s">
        <v>38</v>
      </c>
      <c r="Z247" t="s">
        <v>748</v>
      </c>
    </row>
    <row r="248" spans="1:26" hidden="1" x14ac:dyDescent="0.25">
      <c r="A248">
        <v>44</v>
      </c>
      <c r="B248" t="s">
        <v>921</v>
      </c>
      <c r="C248" t="s">
        <v>1231</v>
      </c>
      <c r="D248" t="s">
        <v>1136</v>
      </c>
      <c r="E248" t="s">
        <v>744</v>
      </c>
      <c r="F248" t="s">
        <v>77</v>
      </c>
      <c r="G248" t="s">
        <v>753</v>
      </c>
      <c r="H248">
        <v>10</v>
      </c>
      <c r="I248">
        <v>1500</v>
      </c>
      <c r="J248">
        <v>12000</v>
      </c>
      <c r="K248" t="s">
        <v>746</v>
      </c>
      <c r="M248">
        <v>1</v>
      </c>
      <c r="N248">
        <v>1413</v>
      </c>
      <c r="O248" t="s">
        <v>39</v>
      </c>
      <c r="P248">
        <v>1375.32</v>
      </c>
      <c r="Q248">
        <v>1413</v>
      </c>
      <c r="T248">
        <v>28.05</v>
      </c>
      <c r="U248">
        <v>9.6300000000000008</v>
      </c>
      <c r="V248">
        <v>3</v>
      </c>
      <c r="W248" t="s">
        <v>1307</v>
      </c>
      <c r="X248" t="s">
        <v>920</v>
      </c>
      <c r="Y248" t="s">
        <v>38</v>
      </c>
      <c r="Z248" t="s">
        <v>748</v>
      </c>
    </row>
    <row r="249" spans="1:26" hidden="1" x14ac:dyDescent="0.25">
      <c r="A249">
        <v>45</v>
      </c>
      <c r="B249" t="s">
        <v>921</v>
      </c>
      <c r="C249" t="s">
        <v>1233</v>
      </c>
      <c r="D249" t="s">
        <v>1136</v>
      </c>
      <c r="E249" t="s">
        <v>744</v>
      </c>
      <c r="F249" t="s">
        <v>77</v>
      </c>
      <c r="G249" t="s">
        <v>753</v>
      </c>
      <c r="H249">
        <v>10</v>
      </c>
      <c r="I249">
        <v>1500</v>
      </c>
      <c r="J249">
        <v>12000</v>
      </c>
      <c r="K249" t="s">
        <v>746</v>
      </c>
      <c r="M249">
        <v>1</v>
      </c>
      <c r="N249">
        <v>1413</v>
      </c>
      <c r="O249" t="s">
        <v>39</v>
      </c>
      <c r="P249">
        <v>1365.89</v>
      </c>
      <c r="Q249">
        <v>1413</v>
      </c>
      <c r="T249">
        <v>37.549999999999997</v>
      </c>
      <c r="U249">
        <v>9.56</v>
      </c>
      <c r="V249">
        <v>3</v>
      </c>
      <c r="W249" t="s">
        <v>1307</v>
      </c>
      <c r="X249" t="s">
        <v>920</v>
      </c>
      <c r="Y249" t="s">
        <v>38</v>
      </c>
      <c r="Z249" t="s">
        <v>748</v>
      </c>
    </row>
    <row r="250" spans="1:26" hidden="1" x14ac:dyDescent="0.25">
      <c r="A250">
        <v>46</v>
      </c>
      <c r="B250" t="s">
        <v>921</v>
      </c>
      <c r="C250" t="s">
        <v>1235</v>
      </c>
      <c r="D250" t="s">
        <v>1136</v>
      </c>
      <c r="E250" t="s">
        <v>744</v>
      </c>
      <c r="F250" t="s">
        <v>77</v>
      </c>
      <c r="G250" t="s">
        <v>753</v>
      </c>
      <c r="H250">
        <v>10</v>
      </c>
      <c r="I250">
        <v>1500</v>
      </c>
      <c r="J250">
        <v>12000</v>
      </c>
      <c r="K250" t="s">
        <v>746</v>
      </c>
      <c r="M250">
        <v>1</v>
      </c>
      <c r="N250">
        <v>1413</v>
      </c>
      <c r="O250" t="s">
        <v>39</v>
      </c>
      <c r="P250">
        <v>1313.14</v>
      </c>
      <c r="Q250">
        <v>1413</v>
      </c>
      <c r="T250">
        <v>90.67</v>
      </c>
      <c r="U250">
        <v>9.19</v>
      </c>
      <c r="V250">
        <v>3</v>
      </c>
      <c r="W250" t="s">
        <v>1307</v>
      </c>
      <c r="X250" t="s">
        <v>920</v>
      </c>
      <c r="Y250" t="s">
        <v>38</v>
      </c>
      <c r="Z250" t="s">
        <v>748</v>
      </c>
    </row>
    <row r="251" spans="1:26" hidden="1" x14ac:dyDescent="0.25">
      <c r="A251">
        <v>47</v>
      </c>
      <c r="B251" t="s">
        <v>921</v>
      </c>
      <c r="C251" t="s">
        <v>1237</v>
      </c>
      <c r="D251" t="s">
        <v>1136</v>
      </c>
      <c r="E251" t="s">
        <v>744</v>
      </c>
      <c r="F251" t="s">
        <v>77</v>
      </c>
      <c r="G251" t="s">
        <v>753</v>
      </c>
      <c r="H251">
        <v>10</v>
      </c>
      <c r="I251">
        <v>1500</v>
      </c>
      <c r="J251">
        <v>12000</v>
      </c>
      <c r="K251" t="s">
        <v>746</v>
      </c>
      <c r="M251">
        <v>1</v>
      </c>
      <c r="N251">
        <v>1413</v>
      </c>
      <c r="O251" t="s">
        <v>39</v>
      </c>
      <c r="P251">
        <v>1338.6</v>
      </c>
      <c r="Q251">
        <v>1413</v>
      </c>
      <c r="T251">
        <v>65.03</v>
      </c>
      <c r="U251">
        <v>9.3699999999999992</v>
      </c>
      <c r="V251">
        <v>3</v>
      </c>
      <c r="W251" t="s">
        <v>1307</v>
      </c>
      <c r="X251" t="s">
        <v>920</v>
      </c>
      <c r="Y251" t="s">
        <v>38</v>
      </c>
      <c r="Z251" t="s">
        <v>748</v>
      </c>
    </row>
    <row r="252" spans="1:26" hidden="1" x14ac:dyDescent="0.25">
      <c r="A252">
        <v>48</v>
      </c>
      <c r="B252" t="s">
        <v>921</v>
      </c>
      <c r="C252" t="s">
        <v>1239</v>
      </c>
      <c r="D252" t="s">
        <v>1136</v>
      </c>
      <c r="E252" t="s">
        <v>744</v>
      </c>
      <c r="F252" t="s">
        <v>77</v>
      </c>
      <c r="G252" t="s">
        <v>753</v>
      </c>
      <c r="H252">
        <v>10</v>
      </c>
      <c r="I252">
        <v>1500</v>
      </c>
      <c r="J252">
        <v>12000</v>
      </c>
      <c r="K252" t="s">
        <v>746</v>
      </c>
      <c r="M252">
        <v>1</v>
      </c>
      <c r="N252">
        <v>1413</v>
      </c>
      <c r="O252" t="s">
        <v>39</v>
      </c>
      <c r="P252">
        <v>1327.92</v>
      </c>
      <c r="Q252">
        <v>1413</v>
      </c>
      <c r="T252">
        <v>75.78</v>
      </c>
      <c r="U252">
        <v>9.3000000000000007</v>
      </c>
      <c r="V252">
        <v>3</v>
      </c>
      <c r="W252" t="s">
        <v>1307</v>
      </c>
      <c r="X252" t="s">
        <v>920</v>
      </c>
      <c r="Y252" t="s">
        <v>38</v>
      </c>
      <c r="Z252" t="s">
        <v>748</v>
      </c>
    </row>
    <row r="253" spans="1:26" hidden="1" x14ac:dyDescent="0.25">
      <c r="A253">
        <v>49</v>
      </c>
      <c r="B253" t="s">
        <v>921</v>
      </c>
      <c r="C253" t="s">
        <v>1241</v>
      </c>
      <c r="D253" t="s">
        <v>1136</v>
      </c>
      <c r="E253" t="s">
        <v>744</v>
      </c>
      <c r="F253" t="s">
        <v>77</v>
      </c>
      <c r="G253" t="s">
        <v>753</v>
      </c>
      <c r="H253">
        <v>10</v>
      </c>
      <c r="I253">
        <v>1500</v>
      </c>
      <c r="J253">
        <v>12000</v>
      </c>
      <c r="K253" t="s">
        <v>746</v>
      </c>
      <c r="M253">
        <v>1</v>
      </c>
      <c r="N253">
        <v>1413</v>
      </c>
      <c r="O253" t="s">
        <v>39</v>
      </c>
      <c r="P253">
        <v>1338.82</v>
      </c>
      <c r="Q253">
        <v>1413</v>
      </c>
      <c r="T253">
        <v>64.81</v>
      </c>
      <c r="U253">
        <v>9.3699999999999992</v>
      </c>
      <c r="V253">
        <v>3</v>
      </c>
      <c r="W253" t="s">
        <v>1307</v>
      </c>
      <c r="X253" t="s">
        <v>920</v>
      </c>
      <c r="Y253" t="s">
        <v>38</v>
      </c>
      <c r="Z253" t="s">
        <v>748</v>
      </c>
    </row>
    <row r="254" spans="1:26" hidden="1" x14ac:dyDescent="0.25">
      <c r="A254">
        <v>50</v>
      </c>
      <c r="B254" t="s">
        <v>921</v>
      </c>
      <c r="C254" t="s">
        <v>1243</v>
      </c>
      <c r="D254" t="s">
        <v>1136</v>
      </c>
      <c r="E254" t="s">
        <v>744</v>
      </c>
      <c r="F254" t="s">
        <v>77</v>
      </c>
      <c r="G254" t="s">
        <v>753</v>
      </c>
      <c r="H254">
        <v>10</v>
      </c>
      <c r="I254">
        <v>1500</v>
      </c>
      <c r="J254">
        <v>12000</v>
      </c>
      <c r="K254" t="s">
        <v>746</v>
      </c>
      <c r="M254">
        <v>1</v>
      </c>
      <c r="N254">
        <v>1413</v>
      </c>
      <c r="O254" t="s">
        <v>39</v>
      </c>
      <c r="P254">
        <v>1343.39</v>
      </c>
      <c r="Q254">
        <v>1413</v>
      </c>
      <c r="T254">
        <v>60.21</v>
      </c>
      <c r="U254">
        <v>9.4</v>
      </c>
      <c r="V254">
        <v>3</v>
      </c>
      <c r="W254" t="s">
        <v>1307</v>
      </c>
      <c r="X254" t="s">
        <v>920</v>
      </c>
      <c r="Y254" t="s">
        <v>38</v>
      </c>
      <c r="Z254" t="s">
        <v>748</v>
      </c>
    </row>
    <row r="255" spans="1:26" hidden="1" x14ac:dyDescent="0.25">
      <c r="A255">
        <v>51</v>
      </c>
      <c r="B255" t="s">
        <v>921</v>
      </c>
      <c r="C255" t="s">
        <v>1245</v>
      </c>
      <c r="D255" t="s">
        <v>1136</v>
      </c>
      <c r="E255" t="s">
        <v>744</v>
      </c>
      <c r="F255" t="s">
        <v>77</v>
      </c>
      <c r="G255" t="s">
        <v>753</v>
      </c>
      <c r="H255">
        <v>10</v>
      </c>
      <c r="I255">
        <v>1500</v>
      </c>
      <c r="J255">
        <v>12000</v>
      </c>
      <c r="K255" t="s">
        <v>746</v>
      </c>
      <c r="M255">
        <v>1</v>
      </c>
      <c r="N255">
        <v>1413</v>
      </c>
      <c r="O255" t="s">
        <v>39</v>
      </c>
      <c r="P255">
        <v>1309.3499999999999</v>
      </c>
      <c r="Q255">
        <v>1413</v>
      </c>
      <c r="T255">
        <v>94.48</v>
      </c>
      <c r="U255">
        <v>9.17</v>
      </c>
      <c r="V255">
        <v>3</v>
      </c>
      <c r="W255" t="s">
        <v>1307</v>
      </c>
      <c r="X255" t="s">
        <v>920</v>
      </c>
      <c r="Y255" t="s">
        <v>38</v>
      </c>
      <c r="Z255" t="s">
        <v>748</v>
      </c>
    </row>
    <row r="256" spans="1:26" hidden="1" x14ac:dyDescent="0.25">
      <c r="A256">
        <v>52</v>
      </c>
      <c r="B256" t="s">
        <v>921</v>
      </c>
      <c r="C256" t="s">
        <v>1248</v>
      </c>
      <c r="D256" t="s">
        <v>1136</v>
      </c>
      <c r="E256" t="s">
        <v>744</v>
      </c>
      <c r="F256" t="s">
        <v>77</v>
      </c>
      <c r="G256" t="s">
        <v>1309</v>
      </c>
      <c r="H256">
        <v>10</v>
      </c>
      <c r="I256">
        <v>1500</v>
      </c>
      <c r="J256">
        <v>11084</v>
      </c>
      <c r="K256" t="s">
        <v>746</v>
      </c>
      <c r="M256">
        <v>1</v>
      </c>
      <c r="N256">
        <v>1305.1400000000001</v>
      </c>
      <c r="O256" t="s">
        <v>1249</v>
      </c>
      <c r="P256">
        <v>47.06</v>
      </c>
      <c r="R256">
        <v>1305.1400000000001</v>
      </c>
      <c r="S256">
        <v>1240.6099999999999</v>
      </c>
      <c r="T256">
        <v>17.14</v>
      </c>
      <c r="U256">
        <v>0.33</v>
      </c>
      <c r="V256">
        <v>3</v>
      </c>
      <c r="W256" t="s">
        <v>1307</v>
      </c>
      <c r="X256" t="s">
        <v>920</v>
      </c>
      <c r="Y256" t="s">
        <v>38</v>
      </c>
      <c r="Z256" t="s">
        <v>748</v>
      </c>
    </row>
    <row r="257" spans="1:26" hidden="1" x14ac:dyDescent="0.25">
      <c r="A257">
        <v>53</v>
      </c>
      <c r="B257" t="s">
        <v>921</v>
      </c>
      <c r="C257" t="s">
        <v>1253</v>
      </c>
      <c r="D257" t="s">
        <v>1136</v>
      </c>
      <c r="E257" t="s">
        <v>744</v>
      </c>
      <c r="F257" t="s">
        <v>77</v>
      </c>
      <c r="G257" t="s">
        <v>754</v>
      </c>
      <c r="H257">
        <v>12</v>
      </c>
      <c r="I257">
        <v>1500</v>
      </c>
      <c r="J257">
        <v>12000</v>
      </c>
      <c r="K257" t="s">
        <v>746</v>
      </c>
      <c r="M257">
        <v>1</v>
      </c>
      <c r="N257">
        <v>1695.6</v>
      </c>
      <c r="O257" t="s">
        <v>39</v>
      </c>
      <c r="P257">
        <v>1492.14</v>
      </c>
      <c r="Q257">
        <v>1695.6</v>
      </c>
      <c r="S257">
        <v>169.54</v>
      </c>
      <c r="T257">
        <v>23.48</v>
      </c>
      <c r="U257">
        <v>10.44</v>
      </c>
      <c r="V257">
        <v>3</v>
      </c>
      <c r="W257" t="s">
        <v>1307</v>
      </c>
      <c r="X257" t="s">
        <v>920</v>
      </c>
      <c r="Y257" t="s">
        <v>38</v>
      </c>
      <c r="Z257" t="s">
        <v>748</v>
      </c>
    </row>
    <row r="258" spans="1:26" hidden="1" x14ac:dyDescent="0.25">
      <c r="A258">
        <v>54</v>
      </c>
      <c r="B258" t="s">
        <v>921</v>
      </c>
      <c r="C258" t="s">
        <v>1255</v>
      </c>
      <c r="D258" t="s">
        <v>1136</v>
      </c>
      <c r="E258" t="s">
        <v>744</v>
      </c>
      <c r="F258" t="s">
        <v>77</v>
      </c>
      <c r="G258" t="s">
        <v>754</v>
      </c>
      <c r="H258">
        <v>12</v>
      </c>
      <c r="I258">
        <v>1500</v>
      </c>
      <c r="J258">
        <v>12000</v>
      </c>
      <c r="K258" t="s">
        <v>746</v>
      </c>
      <c r="M258">
        <v>1</v>
      </c>
      <c r="N258">
        <v>1695.6</v>
      </c>
      <c r="O258" t="s">
        <v>39</v>
      </c>
      <c r="P258">
        <v>1491.23</v>
      </c>
      <c r="Q258">
        <v>1695.6</v>
      </c>
      <c r="S258">
        <v>169.55</v>
      </c>
      <c r="T258">
        <v>24.38</v>
      </c>
      <c r="U258">
        <v>10.44</v>
      </c>
      <c r="V258">
        <v>3</v>
      </c>
      <c r="W258" t="s">
        <v>1307</v>
      </c>
      <c r="X258" t="s">
        <v>920</v>
      </c>
      <c r="Y258" t="s">
        <v>38</v>
      </c>
      <c r="Z258" t="s">
        <v>748</v>
      </c>
    </row>
    <row r="259" spans="1:26" hidden="1" x14ac:dyDescent="0.25">
      <c r="A259">
        <v>55</v>
      </c>
      <c r="B259" t="s">
        <v>921</v>
      </c>
      <c r="C259" t="s">
        <v>1257</v>
      </c>
      <c r="D259" t="s">
        <v>1136</v>
      </c>
      <c r="E259" t="s">
        <v>744</v>
      </c>
      <c r="F259" t="s">
        <v>77</v>
      </c>
      <c r="G259" t="s">
        <v>754</v>
      </c>
      <c r="H259">
        <v>12</v>
      </c>
      <c r="I259">
        <v>1500</v>
      </c>
      <c r="J259">
        <v>12000</v>
      </c>
      <c r="K259" t="s">
        <v>746</v>
      </c>
      <c r="M259">
        <v>1</v>
      </c>
      <c r="N259">
        <v>1695.6</v>
      </c>
      <c r="O259" t="s">
        <v>39</v>
      </c>
      <c r="P259">
        <v>940.39</v>
      </c>
      <c r="Q259">
        <v>1695.6</v>
      </c>
      <c r="S259">
        <v>728.5</v>
      </c>
      <c r="T259">
        <v>20.13</v>
      </c>
      <c r="U259">
        <v>6.58</v>
      </c>
      <c r="V259">
        <v>3</v>
      </c>
      <c r="W259" t="s">
        <v>1307</v>
      </c>
      <c r="X259" t="s">
        <v>920</v>
      </c>
      <c r="Y259" t="s">
        <v>38</v>
      </c>
      <c r="Z259" t="s">
        <v>748</v>
      </c>
    </row>
    <row r="260" spans="1:26" hidden="1" x14ac:dyDescent="0.25">
      <c r="A260">
        <v>56</v>
      </c>
      <c r="B260" t="s">
        <v>921</v>
      </c>
      <c r="C260" t="s">
        <v>1259</v>
      </c>
      <c r="D260" t="s">
        <v>1136</v>
      </c>
      <c r="E260" t="s">
        <v>744</v>
      </c>
      <c r="F260" t="s">
        <v>77</v>
      </c>
      <c r="G260" t="s">
        <v>754</v>
      </c>
      <c r="H260">
        <v>12</v>
      </c>
      <c r="I260">
        <v>1500</v>
      </c>
      <c r="J260">
        <v>12000</v>
      </c>
      <c r="K260" t="s">
        <v>746</v>
      </c>
      <c r="M260">
        <v>1</v>
      </c>
      <c r="N260">
        <v>1695.6</v>
      </c>
      <c r="O260" t="s">
        <v>39</v>
      </c>
      <c r="P260">
        <v>1491.18</v>
      </c>
      <c r="Q260">
        <v>1695.6</v>
      </c>
      <c r="S260">
        <v>169.56</v>
      </c>
      <c r="T260">
        <v>24.42</v>
      </c>
      <c r="U260">
        <v>10.44</v>
      </c>
      <c r="V260">
        <v>3</v>
      </c>
      <c r="W260" t="s">
        <v>1307</v>
      </c>
      <c r="X260" t="s">
        <v>920</v>
      </c>
      <c r="Y260" t="s">
        <v>38</v>
      </c>
      <c r="Z260" t="s">
        <v>748</v>
      </c>
    </row>
    <row r="261" spans="1:26" hidden="1" x14ac:dyDescent="0.25">
      <c r="A261">
        <v>57</v>
      </c>
      <c r="B261" t="s">
        <v>921</v>
      </c>
      <c r="C261" t="s">
        <v>1261</v>
      </c>
      <c r="D261" t="s">
        <v>1136</v>
      </c>
      <c r="E261" t="s">
        <v>744</v>
      </c>
      <c r="F261" t="s">
        <v>77</v>
      </c>
      <c r="G261" t="s">
        <v>754</v>
      </c>
      <c r="H261">
        <v>12</v>
      </c>
      <c r="I261">
        <v>1500</v>
      </c>
      <c r="J261">
        <v>12000</v>
      </c>
      <c r="K261" t="s">
        <v>746</v>
      </c>
      <c r="M261">
        <v>1</v>
      </c>
      <c r="N261">
        <v>1695.6</v>
      </c>
      <c r="O261" t="s">
        <v>39</v>
      </c>
      <c r="P261">
        <v>1491</v>
      </c>
      <c r="Q261">
        <v>1695.6</v>
      </c>
      <c r="S261">
        <v>169.56</v>
      </c>
      <c r="T261">
        <v>24.6</v>
      </c>
      <c r="U261">
        <v>10.44</v>
      </c>
      <c r="V261">
        <v>3</v>
      </c>
      <c r="W261" t="s">
        <v>1307</v>
      </c>
      <c r="X261" t="s">
        <v>920</v>
      </c>
      <c r="Y261" t="s">
        <v>38</v>
      </c>
      <c r="Z261" t="s">
        <v>748</v>
      </c>
    </row>
    <row r="262" spans="1:26" hidden="1" x14ac:dyDescent="0.25">
      <c r="A262">
        <v>58</v>
      </c>
      <c r="B262" t="s">
        <v>921</v>
      </c>
      <c r="C262" t="s">
        <v>1263</v>
      </c>
      <c r="D262" t="s">
        <v>1136</v>
      </c>
      <c r="E262" t="s">
        <v>744</v>
      </c>
      <c r="F262" t="s">
        <v>77</v>
      </c>
      <c r="G262" t="s">
        <v>754</v>
      </c>
      <c r="H262">
        <v>12</v>
      </c>
      <c r="I262">
        <v>1500</v>
      </c>
      <c r="J262">
        <v>12000</v>
      </c>
      <c r="K262" t="s">
        <v>746</v>
      </c>
      <c r="M262">
        <v>1</v>
      </c>
      <c r="N262">
        <v>1055.26</v>
      </c>
      <c r="O262" t="s">
        <v>1264</v>
      </c>
      <c r="P262">
        <v>326.23</v>
      </c>
      <c r="R262">
        <v>1055.26</v>
      </c>
      <c r="S262">
        <v>720.23</v>
      </c>
      <c r="T262">
        <v>6.52</v>
      </c>
      <c r="U262">
        <v>2.2799999999999998</v>
      </c>
      <c r="V262">
        <v>3</v>
      </c>
      <c r="W262" t="s">
        <v>1307</v>
      </c>
      <c r="X262" t="s">
        <v>920</v>
      </c>
      <c r="Y262" t="s">
        <v>38</v>
      </c>
      <c r="Z262" t="s">
        <v>748</v>
      </c>
    </row>
    <row r="263" spans="1:26" hidden="1" x14ac:dyDescent="0.25">
      <c r="A263">
        <v>59</v>
      </c>
      <c r="B263" t="s">
        <v>921</v>
      </c>
      <c r="C263" t="s">
        <v>1268</v>
      </c>
      <c r="D263" t="s">
        <v>1136</v>
      </c>
      <c r="E263" t="s">
        <v>744</v>
      </c>
      <c r="F263" t="s">
        <v>77</v>
      </c>
      <c r="G263" t="s">
        <v>755</v>
      </c>
      <c r="H263">
        <v>16</v>
      </c>
      <c r="I263">
        <v>2000</v>
      </c>
      <c r="J263">
        <v>12000</v>
      </c>
      <c r="K263" t="s">
        <v>746</v>
      </c>
      <c r="M263">
        <v>1</v>
      </c>
      <c r="N263">
        <v>3014.4</v>
      </c>
      <c r="O263" t="s">
        <v>39</v>
      </c>
      <c r="P263">
        <v>2873.98</v>
      </c>
      <c r="Q263">
        <v>3014.4</v>
      </c>
      <c r="T263">
        <v>120.3</v>
      </c>
      <c r="U263">
        <v>20.12</v>
      </c>
      <c r="V263">
        <v>3</v>
      </c>
      <c r="W263" t="s">
        <v>1307</v>
      </c>
      <c r="X263" t="s">
        <v>920</v>
      </c>
      <c r="Y263" t="s">
        <v>38</v>
      </c>
      <c r="Z263" t="s">
        <v>748</v>
      </c>
    </row>
    <row r="264" spans="1:26" hidden="1" x14ac:dyDescent="0.25">
      <c r="A264">
        <v>60</v>
      </c>
      <c r="B264" t="s">
        <v>921</v>
      </c>
      <c r="C264" t="s">
        <v>1270</v>
      </c>
      <c r="D264" t="s">
        <v>1136</v>
      </c>
      <c r="E264" t="s">
        <v>744</v>
      </c>
      <c r="F264" t="s">
        <v>77</v>
      </c>
      <c r="G264" t="s">
        <v>755</v>
      </c>
      <c r="H264">
        <v>16</v>
      </c>
      <c r="I264">
        <v>2000</v>
      </c>
      <c r="J264">
        <v>12000</v>
      </c>
      <c r="K264" t="s">
        <v>746</v>
      </c>
      <c r="M264">
        <v>1</v>
      </c>
      <c r="N264">
        <v>3014.4</v>
      </c>
      <c r="O264" t="s">
        <v>39</v>
      </c>
      <c r="P264">
        <v>2899.83</v>
      </c>
      <c r="Q264">
        <v>3014.4</v>
      </c>
      <c r="T264">
        <v>94.27</v>
      </c>
      <c r="U264">
        <v>20.3</v>
      </c>
      <c r="V264">
        <v>3</v>
      </c>
      <c r="W264" t="s">
        <v>1307</v>
      </c>
      <c r="X264" t="s">
        <v>920</v>
      </c>
      <c r="Y264" t="s">
        <v>38</v>
      </c>
      <c r="Z264" t="s">
        <v>748</v>
      </c>
    </row>
    <row r="265" spans="1:26" hidden="1" x14ac:dyDescent="0.25">
      <c r="A265">
        <v>61</v>
      </c>
      <c r="B265" t="s">
        <v>921</v>
      </c>
      <c r="C265" t="s">
        <v>1272</v>
      </c>
      <c r="D265" t="s">
        <v>1136</v>
      </c>
      <c r="E265" t="s">
        <v>744</v>
      </c>
      <c r="F265" t="s">
        <v>77</v>
      </c>
      <c r="G265" t="s">
        <v>755</v>
      </c>
      <c r="H265">
        <v>16</v>
      </c>
      <c r="I265">
        <v>2000</v>
      </c>
      <c r="J265">
        <v>12020</v>
      </c>
      <c r="K265" t="s">
        <v>746</v>
      </c>
      <c r="M265">
        <v>1</v>
      </c>
      <c r="N265">
        <v>1850.26</v>
      </c>
      <c r="O265" t="s">
        <v>1273</v>
      </c>
      <c r="P265">
        <v>565.04999999999995</v>
      </c>
      <c r="R265">
        <v>1850.26</v>
      </c>
      <c r="S265">
        <v>1245.6099999999999</v>
      </c>
      <c r="T265">
        <v>35.64</v>
      </c>
      <c r="U265">
        <v>3.96</v>
      </c>
      <c r="V265">
        <v>3</v>
      </c>
      <c r="W265" t="s">
        <v>1307</v>
      </c>
      <c r="X265" t="s">
        <v>920</v>
      </c>
      <c r="Y265" t="s">
        <v>38</v>
      </c>
      <c r="Z265" t="s">
        <v>748</v>
      </c>
    </row>
    <row r="266" spans="1:26" hidden="1" x14ac:dyDescent="0.25">
      <c r="A266">
        <v>62</v>
      </c>
      <c r="B266" t="s">
        <v>921</v>
      </c>
      <c r="C266" t="s">
        <v>1277</v>
      </c>
      <c r="D266" t="s">
        <v>1136</v>
      </c>
      <c r="E266" t="s">
        <v>744</v>
      </c>
      <c r="F266" t="s">
        <v>77</v>
      </c>
      <c r="G266" t="s">
        <v>756</v>
      </c>
      <c r="H266">
        <v>20</v>
      </c>
      <c r="I266">
        <v>2000</v>
      </c>
      <c r="J266">
        <v>12000</v>
      </c>
      <c r="K266" t="s">
        <v>746</v>
      </c>
      <c r="M266">
        <v>1</v>
      </c>
      <c r="N266">
        <v>3768</v>
      </c>
      <c r="O266" t="s">
        <v>39</v>
      </c>
      <c r="P266">
        <v>3250.2</v>
      </c>
      <c r="Q266">
        <v>3768</v>
      </c>
      <c r="S266">
        <v>109.14</v>
      </c>
      <c r="T266">
        <v>385.91</v>
      </c>
      <c r="U266">
        <v>22.75</v>
      </c>
      <c r="V266">
        <v>3</v>
      </c>
      <c r="W266" t="s">
        <v>1307</v>
      </c>
      <c r="X266" t="s">
        <v>920</v>
      </c>
      <c r="Y266" t="s">
        <v>38</v>
      </c>
      <c r="Z266" t="s">
        <v>748</v>
      </c>
    </row>
    <row r="267" spans="1:26" hidden="1" x14ac:dyDescent="0.25">
      <c r="A267">
        <v>63</v>
      </c>
      <c r="B267" t="s">
        <v>921</v>
      </c>
      <c r="C267" t="s">
        <v>1282</v>
      </c>
      <c r="D267" t="s">
        <v>1136</v>
      </c>
      <c r="E267" t="s">
        <v>744</v>
      </c>
      <c r="F267" t="s">
        <v>77</v>
      </c>
      <c r="G267" t="s">
        <v>1310</v>
      </c>
      <c r="H267">
        <v>25</v>
      </c>
      <c r="I267">
        <v>2000</v>
      </c>
      <c r="J267">
        <v>9411</v>
      </c>
      <c r="K267" t="s">
        <v>746</v>
      </c>
      <c r="M267">
        <v>1</v>
      </c>
      <c r="N267">
        <v>3693.82</v>
      </c>
      <c r="O267" t="s">
        <v>1283</v>
      </c>
      <c r="P267">
        <v>2548.2199999999998</v>
      </c>
      <c r="R267">
        <v>3693.82</v>
      </c>
      <c r="S267">
        <v>813.1</v>
      </c>
      <c r="T267">
        <v>314.66000000000003</v>
      </c>
      <c r="U267">
        <v>17.84</v>
      </c>
      <c r="V267">
        <v>3</v>
      </c>
      <c r="W267" t="s">
        <v>1307</v>
      </c>
      <c r="X267" t="s">
        <v>920</v>
      </c>
      <c r="Y267" t="s">
        <v>38</v>
      </c>
      <c r="Z267" t="s">
        <v>748</v>
      </c>
    </row>
    <row r="268" spans="1:26" hidden="1" x14ac:dyDescent="0.25">
      <c r="A268">
        <v>64</v>
      </c>
      <c r="B268" t="s">
        <v>921</v>
      </c>
      <c r="C268" t="s">
        <v>1288</v>
      </c>
      <c r="D268" t="s">
        <v>1136</v>
      </c>
      <c r="E268" t="s">
        <v>744</v>
      </c>
      <c r="F268" t="s">
        <v>77</v>
      </c>
      <c r="G268" t="s">
        <v>1311</v>
      </c>
      <c r="H268">
        <v>30</v>
      </c>
      <c r="I268">
        <v>2000</v>
      </c>
      <c r="J268">
        <v>4728</v>
      </c>
      <c r="K268" t="s">
        <v>746</v>
      </c>
      <c r="M268">
        <v>1</v>
      </c>
      <c r="N268">
        <v>2226.81</v>
      </c>
      <c r="O268" t="s">
        <v>1289</v>
      </c>
      <c r="P268">
        <v>1463.29</v>
      </c>
      <c r="R268">
        <v>2226.81</v>
      </c>
      <c r="S268">
        <v>482.39</v>
      </c>
      <c r="T268">
        <v>270.89</v>
      </c>
      <c r="U268">
        <v>10.24</v>
      </c>
      <c r="V268">
        <v>3</v>
      </c>
      <c r="W268" t="s">
        <v>1307</v>
      </c>
      <c r="X268" t="s">
        <v>920</v>
      </c>
      <c r="Y268" t="s">
        <v>38</v>
      </c>
      <c r="Z268" t="s">
        <v>748</v>
      </c>
    </row>
    <row r="269" spans="1:26" hidden="1" x14ac:dyDescent="0.25">
      <c r="A269">
        <v>65</v>
      </c>
      <c r="B269" t="s">
        <v>921</v>
      </c>
      <c r="C269" t="s">
        <v>1294</v>
      </c>
      <c r="D269" t="s">
        <v>1136</v>
      </c>
      <c r="E269" t="s">
        <v>744</v>
      </c>
      <c r="F269" t="s">
        <v>700</v>
      </c>
      <c r="G269" t="s">
        <v>1312</v>
      </c>
      <c r="H269">
        <v>60</v>
      </c>
      <c r="I269">
        <v>286</v>
      </c>
      <c r="J269">
        <v>11364</v>
      </c>
      <c r="K269" t="s">
        <v>746</v>
      </c>
      <c r="M269">
        <v>1</v>
      </c>
      <c r="N269">
        <v>843.15</v>
      </c>
      <c r="O269" t="s">
        <v>1295</v>
      </c>
      <c r="P269">
        <v>296.07</v>
      </c>
      <c r="R269">
        <v>843.15</v>
      </c>
      <c r="S269">
        <v>319.44</v>
      </c>
      <c r="T269">
        <v>225.57</v>
      </c>
      <c r="U269">
        <v>2.0699999999999998</v>
      </c>
      <c r="V269">
        <v>3</v>
      </c>
      <c r="W269" t="s">
        <v>1307</v>
      </c>
      <c r="X269" t="s">
        <v>920</v>
      </c>
      <c r="Y269" t="s">
        <v>38</v>
      </c>
      <c r="Z269" t="s">
        <v>748</v>
      </c>
    </row>
    <row r="270" spans="1:26" hidden="1" x14ac:dyDescent="0.25">
      <c r="A270">
        <v>66</v>
      </c>
      <c r="B270" t="s">
        <v>921</v>
      </c>
      <c r="C270" t="s">
        <v>1298</v>
      </c>
      <c r="D270" t="s">
        <v>1136</v>
      </c>
      <c r="E270" t="s">
        <v>744</v>
      </c>
      <c r="F270" t="s">
        <v>700</v>
      </c>
      <c r="G270" t="s">
        <v>1313</v>
      </c>
      <c r="H270">
        <v>60</v>
      </c>
      <c r="I270">
        <v>295</v>
      </c>
      <c r="J270">
        <v>12000</v>
      </c>
      <c r="K270" t="s">
        <v>746</v>
      </c>
      <c r="M270">
        <v>1</v>
      </c>
      <c r="N270">
        <v>1105.74</v>
      </c>
      <c r="O270" t="s">
        <v>1299</v>
      </c>
      <c r="P270">
        <v>464.6</v>
      </c>
      <c r="R270">
        <v>1105.74</v>
      </c>
      <c r="S270">
        <v>603.57000000000005</v>
      </c>
      <c r="T270">
        <v>34.32</v>
      </c>
      <c r="U270">
        <v>3.25</v>
      </c>
      <c r="V270">
        <v>3</v>
      </c>
      <c r="W270" t="s">
        <v>1307</v>
      </c>
      <c r="X270" t="s">
        <v>920</v>
      </c>
      <c r="Y270" t="s">
        <v>38</v>
      </c>
      <c r="Z270" t="s">
        <v>748</v>
      </c>
    </row>
    <row r="271" spans="1:26" hidden="1" x14ac:dyDescent="0.25">
      <c r="A271">
        <v>67</v>
      </c>
      <c r="B271" t="s">
        <v>921</v>
      </c>
      <c r="C271" t="s">
        <v>1302</v>
      </c>
      <c r="D271" t="s">
        <v>1136</v>
      </c>
      <c r="E271" t="s">
        <v>744</v>
      </c>
      <c r="F271" t="s">
        <v>700</v>
      </c>
      <c r="G271" t="s">
        <v>1314</v>
      </c>
      <c r="H271">
        <v>60</v>
      </c>
      <c r="I271">
        <v>494</v>
      </c>
      <c r="J271">
        <v>12000</v>
      </c>
      <c r="K271" t="s">
        <v>746</v>
      </c>
      <c r="M271">
        <v>1</v>
      </c>
      <c r="N271">
        <v>2792.09</v>
      </c>
      <c r="O271" t="s">
        <v>1303</v>
      </c>
      <c r="P271">
        <v>1839.74</v>
      </c>
      <c r="R271">
        <v>2792.09</v>
      </c>
      <c r="S271">
        <v>732.5</v>
      </c>
      <c r="T271">
        <v>206.97</v>
      </c>
      <c r="U271">
        <v>12.88</v>
      </c>
      <c r="V271">
        <v>3</v>
      </c>
      <c r="W271" t="s">
        <v>1307</v>
      </c>
      <c r="X271" t="s">
        <v>920</v>
      </c>
      <c r="Y271" t="s">
        <v>38</v>
      </c>
      <c r="Z271" t="s">
        <v>748</v>
      </c>
    </row>
    <row r="272" spans="1:26" x14ac:dyDescent="0.25">
      <c r="A272">
        <v>1</v>
      </c>
      <c r="B272" t="s">
        <v>921</v>
      </c>
      <c r="C272" t="s">
        <v>1356</v>
      </c>
      <c r="D272" t="s">
        <v>1357</v>
      </c>
      <c r="E272" t="s">
        <v>744</v>
      </c>
      <c r="F272" t="s">
        <v>33</v>
      </c>
      <c r="G272" t="s">
        <v>745</v>
      </c>
      <c r="H272">
        <v>2</v>
      </c>
      <c r="I272">
        <v>1300</v>
      </c>
      <c r="J272">
        <v>4000</v>
      </c>
      <c r="K272" t="s">
        <v>746</v>
      </c>
      <c r="M272">
        <v>1</v>
      </c>
      <c r="N272">
        <v>81.64</v>
      </c>
      <c r="O272" t="s">
        <v>39</v>
      </c>
      <c r="P272">
        <v>67.819999999999993</v>
      </c>
      <c r="Q272">
        <v>81.64</v>
      </c>
      <c r="S272">
        <v>7.92</v>
      </c>
      <c r="T272">
        <v>5.43</v>
      </c>
      <c r="U272">
        <v>0.47</v>
      </c>
      <c r="V272">
        <v>4</v>
      </c>
      <c r="W272" t="s">
        <v>1519</v>
      </c>
      <c r="X272" t="s">
        <v>920</v>
      </c>
      <c r="Y272" t="s">
        <v>38</v>
      </c>
      <c r="Z272" t="s">
        <v>748</v>
      </c>
    </row>
    <row r="273" spans="1:26" x14ac:dyDescent="0.25">
      <c r="A273">
        <v>2</v>
      </c>
      <c r="B273" t="s">
        <v>921</v>
      </c>
      <c r="C273" t="s">
        <v>1359</v>
      </c>
      <c r="D273" t="s">
        <v>1357</v>
      </c>
      <c r="E273" t="s">
        <v>744</v>
      </c>
      <c r="F273" t="s">
        <v>33</v>
      </c>
      <c r="G273" t="s">
        <v>745</v>
      </c>
      <c r="H273">
        <v>2</v>
      </c>
      <c r="I273">
        <v>1300</v>
      </c>
      <c r="J273">
        <v>4000</v>
      </c>
      <c r="K273" t="s">
        <v>746</v>
      </c>
      <c r="M273">
        <v>1</v>
      </c>
      <c r="N273">
        <v>81.64</v>
      </c>
      <c r="O273" t="s">
        <v>39</v>
      </c>
      <c r="P273">
        <v>81.64</v>
      </c>
      <c r="Q273">
        <v>81.64</v>
      </c>
      <c r="T273">
        <v>0</v>
      </c>
      <c r="U273">
        <v>0.56999999999999995</v>
      </c>
      <c r="V273">
        <v>4</v>
      </c>
      <c r="W273" t="s">
        <v>1519</v>
      </c>
      <c r="X273" t="s">
        <v>920</v>
      </c>
      <c r="Y273" t="s">
        <v>38</v>
      </c>
      <c r="Z273" t="s">
        <v>748</v>
      </c>
    </row>
    <row r="274" spans="1:26" x14ac:dyDescent="0.25">
      <c r="A274">
        <v>3</v>
      </c>
      <c r="B274" t="s">
        <v>921</v>
      </c>
      <c r="C274" t="s">
        <v>1361</v>
      </c>
      <c r="D274" t="s">
        <v>1357</v>
      </c>
      <c r="E274" t="s">
        <v>744</v>
      </c>
      <c r="F274" t="s">
        <v>33</v>
      </c>
      <c r="G274" t="s">
        <v>745</v>
      </c>
      <c r="H274">
        <v>2</v>
      </c>
      <c r="I274">
        <v>1300</v>
      </c>
      <c r="J274">
        <v>4000</v>
      </c>
      <c r="K274" t="s">
        <v>746</v>
      </c>
      <c r="M274">
        <v>1</v>
      </c>
      <c r="N274">
        <v>81.64</v>
      </c>
      <c r="O274" t="s">
        <v>39</v>
      </c>
      <c r="P274">
        <v>81.64</v>
      </c>
      <c r="Q274">
        <v>81.64</v>
      </c>
      <c r="T274">
        <v>0</v>
      </c>
      <c r="U274">
        <v>0.56999999999999995</v>
      </c>
      <c r="V274">
        <v>4</v>
      </c>
      <c r="W274" t="s">
        <v>1519</v>
      </c>
      <c r="X274" t="s">
        <v>920</v>
      </c>
      <c r="Y274" t="s">
        <v>38</v>
      </c>
      <c r="Z274" t="s">
        <v>748</v>
      </c>
    </row>
    <row r="275" spans="1:26" x14ac:dyDescent="0.25">
      <c r="A275">
        <v>4</v>
      </c>
      <c r="B275" t="s">
        <v>921</v>
      </c>
      <c r="C275" t="s">
        <v>1363</v>
      </c>
      <c r="D275" t="s">
        <v>1357</v>
      </c>
      <c r="E275" t="s">
        <v>744</v>
      </c>
      <c r="F275" t="s">
        <v>33</v>
      </c>
      <c r="G275" t="s">
        <v>745</v>
      </c>
      <c r="H275">
        <v>2</v>
      </c>
      <c r="I275">
        <v>1300</v>
      </c>
      <c r="J275">
        <v>4000</v>
      </c>
      <c r="K275" t="s">
        <v>746</v>
      </c>
      <c r="M275">
        <v>1</v>
      </c>
      <c r="N275">
        <v>81.64</v>
      </c>
      <c r="O275" t="s">
        <v>39</v>
      </c>
      <c r="P275">
        <v>66.569999999999993</v>
      </c>
      <c r="Q275">
        <v>81.64</v>
      </c>
      <c r="S275">
        <v>15.07</v>
      </c>
      <c r="T275">
        <v>0</v>
      </c>
      <c r="U275">
        <v>0.47</v>
      </c>
      <c r="V275">
        <v>4</v>
      </c>
      <c r="W275" t="s">
        <v>1519</v>
      </c>
      <c r="X275" t="s">
        <v>920</v>
      </c>
      <c r="Y275" t="s">
        <v>38</v>
      </c>
      <c r="Z275" t="s">
        <v>748</v>
      </c>
    </row>
    <row r="276" spans="1:26" x14ac:dyDescent="0.25">
      <c r="A276">
        <v>5</v>
      </c>
      <c r="B276" t="s">
        <v>921</v>
      </c>
      <c r="C276" t="s">
        <v>1365</v>
      </c>
      <c r="D276" t="s">
        <v>1357</v>
      </c>
      <c r="E276" t="s">
        <v>744</v>
      </c>
      <c r="F276" t="s">
        <v>33</v>
      </c>
      <c r="G276" t="s">
        <v>745</v>
      </c>
      <c r="H276">
        <v>2</v>
      </c>
      <c r="I276">
        <v>1300</v>
      </c>
      <c r="J276">
        <v>4000</v>
      </c>
      <c r="K276" t="s">
        <v>746</v>
      </c>
      <c r="M276">
        <v>1</v>
      </c>
      <c r="N276">
        <v>81.64</v>
      </c>
      <c r="O276" t="s">
        <v>39</v>
      </c>
      <c r="P276">
        <v>66.569999999999993</v>
      </c>
      <c r="Q276">
        <v>81.64</v>
      </c>
      <c r="S276">
        <v>15.07</v>
      </c>
      <c r="T276">
        <v>0</v>
      </c>
      <c r="U276">
        <v>0.47</v>
      </c>
      <c r="V276">
        <v>4</v>
      </c>
      <c r="W276" t="s">
        <v>1519</v>
      </c>
      <c r="X276" t="s">
        <v>920</v>
      </c>
      <c r="Y276" t="s">
        <v>38</v>
      </c>
      <c r="Z276" t="s">
        <v>748</v>
      </c>
    </row>
    <row r="277" spans="1:26" x14ac:dyDescent="0.25">
      <c r="A277">
        <v>6</v>
      </c>
      <c r="B277" t="s">
        <v>921</v>
      </c>
      <c r="C277" t="s">
        <v>1367</v>
      </c>
      <c r="D277" t="s">
        <v>1357</v>
      </c>
      <c r="E277" t="s">
        <v>744</v>
      </c>
      <c r="F277" t="s">
        <v>33</v>
      </c>
      <c r="G277" t="s">
        <v>745</v>
      </c>
      <c r="H277">
        <v>2</v>
      </c>
      <c r="I277">
        <v>1300</v>
      </c>
      <c r="J277">
        <v>4000</v>
      </c>
      <c r="K277" t="s">
        <v>746</v>
      </c>
      <c r="M277">
        <v>1</v>
      </c>
      <c r="N277">
        <v>81.64</v>
      </c>
      <c r="O277" t="s">
        <v>39</v>
      </c>
      <c r="P277">
        <v>66.569999999999993</v>
      </c>
      <c r="Q277">
        <v>81.64</v>
      </c>
      <c r="S277">
        <v>15.07</v>
      </c>
      <c r="T277">
        <v>0</v>
      </c>
      <c r="U277">
        <v>0.47</v>
      </c>
      <c r="V277">
        <v>4</v>
      </c>
      <c r="W277" t="s">
        <v>1519</v>
      </c>
      <c r="X277" t="s">
        <v>920</v>
      </c>
      <c r="Y277" t="s">
        <v>38</v>
      </c>
      <c r="Z277" t="s">
        <v>748</v>
      </c>
    </row>
    <row r="278" spans="1:26" x14ac:dyDescent="0.25">
      <c r="A278">
        <v>7</v>
      </c>
      <c r="B278" t="s">
        <v>921</v>
      </c>
      <c r="C278" t="s">
        <v>1369</v>
      </c>
      <c r="D278" t="s">
        <v>1357</v>
      </c>
      <c r="E278" t="s">
        <v>744</v>
      </c>
      <c r="F278" t="s">
        <v>33</v>
      </c>
      <c r="G278" t="s">
        <v>745</v>
      </c>
      <c r="H278">
        <v>2</v>
      </c>
      <c r="I278">
        <v>1300</v>
      </c>
      <c r="J278">
        <v>4000</v>
      </c>
      <c r="K278" t="s">
        <v>746</v>
      </c>
      <c r="M278">
        <v>1</v>
      </c>
      <c r="N278">
        <v>81.64</v>
      </c>
      <c r="O278" t="s">
        <v>39</v>
      </c>
      <c r="P278">
        <v>66.569999999999993</v>
      </c>
      <c r="Q278">
        <v>81.64</v>
      </c>
      <c r="S278">
        <v>15.07</v>
      </c>
      <c r="T278">
        <v>0</v>
      </c>
      <c r="U278">
        <v>0.47</v>
      </c>
      <c r="V278">
        <v>4</v>
      </c>
      <c r="W278" t="s">
        <v>1519</v>
      </c>
      <c r="X278" t="s">
        <v>920</v>
      </c>
      <c r="Y278" t="s">
        <v>38</v>
      </c>
      <c r="Z278" t="s">
        <v>748</v>
      </c>
    </row>
    <row r="279" spans="1:26" x14ac:dyDescent="0.25">
      <c r="A279">
        <v>8</v>
      </c>
      <c r="B279" t="s">
        <v>921</v>
      </c>
      <c r="C279" t="s">
        <v>1371</v>
      </c>
      <c r="D279" t="s">
        <v>1357</v>
      </c>
      <c r="E279" t="s">
        <v>744</v>
      </c>
      <c r="F279" t="s">
        <v>33</v>
      </c>
      <c r="G279" t="s">
        <v>745</v>
      </c>
      <c r="H279">
        <v>2</v>
      </c>
      <c r="I279">
        <v>1300</v>
      </c>
      <c r="J279">
        <v>4000</v>
      </c>
      <c r="K279" t="s">
        <v>746</v>
      </c>
      <c r="M279">
        <v>1</v>
      </c>
      <c r="N279">
        <v>81.64</v>
      </c>
      <c r="O279" t="s">
        <v>39</v>
      </c>
      <c r="P279">
        <v>62.8</v>
      </c>
      <c r="Q279">
        <v>81.64</v>
      </c>
      <c r="S279">
        <v>15.07</v>
      </c>
      <c r="T279">
        <v>3.33</v>
      </c>
      <c r="U279">
        <v>0.44</v>
      </c>
      <c r="V279">
        <v>4</v>
      </c>
      <c r="W279" t="s">
        <v>1519</v>
      </c>
      <c r="X279" t="s">
        <v>920</v>
      </c>
      <c r="Y279" t="s">
        <v>38</v>
      </c>
      <c r="Z279" t="s">
        <v>748</v>
      </c>
    </row>
    <row r="280" spans="1:26" x14ac:dyDescent="0.25">
      <c r="A280">
        <v>9</v>
      </c>
      <c r="B280" t="s">
        <v>921</v>
      </c>
      <c r="C280" t="s">
        <v>1373</v>
      </c>
      <c r="D280" t="s">
        <v>1357</v>
      </c>
      <c r="E280" t="s">
        <v>744</v>
      </c>
      <c r="F280" t="s">
        <v>33</v>
      </c>
      <c r="G280" t="s">
        <v>745</v>
      </c>
      <c r="H280">
        <v>2</v>
      </c>
      <c r="I280">
        <v>1300</v>
      </c>
      <c r="J280">
        <v>4000</v>
      </c>
      <c r="K280" t="s">
        <v>746</v>
      </c>
      <c r="M280">
        <v>1</v>
      </c>
      <c r="N280">
        <v>81.64</v>
      </c>
      <c r="O280" t="s">
        <v>39</v>
      </c>
      <c r="P280">
        <v>19.97</v>
      </c>
      <c r="Q280">
        <v>81.64</v>
      </c>
      <c r="S280">
        <v>61.67</v>
      </c>
      <c r="T280">
        <v>0</v>
      </c>
      <c r="U280">
        <v>0.14000000000000001</v>
      </c>
      <c r="V280">
        <v>4</v>
      </c>
      <c r="W280" t="s">
        <v>1519</v>
      </c>
      <c r="X280" t="s">
        <v>920</v>
      </c>
      <c r="Y280" t="s">
        <v>38</v>
      </c>
      <c r="Z280" t="s">
        <v>748</v>
      </c>
    </row>
    <row r="281" spans="1:26" x14ac:dyDescent="0.25">
      <c r="A281">
        <v>10</v>
      </c>
      <c r="B281" t="s">
        <v>921</v>
      </c>
      <c r="C281" t="s">
        <v>1375</v>
      </c>
      <c r="D281" t="s">
        <v>1357</v>
      </c>
      <c r="E281" t="s">
        <v>744</v>
      </c>
      <c r="F281" t="s">
        <v>33</v>
      </c>
      <c r="G281" t="s">
        <v>745</v>
      </c>
      <c r="H281">
        <v>2</v>
      </c>
      <c r="I281">
        <v>1300</v>
      </c>
      <c r="J281">
        <v>4000</v>
      </c>
      <c r="K281" t="s">
        <v>746</v>
      </c>
      <c r="M281">
        <v>1</v>
      </c>
      <c r="N281">
        <v>81.64</v>
      </c>
      <c r="O281" t="s">
        <v>39</v>
      </c>
      <c r="P281">
        <v>48.23</v>
      </c>
      <c r="Q281">
        <v>81.64</v>
      </c>
      <c r="S281">
        <v>32.880000000000003</v>
      </c>
      <c r="T281">
        <v>0.19</v>
      </c>
      <c r="U281">
        <v>0.34</v>
      </c>
      <c r="V281">
        <v>4</v>
      </c>
      <c r="W281" t="s">
        <v>1519</v>
      </c>
      <c r="X281" t="s">
        <v>920</v>
      </c>
      <c r="Y281" t="s">
        <v>38</v>
      </c>
      <c r="Z281" t="s">
        <v>748</v>
      </c>
    </row>
    <row r="282" spans="1:26" x14ac:dyDescent="0.25">
      <c r="A282">
        <v>11</v>
      </c>
      <c r="B282" t="s">
        <v>921</v>
      </c>
      <c r="C282" t="s">
        <v>1378</v>
      </c>
      <c r="D282" t="s">
        <v>1357</v>
      </c>
      <c r="E282" t="s">
        <v>744</v>
      </c>
      <c r="F282" t="s">
        <v>77</v>
      </c>
      <c r="G282" t="s">
        <v>1520</v>
      </c>
      <c r="H282">
        <v>5</v>
      </c>
      <c r="I282">
        <v>1500</v>
      </c>
      <c r="J282">
        <v>5349</v>
      </c>
      <c r="K282" t="s">
        <v>746</v>
      </c>
      <c r="M282">
        <v>1</v>
      </c>
      <c r="N282">
        <v>309.62</v>
      </c>
      <c r="O282" t="s">
        <v>1379</v>
      </c>
      <c r="P282">
        <v>202.8</v>
      </c>
      <c r="R282">
        <v>309.62</v>
      </c>
      <c r="S282">
        <v>62.17</v>
      </c>
      <c r="T282">
        <v>43.23</v>
      </c>
      <c r="U282">
        <v>1.42</v>
      </c>
      <c r="V282">
        <v>4</v>
      </c>
      <c r="W282" t="s">
        <v>1519</v>
      </c>
      <c r="X282" t="s">
        <v>920</v>
      </c>
      <c r="Y282" t="s">
        <v>38</v>
      </c>
      <c r="Z282" t="s">
        <v>748</v>
      </c>
    </row>
    <row r="283" spans="1:26" x14ac:dyDescent="0.25">
      <c r="A283">
        <v>12</v>
      </c>
      <c r="B283" t="s">
        <v>921</v>
      </c>
      <c r="C283" t="s">
        <v>1381</v>
      </c>
      <c r="D283" t="s">
        <v>1357</v>
      </c>
      <c r="E283" t="s">
        <v>744</v>
      </c>
      <c r="F283" t="s">
        <v>77</v>
      </c>
      <c r="G283" t="s">
        <v>750</v>
      </c>
      <c r="H283">
        <v>6</v>
      </c>
      <c r="I283">
        <v>1500</v>
      </c>
      <c r="J283">
        <v>12000</v>
      </c>
      <c r="K283" t="s">
        <v>746</v>
      </c>
      <c r="M283">
        <v>1</v>
      </c>
      <c r="N283">
        <v>847.8</v>
      </c>
      <c r="O283" t="s">
        <v>39</v>
      </c>
      <c r="P283">
        <v>717.6</v>
      </c>
      <c r="Q283">
        <v>847.8</v>
      </c>
      <c r="S283">
        <v>92.71</v>
      </c>
      <c r="T283">
        <v>32.47</v>
      </c>
      <c r="U283">
        <v>5.0199999999999996</v>
      </c>
      <c r="V283">
        <v>4</v>
      </c>
      <c r="W283" t="s">
        <v>1519</v>
      </c>
      <c r="X283" t="s">
        <v>920</v>
      </c>
      <c r="Y283" t="s">
        <v>38</v>
      </c>
      <c r="Z283" t="s">
        <v>748</v>
      </c>
    </row>
    <row r="284" spans="1:26" x14ac:dyDescent="0.25">
      <c r="A284">
        <v>13</v>
      </c>
      <c r="B284" t="s">
        <v>921</v>
      </c>
      <c r="C284" t="s">
        <v>1383</v>
      </c>
      <c r="D284" t="s">
        <v>1357</v>
      </c>
      <c r="E284" t="s">
        <v>744</v>
      </c>
      <c r="F284" t="s">
        <v>77</v>
      </c>
      <c r="G284" t="s">
        <v>750</v>
      </c>
      <c r="H284">
        <v>6</v>
      </c>
      <c r="I284">
        <v>1500</v>
      </c>
      <c r="J284">
        <v>12000</v>
      </c>
      <c r="K284" t="s">
        <v>746</v>
      </c>
      <c r="M284">
        <v>1</v>
      </c>
      <c r="N284">
        <v>847.8</v>
      </c>
      <c r="O284" t="s">
        <v>39</v>
      </c>
      <c r="P284">
        <v>727.26</v>
      </c>
      <c r="Q284">
        <v>847.8</v>
      </c>
      <c r="S284">
        <v>92.71</v>
      </c>
      <c r="T284">
        <v>22.74</v>
      </c>
      <c r="U284">
        <v>5.09</v>
      </c>
      <c r="V284">
        <v>4</v>
      </c>
      <c r="W284" t="s">
        <v>1519</v>
      </c>
      <c r="X284" t="s">
        <v>920</v>
      </c>
      <c r="Y284" t="s">
        <v>38</v>
      </c>
      <c r="Z284" t="s">
        <v>748</v>
      </c>
    </row>
    <row r="285" spans="1:26" x14ac:dyDescent="0.25">
      <c r="A285">
        <v>14</v>
      </c>
      <c r="B285" t="s">
        <v>921</v>
      </c>
      <c r="C285" t="s">
        <v>1385</v>
      </c>
      <c r="D285" t="s">
        <v>1357</v>
      </c>
      <c r="E285" t="s">
        <v>744</v>
      </c>
      <c r="F285" t="s">
        <v>77</v>
      </c>
      <c r="G285" t="s">
        <v>750</v>
      </c>
      <c r="H285">
        <v>6</v>
      </c>
      <c r="I285">
        <v>1500</v>
      </c>
      <c r="J285">
        <v>12000</v>
      </c>
      <c r="K285" t="s">
        <v>746</v>
      </c>
      <c r="M285">
        <v>1</v>
      </c>
      <c r="N285">
        <v>847.8</v>
      </c>
      <c r="O285" t="s">
        <v>39</v>
      </c>
      <c r="P285">
        <v>723.2</v>
      </c>
      <c r="Q285">
        <v>847.8</v>
      </c>
      <c r="S285">
        <v>92.71</v>
      </c>
      <c r="T285">
        <v>26.83</v>
      </c>
      <c r="U285">
        <v>5.0599999999999996</v>
      </c>
      <c r="V285">
        <v>4</v>
      </c>
      <c r="W285" t="s">
        <v>1519</v>
      </c>
      <c r="X285" t="s">
        <v>920</v>
      </c>
      <c r="Y285" t="s">
        <v>38</v>
      </c>
      <c r="Z285" t="s">
        <v>748</v>
      </c>
    </row>
    <row r="286" spans="1:26" x14ac:dyDescent="0.25">
      <c r="A286">
        <v>15</v>
      </c>
      <c r="B286" t="s">
        <v>921</v>
      </c>
      <c r="C286" t="s">
        <v>1387</v>
      </c>
      <c r="D286" t="s">
        <v>1357</v>
      </c>
      <c r="E286" t="s">
        <v>744</v>
      </c>
      <c r="F286" t="s">
        <v>77</v>
      </c>
      <c r="G286" t="s">
        <v>750</v>
      </c>
      <c r="H286">
        <v>6</v>
      </c>
      <c r="I286">
        <v>1500</v>
      </c>
      <c r="J286">
        <v>12000</v>
      </c>
      <c r="K286" t="s">
        <v>746</v>
      </c>
      <c r="M286">
        <v>1</v>
      </c>
      <c r="N286">
        <v>847.8</v>
      </c>
      <c r="O286" t="s">
        <v>39</v>
      </c>
      <c r="P286">
        <v>723.1</v>
      </c>
      <c r="Q286">
        <v>847.8</v>
      </c>
      <c r="S286">
        <v>93.17</v>
      </c>
      <c r="T286">
        <v>26.47</v>
      </c>
      <c r="U286">
        <v>5.0599999999999996</v>
      </c>
      <c r="V286">
        <v>4</v>
      </c>
      <c r="W286" t="s">
        <v>1519</v>
      </c>
      <c r="X286" t="s">
        <v>920</v>
      </c>
      <c r="Y286" t="s">
        <v>38</v>
      </c>
      <c r="Z286" t="s">
        <v>748</v>
      </c>
    </row>
    <row r="287" spans="1:26" x14ac:dyDescent="0.25">
      <c r="A287">
        <v>16</v>
      </c>
      <c r="B287" t="s">
        <v>921</v>
      </c>
      <c r="C287" t="s">
        <v>1389</v>
      </c>
      <c r="D287" t="s">
        <v>1357</v>
      </c>
      <c r="E287" t="s">
        <v>744</v>
      </c>
      <c r="F287" t="s">
        <v>77</v>
      </c>
      <c r="G287" t="s">
        <v>750</v>
      </c>
      <c r="H287">
        <v>6</v>
      </c>
      <c r="I287">
        <v>1500</v>
      </c>
      <c r="J287">
        <v>12000</v>
      </c>
      <c r="K287" t="s">
        <v>746</v>
      </c>
      <c r="M287">
        <v>1</v>
      </c>
      <c r="N287">
        <v>847.8</v>
      </c>
      <c r="O287" t="s">
        <v>39</v>
      </c>
      <c r="P287">
        <v>722.86</v>
      </c>
      <c r="Q287">
        <v>847.8</v>
      </c>
      <c r="S287">
        <v>80.27</v>
      </c>
      <c r="T287">
        <v>39.61</v>
      </c>
      <c r="U287">
        <v>5.0599999999999996</v>
      </c>
      <c r="V287">
        <v>4</v>
      </c>
      <c r="W287" t="s">
        <v>1519</v>
      </c>
      <c r="X287" t="s">
        <v>920</v>
      </c>
      <c r="Y287" t="s">
        <v>38</v>
      </c>
      <c r="Z287" t="s">
        <v>748</v>
      </c>
    </row>
    <row r="288" spans="1:26" x14ac:dyDescent="0.25">
      <c r="A288">
        <v>17</v>
      </c>
      <c r="B288" t="s">
        <v>921</v>
      </c>
      <c r="C288" t="s">
        <v>1391</v>
      </c>
      <c r="D288" t="s">
        <v>1357</v>
      </c>
      <c r="E288" t="s">
        <v>744</v>
      </c>
      <c r="F288" t="s">
        <v>77</v>
      </c>
      <c r="G288" t="s">
        <v>750</v>
      </c>
      <c r="H288">
        <v>6</v>
      </c>
      <c r="I288">
        <v>1500</v>
      </c>
      <c r="J288">
        <v>12000</v>
      </c>
      <c r="K288" t="s">
        <v>746</v>
      </c>
      <c r="M288">
        <v>1</v>
      </c>
      <c r="N288">
        <v>847.8</v>
      </c>
      <c r="O288" t="s">
        <v>39</v>
      </c>
      <c r="P288">
        <v>722.84</v>
      </c>
      <c r="Q288">
        <v>847.8</v>
      </c>
      <c r="S288">
        <v>80.27</v>
      </c>
      <c r="T288">
        <v>39.630000000000003</v>
      </c>
      <c r="U288">
        <v>5.0599999999999996</v>
      </c>
      <c r="V288">
        <v>4</v>
      </c>
      <c r="W288" t="s">
        <v>1519</v>
      </c>
      <c r="X288" t="s">
        <v>920</v>
      </c>
      <c r="Y288" t="s">
        <v>38</v>
      </c>
      <c r="Z288" t="s">
        <v>748</v>
      </c>
    </row>
    <row r="289" spans="1:26" x14ac:dyDescent="0.25">
      <c r="A289">
        <v>18</v>
      </c>
      <c r="B289" t="s">
        <v>921</v>
      </c>
      <c r="C289" t="s">
        <v>1393</v>
      </c>
      <c r="D289" t="s">
        <v>1357</v>
      </c>
      <c r="E289" t="s">
        <v>744</v>
      </c>
      <c r="F289" t="s">
        <v>77</v>
      </c>
      <c r="G289" t="s">
        <v>750</v>
      </c>
      <c r="H289">
        <v>6</v>
      </c>
      <c r="I289">
        <v>1500</v>
      </c>
      <c r="J289">
        <v>12000</v>
      </c>
      <c r="K289" t="s">
        <v>746</v>
      </c>
      <c r="M289">
        <v>1</v>
      </c>
      <c r="N289">
        <v>847.8</v>
      </c>
      <c r="O289" t="s">
        <v>39</v>
      </c>
      <c r="P289">
        <v>722.69</v>
      </c>
      <c r="Q289">
        <v>847.8</v>
      </c>
      <c r="S289">
        <v>94.75</v>
      </c>
      <c r="T289">
        <v>25.3</v>
      </c>
      <c r="U289">
        <v>5.0599999999999996</v>
      </c>
      <c r="V289">
        <v>4</v>
      </c>
      <c r="W289" t="s">
        <v>1519</v>
      </c>
      <c r="X289" t="s">
        <v>920</v>
      </c>
      <c r="Y289" t="s">
        <v>38</v>
      </c>
      <c r="Z289" t="s">
        <v>748</v>
      </c>
    </row>
    <row r="290" spans="1:26" x14ac:dyDescent="0.25">
      <c r="A290">
        <v>19</v>
      </c>
      <c r="B290" t="s">
        <v>921</v>
      </c>
      <c r="C290" t="s">
        <v>1395</v>
      </c>
      <c r="D290" t="s">
        <v>1357</v>
      </c>
      <c r="E290" t="s">
        <v>744</v>
      </c>
      <c r="F290" t="s">
        <v>77</v>
      </c>
      <c r="G290" t="s">
        <v>750</v>
      </c>
      <c r="H290">
        <v>6</v>
      </c>
      <c r="I290">
        <v>1500</v>
      </c>
      <c r="J290">
        <v>12000</v>
      </c>
      <c r="K290" t="s">
        <v>746</v>
      </c>
      <c r="M290">
        <v>1</v>
      </c>
      <c r="N290">
        <v>847.8</v>
      </c>
      <c r="O290" t="s">
        <v>39</v>
      </c>
      <c r="P290">
        <v>722.67</v>
      </c>
      <c r="Q290">
        <v>847.8</v>
      </c>
      <c r="S290">
        <v>93.43</v>
      </c>
      <c r="T290">
        <v>26.64</v>
      </c>
      <c r="U290">
        <v>5.0599999999999996</v>
      </c>
      <c r="V290">
        <v>4</v>
      </c>
      <c r="W290" t="s">
        <v>1519</v>
      </c>
      <c r="X290" t="s">
        <v>920</v>
      </c>
      <c r="Y290" t="s">
        <v>38</v>
      </c>
      <c r="Z290" t="s">
        <v>748</v>
      </c>
    </row>
    <row r="291" spans="1:26" x14ac:dyDescent="0.25">
      <c r="A291">
        <v>20</v>
      </c>
      <c r="B291" t="s">
        <v>921</v>
      </c>
      <c r="C291" t="s">
        <v>1397</v>
      </c>
      <c r="D291" t="s">
        <v>1357</v>
      </c>
      <c r="E291" t="s">
        <v>744</v>
      </c>
      <c r="F291" t="s">
        <v>77</v>
      </c>
      <c r="G291" t="s">
        <v>750</v>
      </c>
      <c r="H291">
        <v>6</v>
      </c>
      <c r="I291">
        <v>1500</v>
      </c>
      <c r="J291">
        <v>12000</v>
      </c>
      <c r="K291" t="s">
        <v>746</v>
      </c>
      <c r="M291">
        <v>1</v>
      </c>
      <c r="N291">
        <v>847.8</v>
      </c>
      <c r="O291" t="s">
        <v>39</v>
      </c>
      <c r="P291">
        <v>736.28</v>
      </c>
      <c r="Q291">
        <v>847.8</v>
      </c>
      <c r="S291">
        <v>80.27</v>
      </c>
      <c r="T291">
        <v>26.1</v>
      </c>
      <c r="U291">
        <v>5.15</v>
      </c>
      <c r="V291">
        <v>4</v>
      </c>
      <c r="W291" t="s">
        <v>1519</v>
      </c>
      <c r="X291" t="s">
        <v>920</v>
      </c>
      <c r="Y291" t="s">
        <v>38</v>
      </c>
      <c r="Z291" t="s">
        <v>748</v>
      </c>
    </row>
    <row r="292" spans="1:26" x14ac:dyDescent="0.25">
      <c r="A292">
        <v>21</v>
      </c>
      <c r="B292" t="s">
        <v>921</v>
      </c>
      <c r="C292" t="s">
        <v>1399</v>
      </c>
      <c r="D292" t="s">
        <v>1357</v>
      </c>
      <c r="E292" t="s">
        <v>744</v>
      </c>
      <c r="F292" t="s">
        <v>77</v>
      </c>
      <c r="G292" t="s">
        <v>750</v>
      </c>
      <c r="H292">
        <v>6</v>
      </c>
      <c r="I292">
        <v>1500</v>
      </c>
      <c r="J292">
        <v>12000</v>
      </c>
      <c r="K292" t="s">
        <v>746</v>
      </c>
      <c r="M292">
        <v>1</v>
      </c>
      <c r="N292">
        <v>847.8</v>
      </c>
      <c r="O292" t="s">
        <v>39</v>
      </c>
      <c r="P292">
        <v>742.43</v>
      </c>
      <c r="Q292">
        <v>847.8</v>
      </c>
      <c r="S292">
        <v>65.959999999999994</v>
      </c>
      <c r="T292">
        <v>34.21</v>
      </c>
      <c r="U292">
        <v>5.2</v>
      </c>
      <c r="V292">
        <v>4</v>
      </c>
      <c r="W292" t="s">
        <v>1519</v>
      </c>
      <c r="X292" t="s">
        <v>920</v>
      </c>
      <c r="Y292" t="s">
        <v>38</v>
      </c>
      <c r="Z292" t="s">
        <v>748</v>
      </c>
    </row>
    <row r="293" spans="1:26" x14ac:dyDescent="0.25">
      <c r="A293">
        <v>22</v>
      </c>
      <c r="B293" t="s">
        <v>921</v>
      </c>
      <c r="C293" t="s">
        <v>1401</v>
      </c>
      <c r="D293" t="s">
        <v>1357</v>
      </c>
      <c r="E293" t="s">
        <v>744</v>
      </c>
      <c r="F293" t="s">
        <v>77</v>
      </c>
      <c r="G293" t="s">
        <v>750</v>
      </c>
      <c r="H293">
        <v>6</v>
      </c>
      <c r="I293">
        <v>1500</v>
      </c>
      <c r="J293">
        <v>12000</v>
      </c>
      <c r="K293" t="s">
        <v>746</v>
      </c>
      <c r="M293">
        <v>1</v>
      </c>
      <c r="N293">
        <v>847.8</v>
      </c>
      <c r="O293" t="s">
        <v>39</v>
      </c>
      <c r="P293">
        <v>742.44</v>
      </c>
      <c r="Q293">
        <v>847.8</v>
      </c>
      <c r="S293">
        <v>65.709999999999994</v>
      </c>
      <c r="T293">
        <v>34.450000000000003</v>
      </c>
      <c r="U293">
        <v>5.2</v>
      </c>
      <c r="V293">
        <v>4</v>
      </c>
      <c r="W293" t="s">
        <v>1519</v>
      </c>
      <c r="X293" t="s">
        <v>920</v>
      </c>
      <c r="Y293" t="s">
        <v>38</v>
      </c>
      <c r="Z293" t="s">
        <v>748</v>
      </c>
    </row>
    <row r="294" spans="1:26" x14ac:dyDescent="0.25">
      <c r="A294">
        <v>23</v>
      </c>
      <c r="B294" t="s">
        <v>921</v>
      </c>
      <c r="C294" t="s">
        <v>1403</v>
      </c>
      <c r="D294" t="s">
        <v>1357</v>
      </c>
      <c r="E294" t="s">
        <v>744</v>
      </c>
      <c r="F294" t="s">
        <v>77</v>
      </c>
      <c r="G294" t="s">
        <v>750</v>
      </c>
      <c r="H294">
        <v>6</v>
      </c>
      <c r="I294">
        <v>1500</v>
      </c>
      <c r="J294">
        <v>12000</v>
      </c>
      <c r="K294" t="s">
        <v>746</v>
      </c>
      <c r="M294">
        <v>1</v>
      </c>
      <c r="N294">
        <v>847.8</v>
      </c>
      <c r="O294" t="s">
        <v>39</v>
      </c>
      <c r="P294">
        <v>720.91</v>
      </c>
      <c r="Q294">
        <v>847.8</v>
      </c>
      <c r="S294">
        <v>95.38</v>
      </c>
      <c r="T294">
        <v>26.46</v>
      </c>
      <c r="U294">
        <v>5.05</v>
      </c>
      <c r="V294">
        <v>4</v>
      </c>
      <c r="W294" t="s">
        <v>1519</v>
      </c>
      <c r="X294" t="s">
        <v>920</v>
      </c>
      <c r="Y294" t="s">
        <v>38</v>
      </c>
      <c r="Z294" t="s">
        <v>748</v>
      </c>
    </row>
    <row r="295" spans="1:26" x14ac:dyDescent="0.25">
      <c r="A295">
        <v>24</v>
      </c>
      <c r="B295" t="s">
        <v>921</v>
      </c>
      <c r="C295" t="s">
        <v>1405</v>
      </c>
      <c r="D295" t="s">
        <v>1357</v>
      </c>
      <c r="E295" t="s">
        <v>744</v>
      </c>
      <c r="F295" t="s">
        <v>77</v>
      </c>
      <c r="G295" t="s">
        <v>750</v>
      </c>
      <c r="H295">
        <v>6</v>
      </c>
      <c r="I295">
        <v>1500</v>
      </c>
      <c r="J295">
        <v>12000</v>
      </c>
      <c r="K295" t="s">
        <v>746</v>
      </c>
      <c r="M295">
        <v>1</v>
      </c>
      <c r="N295">
        <v>847.8</v>
      </c>
      <c r="O295" t="s">
        <v>39</v>
      </c>
      <c r="P295">
        <v>720.91</v>
      </c>
      <c r="Q295">
        <v>847.8</v>
      </c>
      <c r="S295">
        <v>97.12</v>
      </c>
      <c r="T295">
        <v>24.72</v>
      </c>
      <c r="U295">
        <v>5.05</v>
      </c>
      <c r="V295">
        <v>4</v>
      </c>
      <c r="W295" t="s">
        <v>1519</v>
      </c>
      <c r="X295" t="s">
        <v>920</v>
      </c>
      <c r="Y295" t="s">
        <v>38</v>
      </c>
      <c r="Z295" t="s">
        <v>748</v>
      </c>
    </row>
    <row r="296" spans="1:26" x14ac:dyDescent="0.25">
      <c r="A296">
        <v>25</v>
      </c>
      <c r="B296" t="s">
        <v>921</v>
      </c>
      <c r="C296" t="s">
        <v>1407</v>
      </c>
      <c r="D296" t="s">
        <v>1357</v>
      </c>
      <c r="E296" t="s">
        <v>744</v>
      </c>
      <c r="F296" t="s">
        <v>77</v>
      </c>
      <c r="G296" t="s">
        <v>750</v>
      </c>
      <c r="H296">
        <v>6</v>
      </c>
      <c r="I296">
        <v>1500</v>
      </c>
      <c r="J296">
        <v>12000</v>
      </c>
      <c r="K296" t="s">
        <v>746</v>
      </c>
      <c r="M296">
        <v>1</v>
      </c>
      <c r="N296">
        <v>847.8</v>
      </c>
      <c r="O296" t="s">
        <v>39</v>
      </c>
      <c r="P296">
        <v>720.91</v>
      </c>
      <c r="Q296">
        <v>847.8</v>
      </c>
      <c r="S296">
        <v>97.12</v>
      </c>
      <c r="T296">
        <v>24.72</v>
      </c>
      <c r="U296">
        <v>5.05</v>
      </c>
      <c r="V296">
        <v>4</v>
      </c>
      <c r="W296" t="s">
        <v>1519</v>
      </c>
      <c r="X296" t="s">
        <v>920</v>
      </c>
      <c r="Y296" t="s">
        <v>38</v>
      </c>
      <c r="Z296" t="s">
        <v>748</v>
      </c>
    </row>
    <row r="297" spans="1:26" x14ac:dyDescent="0.25">
      <c r="A297">
        <v>26</v>
      </c>
      <c r="B297" t="s">
        <v>921</v>
      </c>
      <c r="C297" t="s">
        <v>1409</v>
      </c>
      <c r="D297" t="s">
        <v>1357</v>
      </c>
      <c r="E297" t="s">
        <v>744</v>
      </c>
      <c r="F297" t="s">
        <v>77</v>
      </c>
      <c r="G297" t="s">
        <v>750</v>
      </c>
      <c r="H297">
        <v>6</v>
      </c>
      <c r="I297">
        <v>1500</v>
      </c>
      <c r="J297">
        <v>12000</v>
      </c>
      <c r="K297" t="s">
        <v>746</v>
      </c>
      <c r="M297">
        <v>1</v>
      </c>
      <c r="N297">
        <v>847.8</v>
      </c>
      <c r="O297" t="s">
        <v>39</v>
      </c>
      <c r="P297">
        <v>727.45</v>
      </c>
      <c r="Q297">
        <v>847.8</v>
      </c>
      <c r="S297">
        <v>80.260000000000005</v>
      </c>
      <c r="T297">
        <v>35</v>
      </c>
      <c r="U297">
        <v>5.09</v>
      </c>
      <c r="V297">
        <v>4</v>
      </c>
      <c r="W297" t="s">
        <v>1519</v>
      </c>
      <c r="X297" t="s">
        <v>920</v>
      </c>
      <c r="Y297" t="s">
        <v>38</v>
      </c>
      <c r="Z297" t="s">
        <v>748</v>
      </c>
    </row>
    <row r="298" spans="1:26" x14ac:dyDescent="0.25">
      <c r="A298">
        <v>27</v>
      </c>
      <c r="B298" t="s">
        <v>921</v>
      </c>
      <c r="C298" t="s">
        <v>1411</v>
      </c>
      <c r="D298" t="s">
        <v>1357</v>
      </c>
      <c r="E298" t="s">
        <v>744</v>
      </c>
      <c r="F298" t="s">
        <v>77</v>
      </c>
      <c r="G298" t="s">
        <v>750</v>
      </c>
      <c r="H298">
        <v>6</v>
      </c>
      <c r="I298">
        <v>1500</v>
      </c>
      <c r="J298">
        <v>12000</v>
      </c>
      <c r="K298" t="s">
        <v>746</v>
      </c>
      <c r="M298">
        <v>1</v>
      </c>
      <c r="N298">
        <v>847.8</v>
      </c>
      <c r="O298" t="s">
        <v>39</v>
      </c>
      <c r="P298">
        <v>737.24</v>
      </c>
      <c r="Q298">
        <v>847.8</v>
      </c>
      <c r="S298">
        <v>80.260000000000005</v>
      </c>
      <c r="T298">
        <v>25.14</v>
      </c>
      <c r="U298">
        <v>5.16</v>
      </c>
      <c r="V298">
        <v>4</v>
      </c>
      <c r="W298" t="s">
        <v>1519</v>
      </c>
      <c r="X298" t="s">
        <v>920</v>
      </c>
      <c r="Y298" t="s">
        <v>38</v>
      </c>
      <c r="Z298" t="s">
        <v>748</v>
      </c>
    </row>
    <row r="299" spans="1:26" x14ac:dyDescent="0.25">
      <c r="A299">
        <v>28</v>
      </c>
      <c r="B299" t="s">
        <v>921</v>
      </c>
      <c r="C299" t="s">
        <v>1413</v>
      </c>
      <c r="D299" t="s">
        <v>1357</v>
      </c>
      <c r="E299" t="s">
        <v>744</v>
      </c>
      <c r="F299" t="s">
        <v>77</v>
      </c>
      <c r="G299" t="s">
        <v>750</v>
      </c>
      <c r="H299">
        <v>6</v>
      </c>
      <c r="I299">
        <v>1500</v>
      </c>
      <c r="J299">
        <v>12000</v>
      </c>
      <c r="K299" t="s">
        <v>746</v>
      </c>
      <c r="M299">
        <v>1</v>
      </c>
      <c r="N299">
        <v>847.8</v>
      </c>
      <c r="O299" t="s">
        <v>39</v>
      </c>
      <c r="P299">
        <v>773.2</v>
      </c>
      <c r="Q299">
        <v>847.8</v>
      </c>
      <c r="T299">
        <v>69.19</v>
      </c>
      <c r="U299">
        <v>5.41</v>
      </c>
      <c r="V299">
        <v>4</v>
      </c>
      <c r="W299" t="s">
        <v>1519</v>
      </c>
      <c r="X299" t="s">
        <v>920</v>
      </c>
      <c r="Y299" t="s">
        <v>38</v>
      </c>
      <c r="Z299" t="s">
        <v>748</v>
      </c>
    </row>
    <row r="300" spans="1:26" x14ac:dyDescent="0.25">
      <c r="A300">
        <v>29</v>
      </c>
      <c r="B300" t="s">
        <v>921</v>
      </c>
      <c r="C300" t="s">
        <v>1415</v>
      </c>
      <c r="D300" t="s">
        <v>1357</v>
      </c>
      <c r="E300" t="s">
        <v>744</v>
      </c>
      <c r="F300" t="s">
        <v>77</v>
      </c>
      <c r="G300" t="s">
        <v>1087</v>
      </c>
      <c r="H300">
        <v>6</v>
      </c>
      <c r="I300">
        <v>1500</v>
      </c>
      <c r="J300">
        <v>6325</v>
      </c>
      <c r="K300" t="s">
        <v>746</v>
      </c>
      <c r="M300">
        <v>1</v>
      </c>
      <c r="N300">
        <v>446.86</v>
      </c>
      <c r="O300" t="s">
        <v>987</v>
      </c>
      <c r="P300">
        <v>343.17</v>
      </c>
      <c r="R300">
        <v>446.86</v>
      </c>
      <c r="S300">
        <v>83.87</v>
      </c>
      <c r="T300">
        <v>17.420000000000002</v>
      </c>
      <c r="U300">
        <v>2.4</v>
      </c>
      <c r="V300">
        <v>4</v>
      </c>
      <c r="W300" t="s">
        <v>1519</v>
      </c>
      <c r="X300" t="s">
        <v>920</v>
      </c>
      <c r="Y300" t="s">
        <v>38</v>
      </c>
      <c r="Z300" t="s">
        <v>748</v>
      </c>
    </row>
    <row r="301" spans="1:26" x14ac:dyDescent="0.25">
      <c r="A301">
        <v>30</v>
      </c>
      <c r="B301" t="s">
        <v>921</v>
      </c>
      <c r="C301" t="s">
        <v>1417</v>
      </c>
      <c r="D301" t="s">
        <v>1357</v>
      </c>
      <c r="E301" t="s">
        <v>744</v>
      </c>
      <c r="F301" t="s">
        <v>77</v>
      </c>
      <c r="G301" t="s">
        <v>751</v>
      </c>
      <c r="H301">
        <v>8</v>
      </c>
      <c r="I301">
        <v>2000</v>
      </c>
      <c r="J301">
        <v>12000</v>
      </c>
      <c r="K301" t="s">
        <v>746</v>
      </c>
      <c r="M301">
        <v>1</v>
      </c>
      <c r="N301">
        <v>1507.2</v>
      </c>
      <c r="O301" t="s">
        <v>39</v>
      </c>
      <c r="P301">
        <v>1450.53</v>
      </c>
      <c r="Q301">
        <v>1507.2</v>
      </c>
      <c r="T301">
        <v>46.52</v>
      </c>
      <c r="U301">
        <v>10.15</v>
      </c>
      <c r="V301">
        <v>4</v>
      </c>
      <c r="W301" t="s">
        <v>1519</v>
      </c>
      <c r="X301" t="s">
        <v>920</v>
      </c>
      <c r="Y301" t="s">
        <v>38</v>
      </c>
      <c r="Z301" t="s">
        <v>748</v>
      </c>
    </row>
    <row r="302" spans="1:26" x14ac:dyDescent="0.25">
      <c r="A302">
        <v>31</v>
      </c>
      <c r="B302" t="s">
        <v>921</v>
      </c>
      <c r="C302" t="s">
        <v>1419</v>
      </c>
      <c r="D302" t="s">
        <v>1357</v>
      </c>
      <c r="E302" t="s">
        <v>744</v>
      </c>
      <c r="F302" t="s">
        <v>77</v>
      </c>
      <c r="G302" t="s">
        <v>751</v>
      </c>
      <c r="H302">
        <v>8</v>
      </c>
      <c r="I302">
        <v>2000</v>
      </c>
      <c r="J302">
        <v>12000</v>
      </c>
      <c r="K302" t="s">
        <v>746</v>
      </c>
      <c r="M302">
        <v>1</v>
      </c>
      <c r="N302">
        <v>1507.2</v>
      </c>
      <c r="O302" t="s">
        <v>39</v>
      </c>
      <c r="P302">
        <v>1422.67</v>
      </c>
      <c r="Q302">
        <v>1507.2</v>
      </c>
      <c r="T302">
        <v>74.569999999999993</v>
      </c>
      <c r="U302">
        <v>9.9600000000000009</v>
      </c>
      <c r="V302">
        <v>4</v>
      </c>
      <c r="W302" t="s">
        <v>1519</v>
      </c>
      <c r="X302" t="s">
        <v>920</v>
      </c>
      <c r="Y302" t="s">
        <v>38</v>
      </c>
      <c r="Z302" t="s">
        <v>748</v>
      </c>
    </row>
    <row r="303" spans="1:26" x14ac:dyDescent="0.25">
      <c r="A303">
        <v>32</v>
      </c>
      <c r="B303" t="s">
        <v>921</v>
      </c>
      <c r="C303" t="s">
        <v>1421</v>
      </c>
      <c r="D303" t="s">
        <v>1357</v>
      </c>
      <c r="E303" t="s">
        <v>744</v>
      </c>
      <c r="F303" t="s">
        <v>77</v>
      </c>
      <c r="G303" t="s">
        <v>751</v>
      </c>
      <c r="H303">
        <v>8</v>
      </c>
      <c r="I303">
        <v>2000</v>
      </c>
      <c r="J303">
        <v>12000</v>
      </c>
      <c r="K303" t="s">
        <v>746</v>
      </c>
      <c r="M303">
        <v>1</v>
      </c>
      <c r="N303">
        <v>1507.2</v>
      </c>
      <c r="O303" t="s">
        <v>39</v>
      </c>
      <c r="P303">
        <v>1422.45</v>
      </c>
      <c r="Q303">
        <v>1507.2</v>
      </c>
      <c r="T303">
        <v>74.790000000000006</v>
      </c>
      <c r="U303">
        <v>9.9600000000000009</v>
      </c>
      <c r="V303">
        <v>4</v>
      </c>
      <c r="W303" t="s">
        <v>1519</v>
      </c>
      <c r="X303" t="s">
        <v>920</v>
      </c>
      <c r="Y303" t="s">
        <v>38</v>
      </c>
      <c r="Z303" t="s">
        <v>748</v>
      </c>
    </row>
    <row r="304" spans="1:26" x14ac:dyDescent="0.25">
      <c r="A304">
        <v>33</v>
      </c>
      <c r="B304" t="s">
        <v>921</v>
      </c>
      <c r="C304" t="s">
        <v>1423</v>
      </c>
      <c r="D304" t="s">
        <v>1357</v>
      </c>
      <c r="E304" t="s">
        <v>744</v>
      </c>
      <c r="F304" t="s">
        <v>77</v>
      </c>
      <c r="G304" t="s">
        <v>751</v>
      </c>
      <c r="H304">
        <v>8</v>
      </c>
      <c r="I304">
        <v>2000</v>
      </c>
      <c r="J304">
        <v>12000</v>
      </c>
      <c r="K304" t="s">
        <v>746</v>
      </c>
      <c r="M304">
        <v>1</v>
      </c>
      <c r="N304">
        <v>1507.2</v>
      </c>
      <c r="O304" t="s">
        <v>39</v>
      </c>
      <c r="P304">
        <v>1396.27</v>
      </c>
      <c r="Q304">
        <v>1507.2</v>
      </c>
      <c r="T304">
        <v>101.16</v>
      </c>
      <c r="U304">
        <v>9.77</v>
      </c>
      <c r="V304">
        <v>4</v>
      </c>
      <c r="W304" t="s">
        <v>1519</v>
      </c>
      <c r="X304" t="s">
        <v>920</v>
      </c>
      <c r="Y304" t="s">
        <v>38</v>
      </c>
      <c r="Z304" t="s">
        <v>748</v>
      </c>
    </row>
    <row r="305" spans="1:26" x14ac:dyDescent="0.25">
      <c r="A305">
        <v>34</v>
      </c>
      <c r="B305" t="s">
        <v>921</v>
      </c>
      <c r="C305" t="s">
        <v>1425</v>
      </c>
      <c r="D305" t="s">
        <v>1357</v>
      </c>
      <c r="E305" t="s">
        <v>744</v>
      </c>
      <c r="F305" t="s">
        <v>77</v>
      </c>
      <c r="G305" t="s">
        <v>751</v>
      </c>
      <c r="H305">
        <v>8</v>
      </c>
      <c r="I305">
        <v>2000</v>
      </c>
      <c r="J305">
        <v>12000</v>
      </c>
      <c r="K305" t="s">
        <v>746</v>
      </c>
      <c r="M305">
        <v>1</v>
      </c>
      <c r="N305">
        <v>1507.2</v>
      </c>
      <c r="O305" t="s">
        <v>39</v>
      </c>
      <c r="P305">
        <v>1397.65</v>
      </c>
      <c r="Q305">
        <v>1507.2</v>
      </c>
      <c r="T305">
        <v>99.77</v>
      </c>
      <c r="U305">
        <v>9.7799999999999994</v>
      </c>
      <c r="V305">
        <v>4</v>
      </c>
      <c r="W305" t="s">
        <v>1519</v>
      </c>
      <c r="X305" t="s">
        <v>920</v>
      </c>
      <c r="Y305" t="s">
        <v>38</v>
      </c>
      <c r="Z305" t="s">
        <v>748</v>
      </c>
    </row>
    <row r="306" spans="1:26" x14ac:dyDescent="0.25">
      <c r="A306">
        <v>35</v>
      </c>
      <c r="B306" t="s">
        <v>921</v>
      </c>
      <c r="C306" t="s">
        <v>1427</v>
      </c>
      <c r="D306" t="s">
        <v>1357</v>
      </c>
      <c r="E306" t="s">
        <v>744</v>
      </c>
      <c r="F306" t="s">
        <v>77</v>
      </c>
      <c r="G306" t="s">
        <v>751</v>
      </c>
      <c r="H306">
        <v>8</v>
      </c>
      <c r="I306">
        <v>2000</v>
      </c>
      <c r="J306">
        <v>12000</v>
      </c>
      <c r="K306" t="s">
        <v>746</v>
      </c>
      <c r="M306">
        <v>1</v>
      </c>
      <c r="N306">
        <v>1507.2</v>
      </c>
      <c r="O306" t="s">
        <v>39</v>
      </c>
      <c r="P306">
        <v>1412.28</v>
      </c>
      <c r="Q306">
        <v>1507.2</v>
      </c>
      <c r="T306">
        <v>85.03</v>
      </c>
      <c r="U306">
        <v>9.89</v>
      </c>
      <c r="V306">
        <v>4</v>
      </c>
      <c r="W306" t="s">
        <v>1519</v>
      </c>
      <c r="X306" t="s">
        <v>920</v>
      </c>
      <c r="Y306" t="s">
        <v>38</v>
      </c>
      <c r="Z306" t="s">
        <v>748</v>
      </c>
    </row>
    <row r="307" spans="1:26" x14ac:dyDescent="0.25">
      <c r="A307">
        <v>36</v>
      </c>
      <c r="B307" t="s">
        <v>921</v>
      </c>
      <c r="C307" t="s">
        <v>1429</v>
      </c>
      <c r="D307" t="s">
        <v>1357</v>
      </c>
      <c r="E307" t="s">
        <v>744</v>
      </c>
      <c r="F307" t="s">
        <v>77</v>
      </c>
      <c r="G307" t="s">
        <v>751</v>
      </c>
      <c r="H307">
        <v>8</v>
      </c>
      <c r="I307">
        <v>2000</v>
      </c>
      <c r="J307">
        <v>12000</v>
      </c>
      <c r="K307" t="s">
        <v>746</v>
      </c>
      <c r="M307">
        <v>1</v>
      </c>
      <c r="N307">
        <v>1507.2</v>
      </c>
      <c r="O307" t="s">
        <v>39</v>
      </c>
      <c r="P307">
        <v>1422.01</v>
      </c>
      <c r="Q307">
        <v>1507.2</v>
      </c>
      <c r="T307">
        <v>75.239999999999995</v>
      </c>
      <c r="U307">
        <v>9.9499999999999993</v>
      </c>
      <c r="V307">
        <v>4</v>
      </c>
      <c r="W307" t="s">
        <v>1519</v>
      </c>
      <c r="X307" t="s">
        <v>920</v>
      </c>
      <c r="Y307" t="s">
        <v>38</v>
      </c>
      <c r="Z307" t="s">
        <v>748</v>
      </c>
    </row>
    <row r="308" spans="1:26" x14ac:dyDescent="0.25">
      <c r="A308">
        <v>37</v>
      </c>
      <c r="B308" t="s">
        <v>921</v>
      </c>
      <c r="C308" t="s">
        <v>1431</v>
      </c>
      <c r="D308" t="s">
        <v>1357</v>
      </c>
      <c r="E308" t="s">
        <v>744</v>
      </c>
      <c r="F308" t="s">
        <v>77</v>
      </c>
      <c r="G308" t="s">
        <v>751</v>
      </c>
      <c r="H308">
        <v>8</v>
      </c>
      <c r="I308">
        <v>2000</v>
      </c>
      <c r="J308">
        <v>12000</v>
      </c>
      <c r="K308" t="s">
        <v>746</v>
      </c>
      <c r="M308">
        <v>1</v>
      </c>
      <c r="N308">
        <v>1507.2</v>
      </c>
      <c r="O308" t="s">
        <v>39</v>
      </c>
      <c r="P308">
        <v>1448.71</v>
      </c>
      <c r="Q308">
        <v>1507.2</v>
      </c>
      <c r="T308">
        <v>48.35</v>
      </c>
      <c r="U308">
        <v>10.14</v>
      </c>
      <c r="V308">
        <v>4</v>
      </c>
      <c r="W308" t="s">
        <v>1519</v>
      </c>
      <c r="X308" t="s">
        <v>920</v>
      </c>
      <c r="Y308" t="s">
        <v>38</v>
      </c>
      <c r="Z308" t="s">
        <v>748</v>
      </c>
    </row>
    <row r="309" spans="1:26" x14ac:dyDescent="0.25">
      <c r="A309">
        <v>38</v>
      </c>
      <c r="B309" t="s">
        <v>921</v>
      </c>
      <c r="C309" t="s">
        <v>1433</v>
      </c>
      <c r="D309" t="s">
        <v>1357</v>
      </c>
      <c r="E309" t="s">
        <v>744</v>
      </c>
      <c r="F309" t="s">
        <v>77</v>
      </c>
      <c r="G309" t="s">
        <v>751</v>
      </c>
      <c r="H309">
        <v>8</v>
      </c>
      <c r="I309">
        <v>2000</v>
      </c>
      <c r="J309">
        <v>12000</v>
      </c>
      <c r="K309" t="s">
        <v>746</v>
      </c>
      <c r="M309">
        <v>1</v>
      </c>
      <c r="N309">
        <v>1507.2</v>
      </c>
      <c r="O309" t="s">
        <v>39</v>
      </c>
      <c r="P309">
        <v>1434.86</v>
      </c>
      <c r="Q309">
        <v>1507.2</v>
      </c>
      <c r="T309">
        <v>62.3</v>
      </c>
      <c r="U309">
        <v>10.039999999999999</v>
      </c>
      <c r="V309">
        <v>4</v>
      </c>
      <c r="W309" t="s">
        <v>1519</v>
      </c>
      <c r="X309" t="s">
        <v>920</v>
      </c>
      <c r="Y309" t="s">
        <v>38</v>
      </c>
      <c r="Z309" t="s">
        <v>748</v>
      </c>
    </row>
    <row r="310" spans="1:26" x14ac:dyDescent="0.25">
      <c r="A310">
        <v>39</v>
      </c>
      <c r="B310" t="s">
        <v>921</v>
      </c>
      <c r="C310" t="s">
        <v>1435</v>
      </c>
      <c r="D310" t="s">
        <v>1357</v>
      </c>
      <c r="E310" t="s">
        <v>744</v>
      </c>
      <c r="F310" t="s">
        <v>77</v>
      </c>
      <c r="G310" t="s">
        <v>751</v>
      </c>
      <c r="H310">
        <v>8</v>
      </c>
      <c r="I310">
        <v>2000</v>
      </c>
      <c r="J310">
        <v>12000</v>
      </c>
      <c r="K310" t="s">
        <v>746</v>
      </c>
      <c r="M310">
        <v>1</v>
      </c>
      <c r="N310">
        <v>1507.2</v>
      </c>
      <c r="O310" t="s">
        <v>39</v>
      </c>
      <c r="P310">
        <v>1424.4</v>
      </c>
      <c r="Q310">
        <v>1507.2</v>
      </c>
      <c r="T310">
        <v>72.83</v>
      </c>
      <c r="U310">
        <v>9.9700000000000006</v>
      </c>
      <c r="V310">
        <v>4</v>
      </c>
      <c r="W310" t="s">
        <v>1519</v>
      </c>
      <c r="X310" t="s">
        <v>920</v>
      </c>
      <c r="Y310" t="s">
        <v>38</v>
      </c>
      <c r="Z310" t="s">
        <v>748</v>
      </c>
    </row>
    <row r="311" spans="1:26" x14ac:dyDescent="0.25">
      <c r="A311">
        <v>40</v>
      </c>
      <c r="B311" t="s">
        <v>921</v>
      </c>
      <c r="C311" t="s">
        <v>1438</v>
      </c>
      <c r="D311" t="s">
        <v>1357</v>
      </c>
      <c r="E311" t="s">
        <v>744</v>
      </c>
      <c r="F311" t="s">
        <v>77</v>
      </c>
      <c r="G311" t="s">
        <v>1521</v>
      </c>
      <c r="H311">
        <v>8</v>
      </c>
      <c r="I311">
        <v>2000</v>
      </c>
      <c r="J311">
        <v>11550</v>
      </c>
      <c r="K311" t="s">
        <v>746</v>
      </c>
      <c r="M311">
        <v>1</v>
      </c>
      <c r="N311">
        <v>1450.68</v>
      </c>
      <c r="O311" t="s">
        <v>1439</v>
      </c>
      <c r="P311">
        <v>10.99</v>
      </c>
      <c r="R311">
        <v>1450.68</v>
      </c>
      <c r="S311">
        <v>1437.24</v>
      </c>
      <c r="T311">
        <v>2.37</v>
      </c>
      <c r="U311">
        <v>0.08</v>
      </c>
      <c r="V311">
        <v>4</v>
      </c>
      <c r="W311" t="s">
        <v>1519</v>
      </c>
      <c r="X311" t="s">
        <v>920</v>
      </c>
      <c r="Y311" t="s">
        <v>38</v>
      </c>
      <c r="Z311" t="s">
        <v>748</v>
      </c>
    </row>
    <row r="312" spans="1:26" x14ac:dyDescent="0.25">
      <c r="A312">
        <v>41</v>
      </c>
      <c r="B312" t="s">
        <v>921</v>
      </c>
      <c r="C312" t="s">
        <v>1441</v>
      </c>
      <c r="D312" t="s">
        <v>1357</v>
      </c>
      <c r="E312" t="s">
        <v>744</v>
      </c>
      <c r="F312" t="s">
        <v>77</v>
      </c>
      <c r="G312" t="s">
        <v>753</v>
      </c>
      <c r="H312">
        <v>10</v>
      </c>
      <c r="I312">
        <v>1500</v>
      </c>
      <c r="J312">
        <v>12000</v>
      </c>
      <c r="K312" t="s">
        <v>746</v>
      </c>
      <c r="M312">
        <v>1</v>
      </c>
      <c r="N312">
        <v>1413</v>
      </c>
      <c r="O312" t="s">
        <v>39</v>
      </c>
      <c r="P312">
        <v>1375.31</v>
      </c>
      <c r="Q312">
        <v>1413</v>
      </c>
      <c r="T312">
        <v>28.06</v>
      </c>
      <c r="U312">
        <v>9.6300000000000008</v>
      </c>
      <c r="V312">
        <v>4</v>
      </c>
      <c r="W312" t="s">
        <v>1519</v>
      </c>
      <c r="X312" t="s">
        <v>920</v>
      </c>
      <c r="Y312" t="s">
        <v>38</v>
      </c>
      <c r="Z312" t="s">
        <v>748</v>
      </c>
    </row>
    <row r="313" spans="1:26" x14ac:dyDescent="0.25">
      <c r="A313">
        <v>42</v>
      </c>
      <c r="B313" t="s">
        <v>921</v>
      </c>
      <c r="C313" t="s">
        <v>1443</v>
      </c>
      <c r="D313" t="s">
        <v>1357</v>
      </c>
      <c r="E313" t="s">
        <v>744</v>
      </c>
      <c r="F313" t="s">
        <v>77</v>
      </c>
      <c r="G313" t="s">
        <v>753</v>
      </c>
      <c r="H313">
        <v>10</v>
      </c>
      <c r="I313">
        <v>1500</v>
      </c>
      <c r="J313">
        <v>12000</v>
      </c>
      <c r="K313" t="s">
        <v>746</v>
      </c>
      <c r="M313">
        <v>1</v>
      </c>
      <c r="N313">
        <v>1413</v>
      </c>
      <c r="O313" t="s">
        <v>39</v>
      </c>
      <c r="P313">
        <v>1375.31</v>
      </c>
      <c r="Q313">
        <v>1413</v>
      </c>
      <c r="T313">
        <v>28.06</v>
      </c>
      <c r="U313">
        <v>9.6300000000000008</v>
      </c>
      <c r="V313">
        <v>4</v>
      </c>
      <c r="W313" t="s">
        <v>1519</v>
      </c>
      <c r="X313" t="s">
        <v>920</v>
      </c>
      <c r="Y313" t="s">
        <v>38</v>
      </c>
      <c r="Z313" t="s">
        <v>748</v>
      </c>
    </row>
    <row r="314" spans="1:26" x14ac:dyDescent="0.25">
      <c r="A314">
        <v>43</v>
      </c>
      <c r="B314" t="s">
        <v>921</v>
      </c>
      <c r="C314" t="s">
        <v>1445</v>
      </c>
      <c r="D314" t="s">
        <v>1357</v>
      </c>
      <c r="E314" t="s">
        <v>744</v>
      </c>
      <c r="F314" t="s">
        <v>77</v>
      </c>
      <c r="G314" t="s">
        <v>753</v>
      </c>
      <c r="H314">
        <v>10</v>
      </c>
      <c r="I314">
        <v>1500</v>
      </c>
      <c r="J314">
        <v>12000</v>
      </c>
      <c r="K314" t="s">
        <v>746</v>
      </c>
      <c r="M314">
        <v>1</v>
      </c>
      <c r="N314">
        <v>1413</v>
      </c>
      <c r="O314" t="s">
        <v>39</v>
      </c>
      <c r="P314">
        <v>1375.32</v>
      </c>
      <c r="Q314">
        <v>1413</v>
      </c>
      <c r="T314">
        <v>28.05</v>
      </c>
      <c r="U314">
        <v>9.6300000000000008</v>
      </c>
      <c r="V314">
        <v>4</v>
      </c>
      <c r="W314" t="s">
        <v>1519</v>
      </c>
      <c r="X314" t="s">
        <v>920</v>
      </c>
      <c r="Y314" t="s">
        <v>38</v>
      </c>
      <c r="Z314" t="s">
        <v>748</v>
      </c>
    </row>
    <row r="315" spans="1:26" x14ac:dyDescent="0.25">
      <c r="A315">
        <v>44</v>
      </c>
      <c r="B315" t="s">
        <v>921</v>
      </c>
      <c r="C315" t="s">
        <v>1447</v>
      </c>
      <c r="D315" t="s">
        <v>1357</v>
      </c>
      <c r="E315" t="s">
        <v>744</v>
      </c>
      <c r="F315" t="s">
        <v>77</v>
      </c>
      <c r="G315" t="s">
        <v>753</v>
      </c>
      <c r="H315">
        <v>10</v>
      </c>
      <c r="I315">
        <v>1500</v>
      </c>
      <c r="J315">
        <v>12000</v>
      </c>
      <c r="K315" t="s">
        <v>746</v>
      </c>
      <c r="M315">
        <v>1</v>
      </c>
      <c r="N315">
        <v>1413</v>
      </c>
      <c r="O315" t="s">
        <v>39</v>
      </c>
      <c r="P315">
        <v>1365.89</v>
      </c>
      <c r="Q315">
        <v>1413</v>
      </c>
      <c r="T315">
        <v>37.549999999999997</v>
      </c>
      <c r="U315">
        <v>9.56</v>
      </c>
      <c r="V315">
        <v>4</v>
      </c>
      <c r="W315" t="s">
        <v>1519</v>
      </c>
      <c r="X315" t="s">
        <v>920</v>
      </c>
      <c r="Y315" t="s">
        <v>38</v>
      </c>
      <c r="Z315" t="s">
        <v>748</v>
      </c>
    </row>
    <row r="316" spans="1:26" x14ac:dyDescent="0.25">
      <c r="A316">
        <v>45</v>
      </c>
      <c r="B316" t="s">
        <v>921</v>
      </c>
      <c r="C316" t="s">
        <v>1449</v>
      </c>
      <c r="D316" t="s">
        <v>1357</v>
      </c>
      <c r="E316" t="s">
        <v>744</v>
      </c>
      <c r="F316" t="s">
        <v>77</v>
      </c>
      <c r="G316" t="s">
        <v>753</v>
      </c>
      <c r="H316">
        <v>10</v>
      </c>
      <c r="I316">
        <v>1500</v>
      </c>
      <c r="J316">
        <v>12000</v>
      </c>
      <c r="K316" t="s">
        <v>746</v>
      </c>
      <c r="M316">
        <v>1</v>
      </c>
      <c r="N316">
        <v>1413</v>
      </c>
      <c r="O316" t="s">
        <v>39</v>
      </c>
      <c r="P316">
        <v>1313.14</v>
      </c>
      <c r="Q316">
        <v>1413</v>
      </c>
      <c r="T316">
        <v>90.67</v>
      </c>
      <c r="U316">
        <v>9.19</v>
      </c>
      <c r="V316">
        <v>4</v>
      </c>
      <c r="W316" t="s">
        <v>1519</v>
      </c>
      <c r="X316" t="s">
        <v>920</v>
      </c>
      <c r="Y316" t="s">
        <v>38</v>
      </c>
      <c r="Z316" t="s">
        <v>748</v>
      </c>
    </row>
    <row r="317" spans="1:26" x14ac:dyDescent="0.25">
      <c r="A317">
        <v>46</v>
      </c>
      <c r="B317" t="s">
        <v>921</v>
      </c>
      <c r="C317" t="s">
        <v>1451</v>
      </c>
      <c r="D317" t="s">
        <v>1357</v>
      </c>
      <c r="E317" t="s">
        <v>744</v>
      </c>
      <c r="F317" t="s">
        <v>77</v>
      </c>
      <c r="G317" t="s">
        <v>753</v>
      </c>
      <c r="H317">
        <v>10</v>
      </c>
      <c r="I317">
        <v>1500</v>
      </c>
      <c r="J317">
        <v>12000</v>
      </c>
      <c r="K317" t="s">
        <v>746</v>
      </c>
      <c r="M317">
        <v>1</v>
      </c>
      <c r="N317">
        <v>1413</v>
      </c>
      <c r="O317" t="s">
        <v>39</v>
      </c>
      <c r="P317">
        <v>1338.6</v>
      </c>
      <c r="Q317">
        <v>1413</v>
      </c>
      <c r="T317">
        <v>65.03</v>
      </c>
      <c r="U317">
        <v>9.3699999999999992</v>
      </c>
      <c r="V317">
        <v>4</v>
      </c>
      <c r="W317" t="s">
        <v>1519</v>
      </c>
      <c r="X317" t="s">
        <v>920</v>
      </c>
      <c r="Y317" t="s">
        <v>38</v>
      </c>
      <c r="Z317" t="s">
        <v>748</v>
      </c>
    </row>
    <row r="318" spans="1:26" x14ac:dyDescent="0.25">
      <c r="A318">
        <v>47</v>
      </c>
      <c r="B318" t="s">
        <v>921</v>
      </c>
      <c r="C318" t="s">
        <v>1453</v>
      </c>
      <c r="D318" t="s">
        <v>1357</v>
      </c>
      <c r="E318" t="s">
        <v>744</v>
      </c>
      <c r="F318" t="s">
        <v>77</v>
      </c>
      <c r="G318" t="s">
        <v>753</v>
      </c>
      <c r="H318">
        <v>10</v>
      </c>
      <c r="I318">
        <v>1500</v>
      </c>
      <c r="J318">
        <v>12000</v>
      </c>
      <c r="K318" t="s">
        <v>746</v>
      </c>
      <c r="M318">
        <v>1</v>
      </c>
      <c r="N318">
        <v>1413</v>
      </c>
      <c r="O318" t="s">
        <v>39</v>
      </c>
      <c r="P318">
        <v>1327.92</v>
      </c>
      <c r="Q318">
        <v>1413</v>
      </c>
      <c r="T318">
        <v>75.78</v>
      </c>
      <c r="U318">
        <v>9.3000000000000007</v>
      </c>
      <c r="V318">
        <v>4</v>
      </c>
      <c r="W318" t="s">
        <v>1519</v>
      </c>
      <c r="X318" t="s">
        <v>920</v>
      </c>
      <c r="Y318" t="s">
        <v>38</v>
      </c>
      <c r="Z318" t="s">
        <v>748</v>
      </c>
    </row>
    <row r="319" spans="1:26" x14ac:dyDescent="0.25">
      <c r="A319">
        <v>48</v>
      </c>
      <c r="B319" t="s">
        <v>921</v>
      </c>
      <c r="C319" t="s">
        <v>1455</v>
      </c>
      <c r="D319" t="s">
        <v>1357</v>
      </c>
      <c r="E319" t="s">
        <v>744</v>
      </c>
      <c r="F319" t="s">
        <v>77</v>
      </c>
      <c r="G319" t="s">
        <v>753</v>
      </c>
      <c r="H319">
        <v>10</v>
      </c>
      <c r="I319">
        <v>1500</v>
      </c>
      <c r="J319">
        <v>12000</v>
      </c>
      <c r="K319" t="s">
        <v>746</v>
      </c>
      <c r="M319">
        <v>1</v>
      </c>
      <c r="N319">
        <v>1413</v>
      </c>
      <c r="O319" t="s">
        <v>39</v>
      </c>
      <c r="P319">
        <v>1338.82</v>
      </c>
      <c r="Q319">
        <v>1413</v>
      </c>
      <c r="T319">
        <v>64.81</v>
      </c>
      <c r="U319">
        <v>9.3699999999999992</v>
      </c>
      <c r="V319">
        <v>4</v>
      </c>
      <c r="W319" t="s">
        <v>1519</v>
      </c>
      <c r="X319" t="s">
        <v>920</v>
      </c>
      <c r="Y319" t="s">
        <v>38</v>
      </c>
      <c r="Z319" t="s">
        <v>748</v>
      </c>
    </row>
    <row r="320" spans="1:26" x14ac:dyDescent="0.25">
      <c r="A320">
        <v>49</v>
      </c>
      <c r="B320" t="s">
        <v>921</v>
      </c>
      <c r="C320" t="s">
        <v>1457</v>
      </c>
      <c r="D320" t="s">
        <v>1357</v>
      </c>
      <c r="E320" t="s">
        <v>744</v>
      </c>
      <c r="F320" t="s">
        <v>77</v>
      </c>
      <c r="G320" t="s">
        <v>753</v>
      </c>
      <c r="H320">
        <v>10</v>
      </c>
      <c r="I320">
        <v>1500</v>
      </c>
      <c r="J320">
        <v>12000</v>
      </c>
      <c r="K320" t="s">
        <v>746</v>
      </c>
      <c r="M320">
        <v>1</v>
      </c>
      <c r="N320">
        <v>1413</v>
      </c>
      <c r="O320" t="s">
        <v>39</v>
      </c>
      <c r="P320">
        <v>1343.39</v>
      </c>
      <c r="Q320">
        <v>1413</v>
      </c>
      <c r="T320">
        <v>60.21</v>
      </c>
      <c r="U320">
        <v>9.4</v>
      </c>
      <c r="V320">
        <v>4</v>
      </c>
      <c r="W320" t="s">
        <v>1519</v>
      </c>
      <c r="X320" t="s">
        <v>920</v>
      </c>
      <c r="Y320" t="s">
        <v>38</v>
      </c>
      <c r="Z320" t="s">
        <v>748</v>
      </c>
    </row>
    <row r="321" spans="1:26" x14ac:dyDescent="0.25">
      <c r="A321">
        <v>50</v>
      </c>
      <c r="B321" t="s">
        <v>921</v>
      </c>
      <c r="C321" t="s">
        <v>1459</v>
      </c>
      <c r="D321" t="s">
        <v>1357</v>
      </c>
      <c r="E321" t="s">
        <v>744</v>
      </c>
      <c r="F321" t="s">
        <v>77</v>
      </c>
      <c r="G321" t="s">
        <v>753</v>
      </c>
      <c r="H321">
        <v>10</v>
      </c>
      <c r="I321">
        <v>1500</v>
      </c>
      <c r="J321">
        <v>12000</v>
      </c>
      <c r="K321" t="s">
        <v>746</v>
      </c>
      <c r="M321">
        <v>1</v>
      </c>
      <c r="N321">
        <v>1413</v>
      </c>
      <c r="O321" t="s">
        <v>39</v>
      </c>
      <c r="P321">
        <v>1309.3499999999999</v>
      </c>
      <c r="Q321">
        <v>1413</v>
      </c>
      <c r="T321">
        <v>94.48</v>
      </c>
      <c r="U321">
        <v>9.17</v>
      </c>
      <c r="V321">
        <v>4</v>
      </c>
      <c r="W321" t="s">
        <v>1519</v>
      </c>
      <c r="X321" t="s">
        <v>920</v>
      </c>
      <c r="Y321" t="s">
        <v>38</v>
      </c>
      <c r="Z321" t="s">
        <v>748</v>
      </c>
    </row>
    <row r="322" spans="1:26" x14ac:dyDescent="0.25">
      <c r="A322">
        <v>51</v>
      </c>
      <c r="B322" t="s">
        <v>921</v>
      </c>
      <c r="C322" t="s">
        <v>1462</v>
      </c>
      <c r="D322" t="s">
        <v>1357</v>
      </c>
      <c r="E322" t="s">
        <v>744</v>
      </c>
      <c r="F322" t="s">
        <v>77</v>
      </c>
      <c r="G322" t="s">
        <v>1522</v>
      </c>
      <c r="H322">
        <v>10</v>
      </c>
      <c r="I322">
        <v>1500</v>
      </c>
      <c r="J322">
        <v>10626</v>
      </c>
      <c r="K322" t="s">
        <v>746</v>
      </c>
      <c r="M322">
        <v>1</v>
      </c>
      <c r="N322">
        <v>1240.6099999999999</v>
      </c>
      <c r="O322" t="s">
        <v>1463</v>
      </c>
      <c r="P322">
        <v>37.880000000000003</v>
      </c>
      <c r="R322">
        <v>1240.6099999999999</v>
      </c>
      <c r="S322">
        <v>1186.92</v>
      </c>
      <c r="T322">
        <v>15.54</v>
      </c>
      <c r="U322">
        <v>0.27</v>
      </c>
      <c r="V322">
        <v>4</v>
      </c>
      <c r="W322" t="s">
        <v>1519</v>
      </c>
      <c r="X322" t="s">
        <v>920</v>
      </c>
      <c r="Y322" t="s">
        <v>38</v>
      </c>
      <c r="Z322" t="s">
        <v>748</v>
      </c>
    </row>
    <row r="323" spans="1:26" x14ac:dyDescent="0.25">
      <c r="A323">
        <v>52</v>
      </c>
      <c r="B323" t="s">
        <v>921</v>
      </c>
      <c r="C323" t="s">
        <v>1465</v>
      </c>
      <c r="D323" t="s">
        <v>1357</v>
      </c>
      <c r="E323" t="s">
        <v>744</v>
      </c>
      <c r="F323" t="s">
        <v>77</v>
      </c>
      <c r="G323" t="s">
        <v>754</v>
      </c>
      <c r="H323">
        <v>12</v>
      </c>
      <c r="I323">
        <v>1500</v>
      </c>
      <c r="J323">
        <v>12000</v>
      </c>
      <c r="K323" t="s">
        <v>746</v>
      </c>
      <c r="M323">
        <v>1</v>
      </c>
      <c r="N323">
        <v>1695.6</v>
      </c>
      <c r="O323" t="s">
        <v>39</v>
      </c>
      <c r="P323">
        <v>1492.14</v>
      </c>
      <c r="Q323">
        <v>1695.6</v>
      </c>
      <c r="S323">
        <v>169.54</v>
      </c>
      <c r="T323">
        <v>23.48</v>
      </c>
      <c r="U323">
        <v>10.44</v>
      </c>
      <c r="V323">
        <v>4</v>
      </c>
      <c r="W323" t="s">
        <v>1519</v>
      </c>
      <c r="X323" t="s">
        <v>920</v>
      </c>
      <c r="Y323" t="s">
        <v>38</v>
      </c>
      <c r="Z323" t="s">
        <v>748</v>
      </c>
    </row>
    <row r="324" spans="1:26" x14ac:dyDescent="0.25">
      <c r="A324">
        <v>53</v>
      </c>
      <c r="B324" t="s">
        <v>921</v>
      </c>
      <c r="C324" t="s">
        <v>1467</v>
      </c>
      <c r="D324" t="s">
        <v>1357</v>
      </c>
      <c r="E324" t="s">
        <v>744</v>
      </c>
      <c r="F324" t="s">
        <v>77</v>
      </c>
      <c r="G324" t="s">
        <v>754</v>
      </c>
      <c r="H324">
        <v>12</v>
      </c>
      <c r="I324">
        <v>1500</v>
      </c>
      <c r="J324">
        <v>12000</v>
      </c>
      <c r="K324" t="s">
        <v>746</v>
      </c>
      <c r="M324">
        <v>1</v>
      </c>
      <c r="N324">
        <v>1695.6</v>
      </c>
      <c r="O324" t="s">
        <v>39</v>
      </c>
      <c r="P324">
        <v>1491.23</v>
      </c>
      <c r="Q324">
        <v>1695.6</v>
      </c>
      <c r="S324">
        <v>169.55</v>
      </c>
      <c r="T324">
        <v>24.38</v>
      </c>
      <c r="U324">
        <v>10.44</v>
      </c>
      <c r="V324">
        <v>4</v>
      </c>
      <c r="W324" t="s">
        <v>1519</v>
      </c>
      <c r="X324" t="s">
        <v>920</v>
      </c>
      <c r="Y324" t="s">
        <v>38</v>
      </c>
      <c r="Z324" t="s">
        <v>748</v>
      </c>
    </row>
    <row r="325" spans="1:26" x14ac:dyDescent="0.25">
      <c r="A325">
        <v>54</v>
      </c>
      <c r="B325" t="s">
        <v>921</v>
      </c>
      <c r="C325" t="s">
        <v>1469</v>
      </c>
      <c r="D325" t="s">
        <v>1357</v>
      </c>
      <c r="E325" t="s">
        <v>744</v>
      </c>
      <c r="F325" t="s">
        <v>77</v>
      </c>
      <c r="G325" t="s">
        <v>754</v>
      </c>
      <c r="H325">
        <v>12</v>
      </c>
      <c r="I325">
        <v>1500</v>
      </c>
      <c r="J325">
        <v>12000</v>
      </c>
      <c r="K325" t="s">
        <v>746</v>
      </c>
      <c r="M325">
        <v>1</v>
      </c>
      <c r="N325">
        <v>1695.6</v>
      </c>
      <c r="O325" t="s">
        <v>39</v>
      </c>
      <c r="P325">
        <v>940.39</v>
      </c>
      <c r="Q325">
        <v>1695.6</v>
      </c>
      <c r="S325">
        <v>728.5</v>
      </c>
      <c r="T325">
        <v>20.13</v>
      </c>
      <c r="U325">
        <v>6.58</v>
      </c>
      <c r="V325">
        <v>4</v>
      </c>
      <c r="W325" t="s">
        <v>1519</v>
      </c>
      <c r="X325" t="s">
        <v>920</v>
      </c>
      <c r="Y325" t="s">
        <v>38</v>
      </c>
      <c r="Z325" t="s">
        <v>748</v>
      </c>
    </row>
    <row r="326" spans="1:26" x14ac:dyDescent="0.25">
      <c r="A326">
        <v>55</v>
      </c>
      <c r="B326" t="s">
        <v>921</v>
      </c>
      <c r="C326" t="s">
        <v>1471</v>
      </c>
      <c r="D326" t="s">
        <v>1357</v>
      </c>
      <c r="E326" t="s">
        <v>744</v>
      </c>
      <c r="F326" t="s">
        <v>77</v>
      </c>
      <c r="G326" t="s">
        <v>754</v>
      </c>
      <c r="H326">
        <v>12</v>
      </c>
      <c r="I326">
        <v>1500</v>
      </c>
      <c r="J326">
        <v>12000</v>
      </c>
      <c r="K326" t="s">
        <v>746</v>
      </c>
      <c r="M326">
        <v>1</v>
      </c>
      <c r="N326">
        <v>1695.6</v>
      </c>
      <c r="O326" t="s">
        <v>39</v>
      </c>
      <c r="P326">
        <v>1491.18</v>
      </c>
      <c r="Q326">
        <v>1695.6</v>
      </c>
      <c r="S326">
        <v>169.56</v>
      </c>
      <c r="T326">
        <v>24.42</v>
      </c>
      <c r="U326">
        <v>10.44</v>
      </c>
      <c r="V326">
        <v>4</v>
      </c>
      <c r="W326" t="s">
        <v>1519</v>
      </c>
      <c r="X326" t="s">
        <v>920</v>
      </c>
      <c r="Y326" t="s">
        <v>38</v>
      </c>
      <c r="Z326" t="s">
        <v>748</v>
      </c>
    </row>
    <row r="327" spans="1:26" x14ac:dyDescent="0.25">
      <c r="A327">
        <v>56</v>
      </c>
      <c r="B327" t="s">
        <v>921</v>
      </c>
      <c r="C327" t="s">
        <v>1473</v>
      </c>
      <c r="D327" t="s">
        <v>1357</v>
      </c>
      <c r="E327" t="s">
        <v>744</v>
      </c>
      <c r="F327" t="s">
        <v>77</v>
      </c>
      <c r="G327" t="s">
        <v>754</v>
      </c>
      <c r="H327">
        <v>12</v>
      </c>
      <c r="I327">
        <v>1500</v>
      </c>
      <c r="J327">
        <v>12000</v>
      </c>
      <c r="K327" t="s">
        <v>746</v>
      </c>
      <c r="M327">
        <v>1</v>
      </c>
      <c r="N327">
        <v>1695.6</v>
      </c>
      <c r="O327" t="s">
        <v>39</v>
      </c>
      <c r="P327">
        <v>1491</v>
      </c>
      <c r="Q327">
        <v>1695.6</v>
      </c>
      <c r="S327">
        <v>169.56</v>
      </c>
      <c r="T327">
        <v>24.6</v>
      </c>
      <c r="U327">
        <v>10.44</v>
      </c>
      <c r="V327">
        <v>4</v>
      </c>
      <c r="W327" t="s">
        <v>1519</v>
      </c>
      <c r="X327" t="s">
        <v>920</v>
      </c>
      <c r="Y327" t="s">
        <v>38</v>
      </c>
      <c r="Z327" t="s">
        <v>748</v>
      </c>
    </row>
    <row r="328" spans="1:26" x14ac:dyDescent="0.25">
      <c r="A328">
        <v>57</v>
      </c>
      <c r="B328" t="s">
        <v>921</v>
      </c>
      <c r="C328" t="s">
        <v>1475</v>
      </c>
      <c r="D328" t="s">
        <v>1357</v>
      </c>
      <c r="E328" t="s">
        <v>744</v>
      </c>
      <c r="F328" t="s">
        <v>77</v>
      </c>
      <c r="G328" t="s">
        <v>754</v>
      </c>
      <c r="H328">
        <v>12</v>
      </c>
      <c r="I328">
        <v>1500</v>
      </c>
      <c r="J328">
        <v>12000</v>
      </c>
      <c r="K328" t="s">
        <v>746</v>
      </c>
      <c r="M328">
        <v>1</v>
      </c>
      <c r="N328">
        <v>1695.6</v>
      </c>
      <c r="O328" t="s">
        <v>39</v>
      </c>
      <c r="P328">
        <v>313.51</v>
      </c>
      <c r="Q328">
        <v>1695.6</v>
      </c>
      <c r="S328">
        <v>1373.29</v>
      </c>
      <c r="T328">
        <v>6.61</v>
      </c>
      <c r="U328">
        <v>2.19</v>
      </c>
      <c r="V328">
        <v>4</v>
      </c>
      <c r="W328" t="s">
        <v>1519</v>
      </c>
      <c r="X328" t="s">
        <v>920</v>
      </c>
      <c r="Y328" t="s">
        <v>38</v>
      </c>
      <c r="Z328" t="s">
        <v>748</v>
      </c>
    </row>
    <row r="329" spans="1:26" x14ac:dyDescent="0.25">
      <c r="A329">
        <v>58</v>
      </c>
      <c r="B329" t="s">
        <v>921</v>
      </c>
      <c r="C329" t="s">
        <v>1477</v>
      </c>
      <c r="D329" t="s">
        <v>1357</v>
      </c>
      <c r="E329" t="s">
        <v>744</v>
      </c>
      <c r="F329" t="s">
        <v>77</v>
      </c>
      <c r="G329" t="s">
        <v>755</v>
      </c>
      <c r="H329">
        <v>16</v>
      </c>
      <c r="I329">
        <v>2000</v>
      </c>
      <c r="J329">
        <v>12000</v>
      </c>
      <c r="K329" t="s">
        <v>746</v>
      </c>
      <c r="M329">
        <v>1</v>
      </c>
      <c r="N329">
        <v>3014.4</v>
      </c>
      <c r="O329" t="s">
        <v>39</v>
      </c>
      <c r="P329">
        <v>2873.98</v>
      </c>
      <c r="Q329">
        <v>3014.4</v>
      </c>
      <c r="T329">
        <v>120.3</v>
      </c>
      <c r="U329">
        <v>20.12</v>
      </c>
      <c r="V329">
        <v>4</v>
      </c>
      <c r="W329" t="s">
        <v>1519</v>
      </c>
      <c r="X329" t="s">
        <v>920</v>
      </c>
      <c r="Y329" t="s">
        <v>38</v>
      </c>
      <c r="Z329" t="s">
        <v>748</v>
      </c>
    </row>
    <row r="330" spans="1:26" x14ac:dyDescent="0.25">
      <c r="A330">
        <v>59</v>
      </c>
      <c r="B330" t="s">
        <v>921</v>
      </c>
      <c r="C330" t="s">
        <v>1479</v>
      </c>
      <c r="D330" t="s">
        <v>1357</v>
      </c>
      <c r="E330" t="s">
        <v>744</v>
      </c>
      <c r="F330" t="s">
        <v>77</v>
      </c>
      <c r="G330" t="s">
        <v>755</v>
      </c>
      <c r="H330">
        <v>16</v>
      </c>
      <c r="I330">
        <v>2000</v>
      </c>
      <c r="J330">
        <v>12000</v>
      </c>
      <c r="K330" t="s">
        <v>746</v>
      </c>
      <c r="M330">
        <v>1</v>
      </c>
      <c r="N330">
        <v>3014.4</v>
      </c>
      <c r="O330" t="s">
        <v>39</v>
      </c>
      <c r="P330">
        <v>2899.83</v>
      </c>
      <c r="Q330">
        <v>3014.4</v>
      </c>
      <c r="T330">
        <v>94.27</v>
      </c>
      <c r="U330">
        <v>20.3</v>
      </c>
      <c r="V330">
        <v>4</v>
      </c>
      <c r="W330" t="s">
        <v>1519</v>
      </c>
      <c r="X330" t="s">
        <v>920</v>
      </c>
      <c r="Y330" t="s">
        <v>38</v>
      </c>
      <c r="Z330" t="s">
        <v>748</v>
      </c>
    </row>
    <row r="331" spans="1:26" x14ac:dyDescent="0.25">
      <c r="A331">
        <v>60</v>
      </c>
      <c r="B331" t="s">
        <v>921</v>
      </c>
      <c r="C331" t="s">
        <v>1481</v>
      </c>
      <c r="D331" t="s">
        <v>1357</v>
      </c>
      <c r="E331" t="s">
        <v>744</v>
      </c>
      <c r="F331" t="s">
        <v>77</v>
      </c>
      <c r="G331" t="s">
        <v>755</v>
      </c>
      <c r="H331">
        <v>16</v>
      </c>
      <c r="I331">
        <v>2000</v>
      </c>
      <c r="J331">
        <v>12000</v>
      </c>
      <c r="K331" t="s">
        <v>746</v>
      </c>
      <c r="M331">
        <v>1</v>
      </c>
      <c r="N331">
        <v>1244.81</v>
      </c>
      <c r="O331" t="s">
        <v>1482</v>
      </c>
      <c r="P331">
        <v>275.22000000000003</v>
      </c>
      <c r="R331">
        <v>1244.81</v>
      </c>
      <c r="S331">
        <v>910.98</v>
      </c>
      <c r="T331">
        <v>56.68</v>
      </c>
      <c r="U331">
        <v>1.93</v>
      </c>
      <c r="V331">
        <v>4</v>
      </c>
      <c r="W331" t="s">
        <v>1519</v>
      </c>
      <c r="X331" t="s">
        <v>920</v>
      </c>
      <c r="Y331" t="s">
        <v>38</v>
      </c>
      <c r="Z331" t="s">
        <v>748</v>
      </c>
    </row>
    <row r="332" spans="1:26" x14ac:dyDescent="0.25">
      <c r="A332">
        <v>61</v>
      </c>
      <c r="B332" t="s">
        <v>921</v>
      </c>
      <c r="C332" t="s">
        <v>1484</v>
      </c>
      <c r="D332" t="s">
        <v>1357</v>
      </c>
      <c r="E332" t="s">
        <v>744</v>
      </c>
      <c r="F332" t="s">
        <v>77</v>
      </c>
      <c r="G332" t="s">
        <v>755</v>
      </c>
      <c r="H332">
        <v>16</v>
      </c>
      <c r="I332">
        <v>2000</v>
      </c>
      <c r="J332">
        <v>12000</v>
      </c>
      <c r="K332" t="s">
        <v>746</v>
      </c>
      <c r="M332">
        <v>1</v>
      </c>
      <c r="N332">
        <v>3014.4</v>
      </c>
      <c r="O332" t="s">
        <v>39</v>
      </c>
      <c r="P332">
        <v>275.05</v>
      </c>
      <c r="Q332">
        <v>3014.4</v>
      </c>
      <c r="S332">
        <v>2720.33</v>
      </c>
      <c r="T332">
        <v>17.09</v>
      </c>
      <c r="U332">
        <v>1.93</v>
      </c>
      <c r="V332">
        <v>4</v>
      </c>
      <c r="W332" t="s">
        <v>1519</v>
      </c>
      <c r="X332" t="s">
        <v>920</v>
      </c>
      <c r="Y332" t="s">
        <v>38</v>
      </c>
      <c r="Z332" t="s">
        <v>748</v>
      </c>
    </row>
    <row r="333" spans="1:26" x14ac:dyDescent="0.25">
      <c r="A333">
        <v>62</v>
      </c>
      <c r="B333" t="s">
        <v>921</v>
      </c>
      <c r="C333" t="s">
        <v>1486</v>
      </c>
      <c r="D333" t="s">
        <v>1357</v>
      </c>
      <c r="E333" t="s">
        <v>744</v>
      </c>
      <c r="F333" t="s">
        <v>77</v>
      </c>
      <c r="G333" t="s">
        <v>756</v>
      </c>
      <c r="H333">
        <v>20</v>
      </c>
      <c r="I333">
        <v>2000</v>
      </c>
      <c r="J333">
        <v>12000</v>
      </c>
      <c r="K333" t="s">
        <v>746</v>
      </c>
      <c r="M333">
        <v>1</v>
      </c>
      <c r="N333">
        <v>3768</v>
      </c>
      <c r="O333" t="s">
        <v>39</v>
      </c>
      <c r="P333">
        <v>3005.2</v>
      </c>
      <c r="Q333">
        <v>3768</v>
      </c>
      <c r="S333">
        <v>371.41</v>
      </c>
      <c r="T333">
        <v>370.35</v>
      </c>
      <c r="U333">
        <v>21.04</v>
      </c>
      <c r="V333">
        <v>4</v>
      </c>
      <c r="W333" t="s">
        <v>1519</v>
      </c>
      <c r="X333" t="s">
        <v>920</v>
      </c>
      <c r="Y333" t="s">
        <v>38</v>
      </c>
      <c r="Z333" t="s">
        <v>748</v>
      </c>
    </row>
    <row r="334" spans="1:26" x14ac:dyDescent="0.25">
      <c r="A334">
        <v>63</v>
      </c>
      <c r="B334" t="s">
        <v>921</v>
      </c>
      <c r="C334" t="s">
        <v>1489</v>
      </c>
      <c r="D334" t="s">
        <v>1357</v>
      </c>
      <c r="E334" t="s">
        <v>744</v>
      </c>
      <c r="F334" t="s">
        <v>77</v>
      </c>
      <c r="G334" t="s">
        <v>1523</v>
      </c>
      <c r="H334">
        <v>20</v>
      </c>
      <c r="I334">
        <v>607</v>
      </c>
      <c r="J334">
        <v>2000</v>
      </c>
      <c r="K334" t="s">
        <v>746</v>
      </c>
      <c r="M334">
        <v>1</v>
      </c>
      <c r="N334">
        <v>190.54</v>
      </c>
      <c r="O334" t="s">
        <v>1490</v>
      </c>
      <c r="P334">
        <v>156.96</v>
      </c>
      <c r="R334">
        <v>190.54</v>
      </c>
      <c r="T334">
        <v>32.479999999999997</v>
      </c>
      <c r="U334">
        <v>1.1000000000000001</v>
      </c>
      <c r="V334">
        <v>4</v>
      </c>
      <c r="W334" t="s">
        <v>1519</v>
      </c>
      <c r="X334" t="s">
        <v>920</v>
      </c>
      <c r="Y334" t="s">
        <v>38</v>
      </c>
      <c r="Z334" t="s">
        <v>748</v>
      </c>
    </row>
    <row r="335" spans="1:26" x14ac:dyDescent="0.25">
      <c r="A335">
        <v>64</v>
      </c>
      <c r="B335" t="s">
        <v>921</v>
      </c>
      <c r="C335" t="s">
        <v>1493</v>
      </c>
      <c r="D335" t="s">
        <v>1357</v>
      </c>
      <c r="E335" t="s">
        <v>744</v>
      </c>
      <c r="F335" t="s">
        <v>77</v>
      </c>
      <c r="G335" t="s">
        <v>1524</v>
      </c>
      <c r="H335">
        <v>20</v>
      </c>
      <c r="I335">
        <v>348</v>
      </c>
      <c r="J335">
        <v>1544</v>
      </c>
      <c r="K335" t="s">
        <v>746</v>
      </c>
      <c r="M335">
        <v>1</v>
      </c>
      <c r="N335">
        <v>84.26</v>
      </c>
      <c r="O335" t="s">
        <v>1494</v>
      </c>
      <c r="P335">
        <v>66.849999999999994</v>
      </c>
      <c r="R335">
        <v>84.26</v>
      </c>
      <c r="T335">
        <v>16.940000000000001</v>
      </c>
      <c r="U335">
        <v>0.47</v>
      </c>
      <c r="V335">
        <v>4</v>
      </c>
      <c r="W335" t="s">
        <v>1519</v>
      </c>
      <c r="X335" t="s">
        <v>920</v>
      </c>
      <c r="Y335" t="s">
        <v>38</v>
      </c>
      <c r="Z335" t="s">
        <v>748</v>
      </c>
    </row>
    <row r="336" spans="1:26" x14ac:dyDescent="0.25">
      <c r="A336">
        <v>65</v>
      </c>
      <c r="B336" t="s">
        <v>921</v>
      </c>
      <c r="C336" t="s">
        <v>1496</v>
      </c>
      <c r="D336" t="s">
        <v>1357</v>
      </c>
      <c r="E336" t="s">
        <v>744</v>
      </c>
      <c r="F336" t="s">
        <v>77</v>
      </c>
      <c r="G336" t="s">
        <v>757</v>
      </c>
      <c r="H336">
        <v>25</v>
      </c>
      <c r="I336">
        <v>2000</v>
      </c>
      <c r="J336">
        <v>12000</v>
      </c>
      <c r="K336" t="s">
        <v>746</v>
      </c>
      <c r="M336">
        <v>1</v>
      </c>
      <c r="N336">
        <v>4710</v>
      </c>
      <c r="O336" t="s">
        <v>1283</v>
      </c>
      <c r="P336">
        <v>1779.88</v>
      </c>
      <c r="R336">
        <v>4710</v>
      </c>
      <c r="S336">
        <v>2653.21</v>
      </c>
      <c r="T336">
        <v>264.45</v>
      </c>
      <c r="U336">
        <v>12.46</v>
      </c>
      <c r="V336">
        <v>4</v>
      </c>
      <c r="W336" t="s">
        <v>1519</v>
      </c>
      <c r="X336" t="s">
        <v>920</v>
      </c>
      <c r="Y336" t="s">
        <v>38</v>
      </c>
      <c r="Z336" t="s">
        <v>748</v>
      </c>
    </row>
    <row r="337" spans="1:26" x14ac:dyDescent="0.25">
      <c r="A337">
        <v>66</v>
      </c>
      <c r="B337" t="s">
        <v>921</v>
      </c>
      <c r="C337" t="s">
        <v>1499</v>
      </c>
      <c r="D337" t="s">
        <v>1357</v>
      </c>
      <c r="E337" t="s">
        <v>744</v>
      </c>
      <c r="F337" t="s">
        <v>77</v>
      </c>
      <c r="G337" t="s">
        <v>1525</v>
      </c>
      <c r="H337">
        <v>25</v>
      </c>
      <c r="I337">
        <v>2000</v>
      </c>
      <c r="J337">
        <v>2139</v>
      </c>
      <c r="K337" t="s">
        <v>746</v>
      </c>
      <c r="M337">
        <v>1</v>
      </c>
      <c r="N337">
        <v>813.1</v>
      </c>
      <c r="O337" t="s">
        <v>1500</v>
      </c>
      <c r="P337">
        <v>741.86</v>
      </c>
      <c r="R337">
        <v>813.1</v>
      </c>
      <c r="T337">
        <v>66.05</v>
      </c>
      <c r="U337">
        <v>5.19</v>
      </c>
      <c r="V337">
        <v>4</v>
      </c>
      <c r="W337" t="s">
        <v>1519</v>
      </c>
      <c r="X337" t="s">
        <v>920</v>
      </c>
      <c r="Y337" t="s">
        <v>38</v>
      </c>
      <c r="Z337" t="s">
        <v>748</v>
      </c>
    </row>
    <row r="338" spans="1:26" x14ac:dyDescent="0.25">
      <c r="A338">
        <v>67</v>
      </c>
      <c r="B338" t="s">
        <v>921</v>
      </c>
      <c r="C338" t="s">
        <v>1503</v>
      </c>
      <c r="D338" t="s">
        <v>1357</v>
      </c>
      <c r="E338" t="s">
        <v>744</v>
      </c>
      <c r="F338" t="s">
        <v>77</v>
      </c>
      <c r="G338" t="s">
        <v>1526</v>
      </c>
      <c r="H338">
        <v>30</v>
      </c>
      <c r="I338">
        <v>1092</v>
      </c>
      <c r="J338">
        <v>2000</v>
      </c>
      <c r="K338" t="s">
        <v>746</v>
      </c>
      <c r="M338">
        <v>1</v>
      </c>
      <c r="N338">
        <v>482.39</v>
      </c>
      <c r="O338" t="s">
        <v>1504</v>
      </c>
      <c r="P338">
        <v>409.42</v>
      </c>
      <c r="R338">
        <v>482.39</v>
      </c>
      <c r="T338">
        <v>70.099999999999994</v>
      </c>
      <c r="U338">
        <v>2.87</v>
      </c>
      <c r="V338">
        <v>4</v>
      </c>
      <c r="W338" t="s">
        <v>1519</v>
      </c>
      <c r="X338" t="s">
        <v>920</v>
      </c>
      <c r="Y338" t="s">
        <v>38</v>
      </c>
      <c r="Z338" t="s">
        <v>748</v>
      </c>
    </row>
    <row r="339" spans="1:26" x14ac:dyDescent="0.25">
      <c r="A339">
        <v>68</v>
      </c>
      <c r="B339" t="s">
        <v>921</v>
      </c>
      <c r="C339" t="s">
        <v>1506</v>
      </c>
      <c r="D339" t="s">
        <v>1357</v>
      </c>
      <c r="E339" t="s">
        <v>744</v>
      </c>
      <c r="F339" t="s">
        <v>77</v>
      </c>
      <c r="G339" t="s">
        <v>758</v>
      </c>
      <c r="H339">
        <v>30</v>
      </c>
      <c r="I339">
        <v>2000</v>
      </c>
      <c r="J339">
        <v>12000</v>
      </c>
      <c r="K339" t="s">
        <v>746</v>
      </c>
      <c r="M339">
        <v>1</v>
      </c>
      <c r="N339">
        <v>5652</v>
      </c>
      <c r="O339" t="s">
        <v>39</v>
      </c>
      <c r="P339">
        <v>1042.27</v>
      </c>
      <c r="Q339">
        <v>5652</v>
      </c>
      <c r="S339">
        <v>4428.91</v>
      </c>
      <c r="T339">
        <v>173.52</v>
      </c>
      <c r="U339">
        <v>7.3</v>
      </c>
      <c r="V339">
        <v>4</v>
      </c>
      <c r="W339" t="s">
        <v>1519</v>
      </c>
      <c r="X339" t="s">
        <v>920</v>
      </c>
      <c r="Y339" t="s">
        <v>38</v>
      </c>
      <c r="Z339" t="s">
        <v>748</v>
      </c>
    </row>
    <row r="340" spans="1:26" x14ac:dyDescent="0.25">
      <c r="A340">
        <v>69</v>
      </c>
      <c r="B340" t="s">
        <v>921</v>
      </c>
      <c r="C340" t="s">
        <v>1509</v>
      </c>
      <c r="D340" t="s">
        <v>1357</v>
      </c>
      <c r="E340" t="s">
        <v>744</v>
      </c>
      <c r="F340" t="s">
        <v>700</v>
      </c>
      <c r="G340" t="s">
        <v>1527</v>
      </c>
      <c r="H340">
        <v>60</v>
      </c>
      <c r="I340">
        <v>357</v>
      </c>
      <c r="J340">
        <v>11550</v>
      </c>
      <c r="K340" t="s">
        <v>746</v>
      </c>
      <c r="M340">
        <v>1</v>
      </c>
      <c r="N340">
        <v>732.5</v>
      </c>
      <c r="O340" t="s">
        <v>1510</v>
      </c>
      <c r="P340">
        <v>296.07</v>
      </c>
      <c r="R340">
        <v>732.5</v>
      </c>
      <c r="S340">
        <v>258.26</v>
      </c>
      <c r="T340">
        <v>176.1</v>
      </c>
      <c r="U340">
        <v>2.0699999999999998</v>
      </c>
      <c r="V340">
        <v>4</v>
      </c>
      <c r="W340" t="s">
        <v>1519</v>
      </c>
      <c r="X340" t="s">
        <v>920</v>
      </c>
      <c r="Y340" t="s">
        <v>38</v>
      </c>
      <c r="Z340" t="s">
        <v>748</v>
      </c>
    </row>
    <row r="341" spans="1:26" x14ac:dyDescent="0.25">
      <c r="A341">
        <v>70</v>
      </c>
      <c r="B341" t="s">
        <v>921</v>
      </c>
      <c r="C341" t="s">
        <v>1512</v>
      </c>
      <c r="D341" t="s">
        <v>1357</v>
      </c>
      <c r="E341" t="s">
        <v>744</v>
      </c>
      <c r="F341" t="s">
        <v>700</v>
      </c>
      <c r="G341" t="s">
        <v>1094</v>
      </c>
      <c r="H341">
        <v>60</v>
      </c>
      <c r="I341">
        <v>432</v>
      </c>
      <c r="J341">
        <v>12000</v>
      </c>
      <c r="K341" t="s">
        <v>746</v>
      </c>
      <c r="M341">
        <v>1</v>
      </c>
      <c r="N341">
        <v>2441.66</v>
      </c>
      <c r="O341" t="s">
        <v>1513</v>
      </c>
      <c r="P341">
        <v>1776.15</v>
      </c>
      <c r="R341">
        <v>2441.66</v>
      </c>
      <c r="T341">
        <v>653.08000000000004</v>
      </c>
      <c r="U341">
        <v>12.43</v>
      </c>
      <c r="V341">
        <v>4</v>
      </c>
      <c r="W341" t="s">
        <v>1519</v>
      </c>
      <c r="X341" t="s">
        <v>920</v>
      </c>
      <c r="Y341" t="s">
        <v>38</v>
      </c>
      <c r="Z341" t="s">
        <v>748</v>
      </c>
    </row>
    <row r="342" spans="1:26" x14ac:dyDescent="0.25">
      <c r="A342">
        <v>71</v>
      </c>
      <c r="B342" t="s">
        <v>921</v>
      </c>
      <c r="C342" t="s">
        <v>1516</v>
      </c>
      <c r="D342" t="s">
        <v>1357</v>
      </c>
      <c r="E342" t="s">
        <v>744</v>
      </c>
      <c r="F342" t="s">
        <v>700</v>
      </c>
      <c r="G342" t="s">
        <v>1528</v>
      </c>
      <c r="H342">
        <v>60</v>
      </c>
      <c r="I342">
        <v>232</v>
      </c>
      <c r="J342">
        <v>12000</v>
      </c>
      <c r="K342" t="s">
        <v>746</v>
      </c>
      <c r="M342">
        <v>1</v>
      </c>
      <c r="N342">
        <v>1311.26</v>
      </c>
      <c r="O342" t="s">
        <v>1517</v>
      </c>
      <c r="P342">
        <v>464.6</v>
      </c>
      <c r="R342">
        <v>1311.26</v>
      </c>
      <c r="S342">
        <v>774.8</v>
      </c>
      <c r="T342">
        <v>68.61</v>
      </c>
      <c r="U342">
        <v>3.25</v>
      </c>
      <c r="V342">
        <v>4</v>
      </c>
      <c r="W342" t="s">
        <v>1519</v>
      </c>
      <c r="X342" t="s">
        <v>920</v>
      </c>
      <c r="Y342" t="s">
        <v>38</v>
      </c>
      <c r="Z342" t="s">
        <v>748</v>
      </c>
    </row>
  </sheetData>
  <autoFilter ref="A4:Z342" xr:uid="{C1CEFEEF-C7D5-4DF4-A5B9-52DC425463AC}">
    <filterColumn colId="21">
      <filters>
        <filter val="4"/>
      </filters>
    </filterColumn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CD664-A184-425B-B24F-86B60DC2408E}">
  <sheetPr filterMode="1"/>
  <dimension ref="A1:Q350"/>
  <sheetViews>
    <sheetView workbookViewId="0">
      <pane ySplit="12" topLeftCell="A13" activePane="bottomLeft" state="frozenSplit"/>
      <selection pane="bottomLeft"/>
    </sheetView>
  </sheetViews>
  <sheetFormatPr defaultRowHeight="15" x14ac:dyDescent="0.25"/>
  <cols>
    <col min="1" max="1" width="32.140625" bestFit="1" customWidth="1"/>
    <col min="2" max="2" width="5" bestFit="1" customWidth="1"/>
    <col min="3" max="3" width="39" bestFit="1" customWidth="1"/>
    <col min="4" max="4" width="20.140625" bestFit="1" customWidth="1"/>
    <col min="5" max="5" width="19" bestFit="1" customWidth="1"/>
    <col min="6" max="6" width="11.85546875" bestFit="1" customWidth="1"/>
    <col min="7" max="7" width="19.5703125" bestFit="1" customWidth="1"/>
    <col min="8" max="8" width="9.28515625" bestFit="1" customWidth="1"/>
    <col min="9" max="9" width="33.85546875" bestFit="1" customWidth="1"/>
    <col min="10" max="10" width="15.85546875" bestFit="1" customWidth="1"/>
    <col min="11" max="11" width="10.140625" bestFit="1" customWidth="1"/>
    <col min="12" max="12" width="9.5703125" bestFit="1" customWidth="1"/>
    <col min="13" max="13" width="14" bestFit="1" customWidth="1"/>
    <col min="14" max="14" width="10.7109375" bestFit="1" customWidth="1"/>
    <col min="15" max="15" width="9.7109375" bestFit="1" customWidth="1"/>
    <col min="16" max="16" width="27.85546875" bestFit="1" customWidth="1"/>
    <col min="17" max="17" width="5.42578125" bestFit="1" customWidth="1"/>
  </cols>
  <sheetData>
    <row r="1" spans="1:17" x14ac:dyDescent="0.25">
      <c r="A1" s="11" t="s">
        <v>760</v>
      </c>
      <c r="C1" t="str">
        <f>IF(LEN('List chi tiet'!$B$3)=0,"",'List chi tiet'!$B$3)</f>
        <v>TCTN.DNS-26004</v>
      </c>
      <c r="I1" s="11" t="s">
        <v>761</v>
      </c>
      <c r="K1" t="str">
        <f>IF(LEN('List chi tiet'!$B$3)=0,"",'List chi tiet'!$B$3)</f>
        <v>TCTN.DNS-26004</v>
      </c>
      <c r="L1" s="2" t="s">
        <v>762</v>
      </c>
    </row>
    <row r="2" spans="1:17" x14ac:dyDescent="0.25">
      <c r="A2" t="s">
        <v>763</v>
      </c>
      <c r="C2" t="str">
        <f>IF(LEN('List chi tiet'!$B$2)=0,"",'List chi tiet'!$B$2)</f>
        <v>TCTN.DNS.26.004 ĐƯỜNG CAO TỐC VIN</v>
      </c>
      <c r="I2" t="s">
        <v>796</v>
      </c>
      <c r="K2" s="2">
        <f>SUBTOTAL(109, F13:F99999)</f>
        <v>64604.88</v>
      </c>
      <c r="L2" t="s">
        <v>797</v>
      </c>
    </row>
    <row r="3" spans="1:17" x14ac:dyDescent="0.25">
      <c r="A3" t="s">
        <v>764</v>
      </c>
      <c r="C3" t="str">
        <f>IF(LEN($B$4)=0,"",$B$4)</f>
        <v/>
      </c>
      <c r="I3" t="s">
        <v>798</v>
      </c>
      <c r="K3" s="2">
        <f>SUBTOTAL(109, D13:D99999)</f>
        <v>73067.799999999988</v>
      </c>
      <c r="L3" t="s">
        <v>797</v>
      </c>
    </row>
    <row r="4" spans="1:17" x14ac:dyDescent="0.25">
      <c r="A4" t="s">
        <v>765</v>
      </c>
      <c r="I4" t="s">
        <v>799</v>
      </c>
      <c r="K4" s="2">
        <f>SUBTOTAL(109, E13:E99999)</f>
        <v>15458.29</v>
      </c>
      <c r="L4" t="s">
        <v>797</v>
      </c>
    </row>
    <row r="5" spans="1:17" x14ac:dyDescent="0.25">
      <c r="A5" t="s">
        <v>766</v>
      </c>
      <c r="I5" t="s">
        <v>800</v>
      </c>
      <c r="K5" s="2">
        <f>SUBTOTAL(109, G13:G99999)</f>
        <v>19228.019999999997</v>
      </c>
      <c r="L5" t="s">
        <v>797</v>
      </c>
    </row>
    <row r="6" spans="1:17" x14ac:dyDescent="0.25">
      <c r="A6" t="s">
        <v>767</v>
      </c>
      <c r="C6" t="s">
        <v>747</v>
      </c>
      <c r="I6" t="s">
        <v>801</v>
      </c>
      <c r="K6" s="16">
        <f>IF(K2=0,0,K5/K2)</f>
        <v>0.29762488530278203</v>
      </c>
      <c r="L6" t="s">
        <v>802</v>
      </c>
    </row>
    <row r="7" spans="1:17" x14ac:dyDescent="0.25">
      <c r="A7" t="s">
        <v>768</v>
      </c>
      <c r="B7">
        <v>0</v>
      </c>
      <c r="I7" t="s">
        <v>803</v>
      </c>
      <c r="K7" s="2">
        <f>SUBTOTAL(109, I13:I99999)</f>
        <v>452.26000000000005</v>
      </c>
      <c r="L7" t="s">
        <v>797</v>
      </c>
    </row>
    <row r="8" spans="1:17" x14ac:dyDescent="0.25">
      <c r="A8" t="s">
        <v>769</v>
      </c>
      <c r="C8" s="4" t="s">
        <v>37</v>
      </c>
      <c r="I8" t="s">
        <v>804</v>
      </c>
      <c r="K8" s="2">
        <f>SUBTOTAL(109, J13:J99999)</f>
        <v>4244.0899999999992</v>
      </c>
      <c r="L8" t="s">
        <v>797</v>
      </c>
    </row>
    <row r="9" spans="1:17" x14ac:dyDescent="0.25">
      <c r="I9" t="s">
        <v>805</v>
      </c>
      <c r="K9" s="16">
        <f>IF(K2=0,0,K8/K2)</f>
        <v>6.5693025047024303E-2</v>
      </c>
      <c r="L9" t="s">
        <v>802</v>
      </c>
    </row>
    <row r="10" spans="1:17" x14ac:dyDescent="0.25">
      <c r="I10" s="15" t="s">
        <v>806</v>
      </c>
      <c r="K10" s="17">
        <f>IF(K2=0,0,(K7+K8)/K2)</f>
        <v>7.2693425016809865E-2</v>
      </c>
      <c r="L10" t="s">
        <v>802</v>
      </c>
    </row>
    <row r="11" spans="1:17" x14ac:dyDescent="0.25">
      <c r="A11" s="11" t="s">
        <v>770</v>
      </c>
    </row>
    <row r="12" spans="1:17" x14ac:dyDescent="0.25">
      <c r="A12" s="12" t="s">
        <v>4</v>
      </c>
      <c r="B12" s="12" t="s">
        <v>771</v>
      </c>
      <c r="C12" s="12" t="s">
        <v>772</v>
      </c>
      <c r="D12" s="12" t="s">
        <v>773</v>
      </c>
      <c r="E12" s="12" t="s">
        <v>774</v>
      </c>
      <c r="F12" s="12" t="s">
        <v>775</v>
      </c>
      <c r="G12" s="12" t="s">
        <v>776</v>
      </c>
      <c r="H12" s="12" t="s">
        <v>777</v>
      </c>
      <c r="I12" s="12" t="s">
        <v>778</v>
      </c>
      <c r="J12" s="12" t="s">
        <v>779</v>
      </c>
      <c r="K12" s="12" t="s">
        <v>780</v>
      </c>
      <c r="L12" s="12" t="s">
        <v>781</v>
      </c>
      <c r="M12" s="12" t="s">
        <v>782</v>
      </c>
      <c r="N12" s="12" t="s">
        <v>783</v>
      </c>
      <c r="O12" s="12" t="s">
        <v>29</v>
      </c>
      <c r="P12" s="12" t="s">
        <v>784</v>
      </c>
      <c r="Q12" s="12" t="s">
        <v>742</v>
      </c>
    </row>
    <row r="13" spans="1:17" hidden="1" x14ac:dyDescent="0.25">
      <c r="A13" s="5">
        <v>1</v>
      </c>
      <c r="B13" s="5" t="s">
        <v>785</v>
      </c>
      <c r="C13" s="5" t="s">
        <v>36</v>
      </c>
      <c r="D13" s="13">
        <v>81.64</v>
      </c>
      <c r="E13" s="13">
        <v>0</v>
      </c>
      <c r="F13" s="5">
        <v>67.819999999999993</v>
      </c>
      <c r="G13" s="13">
        <v>7.92</v>
      </c>
      <c r="H13" s="14">
        <f t="shared" ref="H13:H44" si="0">IF(D13+E13&gt;0, G13/(D13+E13), 0)</f>
        <v>9.701126898579128E-2</v>
      </c>
      <c r="I13" s="5">
        <f t="shared" ref="I13:I44" si="1">ROUND(F13*0.7/100, 2)</f>
        <v>0.47</v>
      </c>
      <c r="J13" s="5">
        <f t="shared" ref="J13:J44" si="2">MAX(ROUND(D13+E13-F13-G13-I13, 2), 0)</f>
        <v>5.43</v>
      </c>
      <c r="K13" s="14">
        <f t="shared" ref="K13:K44" si="3">IF(D13+E13&gt;0, J13/(D13+E13), 0)</f>
        <v>6.651151396374326E-2</v>
      </c>
      <c r="L13" s="14">
        <f t="shared" ref="L13:L44" si="4">IF(F13&gt;0, J13/F13, 0)</f>
        <v>8.0064877617222058E-2</v>
      </c>
      <c r="M13" s="5" t="s">
        <v>747</v>
      </c>
      <c r="N13" s="5">
        <v>1</v>
      </c>
      <c r="O13" s="5"/>
      <c r="P13" s="5">
        <v>12</v>
      </c>
      <c r="Q13" s="5" t="s">
        <v>38</v>
      </c>
    </row>
    <row r="14" spans="1:17" hidden="1" x14ac:dyDescent="0.25">
      <c r="A14" s="5">
        <v>2</v>
      </c>
      <c r="B14" s="5" t="s">
        <v>785</v>
      </c>
      <c r="C14" s="5" t="s">
        <v>43</v>
      </c>
      <c r="D14" s="13">
        <v>81.64</v>
      </c>
      <c r="E14" s="13">
        <v>0</v>
      </c>
      <c r="F14" s="5">
        <v>81.64</v>
      </c>
      <c r="G14" s="13">
        <v>0</v>
      </c>
      <c r="H14" s="14">
        <f t="shared" si="0"/>
        <v>0</v>
      </c>
      <c r="I14" s="5">
        <f t="shared" si="1"/>
        <v>0.56999999999999995</v>
      </c>
      <c r="J14" s="5">
        <f t="shared" si="2"/>
        <v>0</v>
      </c>
      <c r="K14" s="14">
        <f t="shared" si="3"/>
        <v>0</v>
      </c>
      <c r="L14" s="14">
        <f t="shared" si="4"/>
        <v>0</v>
      </c>
      <c r="M14" s="5" t="s">
        <v>747</v>
      </c>
      <c r="N14" s="5">
        <v>1</v>
      </c>
      <c r="O14" s="5"/>
      <c r="P14" s="5">
        <v>10.6</v>
      </c>
      <c r="Q14" s="5" t="s">
        <v>38</v>
      </c>
    </row>
    <row r="15" spans="1:17" hidden="1" x14ac:dyDescent="0.25">
      <c r="A15" s="5">
        <v>3</v>
      </c>
      <c r="B15" s="5" t="s">
        <v>785</v>
      </c>
      <c r="C15" s="5" t="s">
        <v>46</v>
      </c>
      <c r="D15" s="13">
        <v>81.64</v>
      </c>
      <c r="E15" s="13">
        <v>0</v>
      </c>
      <c r="F15" s="5">
        <v>81.64</v>
      </c>
      <c r="G15" s="13">
        <v>0</v>
      </c>
      <c r="H15" s="14">
        <f t="shared" si="0"/>
        <v>0</v>
      </c>
      <c r="I15" s="5">
        <f t="shared" si="1"/>
        <v>0.56999999999999995</v>
      </c>
      <c r="J15" s="5">
        <f t="shared" si="2"/>
        <v>0</v>
      </c>
      <c r="K15" s="14">
        <f t="shared" si="3"/>
        <v>0</v>
      </c>
      <c r="L15" s="14">
        <f t="shared" si="4"/>
        <v>0</v>
      </c>
      <c r="M15" s="5" t="s">
        <v>747</v>
      </c>
      <c r="N15" s="5">
        <v>1</v>
      </c>
      <c r="O15" s="5"/>
      <c r="P15" s="5">
        <v>10.6</v>
      </c>
      <c r="Q15" s="5" t="s">
        <v>38</v>
      </c>
    </row>
    <row r="16" spans="1:17" hidden="1" x14ac:dyDescent="0.25">
      <c r="A16" s="5">
        <v>4</v>
      </c>
      <c r="B16" s="5" t="s">
        <v>785</v>
      </c>
      <c r="C16" s="5" t="s">
        <v>50</v>
      </c>
      <c r="D16" s="13">
        <v>81.64</v>
      </c>
      <c r="E16" s="13">
        <v>0</v>
      </c>
      <c r="F16" s="5">
        <v>66.569999999999993</v>
      </c>
      <c r="G16" s="13">
        <v>15.07</v>
      </c>
      <c r="H16" s="14">
        <f t="shared" si="0"/>
        <v>0.18459088682018618</v>
      </c>
      <c r="I16" s="5">
        <f t="shared" si="1"/>
        <v>0.47</v>
      </c>
      <c r="J16" s="5">
        <f t="shared" si="2"/>
        <v>0</v>
      </c>
      <c r="K16" s="14">
        <f t="shared" si="3"/>
        <v>0</v>
      </c>
      <c r="L16" s="14">
        <f t="shared" si="4"/>
        <v>0</v>
      </c>
      <c r="M16" s="5" t="s">
        <v>747</v>
      </c>
      <c r="N16" s="5">
        <v>1</v>
      </c>
      <c r="O16" s="5"/>
      <c r="P16" s="5">
        <v>10.6</v>
      </c>
      <c r="Q16" s="5" t="s">
        <v>38</v>
      </c>
    </row>
    <row r="17" spans="1:17" hidden="1" x14ac:dyDescent="0.25">
      <c r="A17" s="5">
        <v>5</v>
      </c>
      <c r="B17" s="5" t="s">
        <v>785</v>
      </c>
      <c r="C17" s="5" t="s">
        <v>53</v>
      </c>
      <c r="D17" s="13">
        <v>81.64</v>
      </c>
      <c r="E17" s="13">
        <v>0</v>
      </c>
      <c r="F17" s="5">
        <v>66.569999999999993</v>
      </c>
      <c r="G17" s="13">
        <v>15.07</v>
      </c>
      <c r="H17" s="14">
        <f t="shared" si="0"/>
        <v>0.18459088682018618</v>
      </c>
      <c r="I17" s="5">
        <f t="shared" si="1"/>
        <v>0.47</v>
      </c>
      <c r="J17" s="5">
        <f t="shared" si="2"/>
        <v>0</v>
      </c>
      <c r="K17" s="14">
        <f t="shared" si="3"/>
        <v>0</v>
      </c>
      <c r="L17" s="14">
        <f t="shared" si="4"/>
        <v>0</v>
      </c>
      <c r="M17" s="5" t="s">
        <v>747</v>
      </c>
      <c r="N17" s="5">
        <v>1</v>
      </c>
      <c r="O17" s="5"/>
      <c r="P17" s="5">
        <v>10.6</v>
      </c>
      <c r="Q17" s="5" t="s">
        <v>38</v>
      </c>
    </row>
    <row r="18" spans="1:17" hidden="1" x14ac:dyDescent="0.25">
      <c r="A18" s="5">
        <v>6</v>
      </c>
      <c r="B18" s="5" t="s">
        <v>785</v>
      </c>
      <c r="C18" s="5" t="s">
        <v>56</v>
      </c>
      <c r="D18" s="13">
        <v>81.64</v>
      </c>
      <c r="E18" s="13">
        <v>0</v>
      </c>
      <c r="F18" s="5">
        <v>66.569999999999993</v>
      </c>
      <c r="G18" s="13">
        <v>15.07</v>
      </c>
      <c r="H18" s="14">
        <f t="shared" si="0"/>
        <v>0.18459088682018618</v>
      </c>
      <c r="I18" s="5">
        <f t="shared" si="1"/>
        <v>0.47</v>
      </c>
      <c r="J18" s="5">
        <f t="shared" si="2"/>
        <v>0</v>
      </c>
      <c r="K18" s="14">
        <f t="shared" si="3"/>
        <v>0</v>
      </c>
      <c r="L18" s="14">
        <f t="shared" si="4"/>
        <v>0</v>
      </c>
      <c r="M18" s="5" t="s">
        <v>747</v>
      </c>
      <c r="N18" s="5">
        <v>1</v>
      </c>
      <c r="O18" s="5"/>
      <c r="P18" s="5">
        <v>10.6</v>
      </c>
      <c r="Q18" s="5" t="s">
        <v>38</v>
      </c>
    </row>
    <row r="19" spans="1:17" hidden="1" x14ac:dyDescent="0.25">
      <c r="A19" s="5">
        <v>7</v>
      </c>
      <c r="B19" s="5" t="s">
        <v>785</v>
      </c>
      <c r="C19" s="5" t="s">
        <v>59</v>
      </c>
      <c r="D19" s="13">
        <v>81.64</v>
      </c>
      <c r="E19" s="13">
        <v>0</v>
      </c>
      <c r="F19" s="5">
        <v>66.569999999999993</v>
      </c>
      <c r="G19" s="13">
        <v>15.07</v>
      </c>
      <c r="H19" s="14">
        <f t="shared" si="0"/>
        <v>0.18459088682018618</v>
      </c>
      <c r="I19" s="5">
        <f t="shared" si="1"/>
        <v>0.47</v>
      </c>
      <c r="J19" s="5">
        <f t="shared" si="2"/>
        <v>0</v>
      </c>
      <c r="K19" s="14">
        <f t="shared" si="3"/>
        <v>0</v>
      </c>
      <c r="L19" s="14">
        <f t="shared" si="4"/>
        <v>0</v>
      </c>
      <c r="M19" s="5" t="s">
        <v>747</v>
      </c>
      <c r="N19" s="5">
        <v>1</v>
      </c>
      <c r="O19" s="5"/>
      <c r="P19" s="5">
        <v>10.6</v>
      </c>
      <c r="Q19" s="5" t="s">
        <v>38</v>
      </c>
    </row>
    <row r="20" spans="1:17" hidden="1" x14ac:dyDescent="0.25">
      <c r="A20" s="5">
        <v>8</v>
      </c>
      <c r="B20" s="5" t="s">
        <v>785</v>
      </c>
      <c r="C20" s="5" t="s">
        <v>63</v>
      </c>
      <c r="D20" s="13">
        <v>81.64</v>
      </c>
      <c r="E20" s="13">
        <v>0</v>
      </c>
      <c r="F20" s="5">
        <v>62.8</v>
      </c>
      <c r="G20" s="13">
        <v>15.07</v>
      </c>
      <c r="H20" s="14">
        <f t="shared" si="0"/>
        <v>0.18459088682018618</v>
      </c>
      <c r="I20" s="5">
        <f t="shared" si="1"/>
        <v>0.44</v>
      </c>
      <c r="J20" s="5">
        <f t="shared" si="2"/>
        <v>3.33</v>
      </c>
      <c r="K20" s="14">
        <f t="shared" si="3"/>
        <v>4.0788829005389514E-2</v>
      </c>
      <c r="L20" s="14">
        <f t="shared" si="4"/>
        <v>5.3025477707006372E-2</v>
      </c>
      <c r="M20" s="5" t="s">
        <v>747</v>
      </c>
      <c r="N20" s="5">
        <v>1</v>
      </c>
      <c r="O20" s="5"/>
      <c r="P20" s="5">
        <v>10.6</v>
      </c>
      <c r="Q20" s="5" t="s">
        <v>38</v>
      </c>
    </row>
    <row r="21" spans="1:17" hidden="1" x14ac:dyDescent="0.25">
      <c r="A21" s="5">
        <v>9</v>
      </c>
      <c r="B21" s="5" t="s">
        <v>785</v>
      </c>
      <c r="C21" s="5" t="s">
        <v>68</v>
      </c>
      <c r="D21" s="13">
        <v>81.64</v>
      </c>
      <c r="E21" s="13">
        <v>0</v>
      </c>
      <c r="F21" s="5">
        <v>19.97</v>
      </c>
      <c r="G21" s="13">
        <v>61.67</v>
      </c>
      <c r="H21" s="14">
        <f t="shared" si="0"/>
        <v>0.75538951494365514</v>
      </c>
      <c r="I21" s="5">
        <f t="shared" si="1"/>
        <v>0.14000000000000001</v>
      </c>
      <c r="J21" s="5">
        <f t="shared" si="2"/>
        <v>0</v>
      </c>
      <c r="K21" s="14">
        <f t="shared" si="3"/>
        <v>0</v>
      </c>
      <c r="L21" s="14">
        <f t="shared" si="4"/>
        <v>0</v>
      </c>
      <c r="M21" s="5" t="s">
        <v>747</v>
      </c>
      <c r="N21" s="5">
        <v>1</v>
      </c>
      <c r="O21" s="5"/>
      <c r="P21" s="5">
        <v>4.5199999999999996</v>
      </c>
      <c r="Q21" s="5" t="s">
        <v>38</v>
      </c>
    </row>
    <row r="22" spans="1:17" hidden="1" x14ac:dyDescent="0.25">
      <c r="A22" s="5">
        <v>10</v>
      </c>
      <c r="B22" s="5" t="s">
        <v>785</v>
      </c>
      <c r="C22" s="5" t="s">
        <v>72</v>
      </c>
      <c r="D22" s="13">
        <v>81.64</v>
      </c>
      <c r="E22" s="13">
        <v>0</v>
      </c>
      <c r="F22" s="5">
        <v>48.23</v>
      </c>
      <c r="G22" s="13">
        <v>32.880000000000003</v>
      </c>
      <c r="H22" s="14">
        <f t="shared" si="0"/>
        <v>0.40274375306222443</v>
      </c>
      <c r="I22" s="5">
        <f t="shared" si="1"/>
        <v>0.34</v>
      </c>
      <c r="J22" s="5">
        <f t="shared" si="2"/>
        <v>0.19</v>
      </c>
      <c r="K22" s="14">
        <f t="shared" si="3"/>
        <v>2.3272905438510533E-3</v>
      </c>
      <c r="L22" s="14">
        <f t="shared" si="4"/>
        <v>3.939456769645449E-3</v>
      </c>
      <c r="M22" s="5" t="s">
        <v>747</v>
      </c>
      <c r="N22" s="5">
        <v>1</v>
      </c>
      <c r="O22" s="5"/>
      <c r="P22" s="5">
        <v>13.72</v>
      </c>
      <c r="Q22" s="5" t="s">
        <v>38</v>
      </c>
    </row>
    <row r="23" spans="1:17" hidden="1" x14ac:dyDescent="0.25">
      <c r="A23" s="5">
        <v>11</v>
      </c>
      <c r="B23" s="5" t="s">
        <v>786</v>
      </c>
      <c r="C23" s="5" t="s">
        <v>80</v>
      </c>
      <c r="D23" s="13">
        <v>353.25</v>
      </c>
      <c r="E23" s="13">
        <v>0</v>
      </c>
      <c r="F23" s="5">
        <v>202.8</v>
      </c>
      <c r="G23" s="13">
        <v>105.98</v>
      </c>
      <c r="H23" s="14">
        <f t="shared" si="0"/>
        <v>0.30001415428167022</v>
      </c>
      <c r="I23" s="5">
        <f t="shared" si="1"/>
        <v>1.42</v>
      </c>
      <c r="J23" s="5">
        <f t="shared" si="2"/>
        <v>43.05</v>
      </c>
      <c r="K23" s="14">
        <f t="shared" si="3"/>
        <v>0.12186836518046708</v>
      </c>
      <c r="L23" s="14">
        <f t="shared" si="4"/>
        <v>0.21227810650887571</v>
      </c>
      <c r="M23" s="5" t="s">
        <v>747</v>
      </c>
      <c r="N23" s="5">
        <v>1</v>
      </c>
      <c r="O23" s="5"/>
      <c r="P23" s="5">
        <v>294.33</v>
      </c>
      <c r="Q23" s="5" t="s">
        <v>38</v>
      </c>
    </row>
    <row r="24" spans="1:17" hidden="1" x14ac:dyDescent="0.25">
      <c r="A24" s="5">
        <v>12</v>
      </c>
      <c r="B24" s="5" t="s">
        <v>787</v>
      </c>
      <c r="C24" s="5" t="s">
        <v>98</v>
      </c>
      <c r="D24" s="13">
        <v>847.8</v>
      </c>
      <c r="E24" s="13">
        <v>0</v>
      </c>
      <c r="F24" s="5">
        <v>717.6</v>
      </c>
      <c r="G24" s="13">
        <v>92.71</v>
      </c>
      <c r="H24" s="14">
        <f t="shared" si="0"/>
        <v>0.10935362113706062</v>
      </c>
      <c r="I24" s="5">
        <f t="shared" si="1"/>
        <v>5.0199999999999996</v>
      </c>
      <c r="J24" s="5">
        <f t="shared" si="2"/>
        <v>32.47</v>
      </c>
      <c r="K24" s="14">
        <f t="shared" si="3"/>
        <v>3.8299127152630341E-2</v>
      </c>
      <c r="L24" s="14">
        <f t="shared" si="4"/>
        <v>4.5248049052396877E-2</v>
      </c>
      <c r="M24" s="5" t="s">
        <v>747</v>
      </c>
      <c r="N24" s="5">
        <v>1</v>
      </c>
      <c r="O24" s="5"/>
      <c r="P24" s="5">
        <v>117.06</v>
      </c>
      <c r="Q24" s="5" t="s">
        <v>38</v>
      </c>
    </row>
    <row r="25" spans="1:17" hidden="1" x14ac:dyDescent="0.25">
      <c r="A25" s="5">
        <v>13</v>
      </c>
      <c r="B25" s="5" t="s">
        <v>787</v>
      </c>
      <c r="C25" s="5" t="s">
        <v>119</v>
      </c>
      <c r="D25" s="13">
        <v>847.8</v>
      </c>
      <c r="E25" s="13">
        <v>0</v>
      </c>
      <c r="F25" s="5">
        <v>727.26</v>
      </c>
      <c r="G25" s="13">
        <v>92.71</v>
      </c>
      <c r="H25" s="14">
        <f t="shared" si="0"/>
        <v>0.10935362113706062</v>
      </c>
      <c r="I25" s="5">
        <f t="shared" si="1"/>
        <v>5.09</v>
      </c>
      <c r="J25" s="5">
        <f t="shared" si="2"/>
        <v>22.74</v>
      </c>
      <c r="K25" s="14">
        <f t="shared" si="3"/>
        <v>2.6822363765038923E-2</v>
      </c>
      <c r="L25" s="14">
        <f t="shared" si="4"/>
        <v>3.1268047190825835E-2</v>
      </c>
      <c r="M25" s="5" t="s">
        <v>747</v>
      </c>
      <c r="N25" s="5">
        <v>1</v>
      </c>
      <c r="O25" s="5"/>
      <c r="P25" s="5">
        <v>118.87</v>
      </c>
      <c r="Q25" s="5" t="s">
        <v>38</v>
      </c>
    </row>
    <row r="26" spans="1:17" hidden="1" x14ac:dyDescent="0.25">
      <c r="A26" s="5">
        <v>14</v>
      </c>
      <c r="B26" s="5" t="s">
        <v>787</v>
      </c>
      <c r="C26" s="5" t="s">
        <v>125</v>
      </c>
      <c r="D26" s="13">
        <v>847.8</v>
      </c>
      <c r="E26" s="13">
        <v>0</v>
      </c>
      <c r="F26" s="5">
        <v>723.2</v>
      </c>
      <c r="G26" s="13">
        <v>92.71</v>
      </c>
      <c r="H26" s="14">
        <f t="shared" si="0"/>
        <v>0.10935362113706062</v>
      </c>
      <c r="I26" s="5">
        <f t="shared" si="1"/>
        <v>5.0599999999999996</v>
      </c>
      <c r="J26" s="5">
        <f t="shared" si="2"/>
        <v>26.83</v>
      </c>
      <c r="K26" s="14">
        <f t="shared" si="3"/>
        <v>3.1646614767633877E-2</v>
      </c>
      <c r="L26" s="14">
        <f t="shared" si="4"/>
        <v>3.7099004424778759E-2</v>
      </c>
      <c r="M26" s="5" t="s">
        <v>747</v>
      </c>
      <c r="N26" s="5">
        <v>1</v>
      </c>
      <c r="O26" s="5"/>
      <c r="P26" s="5">
        <v>119.52</v>
      </c>
      <c r="Q26" s="5" t="s">
        <v>38</v>
      </c>
    </row>
    <row r="27" spans="1:17" hidden="1" x14ac:dyDescent="0.25">
      <c r="A27" s="5">
        <v>15</v>
      </c>
      <c r="B27" s="5" t="s">
        <v>787</v>
      </c>
      <c r="C27" s="5" t="s">
        <v>130</v>
      </c>
      <c r="D27" s="13">
        <v>847.8</v>
      </c>
      <c r="E27" s="13">
        <v>0</v>
      </c>
      <c r="F27" s="5">
        <v>723.1</v>
      </c>
      <c r="G27" s="13">
        <v>93.17</v>
      </c>
      <c r="H27" s="14">
        <f t="shared" si="0"/>
        <v>0.1098962019344185</v>
      </c>
      <c r="I27" s="5">
        <f t="shared" si="1"/>
        <v>5.0599999999999996</v>
      </c>
      <c r="J27" s="5">
        <f t="shared" si="2"/>
        <v>26.47</v>
      </c>
      <c r="K27" s="14">
        <f t="shared" si="3"/>
        <v>3.122198631752772E-2</v>
      </c>
      <c r="L27" s="14">
        <f t="shared" si="4"/>
        <v>3.6606278523025858E-2</v>
      </c>
      <c r="M27" s="5" t="s">
        <v>747</v>
      </c>
      <c r="N27" s="5">
        <v>1</v>
      </c>
      <c r="O27" s="5"/>
      <c r="P27" s="5">
        <v>168.35</v>
      </c>
      <c r="Q27" s="5" t="s">
        <v>38</v>
      </c>
    </row>
    <row r="28" spans="1:17" hidden="1" x14ac:dyDescent="0.25">
      <c r="A28" s="5">
        <v>16</v>
      </c>
      <c r="B28" s="5" t="s">
        <v>787</v>
      </c>
      <c r="C28" s="5" t="s">
        <v>141</v>
      </c>
      <c r="D28" s="13">
        <v>847.8</v>
      </c>
      <c r="E28" s="13">
        <v>0</v>
      </c>
      <c r="F28" s="5">
        <v>722.86</v>
      </c>
      <c r="G28" s="13">
        <v>80.27</v>
      </c>
      <c r="H28" s="14">
        <f t="shared" si="0"/>
        <v>9.4680349138947864E-2</v>
      </c>
      <c r="I28" s="5">
        <f t="shared" si="1"/>
        <v>5.0599999999999996</v>
      </c>
      <c r="J28" s="5">
        <f t="shared" si="2"/>
        <v>39.61</v>
      </c>
      <c r="K28" s="14">
        <f t="shared" si="3"/>
        <v>4.6720924746402458E-2</v>
      </c>
      <c r="L28" s="14">
        <f t="shared" si="4"/>
        <v>5.4796226101873111E-2</v>
      </c>
      <c r="M28" s="5" t="s">
        <v>747</v>
      </c>
      <c r="N28" s="5">
        <v>1</v>
      </c>
      <c r="O28" s="5"/>
      <c r="P28" s="5">
        <v>168.28</v>
      </c>
      <c r="Q28" s="5" t="s">
        <v>38</v>
      </c>
    </row>
    <row r="29" spans="1:17" hidden="1" x14ac:dyDescent="0.25">
      <c r="A29" s="5">
        <v>17</v>
      </c>
      <c r="B29" s="5" t="s">
        <v>787</v>
      </c>
      <c r="C29" s="5" t="s">
        <v>146</v>
      </c>
      <c r="D29" s="13">
        <v>847.8</v>
      </c>
      <c r="E29" s="13">
        <v>0</v>
      </c>
      <c r="F29" s="5">
        <v>722.84</v>
      </c>
      <c r="G29" s="13">
        <v>80.27</v>
      </c>
      <c r="H29" s="14">
        <f t="shared" si="0"/>
        <v>9.4680349138947864E-2</v>
      </c>
      <c r="I29" s="5">
        <f t="shared" si="1"/>
        <v>5.0599999999999996</v>
      </c>
      <c r="J29" s="5">
        <f t="shared" si="2"/>
        <v>39.630000000000003</v>
      </c>
      <c r="K29" s="14">
        <f t="shared" si="3"/>
        <v>4.6744515215852801E-2</v>
      </c>
      <c r="L29" s="14">
        <f t="shared" si="4"/>
        <v>5.4825410879309394E-2</v>
      </c>
      <c r="M29" s="5" t="s">
        <v>747</v>
      </c>
      <c r="N29" s="5">
        <v>1</v>
      </c>
      <c r="O29" s="5"/>
      <c r="P29" s="5">
        <v>168.28</v>
      </c>
      <c r="Q29" s="5" t="s">
        <v>38</v>
      </c>
    </row>
    <row r="30" spans="1:17" hidden="1" x14ac:dyDescent="0.25">
      <c r="A30" s="5">
        <v>18</v>
      </c>
      <c r="B30" s="5" t="s">
        <v>787</v>
      </c>
      <c r="C30" s="5" t="s">
        <v>150</v>
      </c>
      <c r="D30" s="13">
        <v>847.8</v>
      </c>
      <c r="E30" s="13">
        <v>0</v>
      </c>
      <c r="F30" s="5">
        <v>722.69</v>
      </c>
      <c r="G30" s="13">
        <v>94.75</v>
      </c>
      <c r="H30" s="14">
        <f t="shared" si="0"/>
        <v>0.11175984902099552</v>
      </c>
      <c r="I30" s="5">
        <f t="shared" si="1"/>
        <v>5.0599999999999996</v>
      </c>
      <c r="J30" s="5">
        <f t="shared" si="2"/>
        <v>25.3</v>
      </c>
      <c r="K30" s="14">
        <f t="shared" si="3"/>
        <v>2.9841943854682709E-2</v>
      </c>
      <c r="L30" s="14">
        <f t="shared" si="4"/>
        <v>3.5008094757088097E-2</v>
      </c>
      <c r="M30" s="5" t="s">
        <v>747</v>
      </c>
      <c r="N30" s="5">
        <v>1</v>
      </c>
      <c r="O30" s="5"/>
      <c r="P30" s="5">
        <v>168.26</v>
      </c>
      <c r="Q30" s="5" t="s">
        <v>38</v>
      </c>
    </row>
    <row r="31" spans="1:17" hidden="1" x14ac:dyDescent="0.25">
      <c r="A31" s="5">
        <v>19</v>
      </c>
      <c r="B31" s="5" t="s">
        <v>787</v>
      </c>
      <c r="C31" s="5" t="s">
        <v>155</v>
      </c>
      <c r="D31" s="13">
        <v>847.8</v>
      </c>
      <c r="E31" s="13">
        <v>0</v>
      </c>
      <c r="F31" s="5">
        <v>722.67</v>
      </c>
      <c r="G31" s="13">
        <v>93.43</v>
      </c>
      <c r="H31" s="14">
        <f t="shared" si="0"/>
        <v>0.11020287803727295</v>
      </c>
      <c r="I31" s="5">
        <f t="shared" si="1"/>
        <v>5.0599999999999996</v>
      </c>
      <c r="J31" s="5">
        <f t="shared" si="2"/>
        <v>26.64</v>
      </c>
      <c r="K31" s="14">
        <f t="shared" si="3"/>
        <v>3.1422505307855626E-2</v>
      </c>
      <c r="L31" s="14">
        <f t="shared" si="4"/>
        <v>3.6863298601021215E-2</v>
      </c>
      <c r="M31" s="5" t="s">
        <v>747</v>
      </c>
      <c r="N31" s="5">
        <v>1</v>
      </c>
      <c r="O31" s="5"/>
      <c r="P31" s="5">
        <v>168.26</v>
      </c>
      <c r="Q31" s="5" t="s">
        <v>38</v>
      </c>
    </row>
    <row r="32" spans="1:17" hidden="1" x14ac:dyDescent="0.25">
      <c r="A32" s="5">
        <v>20</v>
      </c>
      <c r="B32" s="5" t="s">
        <v>787</v>
      </c>
      <c r="C32" s="5" t="s">
        <v>160</v>
      </c>
      <c r="D32" s="13">
        <v>847.8</v>
      </c>
      <c r="E32" s="13">
        <v>0</v>
      </c>
      <c r="F32" s="5">
        <v>736.28</v>
      </c>
      <c r="G32" s="13">
        <v>80.27</v>
      </c>
      <c r="H32" s="14">
        <f t="shared" si="0"/>
        <v>9.4680349138947864E-2</v>
      </c>
      <c r="I32" s="5">
        <f t="shared" si="1"/>
        <v>5.15</v>
      </c>
      <c r="J32" s="5">
        <f t="shared" si="2"/>
        <v>26.1</v>
      </c>
      <c r="K32" s="14">
        <f t="shared" si="3"/>
        <v>3.0785562632696394E-2</v>
      </c>
      <c r="L32" s="14">
        <f t="shared" si="4"/>
        <v>3.5448470690498182E-2</v>
      </c>
      <c r="M32" s="5" t="s">
        <v>747</v>
      </c>
      <c r="N32" s="5">
        <v>1</v>
      </c>
      <c r="O32" s="5"/>
      <c r="P32" s="5">
        <v>171.25</v>
      </c>
      <c r="Q32" s="5" t="s">
        <v>38</v>
      </c>
    </row>
    <row r="33" spans="1:17" hidden="1" x14ac:dyDescent="0.25">
      <c r="A33" s="5">
        <v>21</v>
      </c>
      <c r="B33" s="5" t="s">
        <v>787</v>
      </c>
      <c r="C33" s="5" t="s">
        <v>169</v>
      </c>
      <c r="D33" s="13">
        <v>847.8</v>
      </c>
      <c r="E33" s="13">
        <v>0</v>
      </c>
      <c r="F33" s="5">
        <v>742.43</v>
      </c>
      <c r="G33" s="13">
        <v>65.959999999999994</v>
      </c>
      <c r="H33" s="14">
        <f t="shared" si="0"/>
        <v>7.7801368247228123E-2</v>
      </c>
      <c r="I33" s="5">
        <f t="shared" si="1"/>
        <v>5.2</v>
      </c>
      <c r="J33" s="5">
        <f t="shared" si="2"/>
        <v>34.21</v>
      </c>
      <c r="K33" s="14">
        <f t="shared" si="3"/>
        <v>4.0351497994810102E-2</v>
      </c>
      <c r="L33" s="14">
        <f t="shared" si="4"/>
        <v>4.6078418167369316E-2</v>
      </c>
      <c r="M33" s="5" t="s">
        <v>747</v>
      </c>
      <c r="N33" s="5">
        <v>1</v>
      </c>
      <c r="O33" s="5"/>
      <c r="P33" s="5">
        <v>181.59</v>
      </c>
      <c r="Q33" s="5" t="s">
        <v>38</v>
      </c>
    </row>
    <row r="34" spans="1:17" hidden="1" x14ac:dyDescent="0.25">
      <c r="A34" s="5">
        <v>22</v>
      </c>
      <c r="B34" s="5" t="s">
        <v>787</v>
      </c>
      <c r="C34" s="5" t="s">
        <v>173</v>
      </c>
      <c r="D34" s="13">
        <v>847.8</v>
      </c>
      <c r="E34" s="13">
        <v>0</v>
      </c>
      <c r="F34" s="5">
        <v>742.44</v>
      </c>
      <c r="G34" s="13">
        <v>65.709999999999994</v>
      </c>
      <c r="H34" s="14">
        <f t="shared" si="0"/>
        <v>7.7506487379098835E-2</v>
      </c>
      <c r="I34" s="5">
        <f t="shared" si="1"/>
        <v>5.2</v>
      </c>
      <c r="J34" s="5">
        <f t="shared" si="2"/>
        <v>34.450000000000003</v>
      </c>
      <c r="K34" s="14">
        <f t="shared" si="3"/>
        <v>4.0634583628214205E-2</v>
      </c>
      <c r="L34" s="14">
        <f t="shared" si="4"/>
        <v>4.6401055977587417E-2</v>
      </c>
      <c r="M34" s="5" t="s">
        <v>747</v>
      </c>
      <c r="N34" s="5">
        <v>1</v>
      </c>
      <c r="O34" s="5"/>
      <c r="P34" s="5">
        <v>181.59</v>
      </c>
      <c r="Q34" s="5" t="s">
        <v>38</v>
      </c>
    </row>
    <row r="35" spans="1:17" hidden="1" x14ac:dyDescent="0.25">
      <c r="A35" s="5">
        <v>23</v>
      </c>
      <c r="B35" s="5" t="s">
        <v>787</v>
      </c>
      <c r="C35" s="5" t="s">
        <v>176</v>
      </c>
      <c r="D35" s="13">
        <v>847.8</v>
      </c>
      <c r="E35" s="13">
        <v>0</v>
      </c>
      <c r="F35" s="5">
        <v>720.91</v>
      </c>
      <c r="G35" s="13">
        <v>95.38</v>
      </c>
      <c r="H35" s="14">
        <f t="shared" si="0"/>
        <v>0.11250294880868129</v>
      </c>
      <c r="I35" s="5">
        <f t="shared" si="1"/>
        <v>5.05</v>
      </c>
      <c r="J35" s="5">
        <f t="shared" si="2"/>
        <v>26.46</v>
      </c>
      <c r="K35" s="14">
        <f t="shared" si="3"/>
        <v>3.1210191082802551E-2</v>
      </c>
      <c r="L35" s="14">
        <f t="shared" si="4"/>
        <v>3.6703610714236175E-2</v>
      </c>
      <c r="M35" s="5" t="s">
        <v>747</v>
      </c>
      <c r="N35" s="5">
        <v>1</v>
      </c>
      <c r="O35" s="5"/>
      <c r="P35" s="5">
        <v>167.85</v>
      </c>
      <c r="Q35" s="5" t="s">
        <v>38</v>
      </c>
    </row>
    <row r="36" spans="1:17" hidden="1" x14ac:dyDescent="0.25">
      <c r="A36" s="5">
        <v>24</v>
      </c>
      <c r="B36" s="5" t="s">
        <v>787</v>
      </c>
      <c r="C36" s="5" t="s">
        <v>181</v>
      </c>
      <c r="D36" s="13">
        <v>847.8</v>
      </c>
      <c r="E36" s="13">
        <v>0</v>
      </c>
      <c r="F36" s="5">
        <v>720.91</v>
      </c>
      <c r="G36" s="13">
        <v>97.12</v>
      </c>
      <c r="H36" s="14">
        <f t="shared" si="0"/>
        <v>0.11455531965086106</v>
      </c>
      <c r="I36" s="5">
        <f t="shared" si="1"/>
        <v>5.05</v>
      </c>
      <c r="J36" s="5">
        <f t="shared" si="2"/>
        <v>24.72</v>
      </c>
      <c r="K36" s="14">
        <f t="shared" si="3"/>
        <v>2.915782024062279E-2</v>
      </c>
      <c r="L36" s="14">
        <f t="shared" si="4"/>
        <v>3.4289994590170757E-2</v>
      </c>
      <c r="M36" s="5" t="s">
        <v>747</v>
      </c>
      <c r="N36" s="5">
        <v>1</v>
      </c>
      <c r="O36" s="5"/>
      <c r="P36" s="5">
        <v>167.84</v>
      </c>
      <c r="Q36" s="5" t="s">
        <v>38</v>
      </c>
    </row>
    <row r="37" spans="1:17" hidden="1" x14ac:dyDescent="0.25">
      <c r="A37" s="5">
        <v>25</v>
      </c>
      <c r="B37" s="5" t="s">
        <v>787</v>
      </c>
      <c r="C37" s="5" t="s">
        <v>183</v>
      </c>
      <c r="D37" s="13">
        <v>847.8</v>
      </c>
      <c r="E37" s="13">
        <v>0</v>
      </c>
      <c r="F37" s="5">
        <v>720.91</v>
      </c>
      <c r="G37" s="13">
        <v>97.12</v>
      </c>
      <c r="H37" s="14">
        <f t="shared" si="0"/>
        <v>0.11455531965086106</v>
      </c>
      <c r="I37" s="5">
        <f t="shared" si="1"/>
        <v>5.05</v>
      </c>
      <c r="J37" s="5">
        <f t="shared" si="2"/>
        <v>24.72</v>
      </c>
      <c r="K37" s="14">
        <f t="shared" si="3"/>
        <v>2.915782024062279E-2</v>
      </c>
      <c r="L37" s="14">
        <f t="shared" si="4"/>
        <v>3.4289994590170757E-2</v>
      </c>
      <c r="M37" s="5" t="s">
        <v>747</v>
      </c>
      <c r="N37" s="5">
        <v>1</v>
      </c>
      <c r="O37" s="5"/>
      <c r="P37" s="5">
        <v>167.84</v>
      </c>
      <c r="Q37" s="5" t="s">
        <v>38</v>
      </c>
    </row>
    <row r="38" spans="1:17" hidden="1" x14ac:dyDescent="0.25">
      <c r="A38" s="5">
        <v>26</v>
      </c>
      <c r="B38" s="5" t="s">
        <v>787</v>
      </c>
      <c r="C38" s="5" t="s">
        <v>187</v>
      </c>
      <c r="D38" s="13">
        <v>847.8</v>
      </c>
      <c r="E38" s="13">
        <v>0</v>
      </c>
      <c r="F38" s="5">
        <v>727.45</v>
      </c>
      <c r="G38" s="13">
        <v>80.260000000000005</v>
      </c>
      <c r="H38" s="14">
        <f t="shared" si="0"/>
        <v>9.4668553904222699E-2</v>
      </c>
      <c r="I38" s="5">
        <f t="shared" si="1"/>
        <v>5.09</v>
      </c>
      <c r="J38" s="5">
        <f t="shared" si="2"/>
        <v>35</v>
      </c>
      <c r="K38" s="14">
        <f t="shared" si="3"/>
        <v>4.1283321538098612E-2</v>
      </c>
      <c r="L38" s="14">
        <f t="shared" si="4"/>
        <v>4.8113272389854973E-2</v>
      </c>
      <c r="M38" s="5" t="s">
        <v>747</v>
      </c>
      <c r="N38" s="5">
        <v>1</v>
      </c>
      <c r="O38" s="5"/>
      <c r="P38" s="5">
        <v>169.9</v>
      </c>
      <c r="Q38" s="5" t="s">
        <v>38</v>
      </c>
    </row>
    <row r="39" spans="1:17" hidden="1" x14ac:dyDescent="0.25">
      <c r="A39" s="5">
        <v>27</v>
      </c>
      <c r="B39" s="5" t="s">
        <v>787</v>
      </c>
      <c r="C39" s="5" t="s">
        <v>204</v>
      </c>
      <c r="D39" s="13">
        <v>847.8</v>
      </c>
      <c r="E39" s="13">
        <v>0</v>
      </c>
      <c r="F39" s="5">
        <v>737.24</v>
      </c>
      <c r="G39" s="13">
        <v>80.260000000000005</v>
      </c>
      <c r="H39" s="14">
        <f t="shared" si="0"/>
        <v>9.4668553904222699E-2</v>
      </c>
      <c r="I39" s="5">
        <f t="shared" si="1"/>
        <v>5.16</v>
      </c>
      <c r="J39" s="5">
        <f t="shared" si="2"/>
        <v>25.14</v>
      </c>
      <c r="K39" s="14">
        <f t="shared" si="3"/>
        <v>2.9653220099079974E-2</v>
      </c>
      <c r="L39" s="14">
        <f t="shared" si="4"/>
        <v>3.4100157343605879E-2</v>
      </c>
      <c r="M39" s="5" t="s">
        <v>747</v>
      </c>
      <c r="N39" s="5">
        <v>1</v>
      </c>
      <c r="O39" s="5"/>
      <c r="P39" s="5">
        <v>180.18</v>
      </c>
      <c r="Q39" s="5" t="s">
        <v>38</v>
      </c>
    </row>
    <row r="40" spans="1:17" hidden="1" x14ac:dyDescent="0.25">
      <c r="A40" s="5">
        <v>28</v>
      </c>
      <c r="B40" s="5" t="s">
        <v>787</v>
      </c>
      <c r="C40" s="5" t="s">
        <v>213</v>
      </c>
      <c r="D40" s="13">
        <v>847.8</v>
      </c>
      <c r="E40" s="13">
        <v>0</v>
      </c>
      <c r="F40" s="5">
        <v>773.2</v>
      </c>
      <c r="G40" s="13">
        <v>0</v>
      </c>
      <c r="H40" s="14">
        <f t="shared" si="0"/>
        <v>0</v>
      </c>
      <c r="I40" s="5">
        <f t="shared" si="1"/>
        <v>5.41</v>
      </c>
      <c r="J40" s="5">
        <f t="shared" si="2"/>
        <v>69.19</v>
      </c>
      <c r="K40" s="14">
        <f t="shared" si="3"/>
        <v>8.1611229063458371E-2</v>
      </c>
      <c r="L40" s="14">
        <f t="shared" si="4"/>
        <v>8.9485256078634237E-2</v>
      </c>
      <c r="M40" s="5" t="s">
        <v>747</v>
      </c>
      <c r="N40" s="5">
        <v>1</v>
      </c>
      <c r="O40" s="5"/>
      <c r="P40" s="5">
        <v>168.92</v>
      </c>
      <c r="Q40" s="5" t="s">
        <v>38</v>
      </c>
    </row>
    <row r="41" spans="1:17" hidden="1" x14ac:dyDescent="0.25">
      <c r="A41" s="5">
        <v>29</v>
      </c>
      <c r="B41" s="5" t="s">
        <v>787</v>
      </c>
      <c r="C41" s="5" t="s">
        <v>218</v>
      </c>
      <c r="D41" s="13">
        <v>847.8</v>
      </c>
      <c r="E41" s="13">
        <v>0</v>
      </c>
      <c r="F41" s="5">
        <v>343.17</v>
      </c>
      <c r="G41" s="13">
        <v>486.42</v>
      </c>
      <c r="H41" s="14">
        <f t="shared" si="0"/>
        <v>0.57374380750176934</v>
      </c>
      <c r="I41" s="5">
        <f t="shared" si="1"/>
        <v>2.4</v>
      </c>
      <c r="J41" s="5">
        <f t="shared" si="2"/>
        <v>15.81</v>
      </c>
      <c r="K41" s="14">
        <f t="shared" si="3"/>
        <v>1.86482661004954E-2</v>
      </c>
      <c r="L41" s="14">
        <f t="shared" si="4"/>
        <v>4.6070460704607047E-2</v>
      </c>
      <c r="M41" s="5" t="s">
        <v>747</v>
      </c>
      <c r="N41" s="5">
        <v>1</v>
      </c>
      <c r="O41" s="5"/>
      <c r="P41" s="5">
        <v>82</v>
      </c>
      <c r="Q41" s="5" t="s">
        <v>38</v>
      </c>
    </row>
    <row r="42" spans="1:17" hidden="1" x14ac:dyDescent="0.25">
      <c r="A42" s="5">
        <v>30</v>
      </c>
      <c r="B42" s="5" t="s">
        <v>788</v>
      </c>
      <c r="C42" s="5" t="s">
        <v>224</v>
      </c>
      <c r="D42" s="13">
        <v>1507.2</v>
      </c>
      <c r="E42" s="13">
        <v>0</v>
      </c>
      <c r="F42" s="5">
        <v>1450.53</v>
      </c>
      <c r="G42" s="13">
        <v>0</v>
      </c>
      <c r="H42" s="14">
        <f t="shared" si="0"/>
        <v>0</v>
      </c>
      <c r="I42" s="5">
        <f t="shared" si="1"/>
        <v>10.15</v>
      </c>
      <c r="J42" s="5">
        <f t="shared" si="2"/>
        <v>46.52</v>
      </c>
      <c r="K42" s="14">
        <f t="shared" si="3"/>
        <v>3.0865180467091295E-2</v>
      </c>
      <c r="L42" s="14">
        <f t="shared" si="4"/>
        <v>3.2071036104044728E-2</v>
      </c>
      <c r="M42" s="5" t="s">
        <v>747</v>
      </c>
      <c r="N42" s="5">
        <v>1</v>
      </c>
      <c r="O42" s="5"/>
      <c r="P42" s="5">
        <v>175.76</v>
      </c>
      <c r="Q42" s="5" t="s">
        <v>38</v>
      </c>
    </row>
    <row r="43" spans="1:17" hidden="1" x14ac:dyDescent="0.25">
      <c r="A43" s="5">
        <v>31</v>
      </c>
      <c r="B43" s="5" t="s">
        <v>788</v>
      </c>
      <c r="C43" s="5" t="s">
        <v>239</v>
      </c>
      <c r="D43" s="13">
        <v>1507.2</v>
      </c>
      <c r="E43" s="13">
        <v>0</v>
      </c>
      <c r="F43" s="5">
        <v>1422.67</v>
      </c>
      <c r="G43" s="13">
        <v>0</v>
      </c>
      <c r="H43" s="14">
        <f t="shared" si="0"/>
        <v>0</v>
      </c>
      <c r="I43" s="5">
        <f t="shared" si="1"/>
        <v>9.9600000000000009</v>
      </c>
      <c r="J43" s="5">
        <f t="shared" si="2"/>
        <v>74.569999999999993</v>
      </c>
      <c r="K43" s="14">
        <f t="shared" si="3"/>
        <v>4.9475849256900205E-2</v>
      </c>
      <c r="L43" s="14">
        <f t="shared" si="4"/>
        <v>5.2415528548433572E-2</v>
      </c>
      <c r="M43" s="5" t="s">
        <v>747</v>
      </c>
      <c r="N43" s="5">
        <v>1</v>
      </c>
      <c r="O43" s="5"/>
      <c r="P43" s="5">
        <v>158.66</v>
      </c>
      <c r="Q43" s="5" t="s">
        <v>38</v>
      </c>
    </row>
    <row r="44" spans="1:17" hidden="1" x14ac:dyDescent="0.25">
      <c r="A44" s="5">
        <v>32</v>
      </c>
      <c r="B44" s="5" t="s">
        <v>788</v>
      </c>
      <c r="C44" s="5" t="s">
        <v>247</v>
      </c>
      <c r="D44" s="13">
        <v>1507.2</v>
      </c>
      <c r="E44" s="13">
        <v>0</v>
      </c>
      <c r="F44" s="5">
        <v>1422.45</v>
      </c>
      <c r="G44" s="13">
        <v>0</v>
      </c>
      <c r="H44" s="14">
        <f t="shared" si="0"/>
        <v>0</v>
      </c>
      <c r="I44" s="5">
        <f t="shared" si="1"/>
        <v>9.9600000000000009</v>
      </c>
      <c r="J44" s="5">
        <f t="shared" si="2"/>
        <v>74.790000000000006</v>
      </c>
      <c r="K44" s="14">
        <f t="shared" si="3"/>
        <v>4.9621815286624203E-2</v>
      </c>
      <c r="L44" s="14">
        <f t="shared" si="4"/>
        <v>5.2578298006959824E-2</v>
      </c>
      <c r="M44" s="5" t="s">
        <v>747</v>
      </c>
      <c r="N44" s="5">
        <v>1</v>
      </c>
      <c r="O44" s="5"/>
      <c r="P44" s="5">
        <v>152.13999999999999</v>
      </c>
      <c r="Q44" s="5" t="s">
        <v>38</v>
      </c>
    </row>
    <row r="45" spans="1:17" hidden="1" x14ac:dyDescent="0.25">
      <c r="A45" s="5">
        <v>33</v>
      </c>
      <c r="B45" s="5" t="s">
        <v>788</v>
      </c>
      <c r="C45" s="5" t="s">
        <v>253</v>
      </c>
      <c r="D45" s="13">
        <v>1507.2</v>
      </c>
      <c r="E45" s="13">
        <v>0</v>
      </c>
      <c r="F45" s="5">
        <v>1396.27</v>
      </c>
      <c r="G45" s="13">
        <v>0</v>
      </c>
      <c r="H45" s="14">
        <f t="shared" ref="H45:H76" si="5">IF(D45+E45&gt;0, G45/(D45+E45), 0)</f>
        <v>0</v>
      </c>
      <c r="I45" s="5">
        <f t="shared" ref="I45:I76" si="6">ROUND(F45*0.7/100, 2)</f>
        <v>9.77</v>
      </c>
      <c r="J45" s="5">
        <f t="shared" ref="J45:J76" si="7">MAX(ROUND(D45+E45-F45-G45-I45, 2), 0)</f>
        <v>101.16</v>
      </c>
      <c r="K45" s="14">
        <f t="shared" ref="K45:K76" si="8">IF(D45+E45&gt;0, J45/(D45+E45), 0)</f>
        <v>6.7117834394904458E-2</v>
      </c>
      <c r="L45" s="14">
        <f t="shared" ref="L45:L76" si="9">IF(F45&gt;0, J45/F45, 0)</f>
        <v>7.2450170812235454E-2</v>
      </c>
      <c r="M45" s="5" t="s">
        <v>747</v>
      </c>
      <c r="N45" s="5">
        <v>1</v>
      </c>
      <c r="O45" s="5"/>
      <c r="P45" s="5">
        <v>127.16</v>
      </c>
      <c r="Q45" s="5" t="s">
        <v>38</v>
      </c>
    </row>
    <row r="46" spans="1:17" hidden="1" x14ac:dyDescent="0.25">
      <c r="A46" s="5">
        <v>34</v>
      </c>
      <c r="B46" s="5" t="s">
        <v>788</v>
      </c>
      <c r="C46" s="5" t="s">
        <v>258</v>
      </c>
      <c r="D46" s="13">
        <v>1507.2</v>
      </c>
      <c r="E46" s="13">
        <v>0</v>
      </c>
      <c r="F46" s="5">
        <v>1397.65</v>
      </c>
      <c r="G46" s="13">
        <v>0</v>
      </c>
      <c r="H46" s="14">
        <f t="shared" si="5"/>
        <v>0</v>
      </c>
      <c r="I46" s="5">
        <f t="shared" si="6"/>
        <v>9.7799999999999994</v>
      </c>
      <c r="J46" s="5">
        <f t="shared" si="7"/>
        <v>99.77</v>
      </c>
      <c r="K46" s="14">
        <f t="shared" si="8"/>
        <v>6.6195594479830144E-2</v>
      </c>
      <c r="L46" s="14">
        <f t="shared" si="9"/>
        <v>7.1384109040174573E-2</v>
      </c>
      <c r="M46" s="5" t="s">
        <v>747</v>
      </c>
      <c r="N46" s="5">
        <v>1</v>
      </c>
      <c r="O46" s="5"/>
      <c r="P46" s="5">
        <v>127.25</v>
      </c>
      <c r="Q46" s="5" t="s">
        <v>38</v>
      </c>
    </row>
    <row r="47" spans="1:17" hidden="1" x14ac:dyDescent="0.25">
      <c r="A47" s="5">
        <v>35</v>
      </c>
      <c r="B47" s="5" t="s">
        <v>788</v>
      </c>
      <c r="C47" s="5" t="s">
        <v>263</v>
      </c>
      <c r="D47" s="13">
        <v>1507.2</v>
      </c>
      <c r="E47" s="13">
        <v>0</v>
      </c>
      <c r="F47" s="5">
        <v>1412.28</v>
      </c>
      <c r="G47" s="13">
        <v>0</v>
      </c>
      <c r="H47" s="14">
        <f t="shared" si="5"/>
        <v>0</v>
      </c>
      <c r="I47" s="5">
        <f t="shared" si="6"/>
        <v>9.89</v>
      </c>
      <c r="J47" s="5">
        <f t="shared" si="7"/>
        <v>85.03</v>
      </c>
      <c r="K47" s="14">
        <f t="shared" si="8"/>
        <v>5.6415870488322716E-2</v>
      </c>
      <c r="L47" s="14">
        <f t="shared" si="9"/>
        <v>6.0207607556575185E-2</v>
      </c>
      <c r="M47" s="5" t="s">
        <v>747</v>
      </c>
      <c r="N47" s="5">
        <v>1</v>
      </c>
      <c r="O47" s="5"/>
      <c r="P47" s="5">
        <v>172.9</v>
      </c>
      <c r="Q47" s="5" t="s">
        <v>38</v>
      </c>
    </row>
    <row r="48" spans="1:17" hidden="1" x14ac:dyDescent="0.25">
      <c r="A48" s="5">
        <v>36</v>
      </c>
      <c r="B48" s="5" t="s">
        <v>788</v>
      </c>
      <c r="C48" s="5" t="s">
        <v>271</v>
      </c>
      <c r="D48" s="13">
        <v>1507.2</v>
      </c>
      <c r="E48" s="13">
        <v>0</v>
      </c>
      <c r="F48" s="5">
        <v>1422.01</v>
      </c>
      <c r="G48" s="13">
        <v>0</v>
      </c>
      <c r="H48" s="14">
        <f t="shared" si="5"/>
        <v>0</v>
      </c>
      <c r="I48" s="5">
        <f t="shared" si="6"/>
        <v>9.9499999999999993</v>
      </c>
      <c r="J48" s="5">
        <f t="shared" si="7"/>
        <v>75.239999999999995</v>
      </c>
      <c r="K48" s="14">
        <f t="shared" si="8"/>
        <v>4.9920382165605091E-2</v>
      </c>
      <c r="L48" s="14">
        <f t="shared" si="9"/>
        <v>5.2911020316312819E-2</v>
      </c>
      <c r="M48" s="5" t="s">
        <v>747</v>
      </c>
      <c r="N48" s="5">
        <v>1</v>
      </c>
      <c r="O48" s="5"/>
      <c r="P48" s="5">
        <v>172.05</v>
      </c>
      <c r="Q48" s="5" t="s">
        <v>38</v>
      </c>
    </row>
    <row r="49" spans="1:17" hidden="1" x14ac:dyDescent="0.25">
      <c r="A49" s="5">
        <v>37</v>
      </c>
      <c r="B49" s="5" t="s">
        <v>788</v>
      </c>
      <c r="C49" s="5" t="s">
        <v>288</v>
      </c>
      <c r="D49" s="13">
        <v>1507.2</v>
      </c>
      <c r="E49" s="13">
        <v>0</v>
      </c>
      <c r="F49" s="5">
        <v>1448.71</v>
      </c>
      <c r="G49" s="13">
        <v>0</v>
      </c>
      <c r="H49" s="14">
        <f t="shared" si="5"/>
        <v>0</v>
      </c>
      <c r="I49" s="5">
        <f t="shared" si="6"/>
        <v>10.14</v>
      </c>
      <c r="J49" s="5">
        <f t="shared" si="7"/>
        <v>48.35</v>
      </c>
      <c r="K49" s="14">
        <f t="shared" si="8"/>
        <v>3.2079352441613591E-2</v>
      </c>
      <c r="L49" s="14">
        <f t="shared" si="9"/>
        <v>3.3374519400017948E-2</v>
      </c>
      <c r="M49" s="5" t="s">
        <v>747</v>
      </c>
      <c r="N49" s="5">
        <v>1</v>
      </c>
      <c r="O49" s="5"/>
      <c r="P49" s="5">
        <v>125</v>
      </c>
      <c r="Q49" s="5" t="s">
        <v>38</v>
      </c>
    </row>
    <row r="50" spans="1:17" hidden="1" x14ac:dyDescent="0.25">
      <c r="A50" s="5">
        <v>38</v>
      </c>
      <c r="B50" s="5" t="s">
        <v>788</v>
      </c>
      <c r="C50" s="5" t="s">
        <v>294</v>
      </c>
      <c r="D50" s="13">
        <v>1507.2</v>
      </c>
      <c r="E50" s="13">
        <v>0</v>
      </c>
      <c r="F50" s="5">
        <v>1434.86</v>
      </c>
      <c r="G50" s="13">
        <v>0</v>
      </c>
      <c r="H50" s="14">
        <f t="shared" si="5"/>
        <v>0</v>
      </c>
      <c r="I50" s="5">
        <f t="shared" si="6"/>
        <v>10.039999999999999</v>
      </c>
      <c r="J50" s="5">
        <f t="shared" si="7"/>
        <v>62.3</v>
      </c>
      <c r="K50" s="14">
        <f t="shared" si="8"/>
        <v>4.1334925690021229E-2</v>
      </c>
      <c r="L50" s="14">
        <f t="shared" si="9"/>
        <v>4.3418870133671579E-2</v>
      </c>
      <c r="M50" s="5" t="s">
        <v>747</v>
      </c>
      <c r="N50" s="5">
        <v>1</v>
      </c>
      <c r="O50" s="5"/>
      <c r="P50" s="5">
        <v>215.62</v>
      </c>
      <c r="Q50" s="5" t="s">
        <v>38</v>
      </c>
    </row>
    <row r="51" spans="1:17" hidden="1" x14ac:dyDescent="0.25">
      <c r="A51" s="5">
        <v>39</v>
      </c>
      <c r="B51" s="5" t="s">
        <v>788</v>
      </c>
      <c r="C51" s="5" t="s">
        <v>315</v>
      </c>
      <c r="D51" s="13">
        <v>1507.2</v>
      </c>
      <c r="E51" s="13">
        <v>0</v>
      </c>
      <c r="F51" s="5">
        <v>1424.4</v>
      </c>
      <c r="G51" s="13">
        <v>0</v>
      </c>
      <c r="H51" s="14">
        <f t="shared" si="5"/>
        <v>0</v>
      </c>
      <c r="I51" s="5">
        <f t="shared" si="6"/>
        <v>9.9700000000000006</v>
      </c>
      <c r="J51" s="5">
        <f t="shared" si="7"/>
        <v>72.83</v>
      </c>
      <c r="K51" s="14">
        <f t="shared" si="8"/>
        <v>4.8321390658174097E-2</v>
      </c>
      <c r="L51" s="14">
        <f t="shared" si="9"/>
        <v>5.1130300477393989E-2</v>
      </c>
      <c r="M51" s="5" t="s">
        <v>747</v>
      </c>
      <c r="N51" s="5">
        <v>1</v>
      </c>
      <c r="O51" s="5"/>
      <c r="P51" s="5">
        <v>263.27</v>
      </c>
      <c r="Q51" s="5" t="s">
        <v>38</v>
      </c>
    </row>
    <row r="52" spans="1:17" hidden="1" x14ac:dyDescent="0.25">
      <c r="A52" s="5">
        <v>40</v>
      </c>
      <c r="B52" s="5" t="s">
        <v>788</v>
      </c>
      <c r="C52" s="5" t="s">
        <v>354</v>
      </c>
      <c r="D52" s="13">
        <v>0</v>
      </c>
      <c r="E52" s="13">
        <v>14.06</v>
      </c>
      <c r="F52" s="5">
        <v>10.99</v>
      </c>
      <c r="G52" s="13">
        <v>0</v>
      </c>
      <c r="H52" s="14">
        <f t="shared" si="5"/>
        <v>0</v>
      </c>
      <c r="I52" s="5">
        <f t="shared" si="6"/>
        <v>0.08</v>
      </c>
      <c r="J52" s="5">
        <f t="shared" si="7"/>
        <v>2.99</v>
      </c>
      <c r="K52" s="14">
        <f t="shared" si="8"/>
        <v>0.21266002844950213</v>
      </c>
      <c r="L52" s="14">
        <f t="shared" si="9"/>
        <v>0.2720655141037307</v>
      </c>
      <c r="M52" s="5" t="s">
        <v>747</v>
      </c>
      <c r="N52" s="5">
        <v>1</v>
      </c>
      <c r="O52" s="5"/>
      <c r="P52" s="5">
        <v>5.55</v>
      </c>
      <c r="Q52" s="5" t="s">
        <v>38</v>
      </c>
    </row>
    <row r="53" spans="1:17" hidden="1" x14ac:dyDescent="0.25">
      <c r="A53" s="5">
        <v>41</v>
      </c>
      <c r="B53" s="5" t="s">
        <v>789</v>
      </c>
      <c r="C53" s="5" t="s">
        <v>361</v>
      </c>
      <c r="D53" s="13">
        <v>1413</v>
      </c>
      <c r="E53" s="13">
        <v>0</v>
      </c>
      <c r="F53" s="5">
        <v>1375.31</v>
      </c>
      <c r="G53" s="13">
        <v>0</v>
      </c>
      <c r="H53" s="14">
        <f t="shared" si="5"/>
        <v>0</v>
      </c>
      <c r="I53" s="5">
        <f t="shared" si="6"/>
        <v>9.6300000000000008</v>
      </c>
      <c r="J53" s="5">
        <f t="shared" si="7"/>
        <v>28.06</v>
      </c>
      <c r="K53" s="14">
        <f t="shared" si="8"/>
        <v>1.9858457183297946E-2</v>
      </c>
      <c r="L53" s="14">
        <f t="shared" si="9"/>
        <v>2.0402672851938836E-2</v>
      </c>
      <c r="M53" s="5" t="s">
        <v>747</v>
      </c>
      <c r="N53" s="5">
        <v>1</v>
      </c>
      <c r="O53" s="5"/>
      <c r="P53" s="5">
        <v>98.92</v>
      </c>
      <c r="Q53" s="5" t="s">
        <v>38</v>
      </c>
    </row>
    <row r="54" spans="1:17" hidden="1" x14ac:dyDescent="0.25">
      <c r="A54" s="5">
        <v>42</v>
      </c>
      <c r="B54" s="5" t="s">
        <v>789</v>
      </c>
      <c r="C54" s="5" t="s">
        <v>367</v>
      </c>
      <c r="D54" s="13">
        <v>1413</v>
      </c>
      <c r="E54" s="13">
        <v>0</v>
      </c>
      <c r="F54" s="5">
        <v>1375.31</v>
      </c>
      <c r="G54" s="13">
        <v>0</v>
      </c>
      <c r="H54" s="14">
        <f t="shared" si="5"/>
        <v>0</v>
      </c>
      <c r="I54" s="5">
        <f t="shared" si="6"/>
        <v>9.6300000000000008</v>
      </c>
      <c r="J54" s="5">
        <f t="shared" si="7"/>
        <v>28.06</v>
      </c>
      <c r="K54" s="14">
        <f t="shared" si="8"/>
        <v>1.9858457183297946E-2</v>
      </c>
      <c r="L54" s="14">
        <f t="shared" si="9"/>
        <v>2.0402672851938836E-2</v>
      </c>
      <c r="M54" s="5" t="s">
        <v>747</v>
      </c>
      <c r="N54" s="5">
        <v>1</v>
      </c>
      <c r="O54" s="5"/>
      <c r="P54" s="5">
        <v>98.92</v>
      </c>
      <c r="Q54" s="5" t="s">
        <v>38</v>
      </c>
    </row>
    <row r="55" spans="1:17" hidden="1" x14ac:dyDescent="0.25">
      <c r="A55" s="5">
        <v>43</v>
      </c>
      <c r="B55" s="5" t="s">
        <v>789</v>
      </c>
      <c r="C55" s="5" t="s">
        <v>372</v>
      </c>
      <c r="D55" s="13">
        <v>1413</v>
      </c>
      <c r="E55" s="13">
        <v>0</v>
      </c>
      <c r="F55" s="5">
        <v>1375.32</v>
      </c>
      <c r="G55" s="13">
        <v>0</v>
      </c>
      <c r="H55" s="14">
        <f t="shared" si="5"/>
        <v>0</v>
      </c>
      <c r="I55" s="5">
        <f t="shared" si="6"/>
        <v>9.6300000000000008</v>
      </c>
      <c r="J55" s="5">
        <f t="shared" si="7"/>
        <v>28.05</v>
      </c>
      <c r="K55" s="14">
        <f t="shared" si="8"/>
        <v>1.9851380042462844E-2</v>
      </c>
      <c r="L55" s="14">
        <f t="shared" si="9"/>
        <v>2.0395253468283747E-2</v>
      </c>
      <c r="M55" s="5" t="s">
        <v>747</v>
      </c>
      <c r="N55" s="5">
        <v>1</v>
      </c>
      <c r="O55" s="5"/>
      <c r="P55" s="5">
        <v>98.92</v>
      </c>
      <c r="Q55" s="5" t="s">
        <v>38</v>
      </c>
    </row>
    <row r="56" spans="1:17" hidden="1" x14ac:dyDescent="0.25">
      <c r="A56" s="5">
        <v>44</v>
      </c>
      <c r="B56" s="5" t="s">
        <v>789</v>
      </c>
      <c r="C56" s="5" t="s">
        <v>375</v>
      </c>
      <c r="D56" s="13">
        <v>1413</v>
      </c>
      <c r="E56" s="13">
        <v>0</v>
      </c>
      <c r="F56" s="5">
        <v>1365.89</v>
      </c>
      <c r="G56" s="13">
        <v>0</v>
      </c>
      <c r="H56" s="14">
        <f t="shared" si="5"/>
        <v>0</v>
      </c>
      <c r="I56" s="5">
        <f t="shared" si="6"/>
        <v>9.56</v>
      </c>
      <c r="J56" s="5">
        <f t="shared" si="7"/>
        <v>37.549999999999997</v>
      </c>
      <c r="K56" s="14">
        <f t="shared" si="8"/>
        <v>2.6574663835810329E-2</v>
      </c>
      <c r="L56" s="14">
        <f t="shared" si="9"/>
        <v>2.7491232822555254E-2</v>
      </c>
      <c r="M56" s="5" t="s">
        <v>747</v>
      </c>
      <c r="N56" s="5">
        <v>1</v>
      </c>
      <c r="O56" s="5"/>
      <c r="P56" s="5">
        <v>122.9</v>
      </c>
      <c r="Q56" s="5" t="s">
        <v>38</v>
      </c>
    </row>
    <row r="57" spans="1:17" hidden="1" x14ac:dyDescent="0.25">
      <c r="A57" s="5">
        <v>45</v>
      </c>
      <c r="B57" s="5" t="s">
        <v>789</v>
      </c>
      <c r="C57" s="5" t="s">
        <v>381</v>
      </c>
      <c r="D57" s="13">
        <v>1413</v>
      </c>
      <c r="E57" s="13">
        <v>0</v>
      </c>
      <c r="F57" s="5">
        <v>1313.14</v>
      </c>
      <c r="G57" s="13">
        <v>0</v>
      </c>
      <c r="H57" s="14">
        <f t="shared" si="5"/>
        <v>0</v>
      </c>
      <c r="I57" s="5">
        <f t="shared" si="6"/>
        <v>9.19</v>
      </c>
      <c r="J57" s="5">
        <f t="shared" si="7"/>
        <v>90.67</v>
      </c>
      <c r="K57" s="14">
        <f t="shared" si="8"/>
        <v>6.4168435951875449E-2</v>
      </c>
      <c r="L57" s="14">
        <f t="shared" si="9"/>
        <v>6.9048235527057272E-2</v>
      </c>
      <c r="M57" s="5" t="s">
        <v>747</v>
      </c>
      <c r="N57" s="5">
        <v>1</v>
      </c>
      <c r="O57" s="5"/>
      <c r="P57" s="5">
        <v>124.48</v>
      </c>
      <c r="Q57" s="5" t="s">
        <v>38</v>
      </c>
    </row>
    <row r="58" spans="1:17" hidden="1" x14ac:dyDescent="0.25">
      <c r="A58" s="5">
        <v>46</v>
      </c>
      <c r="B58" s="5" t="s">
        <v>789</v>
      </c>
      <c r="C58" s="5" t="s">
        <v>391</v>
      </c>
      <c r="D58" s="13">
        <v>1413</v>
      </c>
      <c r="E58" s="13">
        <v>0</v>
      </c>
      <c r="F58" s="5">
        <v>1338.6</v>
      </c>
      <c r="G58" s="13">
        <v>0</v>
      </c>
      <c r="H58" s="14">
        <f t="shared" si="5"/>
        <v>0</v>
      </c>
      <c r="I58" s="5">
        <f t="shared" si="6"/>
        <v>9.3699999999999992</v>
      </c>
      <c r="J58" s="5">
        <f t="shared" si="7"/>
        <v>65.03</v>
      </c>
      <c r="K58" s="14">
        <f t="shared" si="8"/>
        <v>4.6022646850672332E-2</v>
      </c>
      <c r="L58" s="14">
        <f t="shared" si="9"/>
        <v>4.8580606603914542E-2</v>
      </c>
      <c r="M58" s="5" t="s">
        <v>747</v>
      </c>
      <c r="N58" s="5">
        <v>1</v>
      </c>
      <c r="O58" s="5"/>
      <c r="P58" s="5">
        <v>178.95</v>
      </c>
      <c r="Q58" s="5" t="s">
        <v>38</v>
      </c>
    </row>
    <row r="59" spans="1:17" hidden="1" x14ac:dyDescent="0.25">
      <c r="A59" s="5">
        <v>47</v>
      </c>
      <c r="B59" s="5" t="s">
        <v>789</v>
      </c>
      <c r="C59" s="5" t="s">
        <v>409</v>
      </c>
      <c r="D59" s="13">
        <v>1413</v>
      </c>
      <c r="E59" s="13">
        <v>0</v>
      </c>
      <c r="F59" s="5">
        <v>1327.92</v>
      </c>
      <c r="G59" s="13">
        <v>0</v>
      </c>
      <c r="H59" s="14">
        <f t="shared" si="5"/>
        <v>0</v>
      </c>
      <c r="I59" s="5">
        <f t="shared" si="6"/>
        <v>9.3000000000000007</v>
      </c>
      <c r="J59" s="5">
        <f t="shared" si="7"/>
        <v>75.78</v>
      </c>
      <c r="K59" s="14">
        <f t="shared" si="8"/>
        <v>5.3630573248407643E-2</v>
      </c>
      <c r="L59" s="14">
        <f t="shared" si="9"/>
        <v>5.706669076450388E-2</v>
      </c>
      <c r="M59" s="5" t="s">
        <v>747</v>
      </c>
      <c r="N59" s="5">
        <v>1</v>
      </c>
      <c r="O59" s="5"/>
      <c r="P59" s="5">
        <v>168.29</v>
      </c>
      <c r="Q59" s="5" t="s">
        <v>38</v>
      </c>
    </row>
    <row r="60" spans="1:17" hidden="1" x14ac:dyDescent="0.25">
      <c r="A60" s="5">
        <v>48</v>
      </c>
      <c r="B60" s="5" t="s">
        <v>789</v>
      </c>
      <c r="C60" s="5" t="s">
        <v>424</v>
      </c>
      <c r="D60" s="13">
        <v>1413</v>
      </c>
      <c r="E60" s="13">
        <v>0</v>
      </c>
      <c r="F60" s="5">
        <v>1338.82</v>
      </c>
      <c r="G60" s="13">
        <v>0</v>
      </c>
      <c r="H60" s="14">
        <f t="shared" si="5"/>
        <v>0</v>
      </c>
      <c r="I60" s="5">
        <f t="shared" si="6"/>
        <v>9.3699999999999992</v>
      </c>
      <c r="J60" s="5">
        <f t="shared" si="7"/>
        <v>64.81</v>
      </c>
      <c r="K60" s="14">
        <f t="shared" si="8"/>
        <v>4.5866949752300074E-2</v>
      </c>
      <c r="L60" s="14">
        <f t="shared" si="9"/>
        <v>4.8408299846133165E-2</v>
      </c>
      <c r="M60" s="5" t="s">
        <v>747</v>
      </c>
      <c r="N60" s="5">
        <v>1</v>
      </c>
      <c r="O60" s="5"/>
      <c r="P60" s="5">
        <v>146.65</v>
      </c>
      <c r="Q60" s="5" t="s">
        <v>38</v>
      </c>
    </row>
    <row r="61" spans="1:17" hidden="1" x14ac:dyDescent="0.25">
      <c r="A61" s="5">
        <v>49</v>
      </c>
      <c r="B61" s="5" t="s">
        <v>789</v>
      </c>
      <c r="C61" s="5" t="s">
        <v>443</v>
      </c>
      <c r="D61" s="13">
        <v>1413</v>
      </c>
      <c r="E61" s="13">
        <v>0</v>
      </c>
      <c r="F61" s="5">
        <v>1343.39</v>
      </c>
      <c r="G61" s="13">
        <v>0</v>
      </c>
      <c r="H61" s="14">
        <f t="shared" si="5"/>
        <v>0</v>
      </c>
      <c r="I61" s="5">
        <f t="shared" si="6"/>
        <v>9.4</v>
      </c>
      <c r="J61" s="5">
        <f t="shared" si="7"/>
        <v>60.21</v>
      </c>
      <c r="K61" s="14">
        <f t="shared" si="8"/>
        <v>4.2611464968152865E-2</v>
      </c>
      <c r="L61" s="14">
        <f t="shared" si="9"/>
        <v>4.4819449303627384E-2</v>
      </c>
      <c r="M61" s="5" t="s">
        <v>747</v>
      </c>
      <c r="N61" s="5">
        <v>1</v>
      </c>
      <c r="O61" s="5"/>
      <c r="P61" s="5">
        <v>152.16</v>
      </c>
      <c r="Q61" s="5" t="s">
        <v>38</v>
      </c>
    </row>
    <row r="62" spans="1:17" hidden="1" x14ac:dyDescent="0.25">
      <c r="A62" s="5">
        <v>50</v>
      </c>
      <c r="B62" s="5" t="s">
        <v>789</v>
      </c>
      <c r="C62" s="5" t="s">
        <v>454</v>
      </c>
      <c r="D62" s="13">
        <v>1413</v>
      </c>
      <c r="E62" s="13">
        <v>0</v>
      </c>
      <c r="F62" s="5">
        <v>1309.3499999999999</v>
      </c>
      <c r="G62" s="13">
        <v>0</v>
      </c>
      <c r="H62" s="14">
        <f t="shared" si="5"/>
        <v>0</v>
      </c>
      <c r="I62" s="5">
        <f t="shared" si="6"/>
        <v>9.17</v>
      </c>
      <c r="J62" s="5">
        <f t="shared" si="7"/>
        <v>94.48</v>
      </c>
      <c r="K62" s="14">
        <f t="shared" si="8"/>
        <v>6.6864826610049541E-2</v>
      </c>
      <c r="L62" s="14">
        <f t="shared" si="9"/>
        <v>7.2157940963073292E-2</v>
      </c>
      <c r="M62" s="5" t="s">
        <v>747</v>
      </c>
      <c r="N62" s="5">
        <v>1</v>
      </c>
      <c r="O62" s="5"/>
      <c r="P62" s="5">
        <v>202.21</v>
      </c>
      <c r="Q62" s="5" t="s">
        <v>38</v>
      </c>
    </row>
    <row r="63" spans="1:17" hidden="1" x14ac:dyDescent="0.25">
      <c r="A63" s="5">
        <v>51</v>
      </c>
      <c r="B63" s="5" t="s">
        <v>789</v>
      </c>
      <c r="C63" s="5" t="s">
        <v>465</v>
      </c>
      <c r="D63" s="13">
        <v>1413</v>
      </c>
      <c r="E63" s="13">
        <v>0</v>
      </c>
      <c r="F63" s="5">
        <v>36.46</v>
      </c>
      <c r="G63" s="13">
        <v>1359.07</v>
      </c>
      <c r="H63" s="14">
        <f t="shared" si="5"/>
        <v>0.96183297947629154</v>
      </c>
      <c r="I63" s="5">
        <f t="shared" si="6"/>
        <v>0.26</v>
      </c>
      <c r="J63" s="5">
        <f t="shared" si="7"/>
        <v>17.21</v>
      </c>
      <c r="K63" s="14">
        <f t="shared" si="8"/>
        <v>1.2179759377211608E-2</v>
      </c>
      <c r="L63" s="14">
        <f t="shared" si="9"/>
        <v>0.47202413603949533</v>
      </c>
      <c r="M63" s="5" t="s">
        <v>747</v>
      </c>
      <c r="N63" s="5">
        <v>1</v>
      </c>
      <c r="O63" s="5"/>
      <c r="P63" s="5">
        <v>19.63</v>
      </c>
      <c r="Q63" s="5" t="s">
        <v>38</v>
      </c>
    </row>
    <row r="64" spans="1:17" hidden="1" x14ac:dyDescent="0.25">
      <c r="A64" s="5">
        <v>52</v>
      </c>
      <c r="B64" s="5" t="s">
        <v>790</v>
      </c>
      <c r="C64" s="5" t="s">
        <v>476</v>
      </c>
      <c r="D64" s="13">
        <v>1695.6</v>
      </c>
      <c r="E64" s="13">
        <v>0</v>
      </c>
      <c r="F64" s="5">
        <v>1492.14</v>
      </c>
      <c r="G64" s="13">
        <v>169.54</v>
      </c>
      <c r="H64" s="14">
        <f t="shared" si="5"/>
        <v>9.9988204765274827E-2</v>
      </c>
      <c r="I64" s="5">
        <f t="shared" si="6"/>
        <v>10.44</v>
      </c>
      <c r="J64" s="5">
        <f t="shared" si="7"/>
        <v>23.48</v>
      </c>
      <c r="K64" s="14">
        <f t="shared" si="8"/>
        <v>1.3847605567350792E-2</v>
      </c>
      <c r="L64" s="14">
        <f t="shared" si="9"/>
        <v>1.5735788866996395E-2</v>
      </c>
      <c r="M64" s="5" t="s">
        <v>747</v>
      </c>
      <c r="N64" s="5">
        <v>1</v>
      </c>
      <c r="O64" s="5"/>
      <c r="P64" s="5">
        <v>146.63999999999999</v>
      </c>
      <c r="Q64" s="5" t="s">
        <v>38</v>
      </c>
    </row>
    <row r="65" spans="1:17" hidden="1" x14ac:dyDescent="0.25">
      <c r="A65" s="5">
        <v>53</v>
      </c>
      <c r="B65" s="5" t="s">
        <v>790</v>
      </c>
      <c r="C65" s="5" t="s">
        <v>482</v>
      </c>
      <c r="D65" s="13">
        <v>1695.6</v>
      </c>
      <c r="E65" s="13">
        <v>0</v>
      </c>
      <c r="F65" s="5">
        <v>1491.23</v>
      </c>
      <c r="G65" s="13">
        <v>169.55</v>
      </c>
      <c r="H65" s="14">
        <f t="shared" si="5"/>
        <v>9.9994102382637423E-2</v>
      </c>
      <c r="I65" s="5">
        <f t="shared" si="6"/>
        <v>10.44</v>
      </c>
      <c r="J65" s="5">
        <f t="shared" si="7"/>
        <v>24.38</v>
      </c>
      <c r="K65" s="14">
        <f t="shared" si="8"/>
        <v>1.4378391129983487E-2</v>
      </c>
      <c r="L65" s="14">
        <f t="shared" si="9"/>
        <v>1.6348920019044682E-2</v>
      </c>
      <c r="M65" s="5" t="s">
        <v>747</v>
      </c>
      <c r="N65" s="5">
        <v>1</v>
      </c>
      <c r="O65" s="5"/>
      <c r="P65" s="5">
        <v>146.55000000000001</v>
      </c>
      <c r="Q65" s="5" t="s">
        <v>38</v>
      </c>
    </row>
    <row r="66" spans="1:17" hidden="1" x14ac:dyDescent="0.25">
      <c r="A66" s="5">
        <v>54</v>
      </c>
      <c r="B66" s="5" t="s">
        <v>790</v>
      </c>
      <c r="C66" s="5" t="s">
        <v>488</v>
      </c>
      <c r="D66" s="13">
        <v>1695.6</v>
      </c>
      <c r="E66" s="13">
        <v>0</v>
      </c>
      <c r="F66" s="5">
        <v>940.39</v>
      </c>
      <c r="G66" s="13">
        <v>728.5</v>
      </c>
      <c r="H66" s="14">
        <f t="shared" si="5"/>
        <v>0.4296414248643548</v>
      </c>
      <c r="I66" s="5">
        <f t="shared" si="6"/>
        <v>6.58</v>
      </c>
      <c r="J66" s="5">
        <f t="shared" si="7"/>
        <v>20.13</v>
      </c>
      <c r="K66" s="14">
        <f t="shared" si="8"/>
        <v>1.1871903750884642E-2</v>
      </c>
      <c r="L66" s="14">
        <f t="shared" si="9"/>
        <v>2.1406012399111007E-2</v>
      </c>
      <c r="M66" s="5" t="s">
        <v>747</v>
      </c>
      <c r="N66" s="5">
        <v>1</v>
      </c>
      <c r="O66" s="5"/>
      <c r="P66" s="5">
        <v>93.39</v>
      </c>
      <c r="Q66" s="5" t="s">
        <v>38</v>
      </c>
    </row>
    <row r="67" spans="1:17" hidden="1" x14ac:dyDescent="0.25">
      <c r="A67" s="5">
        <v>55</v>
      </c>
      <c r="B67" s="5" t="s">
        <v>790</v>
      </c>
      <c r="C67" s="5" t="s">
        <v>496</v>
      </c>
      <c r="D67" s="13">
        <v>1695.6</v>
      </c>
      <c r="E67" s="13">
        <v>0</v>
      </c>
      <c r="F67" s="5">
        <v>1491.18</v>
      </c>
      <c r="G67" s="13">
        <v>169.56</v>
      </c>
      <c r="H67" s="14">
        <f t="shared" si="5"/>
        <v>0.1</v>
      </c>
      <c r="I67" s="5">
        <f t="shared" si="6"/>
        <v>10.44</v>
      </c>
      <c r="J67" s="5">
        <f t="shared" si="7"/>
        <v>24.42</v>
      </c>
      <c r="K67" s="14">
        <f t="shared" si="8"/>
        <v>1.440198159943383E-2</v>
      </c>
      <c r="L67" s="14">
        <f t="shared" si="9"/>
        <v>1.6376292600490887E-2</v>
      </c>
      <c r="M67" s="5" t="s">
        <v>747</v>
      </c>
      <c r="N67" s="5">
        <v>1</v>
      </c>
      <c r="O67" s="5"/>
      <c r="P67" s="5">
        <v>146.55000000000001</v>
      </c>
      <c r="Q67" s="5" t="s">
        <v>38</v>
      </c>
    </row>
    <row r="68" spans="1:17" hidden="1" x14ac:dyDescent="0.25">
      <c r="A68" s="5">
        <v>56</v>
      </c>
      <c r="B68" s="5" t="s">
        <v>790</v>
      </c>
      <c r="C68" s="5" t="s">
        <v>502</v>
      </c>
      <c r="D68" s="13">
        <v>1695.6</v>
      </c>
      <c r="E68" s="13">
        <v>0</v>
      </c>
      <c r="F68" s="5">
        <v>1491</v>
      </c>
      <c r="G68" s="13">
        <v>169.56</v>
      </c>
      <c r="H68" s="14">
        <f t="shared" si="5"/>
        <v>0.1</v>
      </c>
      <c r="I68" s="5">
        <f t="shared" si="6"/>
        <v>10.44</v>
      </c>
      <c r="J68" s="5">
        <f t="shared" si="7"/>
        <v>24.6</v>
      </c>
      <c r="K68" s="14">
        <f t="shared" si="8"/>
        <v>1.4508138711960369E-2</v>
      </c>
      <c r="L68" s="14">
        <f t="shared" si="9"/>
        <v>1.6498993963782696E-2</v>
      </c>
      <c r="M68" s="5" t="s">
        <v>747</v>
      </c>
      <c r="N68" s="5">
        <v>1</v>
      </c>
      <c r="O68" s="5"/>
      <c r="P68" s="5">
        <v>146.53</v>
      </c>
      <c r="Q68" s="5" t="s">
        <v>38</v>
      </c>
    </row>
    <row r="69" spans="1:17" hidden="1" x14ac:dyDescent="0.25">
      <c r="A69" s="5">
        <v>57</v>
      </c>
      <c r="B69" s="5" t="s">
        <v>790</v>
      </c>
      <c r="C69" s="5" t="s">
        <v>508</v>
      </c>
      <c r="D69" s="13">
        <v>1695.6</v>
      </c>
      <c r="E69" s="13">
        <v>0</v>
      </c>
      <c r="F69" s="5">
        <v>313.51</v>
      </c>
      <c r="G69" s="13">
        <v>1373.29</v>
      </c>
      <c r="H69" s="14">
        <f t="shared" si="5"/>
        <v>0.80991389478650633</v>
      </c>
      <c r="I69" s="5">
        <f t="shared" si="6"/>
        <v>2.19</v>
      </c>
      <c r="J69" s="5">
        <f t="shared" si="7"/>
        <v>6.61</v>
      </c>
      <c r="K69" s="14">
        <f t="shared" si="8"/>
        <v>3.898325076669026E-3</v>
      </c>
      <c r="L69" s="14">
        <f t="shared" si="9"/>
        <v>2.1083856974259196E-2</v>
      </c>
      <c r="M69" s="5" t="s">
        <v>747</v>
      </c>
      <c r="N69" s="5">
        <v>1</v>
      </c>
      <c r="O69" s="5"/>
      <c r="P69" s="5">
        <v>31.13</v>
      </c>
      <c r="Q69" s="5" t="s">
        <v>38</v>
      </c>
    </row>
    <row r="70" spans="1:17" hidden="1" x14ac:dyDescent="0.25">
      <c r="A70" s="5">
        <v>58</v>
      </c>
      <c r="B70" s="5" t="s">
        <v>791</v>
      </c>
      <c r="C70" s="5" t="s">
        <v>513</v>
      </c>
      <c r="D70" s="13">
        <v>3014.4</v>
      </c>
      <c r="E70" s="13">
        <v>0</v>
      </c>
      <c r="F70" s="5">
        <v>2873.98</v>
      </c>
      <c r="G70" s="13">
        <v>0</v>
      </c>
      <c r="H70" s="14">
        <f t="shared" si="5"/>
        <v>0</v>
      </c>
      <c r="I70" s="5">
        <f t="shared" si="6"/>
        <v>20.12</v>
      </c>
      <c r="J70" s="5">
        <f t="shared" si="7"/>
        <v>120.3</v>
      </c>
      <c r="K70" s="14">
        <f t="shared" si="8"/>
        <v>3.9908439490445854E-2</v>
      </c>
      <c r="L70" s="14">
        <f t="shared" si="9"/>
        <v>4.1858328867980986E-2</v>
      </c>
      <c r="M70" s="5" t="s">
        <v>747</v>
      </c>
      <c r="N70" s="5">
        <v>1</v>
      </c>
      <c r="O70" s="5"/>
      <c r="P70" s="5">
        <v>207.79</v>
      </c>
      <c r="Q70" s="5" t="s">
        <v>38</v>
      </c>
    </row>
    <row r="71" spans="1:17" hidden="1" x14ac:dyDescent="0.25">
      <c r="A71" s="5">
        <v>59</v>
      </c>
      <c r="B71" s="5" t="s">
        <v>791</v>
      </c>
      <c r="C71" s="5" t="s">
        <v>548</v>
      </c>
      <c r="D71" s="13">
        <v>3014.4</v>
      </c>
      <c r="E71" s="13">
        <v>0</v>
      </c>
      <c r="F71" s="5">
        <v>2899.83</v>
      </c>
      <c r="G71" s="13">
        <v>0</v>
      </c>
      <c r="H71" s="14">
        <f t="shared" si="5"/>
        <v>0</v>
      </c>
      <c r="I71" s="5">
        <f t="shared" si="6"/>
        <v>20.3</v>
      </c>
      <c r="J71" s="5">
        <f t="shared" si="7"/>
        <v>94.27</v>
      </c>
      <c r="K71" s="14">
        <f t="shared" si="8"/>
        <v>3.1273221868365175E-2</v>
      </c>
      <c r="L71" s="14">
        <f t="shared" si="9"/>
        <v>3.2508802240131321E-2</v>
      </c>
      <c r="M71" s="5" t="s">
        <v>747</v>
      </c>
      <c r="N71" s="5">
        <v>1</v>
      </c>
      <c r="O71" s="5"/>
      <c r="P71" s="5">
        <v>171.76</v>
      </c>
      <c r="Q71" s="5" t="s">
        <v>38</v>
      </c>
    </row>
    <row r="72" spans="1:17" hidden="1" x14ac:dyDescent="0.25">
      <c r="A72" s="5">
        <v>60</v>
      </c>
      <c r="B72" s="5" t="s">
        <v>791</v>
      </c>
      <c r="C72" s="5" t="s">
        <v>561</v>
      </c>
      <c r="D72" s="13">
        <v>3014.4</v>
      </c>
      <c r="E72" s="13">
        <v>0</v>
      </c>
      <c r="F72" s="5">
        <v>548.09</v>
      </c>
      <c r="G72" s="13">
        <v>2437.98</v>
      </c>
      <c r="H72" s="14">
        <f t="shared" si="5"/>
        <v>0.80877786624203818</v>
      </c>
      <c r="I72" s="5">
        <f t="shared" si="6"/>
        <v>3.84</v>
      </c>
      <c r="J72" s="5">
        <f t="shared" si="7"/>
        <v>24.49</v>
      </c>
      <c r="K72" s="14">
        <f t="shared" si="8"/>
        <v>8.1243365180467091E-3</v>
      </c>
      <c r="L72" s="14">
        <f t="shared" si="9"/>
        <v>4.4682442664525895E-2</v>
      </c>
      <c r="M72" s="5" t="s">
        <v>747</v>
      </c>
      <c r="N72" s="5">
        <v>1</v>
      </c>
      <c r="O72" s="5"/>
      <c r="P72" s="5">
        <v>39.68</v>
      </c>
      <c r="Q72" s="5" t="s">
        <v>38</v>
      </c>
    </row>
    <row r="73" spans="1:17" hidden="1" x14ac:dyDescent="0.25">
      <c r="A73" s="5">
        <v>61</v>
      </c>
      <c r="B73" s="5" t="s">
        <v>792</v>
      </c>
      <c r="C73" s="5" t="s">
        <v>569</v>
      </c>
      <c r="D73" s="13">
        <v>3768</v>
      </c>
      <c r="E73" s="13">
        <v>0</v>
      </c>
      <c r="F73" s="5">
        <v>3183.02</v>
      </c>
      <c r="G73" s="13">
        <v>105.48</v>
      </c>
      <c r="H73" s="14">
        <f t="shared" si="5"/>
        <v>2.7993630573248409E-2</v>
      </c>
      <c r="I73" s="5">
        <f t="shared" si="6"/>
        <v>22.28</v>
      </c>
      <c r="J73" s="5">
        <f t="shared" si="7"/>
        <v>457.22</v>
      </c>
      <c r="K73" s="14">
        <f t="shared" si="8"/>
        <v>0.12134288747346073</v>
      </c>
      <c r="L73" s="14">
        <f t="shared" si="9"/>
        <v>0.14364345809954071</v>
      </c>
      <c r="M73" s="5" t="s">
        <v>747</v>
      </c>
      <c r="N73" s="5">
        <v>1</v>
      </c>
      <c r="O73" s="5"/>
      <c r="P73" s="5">
        <v>336.75</v>
      </c>
      <c r="Q73" s="5" t="s">
        <v>38</v>
      </c>
    </row>
    <row r="74" spans="1:17" hidden="1" x14ac:dyDescent="0.25">
      <c r="A74" s="5">
        <v>62</v>
      </c>
      <c r="B74" s="5" t="s">
        <v>793</v>
      </c>
      <c r="C74" s="5" t="s">
        <v>630</v>
      </c>
      <c r="D74" s="13">
        <v>4710</v>
      </c>
      <c r="E74" s="13">
        <v>0</v>
      </c>
      <c r="F74" s="5">
        <v>2504.38</v>
      </c>
      <c r="G74" s="13">
        <v>1852.47</v>
      </c>
      <c r="H74" s="14">
        <f t="shared" si="5"/>
        <v>0.39330573248407646</v>
      </c>
      <c r="I74" s="5">
        <f t="shared" si="6"/>
        <v>17.53</v>
      </c>
      <c r="J74" s="5">
        <f t="shared" si="7"/>
        <v>335.62</v>
      </c>
      <c r="K74" s="14">
        <f t="shared" si="8"/>
        <v>7.125690021231422E-2</v>
      </c>
      <c r="L74" s="14">
        <f t="shared" si="9"/>
        <v>0.13401320885808063</v>
      </c>
      <c r="M74" s="5" t="s">
        <v>747</v>
      </c>
      <c r="N74" s="5">
        <v>1</v>
      </c>
      <c r="O74" s="5"/>
      <c r="P74" s="5">
        <v>164.87</v>
      </c>
      <c r="Q74" s="5" t="s">
        <v>38</v>
      </c>
    </row>
    <row r="75" spans="1:17" hidden="1" x14ac:dyDescent="0.25">
      <c r="A75" s="5">
        <v>63</v>
      </c>
      <c r="B75" s="5" t="s">
        <v>794</v>
      </c>
      <c r="C75" s="5" t="s">
        <v>676</v>
      </c>
      <c r="D75" s="13">
        <v>5652</v>
      </c>
      <c r="E75" s="13">
        <v>0</v>
      </c>
      <c r="F75" s="5">
        <v>1431.5</v>
      </c>
      <c r="G75" s="13">
        <v>3939.44</v>
      </c>
      <c r="H75" s="14">
        <f t="shared" si="5"/>
        <v>0.69699929228591651</v>
      </c>
      <c r="I75" s="5">
        <f t="shared" si="6"/>
        <v>10.02</v>
      </c>
      <c r="J75" s="5">
        <f t="shared" si="7"/>
        <v>271.04000000000002</v>
      </c>
      <c r="K75" s="14">
        <f t="shared" si="8"/>
        <v>4.795470629865535E-2</v>
      </c>
      <c r="L75" s="14">
        <f t="shared" si="9"/>
        <v>0.18933985330073352</v>
      </c>
      <c r="M75" s="5" t="s">
        <v>747</v>
      </c>
      <c r="N75" s="5">
        <v>1</v>
      </c>
      <c r="O75" s="5"/>
      <c r="P75" s="5">
        <v>100.02</v>
      </c>
      <c r="Q75" s="5" t="s">
        <v>38</v>
      </c>
    </row>
    <row r="76" spans="1:17" hidden="1" x14ac:dyDescent="0.25">
      <c r="A76" s="5">
        <v>64</v>
      </c>
      <c r="B76" s="5" t="s">
        <v>795</v>
      </c>
      <c r="C76" s="5" t="s">
        <v>703</v>
      </c>
      <c r="D76" s="13">
        <v>0</v>
      </c>
      <c r="E76" s="13">
        <v>3358.99</v>
      </c>
      <c r="F76" s="5">
        <v>2536.8200000000002</v>
      </c>
      <c r="G76" s="13">
        <v>559.39</v>
      </c>
      <c r="H76" s="14">
        <f t="shared" si="5"/>
        <v>0.16653517872932042</v>
      </c>
      <c r="I76" s="5">
        <f t="shared" si="6"/>
        <v>17.760000000000002</v>
      </c>
      <c r="J76" s="5">
        <f t="shared" si="7"/>
        <v>245.02</v>
      </c>
      <c r="K76" s="14">
        <f t="shared" si="8"/>
        <v>7.2944545830740795E-2</v>
      </c>
      <c r="L76" s="14">
        <f t="shared" si="9"/>
        <v>9.6585488919198048E-2</v>
      </c>
      <c r="M76" s="5" t="s">
        <v>747</v>
      </c>
      <c r="N76" s="5">
        <v>1</v>
      </c>
      <c r="O76" s="5"/>
      <c r="P76" s="5">
        <v>160.56</v>
      </c>
      <c r="Q76" s="5" t="s">
        <v>38</v>
      </c>
    </row>
    <row r="77" spans="1:17" hidden="1" x14ac:dyDescent="0.25">
      <c r="A77">
        <v>1</v>
      </c>
      <c r="B77" t="s">
        <v>785</v>
      </c>
      <c r="C77" t="s">
        <v>923</v>
      </c>
      <c r="D77">
        <v>81.64</v>
      </c>
      <c r="E77">
        <v>0</v>
      </c>
      <c r="F77">
        <v>67.819999999999993</v>
      </c>
      <c r="G77">
        <v>7.92</v>
      </c>
      <c r="H77" s="25">
        <v>9.701126898579128E-2</v>
      </c>
      <c r="I77">
        <v>0.47</v>
      </c>
      <c r="J77">
        <v>5.43</v>
      </c>
      <c r="K77" s="25">
        <v>6.651151396374326E-2</v>
      </c>
      <c r="L77">
        <v>8.0064877617222058E-2</v>
      </c>
      <c r="M77" t="s">
        <v>1085</v>
      </c>
      <c r="N77">
        <v>2</v>
      </c>
      <c r="O77" t="s">
        <v>924</v>
      </c>
    </row>
    <row r="78" spans="1:17" hidden="1" x14ac:dyDescent="0.25">
      <c r="A78">
        <v>2</v>
      </c>
      <c r="B78" t="s">
        <v>785</v>
      </c>
      <c r="C78" t="s">
        <v>926</v>
      </c>
      <c r="D78">
        <v>81.64</v>
      </c>
      <c r="E78">
        <v>0</v>
      </c>
      <c r="F78">
        <v>81.64</v>
      </c>
      <c r="G78">
        <v>0</v>
      </c>
      <c r="H78" s="25">
        <v>0</v>
      </c>
      <c r="I78">
        <v>0.56999999999999995</v>
      </c>
      <c r="J78">
        <v>0</v>
      </c>
      <c r="K78" s="25">
        <v>0</v>
      </c>
      <c r="L78">
        <v>0</v>
      </c>
      <c r="M78" t="s">
        <v>1085</v>
      </c>
      <c r="N78">
        <v>2</v>
      </c>
      <c r="O78" t="s">
        <v>924</v>
      </c>
    </row>
    <row r="79" spans="1:17" hidden="1" x14ac:dyDescent="0.25">
      <c r="A79">
        <v>3</v>
      </c>
      <c r="B79" t="s">
        <v>785</v>
      </c>
      <c r="C79" t="s">
        <v>928</v>
      </c>
      <c r="D79">
        <v>81.64</v>
      </c>
      <c r="E79">
        <v>0</v>
      </c>
      <c r="F79">
        <v>81.64</v>
      </c>
      <c r="G79">
        <v>0</v>
      </c>
      <c r="H79" s="25">
        <v>0</v>
      </c>
      <c r="I79">
        <v>0.56999999999999995</v>
      </c>
      <c r="J79">
        <v>0</v>
      </c>
      <c r="K79" s="25">
        <v>0</v>
      </c>
      <c r="L79">
        <v>0</v>
      </c>
      <c r="M79" t="s">
        <v>1085</v>
      </c>
      <c r="N79">
        <v>2</v>
      </c>
      <c r="O79" t="s">
        <v>924</v>
      </c>
    </row>
    <row r="80" spans="1:17" hidden="1" x14ac:dyDescent="0.25">
      <c r="A80">
        <v>4</v>
      </c>
      <c r="B80" t="s">
        <v>785</v>
      </c>
      <c r="C80" t="s">
        <v>930</v>
      </c>
      <c r="D80">
        <v>81.64</v>
      </c>
      <c r="E80">
        <v>0</v>
      </c>
      <c r="F80">
        <v>66.569999999999993</v>
      </c>
      <c r="G80">
        <v>15.07</v>
      </c>
      <c r="H80" s="25">
        <v>0.18459088682018618</v>
      </c>
      <c r="I80">
        <v>0.47</v>
      </c>
      <c r="J80">
        <v>0</v>
      </c>
      <c r="K80" s="25">
        <v>0</v>
      </c>
      <c r="L80">
        <v>0</v>
      </c>
      <c r="M80" t="s">
        <v>1085</v>
      </c>
      <c r="N80">
        <v>2</v>
      </c>
      <c r="O80" t="s">
        <v>924</v>
      </c>
    </row>
    <row r="81" spans="1:15" hidden="1" x14ac:dyDescent="0.25">
      <c r="A81">
        <v>5</v>
      </c>
      <c r="B81" t="s">
        <v>785</v>
      </c>
      <c r="C81" t="s">
        <v>932</v>
      </c>
      <c r="D81">
        <v>81.64</v>
      </c>
      <c r="E81">
        <v>0</v>
      </c>
      <c r="F81">
        <v>66.569999999999993</v>
      </c>
      <c r="G81">
        <v>15.07</v>
      </c>
      <c r="H81" s="25">
        <v>0.18459088682018618</v>
      </c>
      <c r="I81">
        <v>0.47</v>
      </c>
      <c r="J81">
        <v>0</v>
      </c>
      <c r="K81" s="25">
        <v>0</v>
      </c>
      <c r="L81">
        <v>0</v>
      </c>
      <c r="M81" t="s">
        <v>1085</v>
      </c>
      <c r="N81">
        <v>2</v>
      </c>
      <c r="O81" t="s">
        <v>924</v>
      </c>
    </row>
    <row r="82" spans="1:15" hidden="1" x14ac:dyDescent="0.25">
      <c r="A82">
        <v>6</v>
      </c>
      <c r="B82" t="s">
        <v>785</v>
      </c>
      <c r="C82" t="s">
        <v>934</v>
      </c>
      <c r="D82">
        <v>81.64</v>
      </c>
      <c r="E82">
        <v>0</v>
      </c>
      <c r="F82">
        <v>66.569999999999993</v>
      </c>
      <c r="G82">
        <v>15.07</v>
      </c>
      <c r="H82" s="25">
        <v>0.18459088682018618</v>
      </c>
      <c r="I82">
        <v>0.47</v>
      </c>
      <c r="J82">
        <v>0</v>
      </c>
      <c r="K82" s="25">
        <v>0</v>
      </c>
      <c r="L82">
        <v>0</v>
      </c>
      <c r="M82" t="s">
        <v>1085</v>
      </c>
      <c r="N82">
        <v>2</v>
      </c>
      <c r="O82" t="s">
        <v>924</v>
      </c>
    </row>
    <row r="83" spans="1:15" hidden="1" x14ac:dyDescent="0.25">
      <c r="A83">
        <v>7</v>
      </c>
      <c r="B83" t="s">
        <v>785</v>
      </c>
      <c r="C83" t="s">
        <v>936</v>
      </c>
      <c r="D83">
        <v>81.64</v>
      </c>
      <c r="E83">
        <v>0</v>
      </c>
      <c r="F83">
        <v>66.569999999999993</v>
      </c>
      <c r="G83">
        <v>15.07</v>
      </c>
      <c r="H83" s="25">
        <v>0.18459088682018618</v>
      </c>
      <c r="I83">
        <v>0.47</v>
      </c>
      <c r="J83">
        <v>0</v>
      </c>
      <c r="K83" s="25">
        <v>0</v>
      </c>
      <c r="L83">
        <v>0</v>
      </c>
      <c r="M83" t="s">
        <v>1085</v>
      </c>
      <c r="N83">
        <v>2</v>
      </c>
      <c r="O83" t="s">
        <v>924</v>
      </c>
    </row>
    <row r="84" spans="1:15" hidden="1" x14ac:dyDescent="0.25">
      <c r="A84">
        <v>8</v>
      </c>
      <c r="B84" t="s">
        <v>785</v>
      </c>
      <c r="C84" t="s">
        <v>938</v>
      </c>
      <c r="D84">
        <v>81.64</v>
      </c>
      <c r="E84">
        <v>0</v>
      </c>
      <c r="F84">
        <v>62.8</v>
      </c>
      <c r="G84">
        <v>15.07</v>
      </c>
      <c r="H84" s="25">
        <v>0.18459088682018618</v>
      </c>
      <c r="I84">
        <v>0.44</v>
      </c>
      <c r="J84">
        <v>3.33</v>
      </c>
      <c r="K84" s="25">
        <v>4.0788829005389514E-2</v>
      </c>
      <c r="L84">
        <v>5.3025477707006372E-2</v>
      </c>
      <c r="M84" t="s">
        <v>1085</v>
      </c>
      <c r="N84">
        <v>2</v>
      </c>
      <c r="O84" t="s">
        <v>924</v>
      </c>
    </row>
    <row r="85" spans="1:15" hidden="1" x14ac:dyDescent="0.25">
      <c r="A85">
        <v>9</v>
      </c>
      <c r="B85" t="s">
        <v>785</v>
      </c>
      <c r="C85" t="s">
        <v>940</v>
      </c>
      <c r="D85">
        <v>0</v>
      </c>
      <c r="E85">
        <v>61.67</v>
      </c>
      <c r="F85">
        <v>19.97</v>
      </c>
      <c r="G85">
        <v>41.7</v>
      </c>
      <c r="H85" s="25">
        <v>0.67617966596400192</v>
      </c>
      <c r="I85">
        <v>0.14000000000000001</v>
      </c>
      <c r="J85">
        <v>0</v>
      </c>
      <c r="K85" s="25">
        <v>0</v>
      </c>
      <c r="L85">
        <v>0</v>
      </c>
      <c r="M85" t="s">
        <v>1085</v>
      </c>
      <c r="N85">
        <v>2</v>
      </c>
      <c r="O85" t="s">
        <v>924</v>
      </c>
    </row>
    <row r="86" spans="1:15" hidden="1" x14ac:dyDescent="0.25">
      <c r="A86">
        <v>10</v>
      </c>
      <c r="B86" t="s">
        <v>785</v>
      </c>
      <c r="C86" t="s">
        <v>943</v>
      </c>
      <c r="D86">
        <v>81.64</v>
      </c>
      <c r="E86">
        <v>0</v>
      </c>
      <c r="F86">
        <v>48.23</v>
      </c>
      <c r="G86">
        <v>32.880000000000003</v>
      </c>
      <c r="H86" s="25">
        <v>0.40274375306222443</v>
      </c>
      <c r="I86">
        <v>0.34</v>
      </c>
      <c r="J86">
        <v>0.19</v>
      </c>
      <c r="K86" s="25">
        <v>2.3272905438510533E-3</v>
      </c>
      <c r="L86">
        <v>3.939456769645449E-3</v>
      </c>
      <c r="M86" t="s">
        <v>1085</v>
      </c>
      <c r="N86">
        <v>2</v>
      </c>
      <c r="O86" t="s">
        <v>924</v>
      </c>
    </row>
    <row r="87" spans="1:15" hidden="1" x14ac:dyDescent="0.25">
      <c r="A87">
        <v>11</v>
      </c>
      <c r="B87" t="s">
        <v>786</v>
      </c>
      <c r="C87" t="s">
        <v>946</v>
      </c>
      <c r="D87">
        <v>0</v>
      </c>
      <c r="E87">
        <v>105.98</v>
      </c>
      <c r="F87">
        <v>88.69</v>
      </c>
      <c r="G87">
        <v>0</v>
      </c>
      <c r="H87" s="25">
        <v>0</v>
      </c>
      <c r="I87">
        <v>0.62</v>
      </c>
      <c r="J87">
        <v>16.670000000000002</v>
      </c>
      <c r="K87" s="25">
        <v>0.15729382902434422</v>
      </c>
      <c r="L87">
        <v>0.18795805615063707</v>
      </c>
      <c r="M87" t="s">
        <v>1085</v>
      </c>
      <c r="N87">
        <v>2</v>
      </c>
      <c r="O87" t="s">
        <v>924</v>
      </c>
    </row>
    <row r="88" spans="1:15" hidden="1" x14ac:dyDescent="0.25">
      <c r="A88">
        <v>12</v>
      </c>
      <c r="B88" t="s">
        <v>786</v>
      </c>
      <c r="C88" t="s">
        <v>949</v>
      </c>
      <c r="D88">
        <v>353.25</v>
      </c>
      <c r="E88">
        <v>0</v>
      </c>
      <c r="F88">
        <v>114.11</v>
      </c>
      <c r="G88">
        <v>210.3</v>
      </c>
      <c r="H88" s="25">
        <v>0.59532908704883225</v>
      </c>
      <c r="I88">
        <v>0.8</v>
      </c>
      <c r="J88">
        <v>28.04</v>
      </c>
      <c r="K88" s="25">
        <v>7.937721160651097E-2</v>
      </c>
      <c r="L88">
        <v>0.24572780650249759</v>
      </c>
      <c r="M88" t="s">
        <v>1085</v>
      </c>
      <c r="N88">
        <v>2</v>
      </c>
      <c r="O88" t="s">
        <v>924</v>
      </c>
    </row>
    <row r="89" spans="1:15" hidden="1" x14ac:dyDescent="0.25">
      <c r="A89">
        <v>13</v>
      </c>
      <c r="B89" t="s">
        <v>787</v>
      </c>
      <c r="C89" t="s">
        <v>951</v>
      </c>
      <c r="D89">
        <v>847.8</v>
      </c>
      <c r="E89">
        <v>0</v>
      </c>
      <c r="F89">
        <v>717.6</v>
      </c>
      <c r="G89">
        <v>92.71</v>
      </c>
      <c r="H89" s="25">
        <v>0.10935362113706062</v>
      </c>
      <c r="I89">
        <v>5.0199999999999996</v>
      </c>
      <c r="J89">
        <v>32.47</v>
      </c>
      <c r="K89" s="25">
        <v>3.8299127152630341E-2</v>
      </c>
      <c r="L89">
        <v>4.5248049052396877E-2</v>
      </c>
      <c r="M89" t="s">
        <v>1085</v>
      </c>
      <c r="N89">
        <v>2</v>
      </c>
      <c r="O89" t="s">
        <v>924</v>
      </c>
    </row>
    <row r="90" spans="1:15" hidden="1" x14ac:dyDescent="0.25">
      <c r="A90">
        <v>14</v>
      </c>
      <c r="B90" t="s">
        <v>787</v>
      </c>
      <c r="C90" t="s">
        <v>953</v>
      </c>
      <c r="D90">
        <v>847.8</v>
      </c>
      <c r="E90">
        <v>0</v>
      </c>
      <c r="F90">
        <v>727.26</v>
      </c>
      <c r="G90">
        <v>92.71</v>
      </c>
      <c r="H90" s="25">
        <v>0.10935362113706062</v>
      </c>
      <c r="I90">
        <v>5.09</v>
      </c>
      <c r="J90">
        <v>22.74</v>
      </c>
      <c r="K90" s="25">
        <v>2.6822363765038923E-2</v>
      </c>
      <c r="L90">
        <v>3.1268047190825835E-2</v>
      </c>
      <c r="M90" t="s">
        <v>1085</v>
      </c>
      <c r="N90">
        <v>2</v>
      </c>
      <c r="O90" t="s">
        <v>924</v>
      </c>
    </row>
    <row r="91" spans="1:15" hidden="1" x14ac:dyDescent="0.25">
      <c r="A91">
        <v>15</v>
      </c>
      <c r="B91" t="s">
        <v>787</v>
      </c>
      <c r="C91" t="s">
        <v>955</v>
      </c>
      <c r="D91">
        <v>847.8</v>
      </c>
      <c r="E91">
        <v>0</v>
      </c>
      <c r="F91">
        <v>723.2</v>
      </c>
      <c r="G91">
        <v>92.71</v>
      </c>
      <c r="H91" s="25">
        <v>0.10935362113706062</v>
      </c>
      <c r="I91">
        <v>5.0599999999999996</v>
      </c>
      <c r="J91">
        <v>26.83</v>
      </c>
      <c r="K91" s="25">
        <v>3.1646614767633877E-2</v>
      </c>
      <c r="L91">
        <v>3.7099004424778759E-2</v>
      </c>
      <c r="M91" t="s">
        <v>1085</v>
      </c>
      <c r="N91">
        <v>2</v>
      </c>
      <c r="O91" t="s">
        <v>924</v>
      </c>
    </row>
    <row r="92" spans="1:15" hidden="1" x14ac:dyDescent="0.25">
      <c r="A92">
        <v>16</v>
      </c>
      <c r="B92" t="s">
        <v>787</v>
      </c>
      <c r="C92" t="s">
        <v>957</v>
      </c>
      <c r="D92">
        <v>847.8</v>
      </c>
      <c r="E92">
        <v>0</v>
      </c>
      <c r="F92">
        <v>723.1</v>
      </c>
      <c r="G92">
        <v>93.17</v>
      </c>
      <c r="H92" s="25">
        <v>0.1098962019344185</v>
      </c>
      <c r="I92">
        <v>5.0599999999999996</v>
      </c>
      <c r="J92">
        <v>26.47</v>
      </c>
      <c r="K92" s="25">
        <v>3.122198631752772E-2</v>
      </c>
      <c r="L92">
        <v>3.6606278523025858E-2</v>
      </c>
      <c r="M92" t="s">
        <v>1085</v>
      </c>
      <c r="N92">
        <v>2</v>
      </c>
      <c r="O92" t="s">
        <v>924</v>
      </c>
    </row>
    <row r="93" spans="1:15" hidden="1" x14ac:dyDescent="0.25">
      <c r="A93">
        <v>17</v>
      </c>
      <c r="B93" t="s">
        <v>787</v>
      </c>
      <c r="C93" t="s">
        <v>959</v>
      </c>
      <c r="D93">
        <v>847.8</v>
      </c>
      <c r="E93">
        <v>0</v>
      </c>
      <c r="F93">
        <v>722.86</v>
      </c>
      <c r="G93">
        <v>80.27</v>
      </c>
      <c r="H93" s="25">
        <v>9.4680349138947864E-2</v>
      </c>
      <c r="I93">
        <v>5.0599999999999996</v>
      </c>
      <c r="J93">
        <v>39.61</v>
      </c>
      <c r="K93" s="25">
        <v>4.6720924746402458E-2</v>
      </c>
      <c r="L93">
        <v>5.4796226101873111E-2</v>
      </c>
      <c r="M93" t="s">
        <v>1085</v>
      </c>
      <c r="N93">
        <v>2</v>
      </c>
      <c r="O93" t="s">
        <v>924</v>
      </c>
    </row>
    <row r="94" spans="1:15" hidden="1" x14ac:dyDescent="0.25">
      <c r="A94">
        <v>18</v>
      </c>
      <c r="B94" t="s">
        <v>787</v>
      </c>
      <c r="C94" t="s">
        <v>961</v>
      </c>
      <c r="D94">
        <v>847.8</v>
      </c>
      <c r="E94">
        <v>0</v>
      </c>
      <c r="F94">
        <v>722.84</v>
      </c>
      <c r="G94">
        <v>80.27</v>
      </c>
      <c r="H94" s="25">
        <v>9.4680349138947864E-2</v>
      </c>
      <c r="I94">
        <v>5.0599999999999996</v>
      </c>
      <c r="J94">
        <v>39.630000000000003</v>
      </c>
      <c r="K94" s="25">
        <v>4.6744515215852801E-2</v>
      </c>
      <c r="L94">
        <v>5.4825410879309394E-2</v>
      </c>
      <c r="M94" t="s">
        <v>1085</v>
      </c>
      <c r="N94">
        <v>2</v>
      </c>
      <c r="O94" t="s">
        <v>924</v>
      </c>
    </row>
    <row r="95" spans="1:15" hidden="1" x14ac:dyDescent="0.25">
      <c r="A95">
        <v>19</v>
      </c>
      <c r="B95" t="s">
        <v>787</v>
      </c>
      <c r="C95" t="s">
        <v>963</v>
      </c>
      <c r="D95">
        <v>847.8</v>
      </c>
      <c r="E95">
        <v>0</v>
      </c>
      <c r="F95">
        <v>722.69</v>
      </c>
      <c r="G95">
        <v>94.75</v>
      </c>
      <c r="H95" s="25">
        <v>0.11175984902099552</v>
      </c>
      <c r="I95">
        <v>5.0599999999999996</v>
      </c>
      <c r="J95">
        <v>25.3</v>
      </c>
      <c r="K95" s="25">
        <v>2.9841943854682709E-2</v>
      </c>
      <c r="L95">
        <v>3.5008094757088097E-2</v>
      </c>
      <c r="M95" t="s">
        <v>1085</v>
      </c>
      <c r="N95">
        <v>2</v>
      </c>
      <c r="O95" t="s">
        <v>924</v>
      </c>
    </row>
    <row r="96" spans="1:15" hidden="1" x14ac:dyDescent="0.25">
      <c r="A96">
        <v>20</v>
      </c>
      <c r="B96" t="s">
        <v>787</v>
      </c>
      <c r="C96" t="s">
        <v>965</v>
      </c>
      <c r="D96">
        <v>847.8</v>
      </c>
      <c r="E96">
        <v>0</v>
      </c>
      <c r="F96">
        <v>722.67</v>
      </c>
      <c r="G96">
        <v>93.43</v>
      </c>
      <c r="H96" s="25">
        <v>0.11020287803727295</v>
      </c>
      <c r="I96">
        <v>5.0599999999999996</v>
      </c>
      <c r="J96">
        <v>26.64</v>
      </c>
      <c r="K96" s="25">
        <v>3.1422505307855626E-2</v>
      </c>
      <c r="L96">
        <v>3.6863298601021215E-2</v>
      </c>
      <c r="M96" t="s">
        <v>1085</v>
      </c>
      <c r="N96">
        <v>2</v>
      </c>
      <c r="O96" t="s">
        <v>924</v>
      </c>
    </row>
    <row r="97" spans="1:15" hidden="1" x14ac:dyDescent="0.25">
      <c r="A97">
        <v>21</v>
      </c>
      <c r="B97" t="s">
        <v>787</v>
      </c>
      <c r="C97" t="s">
        <v>967</v>
      </c>
      <c r="D97">
        <v>847.8</v>
      </c>
      <c r="E97">
        <v>0</v>
      </c>
      <c r="F97">
        <v>736.28</v>
      </c>
      <c r="G97">
        <v>80.27</v>
      </c>
      <c r="H97" s="25">
        <v>9.4680349138947864E-2</v>
      </c>
      <c r="I97">
        <v>5.15</v>
      </c>
      <c r="J97">
        <v>26.1</v>
      </c>
      <c r="K97" s="25">
        <v>3.0785562632696394E-2</v>
      </c>
      <c r="L97">
        <v>3.5448470690498182E-2</v>
      </c>
      <c r="M97" t="s">
        <v>1085</v>
      </c>
      <c r="N97">
        <v>2</v>
      </c>
      <c r="O97" t="s">
        <v>924</v>
      </c>
    </row>
    <row r="98" spans="1:15" hidden="1" x14ac:dyDescent="0.25">
      <c r="A98">
        <v>22</v>
      </c>
      <c r="B98" t="s">
        <v>787</v>
      </c>
      <c r="C98" t="s">
        <v>969</v>
      </c>
      <c r="D98">
        <v>847.8</v>
      </c>
      <c r="E98">
        <v>0</v>
      </c>
      <c r="F98">
        <v>742.43</v>
      </c>
      <c r="G98">
        <v>65.959999999999994</v>
      </c>
      <c r="H98" s="25">
        <v>7.7801368247228123E-2</v>
      </c>
      <c r="I98">
        <v>5.2</v>
      </c>
      <c r="J98">
        <v>34.21</v>
      </c>
      <c r="K98" s="25">
        <v>4.0351497994810102E-2</v>
      </c>
      <c r="L98">
        <v>4.6078418167369316E-2</v>
      </c>
      <c r="M98" t="s">
        <v>1085</v>
      </c>
      <c r="N98">
        <v>2</v>
      </c>
      <c r="O98" t="s">
        <v>924</v>
      </c>
    </row>
    <row r="99" spans="1:15" hidden="1" x14ac:dyDescent="0.25">
      <c r="A99">
        <v>23</v>
      </c>
      <c r="B99" t="s">
        <v>787</v>
      </c>
      <c r="C99" t="s">
        <v>971</v>
      </c>
      <c r="D99">
        <v>847.8</v>
      </c>
      <c r="E99">
        <v>0</v>
      </c>
      <c r="F99">
        <v>742.44</v>
      </c>
      <c r="G99">
        <v>65.709999999999994</v>
      </c>
      <c r="H99" s="25">
        <v>7.7506487379098835E-2</v>
      </c>
      <c r="I99">
        <v>5.2</v>
      </c>
      <c r="J99">
        <v>34.450000000000003</v>
      </c>
      <c r="K99" s="25">
        <v>4.0634583628214205E-2</v>
      </c>
      <c r="L99">
        <v>4.6401055977587417E-2</v>
      </c>
      <c r="M99" t="s">
        <v>1085</v>
      </c>
      <c r="N99">
        <v>2</v>
      </c>
      <c r="O99" t="s">
        <v>924</v>
      </c>
    </row>
    <row r="100" spans="1:15" hidden="1" x14ac:dyDescent="0.25">
      <c r="A100">
        <v>24</v>
      </c>
      <c r="B100" t="s">
        <v>787</v>
      </c>
      <c r="C100" t="s">
        <v>973</v>
      </c>
      <c r="D100">
        <v>847.8</v>
      </c>
      <c r="E100">
        <v>0</v>
      </c>
      <c r="F100">
        <v>720.91</v>
      </c>
      <c r="G100">
        <v>95.38</v>
      </c>
      <c r="H100" s="25">
        <v>0.11250294880868129</v>
      </c>
      <c r="I100">
        <v>5.05</v>
      </c>
      <c r="J100">
        <v>26.46</v>
      </c>
      <c r="K100" s="25">
        <v>3.1210191082802551E-2</v>
      </c>
      <c r="L100">
        <v>3.6703610714236175E-2</v>
      </c>
      <c r="M100" t="s">
        <v>1085</v>
      </c>
      <c r="N100">
        <v>2</v>
      </c>
      <c r="O100" t="s">
        <v>924</v>
      </c>
    </row>
    <row r="101" spans="1:15" hidden="1" x14ac:dyDescent="0.25">
      <c r="A101">
        <v>25</v>
      </c>
      <c r="B101" t="s">
        <v>787</v>
      </c>
      <c r="C101" t="s">
        <v>975</v>
      </c>
      <c r="D101">
        <v>847.8</v>
      </c>
      <c r="E101">
        <v>0</v>
      </c>
      <c r="F101">
        <v>720.91</v>
      </c>
      <c r="G101">
        <v>97.12</v>
      </c>
      <c r="H101" s="25">
        <v>0.11455531965086106</v>
      </c>
      <c r="I101">
        <v>5.05</v>
      </c>
      <c r="J101">
        <v>24.72</v>
      </c>
      <c r="K101" s="25">
        <v>2.915782024062279E-2</v>
      </c>
      <c r="L101">
        <v>3.4289994590170757E-2</v>
      </c>
      <c r="M101" t="s">
        <v>1085</v>
      </c>
      <c r="N101">
        <v>2</v>
      </c>
      <c r="O101" t="s">
        <v>924</v>
      </c>
    </row>
    <row r="102" spans="1:15" hidden="1" x14ac:dyDescent="0.25">
      <c r="A102">
        <v>26</v>
      </c>
      <c r="B102" t="s">
        <v>787</v>
      </c>
      <c r="C102" t="s">
        <v>977</v>
      </c>
      <c r="D102">
        <v>847.8</v>
      </c>
      <c r="E102">
        <v>0</v>
      </c>
      <c r="F102">
        <v>720.91</v>
      </c>
      <c r="G102">
        <v>97.12</v>
      </c>
      <c r="H102" s="25">
        <v>0.11455531965086106</v>
      </c>
      <c r="I102">
        <v>5.05</v>
      </c>
      <c r="J102">
        <v>24.72</v>
      </c>
      <c r="K102" s="25">
        <v>2.915782024062279E-2</v>
      </c>
      <c r="L102">
        <v>3.4289994590170757E-2</v>
      </c>
      <c r="M102" t="s">
        <v>1085</v>
      </c>
      <c r="N102">
        <v>2</v>
      </c>
      <c r="O102" t="s">
        <v>924</v>
      </c>
    </row>
    <row r="103" spans="1:15" hidden="1" x14ac:dyDescent="0.25">
      <c r="A103">
        <v>27</v>
      </c>
      <c r="B103" t="s">
        <v>787</v>
      </c>
      <c r="C103" t="s">
        <v>979</v>
      </c>
      <c r="D103">
        <v>847.8</v>
      </c>
      <c r="E103">
        <v>0</v>
      </c>
      <c r="F103">
        <v>727.45</v>
      </c>
      <c r="G103">
        <v>80.260000000000005</v>
      </c>
      <c r="H103" s="25">
        <v>9.4668553904222699E-2</v>
      </c>
      <c r="I103">
        <v>5.09</v>
      </c>
      <c r="J103">
        <v>35</v>
      </c>
      <c r="K103" s="25">
        <v>4.1283321538098612E-2</v>
      </c>
      <c r="L103">
        <v>4.8113272389854973E-2</v>
      </c>
      <c r="M103" t="s">
        <v>1085</v>
      </c>
      <c r="N103">
        <v>2</v>
      </c>
      <c r="O103" t="s">
        <v>924</v>
      </c>
    </row>
    <row r="104" spans="1:15" hidden="1" x14ac:dyDescent="0.25">
      <c r="A104">
        <v>28</v>
      </c>
      <c r="B104" t="s">
        <v>787</v>
      </c>
      <c r="C104" t="s">
        <v>981</v>
      </c>
      <c r="D104">
        <v>847.8</v>
      </c>
      <c r="E104">
        <v>0</v>
      </c>
      <c r="F104">
        <v>737.24</v>
      </c>
      <c r="G104">
        <v>80.260000000000005</v>
      </c>
      <c r="H104" s="25">
        <v>9.4668553904222699E-2</v>
      </c>
      <c r="I104">
        <v>5.16</v>
      </c>
      <c r="J104">
        <v>25.14</v>
      </c>
      <c r="K104" s="25">
        <v>2.9653220099079974E-2</v>
      </c>
      <c r="L104">
        <v>3.4100157343605879E-2</v>
      </c>
      <c r="M104" t="s">
        <v>1085</v>
      </c>
      <c r="N104">
        <v>2</v>
      </c>
      <c r="O104" t="s">
        <v>924</v>
      </c>
    </row>
    <row r="105" spans="1:15" hidden="1" x14ac:dyDescent="0.25">
      <c r="A105">
        <v>29</v>
      </c>
      <c r="B105" t="s">
        <v>787</v>
      </c>
      <c r="C105" t="s">
        <v>983</v>
      </c>
      <c r="D105">
        <v>847.8</v>
      </c>
      <c r="E105">
        <v>0</v>
      </c>
      <c r="F105">
        <v>773.2</v>
      </c>
      <c r="G105">
        <v>0</v>
      </c>
      <c r="H105" s="25">
        <v>0</v>
      </c>
      <c r="I105">
        <v>5.41</v>
      </c>
      <c r="J105">
        <v>69.19</v>
      </c>
      <c r="K105" s="25">
        <v>8.1611229063458371E-2</v>
      </c>
      <c r="L105">
        <v>8.9485256078634237E-2</v>
      </c>
      <c r="M105" t="s">
        <v>1085</v>
      </c>
      <c r="N105">
        <v>2</v>
      </c>
      <c r="O105" t="s">
        <v>924</v>
      </c>
    </row>
    <row r="106" spans="1:15" hidden="1" x14ac:dyDescent="0.25">
      <c r="A106">
        <v>30</v>
      </c>
      <c r="B106" t="s">
        <v>787</v>
      </c>
      <c r="C106" t="s">
        <v>986</v>
      </c>
      <c r="D106">
        <v>0</v>
      </c>
      <c r="E106">
        <v>446.86</v>
      </c>
      <c r="F106">
        <v>343.17</v>
      </c>
      <c r="G106">
        <v>83.87</v>
      </c>
      <c r="H106" s="25">
        <v>0.18768741887839593</v>
      </c>
      <c r="I106">
        <v>2.4</v>
      </c>
      <c r="J106">
        <v>17.420000000000002</v>
      </c>
      <c r="K106" s="25">
        <v>3.8983126706350985E-2</v>
      </c>
      <c r="L106">
        <v>5.0762012996474051E-2</v>
      </c>
      <c r="M106" t="s">
        <v>1085</v>
      </c>
      <c r="N106">
        <v>2</v>
      </c>
      <c r="O106" t="s">
        <v>924</v>
      </c>
    </row>
    <row r="107" spans="1:15" hidden="1" x14ac:dyDescent="0.25">
      <c r="A107">
        <v>31</v>
      </c>
      <c r="B107" t="s">
        <v>788</v>
      </c>
      <c r="C107" t="s">
        <v>989</v>
      </c>
      <c r="D107">
        <v>1507.2</v>
      </c>
      <c r="E107">
        <v>0</v>
      </c>
      <c r="F107">
        <v>1450.53</v>
      </c>
      <c r="G107">
        <v>0</v>
      </c>
      <c r="H107" s="25">
        <v>0</v>
      </c>
      <c r="I107">
        <v>10.15</v>
      </c>
      <c r="J107">
        <v>46.52</v>
      </c>
      <c r="K107" s="25">
        <v>3.0865180467091295E-2</v>
      </c>
      <c r="L107">
        <v>3.2071036104044728E-2</v>
      </c>
      <c r="M107" t="s">
        <v>1085</v>
      </c>
      <c r="N107">
        <v>2</v>
      </c>
      <c r="O107" t="s">
        <v>924</v>
      </c>
    </row>
    <row r="108" spans="1:15" hidden="1" x14ac:dyDescent="0.25">
      <c r="A108">
        <v>32</v>
      </c>
      <c r="B108" t="s">
        <v>788</v>
      </c>
      <c r="C108" t="s">
        <v>991</v>
      </c>
      <c r="D108">
        <v>1507.2</v>
      </c>
      <c r="E108">
        <v>0</v>
      </c>
      <c r="F108">
        <v>1422.67</v>
      </c>
      <c r="G108">
        <v>0</v>
      </c>
      <c r="H108" s="25">
        <v>0</v>
      </c>
      <c r="I108">
        <v>9.9600000000000009</v>
      </c>
      <c r="J108">
        <v>74.569999999999993</v>
      </c>
      <c r="K108" s="25">
        <v>4.9475849256900205E-2</v>
      </c>
      <c r="L108">
        <v>5.2415528548433572E-2</v>
      </c>
      <c r="M108" t="s">
        <v>1085</v>
      </c>
      <c r="N108">
        <v>2</v>
      </c>
      <c r="O108" t="s">
        <v>924</v>
      </c>
    </row>
    <row r="109" spans="1:15" hidden="1" x14ac:dyDescent="0.25">
      <c r="A109">
        <v>33</v>
      </c>
      <c r="B109" t="s">
        <v>788</v>
      </c>
      <c r="C109" t="s">
        <v>993</v>
      </c>
      <c r="D109">
        <v>1507.2</v>
      </c>
      <c r="E109">
        <v>0</v>
      </c>
      <c r="F109">
        <v>1422.45</v>
      </c>
      <c r="G109">
        <v>0</v>
      </c>
      <c r="H109" s="25">
        <v>0</v>
      </c>
      <c r="I109">
        <v>9.9600000000000009</v>
      </c>
      <c r="J109">
        <v>74.790000000000006</v>
      </c>
      <c r="K109" s="25">
        <v>4.9621815286624203E-2</v>
      </c>
      <c r="L109">
        <v>5.2578298006959824E-2</v>
      </c>
      <c r="M109" t="s">
        <v>1085</v>
      </c>
      <c r="N109">
        <v>2</v>
      </c>
      <c r="O109" t="s">
        <v>924</v>
      </c>
    </row>
    <row r="110" spans="1:15" hidden="1" x14ac:dyDescent="0.25">
      <c r="A110">
        <v>34</v>
      </c>
      <c r="B110" t="s">
        <v>788</v>
      </c>
      <c r="C110" t="s">
        <v>995</v>
      </c>
      <c r="D110">
        <v>1507.2</v>
      </c>
      <c r="E110">
        <v>0</v>
      </c>
      <c r="F110">
        <v>1396.27</v>
      </c>
      <c r="G110">
        <v>0</v>
      </c>
      <c r="H110" s="25">
        <v>0</v>
      </c>
      <c r="I110">
        <v>9.77</v>
      </c>
      <c r="J110">
        <v>101.16</v>
      </c>
      <c r="K110" s="25">
        <v>6.7117834394904458E-2</v>
      </c>
      <c r="L110">
        <v>7.2450170812235454E-2</v>
      </c>
      <c r="M110" t="s">
        <v>1085</v>
      </c>
      <c r="N110">
        <v>2</v>
      </c>
      <c r="O110" t="s">
        <v>924</v>
      </c>
    </row>
    <row r="111" spans="1:15" hidden="1" x14ac:dyDescent="0.25">
      <c r="A111">
        <v>35</v>
      </c>
      <c r="B111" t="s">
        <v>788</v>
      </c>
      <c r="C111" t="s">
        <v>997</v>
      </c>
      <c r="D111">
        <v>1507.2</v>
      </c>
      <c r="E111">
        <v>0</v>
      </c>
      <c r="F111">
        <v>1397.65</v>
      </c>
      <c r="G111">
        <v>0</v>
      </c>
      <c r="H111" s="25">
        <v>0</v>
      </c>
      <c r="I111">
        <v>9.7799999999999994</v>
      </c>
      <c r="J111">
        <v>99.77</v>
      </c>
      <c r="K111" s="25">
        <v>6.6195594479830144E-2</v>
      </c>
      <c r="L111">
        <v>7.1384109040174573E-2</v>
      </c>
      <c r="M111" t="s">
        <v>1085</v>
      </c>
      <c r="N111">
        <v>2</v>
      </c>
      <c r="O111" t="s">
        <v>924</v>
      </c>
    </row>
    <row r="112" spans="1:15" hidden="1" x14ac:dyDescent="0.25">
      <c r="A112">
        <v>36</v>
      </c>
      <c r="B112" t="s">
        <v>788</v>
      </c>
      <c r="C112" t="s">
        <v>999</v>
      </c>
      <c r="D112">
        <v>1507.2</v>
      </c>
      <c r="E112">
        <v>0</v>
      </c>
      <c r="F112">
        <v>1412.28</v>
      </c>
      <c r="G112">
        <v>0</v>
      </c>
      <c r="H112" s="25">
        <v>0</v>
      </c>
      <c r="I112">
        <v>9.89</v>
      </c>
      <c r="J112">
        <v>85.03</v>
      </c>
      <c r="K112" s="25">
        <v>5.6415870488322716E-2</v>
      </c>
      <c r="L112">
        <v>6.0207607556575185E-2</v>
      </c>
      <c r="M112" t="s">
        <v>1085</v>
      </c>
      <c r="N112">
        <v>2</v>
      </c>
      <c r="O112" t="s">
        <v>924</v>
      </c>
    </row>
    <row r="113" spans="1:15" hidden="1" x14ac:dyDescent="0.25">
      <c r="A113">
        <v>37</v>
      </c>
      <c r="B113" t="s">
        <v>788</v>
      </c>
      <c r="C113" t="s">
        <v>1001</v>
      </c>
      <c r="D113">
        <v>1507.2</v>
      </c>
      <c r="E113">
        <v>0</v>
      </c>
      <c r="F113">
        <v>1422.01</v>
      </c>
      <c r="G113">
        <v>0</v>
      </c>
      <c r="H113" s="25">
        <v>0</v>
      </c>
      <c r="I113">
        <v>9.9499999999999993</v>
      </c>
      <c r="J113">
        <v>75.239999999999995</v>
      </c>
      <c r="K113" s="25">
        <v>4.9920382165605091E-2</v>
      </c>
      <c r="L113">
        <v>5.2911020316312819E-2</v>
      </c>
      <c r="M113" t="s">
        <v>1085</v>
      </c>
      <c r="N113">
        <v>2</v>
      </c>
      <c r="O113" t="s">
        <v>924</v>
      </c>
    </row>
    <row r="114" spans="1:15" hidden="1" x14ac:dyDescent="0.25">
      <c r="A114">
        <v>38</v>
      </c>
      <c r="B114" t="s">
        <v>788</v>
      </c>
      <c r="C114" t="s">
        <v>1003</v>
      </c>
      <c r="D114">
        <v>1507.2</v>
      </c>
      <c r="E114">
        <v>0</v>
      </c>
      <c r="F114">
        <v>1448.71</v>
      </c>
      <c r="G114">
        <v>0</v>
      </c>
      <c r="H114" s="25">
        <v>0</v>
      </c>
      <c r="I114">
        <v>10.14</v>
      </c>
      <c r="J114">
        <v>48.35</v>
      </c>
      <c r="K114" s="25">
        <v>3.2079352441613591E-2</v>
      </c>
      <c r="L114">
        <v>3.3374519400017948E-2</v>
      </c>
      <c r="M114" t="s">
        <v>1085</v>
      </c>
      <c r="N114">
        <v>2</v>
      </c>
      <c r="O114" t="s">
        <v>924</v>
      </c>
    </row>
    <row r="115" spans="1:15" hidden="1" x14ac:dyDescent="0.25">
      <c r="A115">
        <v>39</v>
      </c>
      <c r="B115" t="s">
        <v>788</v>
      </c>
      <c r="C115" t="s">
        <v>1005</v>
      </c>
      <c r="D115">
        <v>1507.2</v>
      </c>
      <c r="E115">
        <v>0</v>
      </c>
      <c r="F115">
        <v>1434.86</v>
      </c>
      <c r="G115">
        <v>0</v>
      </c>
      <c r="H115" s="25">
        <v>0</v>
      </c>
      <c r="I115">
        <v>10.039999999999999</v>
      </c>
      <c r="J115">
        <v>62.3</v>
      </c>
      <c r="K115" s="25">
        <v>4.1334925690021229E-2</v>
      </c>
      <c r="L115">
        <v>4.3418870133671579E-2</v>
      </c>
      <c r="M115" t="s">
        <v>1085</v>
      </c>
      <c r="N115">
        <v>2</v>
      </c>
      <c r="O115" t="s">
        <v>924</v>
      </c>
    </row>
    <row r="116" spans="1:15" hidden="1" x14ac:dyDescent="0.25">
      <c r="A116">
        <v>40</v>
      </c>
      <c r="B116" t="s">
        <v>788</v>
      </c>
      <c r="C116" t="s">
        <v>1007</v>
      </c>
      <c r="D116">
        <v>1507.2</v>
      </c>
      <c r="E116">
        <v>0</v>
      </c>
      <c r="F116">
        <v>1424.4</v>
      </c>
      <c r="G116">
        <v>0</v>
      </c>
      <c r="H116" s="25">
        <v>0</v>
      </c>
      <c r="I116">
        <v>9.9700000000000006</v>
      </c>
      <c r="J116">
        <v>72.83</v>
      </c>
      <c r="K116" s="25">
        <v>4.8321390658174097E-2</v>
      </c>
      <c r="L116">
        <v>5.1130300477393989E-2</v>
      </c>
      <c r="M116" t="s">
        <v>1085</v>
      </c>
      <c r="N116">
        <v>2</v>
      </c>
      <c r="O116" t="s">
        <v>924</v>
      </c>
    </row>
    <row r="117" spans="1:15" hidden="1" x14ac:dyDescent="0.25">
      <c r="A117">
        <v>41</v>
      </c>
      <c r="B117" t="s">
        <v>788</v>
      </c>
      <c r="C117" t="s">
        <v>1009</v>
      </c>
      <c r="D117">
        <v>0</v>
      </c>
      <c r="E117">
        <v>14.06</v>
      </c>
      <c r="F117">
        <v>10.99</v>
      </c>
      <c r="G117">
        <v>0</v>
      </c>
      <c r="H117" s="25">
        <v>0</v>
      </c>
      <c r="I117">
        <v>0.08</v>
      </c>
      <c r="J117">
        <v>2.99</v>
      </c>
      <c r="K117" s="25">
        <v>0.21266002844950213</v>
      </c>
      <c r="L117">
        <v>0.2720655141037307</v>
      </c>
      <c r="M117" t="s">
        <v>1085</v>
      </c>
      <c r="N117">
        <v>2</v>
      </c>
      <c r="O117" t="s">
        <v>924</v>
      </c>
    </row>
    <row r="118" spans="1:15" hidden="1" x14ac:dyDescent="0.25">
      <c r="A118">
        <v>42</v>
      </c>
      <c r="B118" t="s">
        <v>789</v>
      </c>
      <c r="C118" t="s">
        <v>1011</v>
      </c>
      <c r="D118">
        <v>1413</v>
      </c>
      <c r="E118">
        <v>0</v>
      </c>
      <c r="F118">
        <v>1375.31</v>
      </c>
      <c r="G118">
        <v>0</v>
      </c>
      <c r="H118" s="25">
        <v>0</v>
      </c>
      <c r="I118">
        <v>9.6300000000000008</v>
      </c>
      <c r="J118">
        <v>28.06</v>
      </c>
      <c r="K118" s="25">
        <v>1.9858457183297946E-2</v>
      </c>
      <c r="L118">
        <v>2.0402672851938836E-2</v>
      </c>
      <c r="M118" t="s">
        <v>1085</v>
      </c>
      <c r="N118">
        <v>2</v>
      </c>
      <c r="O118" t="s">
        <v>924</v>
      </c>
    </row>
    <row r="119" spans="1:15" hidden="1" x14ac:dyDescent="0.25">
      <c r="A119">
        <v>43</v>
      </c>
      <c r="B119" t="s">
        <v>789</v>
      </c>
      <c r="C119" t="s">
        <v>1013</v>
      </c>
      <c r="D119">
        <v>1413</v>
      </c>
      <c r="E119">
        <v>0</v>
      </c>
      <c r="F119">
        <v>1375.31</v>
      </c>
      <c r="G119">
        <v>0</v>
      </c>
      <c r="H119" s="25">
        <v>0</v>
      </c>
      <c r="I119">
        <v>9.6300000000000008</v>
      </c>
      <c r="J119">
        <v>28.06</v>
      </c>
      <c r="K119" s="25">
        <v>1.9858457183297946E-2</v>
      </c>
      <c r="L119">
        <v>2.0402672851938836E-2</v>
      </c>
      <c r="M119" t="s">
        <v>1085</v>
      </c>
      <c r="N119">
        <v>2</v>
      </c>
      <c r="O119" t="s">
        <v>924</v>
      </c>
    </row>
    <row r="120" spans="1:15" hidden="1" x14ac:dyDescent="0.25">
      <c r="A120">
        <v>44</v>
      </c>
      <c r="B120" t="s">
        <v>789</v>
      </c>
      <c r="C120" t="s">
        <v>1015</v>
      </c>
      <c r="D120">
        <v>1413</v>
      </c>
      <c r="E120">
        <v>0</v>
      </c>
      <c r="F120">
        <v>1375.32</v>
      </c>
      <c r="G120">
        <v>0</v>
      </c>
      <c r="H120" s="25">
        <v>0</v>
      </c>
      <c r="I120">
        <v>9.6300000000000008</v>
      </c>
      <c r="J120">
        <v>28.05</v>
      </c>
      <c r="K120" s="25">
        <v>1.9851380042462844E-2</v>
      </c>
      <c r="L120">
        <v>2.0395253468283747E-2</v>
      </c>
      <c r="M120" t="s">
        <v>1085</v>
      </c>
      <c r="N120">
        <v>2</v>
      </c>
      <c r="O120" t="s">
        <v>924</v>
      </c>
    </row>
    <row r="121" spans="1:15" hidden="1" x14ac:dyDescent="0.25">
      <c r="A121">
        <v>45</v>
      </c>
      <c r="B121" t="s">
        <v>789</v>
      </c>
      <c r="C121" t="s">
        <v>1017</v>
      </c>
      <c r="D121">
        <v>1413</v>
      </c>
      <c r="E121">
        <v>0</v>
      </c>
      <c r="F121">
        <v>1365.89</v>
      </c>
      <c r="G121">
        <v>0</v>
      </c>
      <c r="H121" s="25">
        <v>0</v>
      </c>
      <c r="I121">
        <v>9.56</v>
      </c>
      <c r="J121">
        <v>37.549999999999997</v>
      </c>
      <c r="K121" s="25">
        <v>2.6574663835810329E-2</v>
      </c>
      <c r="L121">
        <v>2.7491232822555254E-2</v>
      </c>
      <c r="M121" t="s">
        <v>1085</v>
      </c>
      <c r="N121">
        <v>2</v>
      </c>
      <c r="O121" t="s">
        <v>924</v>
      </c>
    </row>
    <row r="122" spans="1:15" hidden="1" x14ac:dyDescent="0.25">
      <c r="A122">
        <v>46</v>
      </c>
      <c r="B122" t="s">
        <v>789</v>
      </c>
      <c r="C122" t="s">
        <v>1019</v>
      </c>
      <c r="D122">
        <v>1413</v>
      </c>
      <c r="E122">
        <v>0</v>
      </c>
      <c r="F122">
        <v>1313.14</v>
      </c>
      <c r="G122">
        <v>0</v>
      </c>
      <c r="H122" s="25">
        <v>0</v>
      </c>
      <c r="I122">
        <v>9.19</v>
      </c>
      <c r="J122">
        <v>90.67</v>
      </c>
      <c r="K122" s="25">
        <v>6.4168435951875449E-2</v>
      </c>
      <c r="L122">
        <v>6.9048235527057272E-2</v>
      </c>
      <c r="M122" t="s">
        <v>1085</v>
      </c>
      <c r="N122">
        <v>2</v>
      </c>
      <c r="O122" t="s">
        <v>924</v>
      </c>
    </row>
    <row r="123" spans="1:15" hidden="1" x14ac:dyDescent="0.25">
      <c r="A123">
        <v>47</v>
      </c>
      <c r="B123" t="s">
        <v>789</v>
      </c>
      <c r="C123" t="s">
        <v>1021</v>
      </c>
      <c r="D123">
        <v>1413</v>
      </c>
      <c r="E123">
        <v>0</v>
      </c>
      <c r="F123">
        <v>1338.6</v>
      </c>
      <c r="G123">
        <v>0</v>
      </c>
      <c r="H123" s="25">
        <v>0</v>
      </c>
      <c r="I123">
        <v>9.3699999999999992</v>
      </c>
      <c r="J123">
        <v>65.03</v>
      </c>
      <c r="K123" s="25">
        <v>4.6022646850672332E-2</v>
      </c>
      <c r="L123">
        <v>4.8580606603914542E-2</v>
      </c>
      <c r="M123" t="s">
        <v>1085</v>
      </c>
      <c r="N123">
        <v>2</v>
      </c>
      <c r="O123" t="s">
        <v>924</v>
      </c>
    </row>
    <row r="124" spans="1:15" hidden="1" x14ac:dyDescent="0.25">
      <c r="A124">
        <v>48</v>
      </c>
      <c r="B124" t="s">
        <v>789</v>
      </c>
      <c r="C124" t="s">
        <v>1023</v>
      </c>
      <c r="D124">
        <v>1413</v>
      </c>
      <c r="E124">
        <v>0</v>
      </c>
      <c r="F124">
        <v>1327.92</v>
      </c>
      <c r="G124">
        <v>0</v>
      </c>
      <c r="H124" s="25">
        <v>0</v>
      </c>
      <c r="I124">
        <v>9.3000000000000007</v>
      </c>
      <c r="J124">
        <v>75.78</v>
      </c>
      <c r="K124" s="25">
        <v>5.3630573248407643E-2</v>
      </c>
      <c r="L124">
        <v>5.706669076450388E-2</v>
      </c>
      <c r="M124" t="s">
        <v>1085</v>
      </c>
      <c r="N124">
        <v>2</v>
      </c>
      <c r="O124" t="s">
        <v>924</v>
      </c>
    </row>
    <row r="125" spans="1:15" hidden="1" x14ac:dyDescent="0.25">
      <c r="A125">
        <v>49</v>
      </c>
      <c r="B125" t="s">
        <v>789</v>
      </c>
      <c r="C125" t="s">
        <v>1025</v>
      </c>
      <c r="D125">
        <v>1413</v>
      </c>
      <c r="E125">
        <v>0</v>
      </c>
      <c r="F125">
        <v>1338.82</v>
      </c>
      <c r="G125">
        <v>0</v>
      </c>
      <c r="H125" s="25">
        <v>0</v>
      </c>
      <c r="I125">
        <v>9.3699999999999992</v>
      </c>
      <c r="J125">
        <v>64.81</v>
      </c>
      <c r="K125" s="25">
        <v>4.5866949752300074E-2</v>
      </c>
      <c r="L125">
        <v>4.8408299846133165E-2</v>
      </c>
      <c r="M125" t="s">
        <v>1085</v>
      </c>
      <c r="N125">
        <v>2</v>
      </c>
      <c r="O125" t="s">
        <v>924</v>
      </c>
    </row>
    <row r="126" spans="1:15" hidden="1" x14ac:dyDescent="0.25">
      <c r="A126">
        <v>50</v>
      </c>
      <c r="B126" t="s">
        <v>789</v>
      </c>
      <c r="C126" t="s">
        <v>1027</v>
      </c>
      <c r="D126">
        <v>1413</v>
      </c>
      <c r="E126">
        <v>0</v>
      </c>
      <c r="F126">
        <v>1343.39</v>
      </c>
      <c r="G126">
        <v>0</v>
      </c>
      <c r="H126" s="25">
        <v>0</v>
      </c>
      <c r="I126">
        <v>9.4</v>
      </c>
      <c r="J126">
        <v>60.21</v>
      </c>
      <c r="K126" s="25">
        <v>4.2611464968152865E-2</v>
      </c>
      <c r="L126">
        <v>4.4819449303627384E-2</v>
      </c>
      <c r="M126" t="s">
        <v>1085</v>
      </c>
      <c r="N126">
        <v>2</v>
      </c>
      <c r="O126" t="s">
        <v>924</v>
      </c>
    </row>
    <row r="127" spans="1:15" hidden="1" x14ac:dyDescent="0.25">
      <c r="A127">
        <v>51</v>
      </c>
      <c r="B127" t="s">
        <v>789</v>
      </c>
      <c r="C127" t="s">
        <v>1029</v>
      </c>
      <c r="D127">
        <v>1413</v>
      </c>
      <c r="E127">
        <v>0</v>
      </c>
      <c r="F127">
        <v>1309.3499999999999</v>
      </c>
      <c r="G127">
        <v>0</v>
      </c>
      <c r="H127" s="25">
        <v>0</v>
      </c>
      <c r="I127">
        <v>9.17</v>
      </c>
      <c r="J127">
        <v>94.48</v>
      </c>
      <c r="K127" s="25">
        <v>6.6864826610049541E-2</v>
      </c>
      <c r="L127">
        <v>7.2157940963073292E-2</v>
      </c>
      <c r="M127" t="s">
        <v>1085</v>
      </c>
      <c r="N127">
        <v>2</v>
      </c>
      <c r="O127" t="s">
        <v>924</v>
      </c>
    </row>
    <row r="128" spans="1:15" hidden="1" x14ac:dyDescent="0.25">
      <c r="A128">
        <v>52</v>
      </c>
      <c r="B128" t="s">
        <v>789</v>
      </c>
      <c r="C128" t="s">
        <v>1032</v>
      </c>
      <c r="D128">
        <v>0</v>
      </c>
      <c r="E128">
        <v>1359.07</v>
      </c>
      <c r="F128">
        <v>36.46</v>
      </c>
      <c r="G128">
        <v>1305.1400000000001</v>
      </c>
      <c r="H128" s="25">
        <v>0.96031845305981312</v>
      </c>
      <c r="I128">
        <v>0.26</v>
      </c>
      <c r="J128">
        <v>17.21</v>
      </c>
      <c r="K128" s="25">
        <v>1.2663071070658614E-2</v>
      </c>
      <c r="L128">
        <v>0.47202413603949533</v>
      </c>
      <c r="M128" t="s">
        <v>1085</v>
      </c>
      <c r="N128">
        <v>2</v>
      </c>
      <c r="O128" t="s">
        <v>924</v>
      </c>
    </row>
    <row r="129" spans="1:15" hidden="1" x14ac:dyDescent="0.25">
      <c r="A129">
        <v>53</v>
      </c>
      <c r="B129" t="s">
        <v>790</v>
      </c>
      <c r="C129" t="s">
        <v>1035</v>
      </c>
      <c r="D129">
        <v>1695.6</v>
      </c>
      <c r="E129">
        <v>0</v>
      </c>
      <c r="F129">
        <v>1492.14</v>
      </c>
      <c r="G129">
        <v>169.54</v>
      </c>
      <c r="H129" s="25">
        <v>9.9988204765274827E-2</v>
      </c>
      <c r="I129">
        <v>10.44</v>
      </c>
      <c r="J129">
        <v>23.48</v>
      </c>
      <c r="K129" s="25">
        <v>1.3847605567350792E-2</v>
      </c>
      <c r="L129">
        <v>1.5735788866996395E-2</v>
      </c>
      <c r="M129" t="s">
        <v>1085</v>
      </c>
      <c r="N129">
        <v>2</v>
      </c>
      <c r="O129" t="s">
        <v>924</v>
      </c>
    </row>
    <row r="130" spans="1:15" hidden="1" x14ac:dyDescent="0.25">
      <c r="A130">
        <v>54</v>
      </c>
      <c r="B130" t="s">
        <v>790</v>
      </c>
      <c r="C130" t="s">
        <v>1037</v>
      </c>
      <c r="D130">
        <v>1695.6</v>
      </c>
      <c r="E130">
        <v>0</v>
      </c>
      <c r="F130">
        <v>1491.23</v>
      </c>
      <c r="G130">
        <v>169.55</v>
      </c>
      <c r="H130" s="25">
        <v>9.9994102382637423E-2</v>
      </c>
      <c r="I130">
        <v>10.44</v>
      </c>
      <c r="J130">
        <v>24.38</v>
      </c>
      <c r="K130" s="25">
        <v>1.4378391129983487E-2</v>
      </c>
      <c r="L130">
        <v>1.6348920019044682E-2</v>
      </c>
      <c r="M130" t="s">
        <v>1085</v>
      </c>
      <c r="N130">
        <v>2</v>
      </c>
      <c r="O130" t="s">
        <v>924</v>
      </c>
    </row>
    <row r="131" spans="1:15" hidden="1" x14ac:dyDescent="0.25">
      <c r="A131">
        <v>55</v>
      </c>
      <c r="B131" t="s">
        <v>790</v>
      </c>
      <c r="C131" t="s">
        <v>1039</v>
      </c>
      <c r="D131">
        <v>1695.6</v>
      </c>
      <c r="E131">
        <v>0</v>
      </c>
      <c r="F131">
        <v>940.39</v>
      </c>
      <c r="G131">
        <v>728.5</v>
      </c>
      <c r="H131" s="25">
        <v>0.4296414248643548</v>
      </c>
      <c r="I131">
        <v>6.58</v>
      </c>
      <c r="J131">
        <v>20.13</v>
      </c>
      <c r="K131" s="25">
        <v>1.1871903750884642E-2</v>
      </c>
      <c r="L131">
        <v>2.1406012399111007E-2</v>
      </c>
      <c r="M131" t="s">
        <v>1085</v>
      </c>
      <c r="N131">
        <v>2</v>
      </c>
      <c r="O131" t="s">
        <v>924</v>
      </c>
    </row>
    <row r="132" spans="1:15" hidden="1" x14ac:dyDescent="0.25">
      <c r="A132">
        <v>56</v>
      </c>
      <c r="B132" t="s">
        <v>790</v>
      </c>
      <c r="C132" t="s">
        <v>1041</v>
      </c>
      <c r="D132">
        <v>1695.6</v>
      </c>
      <c r="E132">
        <v>0</v>
      </c>
      <c r="F132">
        <v>1491.18</v>
      </c>
      <c r="G132">
        <v>169.56</v>
      </c>
      <c r="H132" s="25">
        <v>0.1</v>
      </c>
      <c r="I132">
        <v>10.44</v>
      </c>
      <c r="J132">
        <v>24.42</v>
      </c>
      <c r="K132" s="25">
        <v>1.440198159943383E-2</v>
      </c>
      <c r="L132">
        <v>1.6376292600490887E-2</v>
      </c>
      <c r="M132" t="s">
        <v>1085</v>
      </c>
      <c r="N132">
        <v>2</v>
      </c>
      <c r="O132" t="s">
        <v>924</v>
      </c>
    </row>
    <row r="133" spans="1:15" hidden="1" x14ac:dyDescent="0.25">
      <c r="A133">
        <v>57</v>
      </c>
      <c r="B133" t="s">
        <v>790</v>
      </c>
      <c r="C133" t="s">
        <v>1043</v>
      </c>
      <c r="D133">
        <v>1695.6</v>
      </c>
      <c r="E133">
        <v>0</v>
      </c>
      <c r="F133">
        <v>1491</v>
      </c>
      <c r="G133">
        <v>169.56</v>
      </c>
      <c r="H133" s="25">
        <v>0.1</v>
      </c>
      <c r="I133">
        <v>10.44</v>
      </c>
      <c r="J133">
        <v>24.6</v>
      </c>
      <c r="K133" s="25">
        <v>1.4508138711960369E-2</v>
      </c>
      <c r="L133">
        <v>1.6498993963782696E-2</v>
      </c>
      <c r="M133" t="s">
        <v>1085</v>
      </c>
      <c r="N133">
        <v>2</v>
      </c>
      <c r="O133" t="s">
        <v>924</v>
      </c>
    </row>
    <row r="134" spans="1:15" hidden="1" x14ac:dyDescent="0.25">
      <c r="A134">
        <v>58</v>
      </c>
      <c r="B134" t="s">
        <v>790</v>
      </c>
      <c r="C134" t="s">
        <v>1045</v>
      </c>
      <c r="D134">
        <v>0</v>
      </c>
      <c r="E134">
        <v>1373.29</v>
      </c>
      <c r="F134">
        <v>313.51</v>
      </c>
      <c r="G134">
        <v>1055.26</v>
      </c>
      <c r="H134" s="25">
        <v>0.76841745006517193</v>
      </c>
      <c r="I134">
        <v>2.19</v>
      </c>
      <c r="J134">
        <v>2.33</v>
      </c>
      <c r="K134" s="25">
        <v>1.6966554769932063E-3</v>
      </c>
      <c r="L134">
        <v>7.4319798411533926E-3</v>
      </c>
      <c r="M134" t="s">
        <v>1085</v>
      </c>
      <c r="N134">
        <v>2</v>
      </c>
      <c r="O134" t="s">
        <v>924</v>
      </c>
    </row>
    <row r="135" spans="1:15" hidden="1" x14ac:dyDescent="0.25">
      <c r="A135">
        <v>59</v>
      </c>
      <c r="B135" t="s">
        <v>791</v>
      </c>
      <c r="C135" t="s">
        <v>1048</v>
      </c>
      <c r="D135">
        <v>3014.4</v>
      </c>
      <c r="E135">
        <v>0</v>
      </c>
      <c r="F135">
        <v>2873.98</v>
      </c>
      <c r="G135">
        <v>0</v>
      </c>
      <c r="H135" s="25">
        <v>0</v>
      </c>
      <c r="I135">
        <v>20.12</v>
      </c>
      <c r="J135">
        <v>120.3</v>
      </c>
      <c r="K135" s="25">
        <v>3.9908439490445854E-2</v>
      </c>
      <c r="L135">
        <v>4.1858328867980986E-2</v>
      </c>
      <c r="M135" t="s">
        <v>1085</v>
      </c>
      <c r="N135">
        <v>2</v>
      </c>
      <c r="O135" t="s">
        <v>924</v>
      </c>
    </row>
    <row r="136" spans="1:15" hidden="1" x14ac:dyDescent="0.25">
      <c r="A136">
        <v>60</v>
      </c>
      <c r="B136" t="s">
        <v>791</v>
      </c>
      <c r="C136" t="s">
        <v>1050</v>
      </c>
      <c r="D136">
        <v>3014.4</v>
      </c>
      <c r="E136">
        <v>0</v>
      </c>
      <c r="F136">
        <v>2899.83</v>
      </c>
      <c r="G136">
        <v>0</v>
      </c>
      <c r="H136" s="25">
        <v>0</v>
      </c>
      <c r="I136">
        <v>20.3</v>
      </c>
      <c r="J136">
        <v>94.27</v>
      </c>
      <c r="K136" s="25">
        <v>3.1273221868365175E-2</v>
      </c>
      <c r="L136">
        <v>3.2508802240131321E-2</v>
      </c>
      <c r="M136" t="s">
        <v>1085</v>
      </c>
      <c r="N136">
        <v>2</v>
      </c>
      <c r="O136" t="s">
        <v>924</v>
      </c>
    </row>
    <row r="137" spans="1:15" hidden="1" x14ac:dyDescent="0.25">
      <c r="A137">
        <v>61</v>
      </c>
      <c r="B137" t="s">
        <v>791</v>
      </c>
      <c r="C137" t="s">
        <v>1053</v>
      </c>
      <c r="D137">
        <v>0</v>
      </c>
      <c r="E137">
        <v>2437.98</v>
      </c>
      <c r="F137">
        <v>548.09</v>
      </c>
      <c r="G137">
        <v>1850.26</v>
      </c>
      <c r="H137" s="25">
        <v>0.75893157450020099</v>
      </c>
      <c r="I137">
        <v>3.84</v>
      </c>
      <c r="J137">
        <v>35.79</v>
      </c>
      <c r="K137" s="25">
        <v>1.4680186055669037E-2</v>
      </c>
      <c r="L137">
        <v>6.5299494608549682E-2</v>
      </c>
      <c r="M137" t="s">
        <v>1085</v>
      </c>
      <c r="N137">
        <v>2</v>
      </c>
      <c r="O137" t="s">
        <v>924</v>
      </c>
    </row>
    <row r="138" spans="1:15" hidden="1" x14ac:dyDescent="0.25">
      <c r="A138">
        <v>62</v>
      </c>
      <c r="B138" t="s">
        <v>792</v>
      </c>
      <c r="C138" t="s">
        <v>1056</v>
      </c>
      <c r="D138">
        <v>3768</v>
      </c>
      <c r="E138">
        <v>0</v>
      </c>
      <c r="F138">
        <v>3123.19</v>
      </c>
      <c r="G138">
        <v>190.54</v>
      </c>
      <c r="H138" s="25">
        <v>5.0567940552016986E-2</v>
      </c>
      <c r="I138">
        <v>21.86</v>
      </c>
      <c r="J138">
        <v>432.41</v>
      </c>
      <c r="K138" s="25">
        <v>0.11475849256900213</v>
      </c>
      <c r="L138">
        <v>0.13845139104569368</v>
      </c>
      <c r="M138" t="s">
        <v>1085</v>
      </c>
      <c r="N138">
        <v>2</v>
      </c>
      <c r="O138" t="s">
        <v>924</v>
      </c>
    </row>
    <row r="139" spans="1:15" hidden="1" x14ac:dyDescent="0.25">
      <c r="A139">
        <v>63</v>
      </c>
      <c r="B139" t="s">
        <v>792</v>
      </c>
      <c r="C139" t="s">
        <v>1061</v>
      </c>
      <c r="D139">
        <v>0</v>
      </c>
      <c r="E139">
        <v>105.48</v>
      </c>
      <c r="F139">
        <v>89.92</v>
      </c>
      <c r="G139">
        <v>0</v>
      </c>
      <c r="H139" s="25">
        <v>0</v>
      </c>
      <c r="I139">
        <v>0.63</v>
      </c>
      <c r="J139">
        <v>14.93</v>
      </c>
      <c r="K139" s="25">
        <v>0.14154342055365945</v>
      </c>
      <c r="L139">
        <v>0.1660364768683274</v>
      </c>
      <c r="M139" t="s">
        <v>1085</v>
      </c>
      <c r="N139">
        <v>2</v>
      </c>
      <c r="O139" t="s">
        <v>924</v>
      </c>
    </row>
    <row r="140" spans="1:15" hidden="1" x14ac:dyDescent="0.25">
      <c r="A140">
        <v>64</v>
      </c>
      <c r="B140" t="s">
        <v>793</v>
      </c>
      <c r="C140" t="s">
        <v>1065</v>
      </c>
      <c r="D140">
        <v>0</v>
      </c>
      <c r="E140">
        <v>1852.47</v>
      </c>
      <c r="F140">
        <v>1613.52</v>
      </c>
      <c r="G140">
        <v>0</v>
      </c>
      <c r="H140" s="25">
        <v>0</v>
      </c>
      <c r="I140">
        <v>11.29</v>
      </c>
      <c r="J140">
        <v>227.66</v>
      </c>
      <c r="K140" s="25">
        <v>0.12289537752298282</v>
      </c>
      <c r="L140">
        <v>0.14109524517824384</v>
      </c>
      <c r="M140" t="s">
        <v>1085</v>
      </c>
      <c r="N140">
        <v>2</v>
      </c>
      <c r="O140" t="s">
        <v>924</v>
      </c>
    </row>
    <row r="141" spans="1:15" hidden="1" x14ac:dyDescent="0.25">
      <c r="A141">
        <v>65</v>
      </c>
      <c r="B141" t="s">
        <v>793</v>
      </c>
      <c r="C141" t="s">
        <v>1070</v>
      </c>
      <c r="D141">
        <v>4710</v>
      </c>
      <c r="E141">
        <v>0</v>
      </c>
      <c r="F141">
        <v>908.21</v>
      </c>
      <c r="G141">
        <v>3693.82</v>
      </c>
      <c r="H141" s="25">
        <v>0.78425053078556262</v>
      </c>
      <c r="I141">
        <v>6.36</v>
      </c>
      <c r="J141">
        <v>101.61</v>
      </c>
      <c r="K141" s="25">
        <v>2.1573248407643311E-2</v>
      </c>
      <c r="L141">
        <v>0.11187941114940377</v>
      </c>
      <c r="M141" t="s">
        <v>1085</v>
      </c>
      <c r="N141">
        <v>2</v>
      </c>
      <c r="O141" t="s">
        <v>924</v>
      </c>
    </row>
    <row r="142" spans="1:15" hidden="1" x14ac:dyDescent="0.25">
      <c r="A142">
        <v>66</v>
      </c>
      <c r="B142" t="s">
        <v>794</v>
      </c>
      <c r="C142" t="s">
        <v>1074</v>
      </c>
      <c r="D142">
        <v>0</v>
      </c>
      <c r="E142">
        <v>3939.44</v>
      </c>
      <c r="F142">
        <v>1431.5</v>
      </c>
      <c r="G142">
        <v>2226.81</v>
      </c>
      <c r="H142" s="25">
        <v>0.56526054464593956</v>
      </c>
      <c r="I142">
        <v>10.02</v>
      </c>
      <c r="J142">
        <v>271.11</v>
      </c>
      <c r="K142" s="25">
        <v>6.8819426111325466E-2</v>
      </c>
      <c r="L142">
        <v>0.18938875305623473</v>
      </c>
      <c r="M142" t="s">
        <v>1085</v>
      </c>
      <c r="N142">
        <v>2</v>
      </c>
      <c r="O142" t="s">
        <v>924</v>
      </c>
    </row>
    <row r="143" spans="1:15" hidden="1" x14ac:dyDescent="0.25">
      <c r="A143">
        <v>67</v>
      </c>
      <c r="B143" t="s">
        <v>795</v>
      </c>
      <c r="C143" t="s">
        <v>1078</v>
      </c>
      <c r="D143">
        <v>0</v>
      </c>
      <c r="E143">
        <v>2310.56</v>
      </c>
      <c r="F143">
        <v>1337.46</v>
      </c>
      <c r="G143">
        <v>843.15</v>
      </c>
      <c r="H143" s="25">
        <v>0.36491153659718856</v>
      </c>
      <c r="I143">
        <v>9.36</v>
      </c>
      <c r="J143">
        <v>120.59</v>
      </c>
      <c r="K143" s="25">
        <v>5.2190810885672741E-2</v>
      </c>
      <c r="L143">
        <v>9.0163444140385504E-2</v>
      </c>
      <c r="M143" t="s">
        <v>1085</v>
      </c>
      <c r="N143">
        <v>2</v>
      </c>
      <c r="O143" t="s">
        <v>924</v>
      </c>
    </row>
    <row r="144" spans="1:15" hidden="1" x14ac:dyDescent="0.25">
      <c r="A144">
        <v>68</v>
      </c>
      <c r="B144" t="s">
        <v>795</v>
      </c>
      <c r="C144" t="s">
        <v>1082</v>
      </c>
      <c r="D144">
        <v>0</v>
      </c>
      <c r="E144">
        <v>2438.85</v>
      </c>
      <c r="F144">
        <v>1199.3599999999999</v>
      </c>
      <c r="G144">
        <v>1105.74</v>
      </c>
      <c r="H144" s="25">
        <v>0.45338581708592168</v>
      </c>
      <c r="I144">
        <v>8.4</v>
      </c>
      <c r="J144">
        <v>125.35</v>
      </c>
      <c r="K144" s="25">
        <v>5.1397174898005209E-2</v>
      </c>
      <c r="L144">
        <v>0.10451407417289221</v>
      </c>
      <c r="M144" t="s">
        <v>1085</v>
      </c>
      <c r="N144">
        <v>2</v>
      </c>
      <c r="O144" t="s">
        <v>924</v>
      </c>
    </row>
    <row r="145" spans="1:15" hidden="1" x14ac:dyDescent="0.25">
      <c r="A145">
        <v>1</v>
      </c>
      <c r="B145" t="s">
        <v>785</v>
      </c>
      <c r="C145" t="s">
        <v>923</v>
      </c>
      <c r="D145">
        <v>81.64</v>
      </c>
      <c r="E145">
        <v>0</v>
      </c>
      <c r="F145">
        <v>67.819999999999993</v>
      </c>
      <c r="G145">
        <v>7.92</v>
      </c>
      <c r="H145" s="25">
        <v>9.701126898579128E-2</v>
      </c>
      <c r="I145">
        <v>0.47</v>
      </c>
      <c r="J145">
        <v>5.43</v>
      </c>
      <c r="K145" s="25">
        <v>6.651151396374326E-2</v>
      </c>
      <c r="L145">
        <v>8.0064877617222058E-2</v>
      </c>
      <c r="M145" t="s">
        <v>1085</v>
      </c>
      <c r="N145">
        <v>2</v>
      </c>
      <c r="O145" t="s">
        <v>924</v>
      </c>
    </row>
    <row r="146" spans="1:15" hidden="1" x14ac:dyDescent="0.25">
      <c r="A146">
        <v>2</v>
      </c>
      <c r="B146" t="s">
        <v>785</v>
      </c>
      <c r="C146" t="s">
        <v>926</v>
      </c>
      <c r="D146">
        <v>81.64</v>
      </c>
      <c r="E146">
        <v>0</v>
      </c>
      <c r="F146">
        <v>81.64</v>
      </c>
      <c r="G146">
        <v>0</v>
      </c>
      <c r="H146" s="25">
        <v>0</v>
      </c>
      <c r="I146">
        <v>0.56999999999999995</v>
      </c>
      <c r="J146">
        <v>0</v>
      </c>
      <c r="K146" s="25">
        <v>0</v>
      </c>
      <c r="L146">
        <v>0</v>
      </c>
      <c r="M146" t="s">
        <v>1085</v>
      </c>
      <c r="N146">
        <v>2</v>
      </c>
      <c r="O146" t="s">
        <v>924</v>
      </c>
    </row>
    <row r="147" spans="1:15" hidden="1" x14ac:dyDescent="0.25">
      <c r="A147">
        <v>3</v>
      </c>
      <c r="B147" t="s">
        <v>785</v>
      </c>
      <c r="C147" t="s">
        <v>928</v>
      </c>
      <c r="D147">
        <v>81.64</v>
      </c>
      <c r="E147">
        <v>0</v>
      </c>
      <c r="F147">
        <v>81.64</v>
      </c>
      <c r="G147">
        <v>0</v>
      </c>
      <c r="H147" s="25">
        <v>0</v>
      </c>
      <c r="I147">
        <v>0.56999999999999995</v>
      </c>
      <c r="J147">
        <v>0</v>
      </c>
      <c r="K147" s="25">
        <v>0</v>
      </c>
      <c r="L147">
        <v>0</v>
      </c>
      <c r="M147" t="s">
        <v>1085</v>
      </c>
      <c r="N147">
        <v>2</v>
      </c>
      <c r="O147" t="s">
        <v>924</v>
      </c>
    </row>
    <row r="148" spans="1:15" hidden="1" x14ac:dyDescent="0.25">
      <c r="A148">
        <v>4</v>
      </c>
      <c r="B148" t="s">
        <v>785</v>
      </c>
      <c r="C148" t="s">
        <v>930</v>
      </c>
      <c r="D148">
        <v>81.64</v>
      </c>
      <c r="E148">
        <v>0</v>
      </c>
      <c r="F148">
        <v>66.569999999999993</v>
      </c>
      <c r="G148">
        <v>15.07</v>
      </c>
      <c r="H148" s="25">
        <v>0.18459088682018618</v>
      </c>
      <c r="I148">
        <v>0.47</v>
      </c>
      <c r="J148">
        <v>0</v>
      </c>
      <c r="K148" s="25">
        <v>0</v>
      </c>
      <c r="L148">
        <v>0</v>
      </c>
      <c r="M148" t="s">
        <v>1085</v>
      </c>
      <c r="N148">
        <v>2</v>
      </c>
      <c r="O148" t="s">
        <v>924</v>
      </c>
    </row>
    <row r="149" spans="1:15" hidden="1" x14ac:dyDescent="0.25">
      <c r="A149">
        <v>5</v>
      </c>
      <c r="B149" t="s">
        <v>785</v>
      </c>
      <c r="C149" t="s">
        <v>932</v>
      </c>
      <c r="D149">
        <v>81.64</v>
      </c>
      <c r="E149">
        <v>0</v>
      </c>
      <c r="F149">
        <v>66.569999999999993</v>
      </c>
      <c r="G149">
        <v>15.07</v>
      </c>
      <c r="H149" s="25">
        <v>0.18459088682018618</v>
      </c>
      <c r="I149">
        <v>0.47</v>
      </c>
      <c r="J149">
        <v>0</v>
      </c>
      <c r="K149" s="25">
        <v>0</v>
      </c>
      <c r="L149">
        <v>0</v>
      </c>
      <c r="M149" t="s">
        <v>1085</v>
      </c>
      <c r="N149">
        <v>2</v>
      </c>
      <c r="O149" t="s">
        <v>924</v>
      </c>
    </row>
    <row r="150" spans="1:15" hidden="1" x14ac:dyDescent="0.25">
      <c r="A150">
        <v>6</v>
      </c>
      <c r="B150" t="s">
        <v>785</v>
      </c>
      <c r="C150" t="s">
        <v>934</v>
      </c>
      <c r="D150">
        <v>81.64</v>
      </c>
      <c r="E150">
        <v>0</v>
      </c>
      <c r="F150">
        <v>66.569999999999993</v>
      </c>
      <c r="G150">
        <v>15.07</v>
      </c>
      <c r="H150" s="25">
        <v>0.18459088682018618</v>
      </c>
      <c r="I150">
        <v>0.47</v>
      </c>
      <c r="J150">
        <v>0</v>
      </c>
      <c r="K150" s="25">
        <v>0</v>
      </c>
      <c r="L150">
        <v>0</v>
      </c>
      <c r="M150" t="s">
        <v>1085</v>
      </c>
      <c r="N150">
        <v>2</v>
      </c>
      <c r="O150" t="s">
        <v>924</v>
      </c>
    </row>
    <row r="151" spans="1:15" hidden="1" x14ac:dyDescent="0.25">
      <c r="A151">
        <v>7</v>
      </c>
      <c r="B151" t="s">
        <v>785</v>
      </c>
      <c r="C151" t="s">
        <v>936</v>
      </c>
      <c r="D151">
        <v>81.64</v>
      </c>
      <c r="E151">
        <v>0</v>
      </c>
      <c r="F151">
        <v>66.569999999999993</v>
      </c>
      <c r="G151">
        <v>15.07</v>
      </c>
      <c r="H151" s="25">
        <v>0.18459088682018618</v>
      </c>
      <c r="I151">
        <v>0.47</v>
      </c>
      <c r="J151">
        <v>0</v>
      </c>
      <c r="K151" s="25">
        <v>0</v>
      </c>
      <c r="L151">
        <v>0</v>
      </c>
      <c r="M151" t="s">
        <v>1085</v>
      </c>
      <c r="N151">
        <v>2</v>
      </c>
      <c r="O151" t="s">
        <v>924</v>
      </c>
    </row>
    <row r="152" spans="1:15" hidden="1" x14ac:dyDescent="0.25">
      <c r="A152">
        <v>8</v>
      </c>
      <c r="B152" t="s">
        <v>785</v>
      </c>
      <c r="C152" t="s">
        <v>938</v>
      </c>
      <c r="D152">
        <v>81.64</v>
      </c>
      <c r="E152">
        <v>0</v>
      </c>
      <c r="F152">
        <v>62.8</v>
      </c>
      <c r="G152">
        <v>15.07</v>
      </c>
      <c r="H152" s="25">
        <v>0.18459088682018618</v>
      </c>
      <c r="I152">
        <v>0.44</v>
      </c>
      <c r="J152">
        <v>3.33</v>
      </c>
      <c r="K152" s="25">
        <v>4.0788829005389514E-2</v>
      </c>
      <c r="L152">
        <v>5.3025477707006372E-2</v>
      </c>
      <c r="M152" t="s">
        <v>1085</v>
      </c>
      <c r="N152">
        <v>2</v>
      </c>
      <c r="O152" t="s">
        <v>924</v>
      </c>
    </row>
    <row r="153" spans="1:15" hidden="1" x14ac:dyDescent="0.25">
      <c r="A153">
        <v>9</v>
      </c>
      <c r="B153" t="s">
        <v>785</v>
      </c>
      <c r="C153" t="s">
        <v>940</v>
      </c>
      <c r="D153">
        <v>0</v>
      </c>
      <c r="E153">
        <v>61.67</v>
      </c>
      <c r="F153">
        <v>19.97</v>
      </c>
      <c r="G153">
        <v>41.7</v>
      </c>
      <c r="H153" s="25">
        <v>0.67617966596400192</v>
      </c>
      <c r="I153">
        <v>0.14000000000000001</v>
      </c>
      <c r="J153">
        <v>0</v>
      </c>
      <c r="K153" s="25">
        <v>0</v>
      </c>
      <c r="L153">
        <v>0</v>
      </c>
      <c r="M153" t="s">
        <v>1085</v>
      </c>
      <c r="N153">
        <v>2</v>
      </c>
      <c r="O153" t="s">
        <v>924</v>
      </c>
    </row>
    <row r="154" spans="1:15" hidden="1" x14ac:dyDescent="0.25">
      <c r="A154">
        <v>10</v>
      </c>
      <c r="B154" t="s">
        <v>785</v>
      </c>
      <c r="C154" t="s">
        <v>943</v>
      </c>
      <c r="D154">
        <v>81.64</v>
      </c>
      <c r="E154">
        <v>0</v>
      </c>
      <c r="F154">
        <v>48.23</v>
      </c>
      <c r="G154">
        <v>32.880000000000003</v>
      </c>
      <c r="H154" s="25">
        <v>0.40274375306222443</v>
      </c>
      <c r="I154">
        <v>0.34</v>
      </c>
      <c r="J154">
        <v>0.19</v>
      </c>
      <c r="K154" s="25">
        <v>2.3272905438510533E-3</v>
      </c>
      <c r="L154">
        <v>3.939456769645449E-3</v>
      </c>
      <c r="M154" t="s">
        <v>1085</v>
      </c>
      <c r="N154">
        <v>2</v>
      </c>
      <c r="O154" t="s">
        <v>924</v>
      </c>
    </row>
    <row r="155" spans="1:15" hidden="1" x14ac:dyDescent="0.25">
      <c r="A155">
        <v>11</v>
      </c>
      <c r="B155" t="s">
        <v>786</v>
      </c>
      <c r="C155" t="s">
        <v>946</v>
      </c>
      <c r="D155">
        <v>0</v>
      </c>
      <c r="E155">
        <v>105.98</v>
      </c>
      <c r="F155">
        <v>88.69</v>
      </c>
      <c r="G155">
        <v>0</v>
      </c>
      <c r="H155" s="25">
        <v>0</v>
      </c>
      <c r="I155">
        <v>0.62</v>
      </c>
      <c r="J155">
        <v>16.670000000000002</v>
      </c>
      <c r="K155" s="25">
        <v>0.15729382902434422</v>
      </c>
      <c r="L155">
        <v>0.18795805615063707</v>
      </c>
      <c r="M155" t="s">
        <v>1085</v>
      </c>
      <c r="N155">
        <v>2</v>
      </c>
      <c r="O155" t="s">
        <v>924</v>
      </c>
    </row>
    <row r="156" spans="1:15" hidden="1" x14ac:dyDescent="0.25">
      <c r="A156">
        <v>12</v>
      </c>
      <c r="B156" t="s">
        <v>786</v>
      </c>
      <c r="C156" t="s">
        <v>949</v>
      </c>
      <c r="D156">
        <v>353.25</v>
      </c>
      <c r="E156">
        <v>0</v>
      </c>
      <c r="F156">
        <v>114.11</v>
      </c>
      <c r="G156">
        <v>210.3</v>
      </c>
      <c r="H156" s="25">
        <v>0.59532908704883225</v>
      </c>
      <c r="I156">
        <v>0.8</v>
      </c>
      <c r="J156">
        <v>28.04</v>
      </c>
      <c r="K156" s="25">
        <v>7.937721160651097E-2</v>
      </c>
      <c r="L156">
        <v>0.24572780650249759</v>
      </c>
      <c r="M156" t="s">
        <v>1085</v>
      </c>
      <c r="N156">
        <v>2</v>
      </c>
      <c r="O156" t="s">
        <v>924</v>
      </c>
    </row>
    <row r="157" spans="1:15" hidden="1" x14ac:dyDescent="0.25">
      <c r="A157">
        <v>13</v>
      </c>
      <c r="B157" t="s">
        <v>787</v>
      </c>
      <c r="C157" t="s">
        <v>951</v>
      </c>
      <c r="D157">
        <v>847.8</v>
      </c>
      <c r="E157">
        <v>0</v>
      </c>
      <c r="F157">
        <v>717.6</v>
      </c>
      <c r="G157">
        <v>92.71</v>
      </c>
      <c r="H157" s="25">
        <v>0.10935362113706062</v>
      </c>
      <c r="I157">
        <v>5.0199999999999996</v>
      </c>
      <c r="J157">
        <v>32.47</v>
      </c>
      <c r="K157" s="25">
        <v>3.8299127152630341E-2</v>
      </c>
      <c r="L157">
        <v>4.5248049052396877E-2</v>
      </c>
      <c r="M157" t="s">
        <v>1085</v>
      </c>
      <c r="N157">
        <v>2</v>
      </c>
      <c r="O157" t="s">
        <v>924</v>
      </c>
    </row>
    <row r="158" spans="1:15" hidden="1" x14ac:dyDescent="0.25">
      <c r="A158">
        <v>14</v>
      </c>
      <c r="B158" t="s">
        <v>787</v>
      </c>
      <c r="C158" t="s">
        <v>953</v>
      </c>
      <c r="D158">
        <v>847.8</v>
      </c>
      <c r="E158">
        <v>0</v>
      </c>
      <c r="F158">
        <v>727.26</v>
      </c>
      <c r="G158">
        <v>92.71</v>
      </c>
      <c r="H158" s="25">
        <v>0.10935362113706062</v>
      </c>
      <c r="I158">
        <v>5.09</v>
      </c>
      <c r="J158">
        <v>22.74</v>
      </c>
      <c r="K158" s="25">
        <v>2.6822363765038923E-2</v>
      </c>
      <c r="L158">
        <v>3.1268047190825835E-2</v>
      </c>
      <c r="M158" t="s">
        <v>1085</v>
      </c>
      <c r="N158">
        <v>2</v>
      </c>
      <c r="O158" t="s">
        <v>924</v>
      </c>
    </row>
    <row r="159" spans="1:15" hidden="1" x14ac:dyDescent="0.25">
      <c r="A159">
        <v>15</v>
      </c>
      <c r="B159" t="s">
        <v>787</v>
      </c>
      <c r="C159" t="s">
        <v>955</v>
      </c>
      <c r="D159">
        <v>847.8</v>
      </c>
      <c r="E159">
        <v>0</v>
      </c>
      <c r="F159">
        <v>723.2</v>
      </c>
      <c r="G159">
        <v>92.71</v>
      </c>
      <c r="H159" s="25">
        <v>0.10935362113706062</v>
      </c>
      <c r="I159">
        <v>5.0599999999999996</v>
      </c>
      <c r="J159">
        <v>26.83</v>
      </c>
      <c r="K159" s="25">
        <v>3.1646614767633877E-2</v>
      </c>
      <c r="L159">
        <v>3.7099004424778759E-2</v>
      </c>
      <c r="M159" t="s">
        <v>1085</v>
      </c>
      <c r="N159">
        <v>2</v>
      </c>
      <c r="O159" t="s">
        <v>924</v>
      </c>
    </row>
    <row r="160" spans="1:15" hidden="1" x14ac:dyDescent="0.25">
      <c r="A160">
        <v>16</v>
      </c>
      <c r="B160" t="s">
        <v>787</v>
      </c>
      <c r="C160" t="s">
        <v>957</v>
      </c>
      <c r="D160">
        <v>847.8</v>
      </c>
      <c r="E160">
        <v>0</v>
      </c>
      <c r="F160">
        <v>723.1</v>
      </c>
      <c r="G160">
        <v>93.17</v>
      </c>
      <c r="H160" s="25">
        <v>0.1098962019344185</v>
      </c>
      <c r="I160">
        <v>5.0599999999999996</v>
      </c>
      <c r="J160">
        <v>26.47</v>
      </c>
      <c r="K160" s="25">
        <v>3.122198631752772E-2</v>
      </c>
      <c r="L160">
        <v>3.6606278523025858E-2</v>
      </c>
      <c r="M160" t="s">
        <v>1085</v>
      </c>
      <c r="N160">
        <v>2</v>
      </c>
      <c r="O160" t="s">
        <v>924</v>
      </c>
    </row>
    <row r="161" spans="1:15" hidden="1" x14ac:dyDescent="0.25">
      <c r="A161">
        <v>17</v>
      </c>
      <c r="B161" t="s">
        <v>787</v>
      </c>
      <c r="C161" t="s">
        <v>959</v>
      </c>
      <c r="D161">
        <v>847.8</v>
      </c>
      <c r="E161">
        <v>0</v>
      </c>
      <c r="F161">
        <v>722.86</v>
      </c>
      <c r="G161">
        <v>80.27</v>
      </c>
      <c r="H161" s="25">
        <v>9.4680349138947864E-2</v>
      </c>
      <c r="I161">
        <v>5.0599999999999996</v>
      </c>
      <c r="J161">
        <v>39.61</v>
      </c>
      <c r="K161" s="25">
        <v>4.6720924746402458E-2</v>
      </c>
      <c r="L161">
        <v>5.4796226101873111E-2</v>
      </c>
      <c r="M161" t="s">
        <v>1085</v>
      </c>
      <c r="N161">
        <v>2</v>
      </c>
      <c r="O161" t="s">
        <v>924</v>
      </c>
    </row>
    <row r="162" spans="1:15" hidden="1" x14ac:dyDescent="0.25">
      <c r="A162">
        <v>18</v>
      </c>
      <c r="B162" t="s">
        <v>787</v>
      </c>
      <c r="C162" t="s">
        <v>961</v>
      </c>
      <c r="D162">
        <v>847.8</v>
      </c>
      <c r="E162">
        <v>0</v>
      </c>
      <c r="F162">
        <v>722.84</v>
      </c>
      <c r="G162">
        <v>80.27</v>
      </c>
      <c r="H162" s="25">
        <v>9.4680349138947864E-2</v>
      </c>
      <c r="I162">
        <v>5.0599999999999996</v>
      </c>
      <c r="J162">
        <v>39.630000000000003</v>
      </c>
      <c r="K162" s="25">
        <v>4.6744515215852801E-2</v>
      </c>
      <c r="L162">
        <v>5.4825410879309394E-2</v>
      </c>
      <c r="M162" t="s">
        <v>1085</v>
      </c>
      <c r="N162">
        <v>2</v>
      </c>
      <c r="O162" t="s">
        <v>924</v>
      </c>
    </row>
    <row r="163" spans="1:15" hidden="1" x14ac:dyDescent="0.25">
      <c r="A163">
        <v>19</v>
      </c>
      <c r="B163" t="s">
        <v>787</v>
      </c>
      <c r="C163" t="s">
        <v>963</v>
      </c>
      <c r="D163">
        <v>847.8</v>
      </c>
      <c r="E163">
        <v>0</v>
      </c>
      <c r="F163">
        <v>722.69</v>
      </c>
      <c r="G163">
        <v>94.75</v>
      </c>
      <c r="H163" s="25">
        <v>0.11175984902099552</v>
      </c>
      <c r="I163">
        <v>5.0599999999999996</v>
      </c>
      <c r="J163">
        <v>25.3</v>
      </c>
      <c r="K163" s="25">
        <v>2.9841943854682709E-2</v>
      </c>
      <c r="L163">
        <v>3.5008094757088097E-2</v>
      </c>
      <c r="M163" t="s">
        <v>1085</v>
      </c>
      <c r="N163">
        <v>2</v>
      </c>
      <c r="O163" t="s">
        <v>924</v>
      </c>
    </row>
    <row r="164" spans="1:15" hidden="1" x14ac:dyDescent="0.25">
      <c r="A164">
        <v>20</v>
      </c>
      <c r="B164" t="s">
        <v>787</v>
      </c>
      <c r="C164" t="s">
        <v>965</v>
      </c>
      <c r="D164">
        <v>847.8</v>
      </c>
      <c r="E164">
        <v>0</v>
      </c>
      <c r="F164">
        <v>722.67</v>
      </c>
      <c r="G164">
        <v>93.43</v>
      </c>
      <c r="H164" s="25">
        <v>0.11020287803727295</v>
      </c>
      <c r="I164">
        <v>5.0599999999999996</v>
      </c>
      <c r="J164">
        <v>26.64</v>
      </c>
      <c r="K164" s="25">
        <v>3.1422505307855626E-2</v>
      </c>
      <c r="L164">
        <v>3.6863298601021215E-2</v>
      </c>
      <c r="M164" t="s">
        <v>1085</v>
      </c>
      <c r="N164">
        <v>2</v>
      </c>
      <c r="O164" t="s">
        <v>924</v>
      </c>
    </row>
    <row r="165" spans="1:15" hidden="1" x14ac:dyDescent="0.25">
      <c r="A165">
        <v>21</v>
      </c>
      <c r="B165" t="s">
        <v>787</v>
      </c>
      <c r="C165" t="s">
        <v>967</v>
      </c>
      <c r="D165">
        <v>847.8</v>
      </c>
      <c r="E165">
        <v>0</v>
      </c>
      <c r="F165">
        <v>736.28</v>
      </c>
      <c r="G165">
        <v>80.27</v>
      </c>
      <c r="H165" s="25">
        <v>9.4680349138947864E-2</v>
      </c>
      <c r="I165">
        <v>5.15</v>
      </c>
      <c r="J165">
        <v>26.1</v>
      </c>
      <c r="K165" s="25">
        <v>3.0785562632696394E-2</v>
      </c>
      <c r="L165">
        <v>3.5448470690498182E-2</v>
      </c>
      <c r="M165" t="s">
        <v>1085</v>
      </c>
      <c r="N165">
        <v>2</v>
      </c>
      <c r="O165" t="s">
        <v>924</v>
      </c>
    </row>
    <row r="166" spans="1:15" hidden="1" x14ac:dyDescent="0.25">
      <c r="A166">
        <v>22</v>
      </c>
      <c r="B166" t="s">
        <v>787</v>
      </c>
      <c r="C166" t="s">
        <v>969</v>
      </c>
      <c r="D166">
        <v>847.8</v>
      </c>
      <c r="E166">
        <v>0</v>
      </c>
      <c r="F166">
        <v>742.43</v>
      </c>
      <c r="G166">
        <v>65.959999999999994</v>
      </c>
      <c r="H166" s="25">
        <v>7.7801368247228123E-2</v>
      </c>
      <c r="I166">
        <v>5.2</v>
      </c>
      <c r="J166">
        <v>34.21</v>
      </c>
      <c r="K166" s="25">
        <v>4.0351497994810102E-2</v>
      </c>
      <c r="L166">
        <v>4.6078418167369316E-2</v>
      </c>
      <c r="M166" t="s">
        <v>1085</v>
      </c>
      <c r="N166">
        <v>2</v>
      </c>
      <c r="O166" t="s">
        <v>924</v>
      </c>
    </row>
    <row r="167" spans="1:15" hidden="1" x14ac:dyDescent="0.25">
      <c r="A167">
        <v>23</v>
      </c>
      <c r="B167" t="s">
        <v>787</v>
      </c>
      <c r="C167" t="s">
        <v>971</v>
      </c>
      <c r="D167">
        <v>847.8</v>
      </c>
      <c r="E167">
        <v>0</v>
      </c>
      <c r="F167">
        <v>742.44</v>
      </c>
      <c r="G167">
        <v>65.709999999999994</v>
      </c>
      <c r="H167" s="25">
        <v>7.7506487379098835E-2</v>
      </c>
      <c r="I167">
        <v>5.2</v>
      </c>
      <c r="J167">
        <v>34.450000000000003</v>
      </c>
      <c r="K167" s="25">
        <v>4.0634583628214205E-2</v>
      </c>
      <c r="L167">
        <v>4.6401055977587417E-2</v>
      </c>
      <c r="M167" t="s">
        <v>1085</v>
      </c>
      <c r="N167">
        <v>2</v>
      </c>
      <c r="O167" t="s">
        <v>924</v>
      </c>
    </row>
    <row r="168" spans="1:15" hidden="1" x14ac:dyDescent="0.25">
      <c r="A168">
        <v>24</v>
      </c>
      <c r="B168" t="s">
        <v>787</v>
      </c>
      <c r="C168" t="s">
        <v>973</v>
      </c>
      <c r="D168">
        <v>847.8</v>
      </c>
      <c r="E168">
        <v>0</v>
      </c>
      <c r="F168">
        <v>720.91</v>
      </c>
      <c r="G168">
        <v>95.38</v>
      </c>
      <c r="H168" s="25">
        <v>0.11250294880868129</v>
      </c>
      <c r="I168">
        <v>5.05</v>
      </c>
      <c r="J168">
        <v>26.46</v>
      </c>
      <c r="K168" s="25">
        <v>3.1210191082802551E-2</v>
      </c>
      <c r="L168">
        <v>3.6703610714236175E-2</v>
      </c>
      <c r="M168" t="s">
        <v>1085</v>
      </c>
      <c r="N168">
        <v>2</v>
      </c>
      <c r="O168" t="s">
        <v>924</v>
      </c>
    </row>
    <row r="169" spans="1:15" hidden="1" x14ac:dyDescent="0.25">
      <c r="A169">
        <v>25</v>
      </c>
      <c r="B169" t="s">
        <v>787</v>
      </c>
      <c r="C169" t="s">
        <v>975</v>
      </c>
      <c r="D169">
        <v>847.8</v>
      </c>
      <c r="E169">
        <v>0</v>
      </c>
      <c r="F169">
        <v>720.91</v>
      </c>
      <c r="G169">
        <v>97.12</v>
      </c>
      <c r="H169" s="25">
        <v>0.11455531965086106</v>
      </c>
      <c r="I169">
        <v>5.05</v>
      </c>
      <c r="J169">
        <v>24.72</v>
      </c>
      <c r="K169" s="25">
        <v>2.915782024062279E-2</v>
      </c>
      <c r="L169">
        <v>3.4289994590170757E-2</v>
      </c>
      <c r="M169" t="s">
        <v>1085</v>
      </c>
      <c r="N169">
        <v>2</v>
      </c>
      <c r="O169" t="s">
        <v>924</v>
      </c>
    </row>
    <row r="170" spans="1:15" hidden="1" x14ac:dyDescent="0.25">
      <c r="A170">
        <v>26</v>
      </c>
      <c r="B170" t="s">
        <v>787</v>
      </c>
      <c r="C170" t="s">
        <v>977</v>
      </c>
      <c r="D170">
        <v>847.8</v>
      </c>
      <c r="E170">
        <v>0</v>
      </c>
      <c r="F170">
        <v>720.91</v>
      </c>
      <c r="G170">
        <v>97.12</v>
      </c>
      <c r="H170" s="25">
        <v>0.11455531965086106</v>
      </c>
      <c r="I170">
        <v>5.05</v>
      </c>
      <c r="J170">
        <v>24.72</v>
      </c>
      <c r="K170" s="25">
        <v>2.915782024062279E-2</v>
      </c>
      <c r="L170">
        <v>3.4289994590170757E-2</v>
      </c>
      <c r="M170" t="s">
        <v>1085</v>
      </c>
      <c r="N170">
        <v>2</v>
      </c>
      <c r="O170" t="s">
        <v>924</v>
      </c>
    </row>
    <row r="171" spans="1:15" hidden="1" x14ac:dyDescent="0.25">
      <c r="A171">
        <v>27</v>
      </c>
      <c r="B171" t="s">
        <v>787</v>
      </c>
      <c r="C171" t="s">
        <v>979</v>
      </c>
      <c r="D171">
        <v>847.8</v>
      </c>
      <c r="E171">
        <v>0</v>
      </c>
      <c r="F171">
        <v>727.45</v>
      </c>
      <c r="G171">
        <v>80.260000000000005</v>
      </c>
      <c r="H171" s="25">
        <v>9.4668553904222699E-2</v>
      </c>
      <c r="I171">
        <v>5.09</v>
      </c>
      <c r="J171">
        <v>35</v>
      </c>
      <c r="K171" s="25">
        <v>4.1283321538098612E-2</v>
      </c>
      <c r="L171">
        <v>4.8113272389854973E-2</v>
      </c>
      <c r="M171" t="s">
        <v>1085</v>
      </c>
      <c r="N171">
        <v>2</v>
      </c>
      <c r="O171" t="s">
        <v>924</v>
      </c>
    </row>
    <row r="172" spans="1:15" hidden="1" x14ac:dyDescent="0.25">
      <c r="A172">
        <v>28</v>
      </c>
      <c r="B172" t="s">
        <v>787</v>
      </c>
      <c r="C172" t="s">
        <v>981</v>
      </c>
      <c r="D172">
        <v>847.8</v>
      </c>
      <c r="E172">
        <v>0</v>
      </c>
      <c r="F172">
        <v>737.24</v>
      </c>
      <c r="G172">
        <v>80.260000000000005</v>
      </c>
      <c r="H172" s="25">
        <v>9.4668553904222699E-2</v>
      </c>
      <c r="I172">
        <v>5.16</v>
      </c>
      <c r="J172">
        <v>25.14</v>
      </c>
      <c r="K172" s="25">
        <v>2.9653220099079974E-2</v>
      </c>
      <c r="L172">
        <v>3.4100157343605879E-2</v>
      </c>
      <c r="M172" t="s">
        <v>1085</v>
      </c>
      <c r="N172">
        <v>2</v>
      </c>
      <c r="O172" t="s">
        <v>924</v>
      </c>
    </row>
    <row r="173" spans="1:15" hidden="1" x14ac:dyDescent="0.25">
      <c r="A173">
        <v>29</v>
      </c>
      <c r="B173" t="s">
        <v>787</v>
      </c>
      <c r="C173" t="s">
        <v>983</v>
      </c>
      <c r="D173">
        <v>847.8</v>
      </c>
      <c r="E173">
        <v>0</v>
      </c>
      <c r="F173">
        <v>773.2</v>
      </c>
      <c r="G173">
        <v>0</v>
      </c>
      <c r="H173" s="25">
        <v>0</v>
      </c>
      <c r="I173">
        <v>5.41</v>
      </c>
      <c r="J173">
        <v>69.19</v>
      </c>
      <c r="K173" s="25">
        <v>8.1611229063458371E-2</v>
      </c>
      <c r="L173">
        <v>8.9485256078634237E-2</v>
      </c>
      <c r="M173" t="s">
        <v>1085</v>
      </c>
      <c r="N173">
        <v>2</v>
      </c>
      <c r="O173" t="s">
        <v>924</v>
      </c>
    </row>
    <row r="174" spans="1:15" hidden="1" x14ac:dyDescent="0.25">
      <c r="A174">
        <v>30</v>
      </c>
      <c r="B174" t="s">
        <v>787</v>
      </c>
      <c r="C174" t="s">
        <v>986</v>
      </c>
      <c r="D174">
        <v>0</v>
      </c>
      <c r="E174">
        <v>446.86</v>
      </c>
      <c r="F174">
        <v>343.17</v>
      </c>
      <c r="G174">
        <v>83.87</v>
      </c>
      <c r="H174" s="25">
        <v>0.18768741887839593</v>
      </c>
      <c r="I174">
        <v>2.4</v>
      </c>
      <c r="J174">
        <v>17.420000000000002</v>
      </c>
      <c r="K174" s="25">
        <v>3.8983126706350985E-2</v>
      </c>
      <c r="L174">
        <v>5.0762012996474051E-2</v>
      </c>
      <c r="M174" t="s">
        <v>1085</v>
      </c>
      <c r="N174">
        <v>2</v>
      </c>
      <c r="O174" t="s">
        <v>924</v>
      </c>
    </row>
    <row r="175" spans="1:15" hidden="1" x14ac:dyDescent="0.25">
      <c r="A175">
        <v>31</v>
      </c>
      <c r="B175" t="s">
        <v>788</v>
      </c>
      <c r="C175" t="s">
        <v>989</v>
      </c>
      <c r="D175">
        <v>1507.2</v>
      </c>
      <c r="E175">
        <v>0</v>
      </c>
      <c r="F175">
        <v>1450.53</v>
      </c>
      <c r="G175">
        <v>0</v>
      </c>
      <c r="H175" s="25">
        <v>0</v>
      </c>
      <c r="I175">
        <v>10.15</v>
      </c>
      <c r="J175">
        <v>46.52</v>
      </c>
      <c r="K175" s="25">
        <v>3.0865180467091295E-2</v>
      </c>
      <c r="L175">
        <v>3.2071036104044728E-2</v>
      </c>
      <c r="M175" t="s">
        <v>1085</v>
      </c>
      <c r="N175">
        <v>2</v>
      </c>
      <c r="O175" t="s">
        <v>924</v>
      </c>
    </row>
    <row r="176" spans="1:15" hidden="1" x14ac:dyDescent="0.25">
      <c r="A176">
        <v>32</v>
      </c>
      <c r="B176" t="s">
        <v>788</v>
      </c>
      <c r="C176" t="s">
        <v>991</v>
      </c>
      <c r="D176">
        <v>1507.2</v>
      </c>
      <c r="E176">
        <v>0</v>
      </c>
      <c r="F176">
        <v>1422.67</v>
      </c>
      <c r="G176">
        <v>0</v>
      </c>
      <c r="H176" s="25">
        <v>0</v>
      </c>
      <c r="I176">
        <v>9.9600000000000009</v>
      </c>
      <c r="J176">
        <v>74.569999999999993</v>
      </c>
      <c r="K176" s="25">
        <v>4.9475849256900205E-2</v>
      </c>
      <c r="L176">
        <v>5.2415528548433572E-2</v>
      </c>
      <c r="M176" t="s">
        <v>1085</v>
      </c>
      <c r="N176">
        <v>2</v>
      </c>
      <c r="O176" t="s">
        <v>924</v>
      </c>
    </row>
    <row r="177" spans="1:15" hidden="1" x14ac:dyDescent="0.25">
      <c r="A177">
        <v>33</v>
      </c>
      <c r="B177" t="s">
        <v>788</v>
      </c>
      <c r="C177" t="s">
        <v>993</v>
      </c>
      <c r="D177">
        <v>1507.2</v>
      </c>
      <c r="E177">
        <v>0</v>
      </c>
      <c r="F177">
        <v>1422.45</v>
      </c>
      <c r="G177">
        <v>0</v>
      </c>
      <c r="H177" s="25">
        <v>0</v>
      </c>
      <c r="I177">
        <v>9.9600000000000009</v>
      </c>
      <c r="J177">
        <v>74.790000000000006</v>
      </c>
      <c r="K177" s="25">
        <v>4.9621815286624203E-2</v>
      </c>
      <c r="L177">
        <v>5.2578298006959824E-2</v>
      </c>
      <c r="M177" t="s">
        <v>1085</v>
      </c>
      <c r="N177">
        <v>2</v>
      </c>
      <c r="O177" t="s">
        <v>924</v>
      </c>
    </row>
    <row r="178" spans="1:15" hidden="1" x14ac:dyDescent="0.25">
      <c r="A178">
        <v>34</v>
      </c>
      <c r="B178" t="s">
        <v>788</v>
      </c>
      <c r="C178" t="s">
        <v>995</v>
      </c>
      <c r="D178">
        <v>1507.2</v>
      </c>
      <c r="E178">
        <v>0</v>
      </c>
      <c r="F178">
        <v>1396.27</v>
      </c>
      <c r="G178">
        <v>0</v>
      </c>
      <c r="H178" s="25">
        <v>0</v>
      </c>
      <c r="I178">
        <v>9.77</v>
      </c>
      <c r="J178">
        <v>101.16</v>
      </c>
      <c r="K178" s="25">
        <v>6.7117834394904458E-2</v>
      </c>
      <c r="L178">
        <v>7.2450170812235454E-2</v>
      </c>
      <c r="M178" t="s">
        <v>1085</v>
      </c>
      <c r="N178">
        <v>2</v>
      </c>
      <c r="O178" t="s">
        <v>924</v>
      </c>
    </row>
    <row r="179" spans="1:15" hidden="1" x14ac:dyDescent="0.25">
      <c r="A179">
        <v>35</v>
      </c>
      <c r="B179" t="s">
        <v>788</v>
      </c>
      <c r="C179" t="s">
        <v>997</v>
      </c>
      <c r="D179">
        <v>1507.2</v>
      </c>
      <c r="E179">
        <v>0</v>
      </c>
      <c r="F179">
        <v>1397.65</v>
      </c>
      <c r="G179">
        <v>0</v>
      </c>
      <c r="H179" s="25">
        <v>0</v>
      </c>
      <c r="I179">
        <v>9.7799999999999994</v>
      </c>
      <c r="J179">
        <v>99.77</v>
      </c>
      <c r="K179" s="25">
        <v>6.6195594479830144E-2</v>
      </c>
      <c r="L179">
        <v>7.1384109040174573E-2</v>
      </c>
      <c r="M179" t="s">
        <v>1085</v>
      </c>
      <c r="N179">
        <v>2</v>
      </c>
      <c r="O179" t="s">
        <v>924</v>
      </c>
    </row>
    <row r="180" spans="1:15" hidden="1" x14ac:dyDescent="0.25">
      <c r="A180">
        <v>36</v>
      </c>
      <c r="B180" t="s">
        <v>788</v>
      </c>
      <c r="C180" t="s">
        <v>999</v>
      </c>
      <c r="D180">
        <v>1507.2</v>
      </c>
      <c r="E180">
        <v>0</v>
      </c>
      <c r="F180">
        <v>1412.28</v>
      </c>
      <c r="G180">
        <v>0</v>
      </c>
      <c r="H180" s="25">
        <v>0</v>
      </c>
      <c r="I180">
        <v>9.89</v>
      </c>
      <c r="J180">
        <v>85.03</v>
      </c>
      <c r="K180" s="25">
        <v>5.6415870488322716E-2</v>
      </c>
      <c r="L180">
        <v>6.0207607556575185E-2</v>
      </c>
      <c r="M180" t="s">
        <v>1085</v>
      </c>
      <c r="N180">
        <v>2</v>
      </c>
      <c r="O180" t="s">
        <v>924</v>
      </c>
    </row>
    <row r="181" spans="1:15" hidden="1" x14ac:dyDescent="0.25">
      <c r="A181">
        <v>37</v>
      </c>
      <c r="B181" t="s">
        <v>788</v>
      </c>
      <c r="C181" t="s">
        <v>1001</v>
      </c>
      <c r="D181">
        <v>1507.2</v>
      </c>
      <c r="E181">
        <v>0</v>
      </c>
      <c r="F181">
        <v>1422.01</v>
      </c>
      <c r="G181">
        <v>0</v>
      </c>
      <c r="H181" s="25">
        <v>0</v>
      </c>
      <c r="I181">
        <v>9.9499999999999993</v>
      </c>
      <c r="J181">
        <v>75.239999999999995</v>
      </c>
      <c r="K181" s="25">
        <v>4.9920382165605091E-2</v>
      </c>
      <c r="L181">
        <v>5.2911020316312819E-2</v>
      </c>
      <c r="M181" t="s">
        <v>1085</v>
      </c>
      <c r="N181">
        <v>2</v>
      </c>
      <c r="O181" t="s">
        <v>924</v>
      </c>
    </row>
    <row r="182" spans="1:15" hidden="1" x14ac:dyDescent="0.25">
      <c r="A182">
        <v>38</v>
      </c>
      <c r="B182" t="s">
        <v>788</v>
      </c>
      <c r="C182" t="s">
        <v>1003</v>
      </c>
      <c r="D182">
        <v>1507.2</v>
      </c>
      <c r="E182">
        <v>0</v>
      </c>
      <c r="F182">
        <v>1448.71</v>
      </c>
      <c r="G182">
        <v>0</v>
      </c>
      <c r="H182" s="25">
        <v>0</v>
      </c>
      <c r="I182">
        <v>10.14</v>
      </c>
      <c r="J182">
        <v>48.35</v>
      </c>
      <c r="K182" s="25">
        <v>3.2079352441613591E-2</v>
      </c>
      <c r="L182">
        <v>3.3374519400017948E-2</v>
      </c>
      <c r="M182" t="s">
        <v>1085</v>
      </c>
      <c r="N182">
        <v>2</v>
      </c>
      <c r="O182" t="s">
        <v>924</v>
      </c>
    </row>
    <row r="183" spans="1:15" hidden="1" x14ac:dyDescent="0.25">
      <c r="A183">
        <v>39</v>
      </c>
      <c r="B183" t="s">
        <v>788</v>
      </c>
      <c r="C183" t="s">
        <v>1005</v>
      </c>
      <c r="D183">
        <v>1507.2</v>
      </c>
      <c r="E183">
        <v>0</v>
      </c>
      <c r="F183">
        <v>1434.86</v>
      </c>
      <c r="G183">
        <v>0</v>
      </c>
      <c r="H183" s="25">
        <v>0</v>
      </c>
      <c r="I183">
        <v>10.039999999999999</v>
      </c>
      <c r="J183">
        <v>62.3</v>
      </c>
      <c r="K183" s="25">
        <v>4.1334925690021229E-2</v>
      </c>
      <c r="L183">
        <v>4.3418870133671579E-2</v>
      </c>
      <c r="M183" t="s">
        <v>1085</v>
      </c>
      <c r="N183">
        <v>2</v>
      </c>
      <c r="O183" t="s">
        <v>924</v>
      </c>
    </row>
    <row r="184" spans="1:15" hidden="1" x14ac:dyDescent="0.25">
      <c r="A184">
        <v>40</v>
      </c>
      <c r="B184" t="s">
        <v>788</v>
      </c>
      <c r="C184" t="s">
        <v>1007</v>
      </c>
      <c r="D184">
        <v>1507.2</v>
      </c>
      <c r="E184">
        <v>0</v>
      </c>
      <c r="F184">
        <v>1424.4</v>
      </c>
      <c r="G184">
        <v>0</v>
      </c>
      <c r="H184" s="25">
        <v>0</v>
      </c>
      <c r="I184">
        <v>9.9700000000000006</v>
      </c>
      <c r="J184">
        <v>72.83</v>
      </c>
      <c r="K184" s="25">
        <v>4.8321390658174097E-2</v>
      </c>
      <c r="L184">
        <v>5.1130300477393989E-2</v>
      </c>
      <c r="M184" t="s">
        <v>1085</v>
      </c>
      <c r="N184">
        <v>2</v>
      </c>
      <c r="O184" t="s">
        <v>924</v>
      </c>
    </row>
    <row r="185" spans="1:15" hidden="1" x14ac:dyDescent="0.25">
      <c r="A185">
        <v>41</v>
      </c>
      <c r="B185" t="s">
        <v>788</v>
      </c>
      <c r="C185" t="s">
        <v>1009</v>
      </c>
      <c r="D185">
        <v>0</v>
      </c>
      <c r="E185">
        <v>14.06</v>
      </c>
      <c r="F185">
        <v>10.99</v>
      </c>
      <c r="G185">
        <v>0</v>
      </c>
      <c r="H185" s="25">
        <v>0</v>
      </c>
      <c r="I185">
        <v>0.08</v>
      </c>
      <c r="J185">
        <v>2.99</v>
      </c>
      <c r="K185" s="25">
        <v>0.21266002844950213</v>
      </c>
      <c r="L185">
        <v>0.2720655141037307</v>
      </c>
      <c r="M185" t="s">
        <v>1085</v>
      </c>
      <c r="N185">
        <v>2</v>
      </c>
      <c r="O185" t="s">
        <v>924</v>
      </c>
    </row>
    <row r="186" spans="1:15" hidden="1" x14ac:dyDescent="0.25">
      <c r="A186">
        <v>42</v>
      </c>
      <c r="B186" t="s">
        <v>789</v>
      </c>
      <c r="C186" t="s">
        <v>1011</v>
      </c>
      <c r="D186">
        <v>1413</v>
      </c>
      <c r="E186">
        <v>0</v>
      </c>
      <c r="F186">
        <v>1375.31</v>
      </c>
      <c r="G186">
        <v>0</v>
      </c>
      <c r="H186" s="25">
        <v>0</v>
      </c>
      <c r="I186">
        <v>9.6300000000000008</v>
      </c>
      <c r="J186">
        <v>28.06</v>
      </c>
      <c r="K186" s="25">
        <v>1.9858457183297946E-2</v>
      </c>
      <c r="L186">
        <v>2.0402672851938836E-2</v>
      </c>
      <c r="M186" t="s">
        <v>1085</v>
      </c>
      <c r="N186">
        <v>2</v>
      </c>
      <c r="O186" t="s">
        <v>924</v>
      </c>
    </row>
    <row r="187" spans="1:15" hidden="1" x14ac:dyDescent="0.25">
      <c r="A187">
        <v>43</v>
      </c>
      <c r="B187" t="s">
        <v>789</v>
      </c>
      <c r="C187" t="s">
        <v>1013</v>
      </c>
      <c r="D187">
        <v>1413</v>
      </c>
      <c r="E187">
        <v>0</v>
      </c>
      <c r="F187">
        <v>1375.31</v>
      </c>
      <c r="G187">
        <v>0</v>
      </c>
      <c r="H187" s="25">
        <v>0</v>
      </c>
      <c r="I187">
        <v>9.6300000000000008</v>
      </c>
      <c r="J187">
        <v>28.06</v>
      </c>
      <c r="K187" s="25">
        <v>1.9858457183297946E-2</v>
      </c>
      <c r="L187">
        <v>2.0402672851938836E-2</v>
      </c>
      <c r="M187" t="s">
        <v>1085</v>
      </c>
      <c r="N187">
        <v>2</v>
      </c>
      <c r="O187" t="s">
        <v>924</v>
      </c>
    </row>
    <row r="188" spans="1:15" hidden="1" x14ac:dyDescent="0.25">
      <c r="A188">
        <v>44</v>
      </c>
      <c r="B188" t="s">
        <v>789</v>
      </c>
      <c r="C188" t="s">
        <v>1015</v>
      </c>
      <c r="D188">
        <v>1413</v>
      </c>
      <c r="E188">
        <v>0</v>
      </c>
      <c r="F188">
        <v>1375.32</v>
      </c>
      <c r="G188">
        <v>0</v>
      </c>
      <c r="H188" s="25">
        <v>0</v>
      </c>
      <c r="I188">
        <v>9.6300000000000008</v>
      </c>
      <c r="J188">
        <v>28.05</v>
      </c>
      <c r="K188" s="25">
        <v>1.9851380042462844E-2</v>
      </c>
      <c r="L188">
        <v>2.0395253468283747E-2</v>
      </c>
      <c r="M188" t="s">
        <v>1085</v>
      </c>
      <c r="N188">
        <v>2</v>
      </c>
      <c r="O188" t="s">
        <v>924</v>
      </c>
    </row>
    <row r="189" spans="1:15" hidden="1" x14ac:dyDescent="0.25">
      <c r="A189">
        <v>45</v>
      </c>
      <c r="B189" t="s">
        <v>789</v>
      </c>
      <c r="C189" t="s">
        <v>1017</v>
      </c>
      <c r="D189">
        <v>1413</v>
      </c>
      <c r="E189">
        <v>0</v>
      </c>
      <c r="F189">
        <v>1365.89</v>
      </c>
      <c r="G189">
        <v>0</v>
      </c>
      <c r="H189" s="25">
        <v>0</v>
      </c>
      <c r="I189">
        <v>9.56</v>
      </c>
      <c r="J189">
        <v>37.549999999999997</v>
      </c>
      <c r="K189" s="25">
        <v>2.6574663835810329E-2</v>
      </c>
      <c r="L189">
        <v>2.7491232822555254E-2</v>
      </c>
      <c r="M189" t="s">
        <v>1085</v>
      </c>
      <c r="N189">
        <v>2</v>
      </c>
      <c r="O189" t="s">
        <v>924</v>
      </c>
    </row>
    <row r="190" spans="1:15" hidden="1" x14ac:dyDescent="0.25">
      <c r="A190">
        <v>46</v>
      </c>
      <c r="B190" t="s">
        <v>789</v>
      </c>
      <c r="C190" t="s">
        <v>1019</v>
      </c>
      <c r="D190">
        <v>1413</v>
      </c>
      <c r="E190">
        <v>0</v>
      </c>
      <c r="F190">
        <v>1313.14</v>
      </c>
      <c r="G190">
        <v>0</v>
      </c>
      <c r="H190" s="25">
        <v>0</v>
      </c>
      <c r="I190">
        <v>9.19</v>
      </c>
      <c r="J190">
        <v>90.67</v>
      </c>
      <c r="K190" s="25">
        <v>6.4168435951875449E-2</v>
      </c>
      <c r="L190">
        <v>6.9048235527057272E-2</v>
      </c>
      <c r="M190" t="s">
        <v>1085</v>
      </c>
      <c r="N190">
        <v>2</v>
      </c>
      <c r="O190" t="s">
        <v>924</v>
      </c>
    </row>
    <row r="191" spans="1:15" hidden="1" x14ac:dyDescent="0.25">
      <c r="A191">
        <v>47</v>
      </c>
      <c r="B191" t="s">
        <v>789</v>
      </c>
      <c r="C191" t="s">
        <v>1021</v>
      </c>
      <c r="D191">
        <v>1413</v>
      </c>
      <c r="E191">
        <v>0</v>
      </c>
      <c r="F191">
        <v>1338.6</v>
      </c>
      <c r="G191">
        <v>0</v>
      </c>
      <c r="H191" s="25">
        <v>0</v>
      </c>
      <c r="I191">
        <v>9.3699999999999992</v>
      </c>
      <c r="J191">
        <v>65.03</v>
      </c>
      <c r="K191" s="25">
        <v>4.6022646850672332E-2</v>
      </c>
      <c r="L191">
        <v>4.8580606603914542E-2</v>
      </c>
      <c r="M191" t="s">
        <v>1085</v>
      </c>
      <c r="N191">
        <v>2</v>
      </c>
      <c r="O191" t="s">
        <v>924</v>
      </c>
    </row>
    <row r="192" spans="1:15" hidden="1" x14ac:dyDescent="0.25">
      <c r="A192">
        <v>48</v>
      </c>
      <c r="B192" t="s">
        <v>789</v>
      </c>
      <c r="C192" t="s">
        <v>1023</v>
      </c>
      <c r="D192">
        <v>1413</v>
      </c>
      <c r="E192">
        <v>0</v>
      </c>
      <c r="F192">
        <v>1327.92</v>
      </c>
      <c r="G192">
        <v>0</v>
      </c>
      <c r="H192" s="25">
        <v>0</v>
      </c>
      <c r="I192">
        <v>9.3000000000000007</v>
      </c>
      <c r="J192">
        <v>75.78</v>
      </c>
      <c r="K192" s="25">
        <v>5.3630573248407643E-2</v>
      </c>
      <c r="L192">
        <v>5.706669076450388E-2</v>
      </c>
      <c r="M192" t="s">
        <v>1085</v>
      </c>
      <c r="N192">
        <v>2</v>
      </c>
      <c r="O192" t="s">
        <v>924</v>
      </c>
    </row>
    <row r="193" spans="1:15" hidden="1" x14ac:dyDescent="0.25">
      <c r="A193">
        <v>49</v>
      </c>
      <c r="B193" t="s">
        <v>789</v>
      </c>
      <c r="C193" t="s">
        <v>1025</v>
      </c>
      <c r="D193">
        <v>1413</v>
      </c>
      <c r="E193">
        <v>0</v>
      </c>
      <c r="F193">
        <v>1338.82</v>
      </c>
      <c r="G193">
        <v>0</v>
      </c>
      <c r="H193" s="25">
        <v>0</v>
      </c>
      <c r="I193">
        <v>9.3699999999999992</v>
      </c>
      <c r="J193">
        <v>64.81</v>
      </c>
      <c r="K193" s="25">
        <v>4.5866949752300074E-2</v>
      </c>
      <c r="L193">
        <v>4.8408299846133165E-2</v>
      </c>
      <c r="M193" t="s">
        <v>1085</v>
      </c>
      <c r="N193">
        <v>2</v>
      </c>
      <c r="O193" t="s">
        <v>924</v>
      </c>
    </row>
    <row r="194" spans="1:15" hidden="1" x14ac:dyDescent="0.25">
      <c r="A194">
        <v>50</v>
      </c>
      <c r="B194" t="s">
        <v>789</v>
      </c>
      <c r="C194" t="s">
        <v>1027</v>
      </c>
      <c r="D194">
        <v>1413</v>
      </c>
      <c r="E194">
        <v>0</v>
      </c>
      <c r="F194">
        <v>1343.39</v>
      </c>
      <c r="G194">
        <v>0</v>
      </c>
      <c r="H194" s="25">
        <v>0</v>
      </c>
      <c r="I194">
        <v>9.4</v>
      </c>
      <c r="J194">
        <v>60.21</v>
      </c>
      <c r="K194" s="25">
        <v>4.2611464968152865E-2</v>
      </c>
      <c r="L194">
        <v>4.4819449303627384E-2</v>
      </c>
      <c r="M194" t="s">
        <v>1085</v>
      </c>
      <c r="N194">
        <v>2</v>
      </c>
      <c r="O194" t="s">
        <v>924</v>
      </c>
    </row>
    <row r="195" spans="1:15" hidden="1" x14ac:dyDescent="0.25">
      <c r="A195">
        <v>51</v>
      </c>
      <c r="B195" t="s">
        <v>789</v>
      </c>
      <c r="C195" t="s">
        <v>1029</v>
      </c>
      <c r="D195">
        <v>1413</v>
      </c>
      <c r="E195">
        <v>0</v>
      </c>
      <c r="F195">
        <v>1309.3499999999999</v>
      </c>
      <c r="G195">
        <v>0</v>
      </c>
      <c r="H195" s="25">
        <v>0</v>
      </c>
      <c r="I195">
        <v>9.17</v>
      </c>
      <c r="J195">
        <v>94.48</v>
      </c>
      <c r="K195" s="25">
        <v>6.6864826610049541E-2</v>
      </c>
      <c r="L195">
        <v>7.2157940963073292E-2</v>
      </c>
      <c r="M195" t="s">
        <v>1085</v>
      </c>
      <c r="N195">
        <v>2</v>
      </c>
      <c r="O195" t="s">
        <v>924</v>
      </c>
    </row>
    <row r="196" spans="1:15" hidden="1" x14ac:dyDescent="0.25">
      <c r="A196">
        <v>52</v>
      </c>
      <c r="B196" t="s">
        <v>789</v>
      </c>
      <c r="C196" t="s">
        <v>1032</v>
      </c>
      <c r="D196">
        <v>0</v>
      </c>
      <c r="E196">
        <v>1359.07</v>
      </c>
      <c r="F196">
        <v>36.46</v>
      </c>
      <c r="G196">
        <v>1305.1400000000001</v>
      </c>
      <c r="H196" s="25">
        <v>0.96031845305981312</v>
      </c>
      <c r="I196">
        <v>0.26</v>
      </c>
      <c r="J196">
        <v>17.21</v>
      </c>
      <c r="K196" s="25">
        <v>1.2663071070658614E-2</v>
      </c>
      <c r="L196">
        <v>0.47202413603949533</v>
      </c>
      <c r="M196" t="s">
        <v>1085</v>
      </c>
      <c r="N196">
        <v>2</v>
      </c>
      <c r="O196" t="s">
        <v>924</v>
      </c>
    </row>
    <row r="197" spans="1:15" hidden="1" x14ac:dyDescent="0.25">
      <c r="A197">
        <v>53</v>
      </c>
      <c r="B197" t="s">
        <v>790</v>
      </c>
      <c r="C197" t="s">
        <v>1035</v>
      </c>
      <c r="D197">
        <v>1695.6</v>
      </c>
      <c r="E197">
        <v>0</v>
      </c>
      <c r="F197">
        <v>1492.14</v>
      </c>
      <c r="G197">
        <v>169.54</v>
      </c>
      <c r="H197" s="25">
        <v>9.9988204765274827E-2</v>
      </c>
      <c r="I197">
        <v>10.44</v>
      </c>
      <c r="J197">
        <v>23.48</v>
      </c>
      <c r="K197" s="25">
        <v>1.3847605567350792E-2</v>
      </c>
      <c r="L197">
        <v>1.5735788866996395E-2</v>
      </c>
      <c r="M197" t="s">
        <v>1085</v>
      </c>
      <c r="N197">
        <v>2</v>
      </c>
      <c r="O197" t="s">
        <v>924</v>
      </c>
    </row>
    <row r="198" spans="1:15" hidden="1" x14ac:dyDescent="0.25">
      <c r="A198">
        <v>54</v>
      </c>
      <c r="B198" t="s">
        <v>790</v>
      </c>
      <c r="C198" t="s">
        <v>1037</v>
      </c>
      <c r="D198">
        <v>1695.6</v>
      </c>
      <c r="E198">
        <v>0</v>
      </c>
      <c r="F198">
        <v>1491.23</v>
      </c>
      <c r="G198">
        <v>169.55</v>
      </c>
      <c r="H198" s="25">
        <v>9.9994102382637423E-2</v>
      </c>
      <c r="I198">
        <v>10.44</v>
      </c>
      <c r="J198">
        <v>24.38</v>
      </c>
      <c r="K198" s="25">
        <v>1.4378391129983487E-2</v>
      </c>
      <c r="L198">
        <v>1.6348920019044682E-2</v>
      </c>
      <c r="M198" t="s">
        <v>1085</v>
      </c>
      <c r="N198">
        <v>2</v>
      </c>
      <c r="O198" t="s">
        <v>924</v>
      </c>
    </row>
    <row r="199" spans="1:15" hidden="1" x14ac:dyDescent="0.25">
      <c r="A199">
        <v>55</v>
      </c>
      <c r="B199" t="s">
        <v>790</v>
      </c>
      <c r="C199" t="s">
        <v>1039</v>
      </c>
      <c r="D199">
        <v>1695.6</v>
      </c>
      <c r="E199">
        <v>0</v>
      </c>
      <c r="F199">
        <v>940.39</v>
      </c>
      <c r="G199">
        <v>728.5</v>
      </c>
      <c r="H199" s="25">
        <v>0.4296414248643548</v>
      </c>
      <c r="I199">
        <v>6.58</v>
      </c>
      <c r="J199">
        <v>20.13</v>
      </c>
      <c r="K199" s="25">
        <v>1.1871903750884642E-2</v>
      </c>
      <c r="L199">
        <v>2.1406012399111007E-2</v>
      </c>
      <c r="M199" t="s">
        <v>1085</v>
      </c>
      <c r="N199">
        <v>2</v>
      </c>
      <c r="O199" t="s">
        <v>924</v>
      </c>
    </row>
    <row r="200" spans="1:15" hidden="1" x14ac:dyDescent="0.25">
      <c r="A200">
        <v>56</v>
      </c>
      <c r="B200" t="s">
        <v>790</v>
      </c>
      <c r="C200" t="s">
        <v>1041</v>
      </c>
      <c r="D200">
        <v>1695.6</v>
      </c>
      <c r="E200">
        <v>0</v>
      </c>
      <c r="F200">
        <v>1491.18</v>
      </c>
      <c r="G200">
        <v>169.56</v>
      </c>
      <c r="H200" s="25">
        <v>0.1</v>
      </c>
      <c r="I200">
        <v>10.44</v>
      </c>
      <c r="J200">
        <v>24.42</v>
      </c>
      <c r="K200" s="25">
        <v>1.440198159943383E-2</v>
      </c>
      <c r="L200">
        <v>1.6376292600490887E-2</v>
      </c>
      <c r="M200" t="s">
        <v>1085</v>
      </c>
      <c r="N200">
        <v>2</v>
      </c>
      <c r="O200" t="s">
        <v>924</v>
      </c>
    </row>
    <row r="201" spans="1:15" hidden="1" x14ac:dyDescent="0.25">
      <c r="A201">
        <v>57</v>
      </c>
      <c r="B201" t="s">
        <v>790</v>
      </c>
      <c r="C201" t="s">
        <v>1043</v>
      </c>
      <c r="D201">
        <v>1695.6</v>
      </c>
      <c r="E201">
        <v>0</v>
      </c>
      <c r="F201">
        <v>1491</v>
      </c>
      <c r="G201">
        <v>169.56</v>
      </c>
      <c r="H201" s="25">
        <v>0.1</v>
      </c>
      <c r="I201">
        <v>10.44</v>
      </c>
      <c r="J201">
        <v>24.6</v>
      </c>
      <c r="K201" s="25">
        <v>1.4508138711960369E-2</v>
      </c>
      <c r="L201">
        <v>1.6498993963782696E-2</v>
      </c>
      <c r="M201" t="s">
        <v>1085</v>
      </c>
      <c r="N201">
        <v>2</v>
      </c>
      <c r="O201" t="s">
        <v>924</v>
      </c>
    </row>
    <row r="202" spans="1:15" hidden="1" x14ac:dyDescent="0.25">
      <c r="A202">
        <v>58</v>
      </c>
      <c r="B202" t="s">
        <v>790</v>
      </c>
      <c r="C202" t="s">
        <v>1045</v>
      </c>
      <c r="D202">
        <v>0</v>
      </c>
      <c r="E202">
        <v>1373.29</v>
      </c>
      <c r="F202">
        <v>313.51</v>
      </c>
      <c r="G202">
        <v>1055.26</v>
      </c>
      <c r="H202" s="25">
        <v>0.76841745006517193</v>
      </c>
      <c r="I202">
        <v>2.19</v>
      </c>
      <c r="J202">
        <v>2.33</v>
      </c>
      <c r="K202" s="25">
        <v>1.6966554769932063E-3</v>
      </c>
      <c r="L202">
        <v>7.4319798411533926E-3</v>
      </c>
      <c r="M202" t="s">
        <v>1085</v>
      </c>
      <c r="N202">
        <v>2</v>
      </c>
      <c r="O202" t="s">
        <v>924</v>
      </c>
    </row>
    <row r="203" spans="1:15" hidden="1" x14ac:dyDescent="0.25">
      <c r="A203">
        <v>59</v>
      </c>
      <c r="B203" t="s">
        <v>791</v>
      </c>
      <c r="C203" t="s">
        <v>1048</v>
      </c>
      <c r="D203">
        <v>3014.4</v>
      </c>
      <c r="E203">
        <v>0</v>
      </c>
      <c r="F203">
        <v>2873.98</v>
      </c>
      <c r="G203">
        <v>0</v>
      </c>
      <c r="H203" s="25">
        <v>0</v>
      </c>
      <c r="I203">
        <v>20.12</v>
      </c>
      <c r="J203">
        <v>120.3</v>
      </c>
      <c r="K203" s="25">
        <v>3.9908439490445854E-2</v>
      </c>
      <c r="L203">
        <v>4.1858328867980986E-2</v>
      </c>
      <c r="M203" t="s">
        <v>1085</v>
      </c>
      <c r="N203">
        <v>2</v>
      </c>
      <c r="O203" t="s">
        <v>924</v>
      </c>
    </row>
    <row r="204" spans="1:15" hidden="1" x14ac:dyDescent="0.25">
      <c r="A204">
        <v>60</v>
      </c>
      <c r="B204" t="s">
        <v>791</v>
      </c>
      <c r="C204" t="s">
        <v>1050</v>
      </c>
      <c r="D204">
        <v>3014.4</v>
      </c>
      <c r="E204">
        <v>0</v>
      </c>
      <c r="F204">
        <v>2899.83</v>
      </c>
      <c r="G204">
        <v>0</v>
      </c>
      <c r="H204" s="25">
        <v>0</v>
      </c>
      <c r="I204">
        <v>20.3</v>
      </c>
      <c r="J204">
        <v>94.27</v>
      </c>
      <c r="K204" s="25">
        <v>3.1273221868365175E-2</v>
      </c>
      <c r="L204">
        <v>3.2508802240131321E-2</v>
      </c>
      <c r="M204" t="s">
        <v>1085</v>
      </c>
      <c r="N204">
        <v>2</v>
      </c>
      <c r="O204" t="s">
        <v>924</v>
      </c>
    </row>
    <row r="205" spans="1:15" hidden="1" x14ac:dyDescent="0.25">
      <c r="A205">
        <v>61</v>
      </c>
      <c r="B205" t="s">
        <v>791</v>
      </c>
      <c r="C205" t="s">
        <v>1053</v>
      </c>
      <c r="D205">
        <v>0</v>
      </c>
      <c r="E205">
        <v>2437.98</v>
      </c>
      <c r="F205">
        <v>548.09</v>
      </c>
      <c r="G205">
        <v>1850.26</v>
      </c>
      <c r="H205" s="25">
        <v>0.75893157450020099</v>
      </c>
      <c r="I205">
        <v>3.84</v>
      </c>
      <c r="J205">
        <v>35.79</v>
      </c>
      <c r="K205" s="25">
        <v>1.4680186055669037E-2</v>
      </c>
      <c r="L205">
        <v>6.5299494608549682E-2</v>
      </c>
      <c r="M205" t="s">
        <v>1085</v>
      </c>
      <c r="N205">
        <v>2</v>
      </c>
      <c r="O205" t="s">
        <v>924</v>
      </c>
    </row>
    <row r="206" spans="1:15" hidden="1" x14ac:dyDescent="0.25">
      <c r="A206">
        <v>62</v>
      </c>
      <c r="B206" t="s">
        <v>792</v>
      </c>
      <c r="C206" t="s">
        <v>1056</v>
      </c>
      <c r="D206">
        <v>3768</v>
      </c>
      <c r="E206">
        <v>0</v>
      </c>
      <c r="F206">
        <v>3123.19</v>
      </c>
      <c r="G206">
        <v>190.54</v>
      </c>
      <c r="H206" s="25">
        <v>5.0567940552016986E-2</v>
      </c>
      <c r="I206">
        <v>21.86</v>
      </c>
      <c r="J206">
        <v>432.41</v>
      </c>
      <c r="K206" s="25">
        <v>0.11475849256900213</v>
      </c>
      <c r="L206">
        <v>0.13845139104569368</v>
      </c>
      <c r="M206" t="s">
        <v>1085</v>
      </c>
      <c r="N206">
        <v>2</v>
      </c>
      <c r="O206" t="s">
        <v>924</v>
      </c>
    </row>
    <row r="207" spans="1:15" hidden="1" x14ac:dyDescent="0.25">
      <c r="A207">
        <v>63</v>
      </c>
      <c r="B207" t="s">
        <v>792</v>
      </c>
      <c r="C207" t="s">
        <v>1061</v>
      </c>
      <c r="D207">
        <v>0</v>
      </c>
      <c r="E207">
        <v>105.48</v>
      </c>
      <c r="F207">
        <v>89.92</v>
      </c>
      <c r="G207">
        <v>0</v>
      </c>
      <c r="H207" s="25">
        <v>0</v>
      </c>
      <c r="I207">
        <v>0.63</v>
      </c>
      <c r="J207">
        <v>14.93</v>
      </c>
      <c r="K207" s="25">
        <v>0.14154342055365945</v>
      </c>
      <c r="L207">
        <v>0.1660364768683274</v>
      </c>
      <c r="M207" t="s">
        <v>1085</v>
      </c>
      <c r="N207">
        <v>2</v>
      </c>
      <c r="O207" t="s">
        <v>924</v>
      </c>
    </row>
    <row r="208" spans="1:15" hidden="1" x14ac:dyDescent="0.25">
      <c r="A208">
        <v>64</v>
      </c>
      <c r="B208" t="s">
        <v>793</v>
      </c>
      <c r="C208" t="s">
        <v>1065</v>
      </c>
      <c r="D208">
        <v>0</v>
      </c>
      <c r="E208">
        <v>1852.47</v>
      </c>
      <c r="F208">
        <v>1613.52</v>
      </c>
      <c r="G208">
        <v>0</v>
      </c>
      <c r="H208" s="25">
        <v>0</v>
      </c>
      <c r="I208">
        <v>11.29</v>
      </c>
      <c r="J208">
        <v>227.66</v>
      </c>
      <c r="K208" s="25">
        <v>0.12289537752298282</v>
      </c>
      <c r="L208">
        <v>0.14109524517824384</v>
      </c>
      <c r="M208" t="s">
        <v>1085</v>
      </c>
      <c r="N208">
        <v>2</v>
      </c>
      <c r="O208" t="s">
        <v>924</v>
      </c>
    </row>
    <row r="209" spans="1:15" hidden="1" x14ac:dyDescent="0.25">
      <c r="A209">
        <v>65</v>
      </c>
      <c r="B209" t="s">
        <v>793</v>
      </c>
      <c r="C209" t="s">
        <v>1070</v>
      </c>
      <c r="D209">
        <v>4710</v>
      </c>
      <c r="E209">
        <v>0</v>
      </c>
      <c r="F209">
        <v>908.21</v>
      </c>
      <c r="G209">
        <v>3693.82</v>
      </c>
      <c r="H209" s="25">
        <v>0.78425053078556262</v>
      </c>
      <c r="I209">
        <v>6.36</v>
      </c>
      <c r="J209">
        <v>101.61</v>
      </c>
      <c r="K209" s="25">
        <v>2.1573248407643311E-2</v>
      </c>
      <c r="L209">
        <v>0.11187941114940377</v>
      </c>
      <c r="M209" t="s">
        <v>1085</v>
      </c>
      <c r="N209">
        <v>2</v>
      </c>
      <c r="O209" t="s">
        <v>924</v>
      </c>
    </row>
    <row r="210" spans="1:15" hidden="1" x14ac:dyDescent="0.25">
      <c r="A210">
        <v>66</v>
      </c>
      <c r="B210" t="s">
        <v>794</v>
      </c>
      <c r="C210" t="s">
        <v>1074</v>
      </c>
      <c r="D210">
        <v>0</v>
      </c>
      <c r="E210">
        <v>3939.44</v>
      </c>
      <c r="F210">
        <v>1431.5</v>
      </c>
      <c r="G210">
        <v>2226.81</v>
      </c>
      <c r="H210" s="25">
        <v>0.56526054464593956</v>
      </c>
      <c r="I210">
        <v>10.02</v>
      </c>
      <c r="J210">
        <v>271.11</v>
      </c>
      <c r="K210" s="25">
        <v>6.8819426111325466E-2</v>
      </c>
      <c r="L210">
        <v>0.18938875305623473</v>
      </c>
      <c r="M210" t="s">
        <v>1085</v>
      </c>
      <c r="N210">
        <v>2</v>
      </c>
      <c r="O210" t="s">
        <v>924</v>
      </c>
    </row>
    <row r="211" spans="1:15" hidden="1" x14ac:dyDescent="0.25">
      <c r="A211">
        <v>67</v>
      </c>
      <c r="B211" t="s">
        <v>795</v>
      </c>
      <c r="C211" t="s">
        <v>1078</v>
      </c>
      <c r="D211">
        <v>0</v>
      </c>
      <c r="E211">
        <v>2310.56</v>
      </c>
      <c r="F211">
        <v>1337.46</v>
      </c>
      <c r="G211">
        <v>843.15</v>
      </c>
      <c r="H211" s="25">
        <v>0.36491153659718856</v>
      </c>
      <c r="I211">
        <v>9.36</v>
      </c>
      <c r="J211">
        <v>120.59</v>
      </c>
      <c r="K211" s="25">
        <v>5.2190810885672741E-2</v>
      </c>
      <c r="L211">
        <v>9.0163444140385504E-2</v>
      </c>
      <c r="M211" t="s">
        <v>1085</v>
      </c>
      <c r="N211">
        <v>2</v>
      </c>
      <c r="O211" t="s">
        <v>924</v>
      </c>
    </row>
    <row r="212" spans="1:15" hidden="1" x14ac:dyDescent="0.25">
      <c r="A212">
        <v>68</v>
      </c>
      <c r="B212" t="s">
        <v>795</v>
      </c>
      <c r="C212" t="s">
        <v>1082</v>
      </c>
      <c r="D212">
        <v>0</v>
      </c>
      <c r="E212">
        <v>2438.85</v>
      </c>
      <c r="F212">
        <v>1199.3599999999999</v>
      </c>
      <c r="G212">
        <v>1105.74</v>
      </c>
      <c r="H212" s="25">
        <v>0.45338581708592168</v>
      </c>
      <c r="I212">
        <v>8.4</v>
      </c>
      <c r="J212">
        <v>125.35</v>
      </c>
      <c r="K212" s="25">
        <v>5.1397174898005209E-2</v>
      </c>
      <c r="L212">
        <v>0.10451407417289221</v>
      </c>
      <c r="M212" t="s">
        <v>1085</v>
      </c>
      <c r="N212">
        <v>2</v>
      </c>
      <c r="O212" t="s">
        <v>924</v>
      </c>
    </row>
    <row r="213" spans="1:15" hidden="1" x14ac:dyDescent="0.25">
      <c r="A213">
        <v>1</v>
      </c>
      <c r="B213" t="s">
        <v>785</v>
      </c>
      <c r="C213" t="s">
        <v>1134</v>
      </c>
      <c r="D213">
        <v>81.64</v>
      </c>
      <c r="E213">
        <v>0</v>
      </c>
      <c r="F213">
        <v>67.819999999999993</v>
      </c>
      <c r="G213">
        <v>7.92</v>
      </c>
      <c r="H213" s="25">
        <v>9.701126898579128E-2</v>
      </c>
      <c r="I213">
        <v>0.47</v>
      </c>
      <c r="J213">
        <v>5.43</v>
      </c>
      <c r="K213" s="25">
        <v>6.651151396374326E-2</v>
      </c>
      <c r="L213">
        <v>8.0064877617222058E-2</v>
      </c>
      <c r="M213" t="s">
        <v>1307</v>
      </c>
      <c r="N213">
        <v>3</v>
      </c>
    </row>
    <row r="214" spans="1:15" hidden="1" x14ac:dyDescent="0.25">
      <c r="A214">
        <v>2</v>
      </c>
      <c r="B214" t="s">
        <v>785</v>
      </c>
      <c r="C214" t="s">
        <v>1138</v>
      </c>
      <c r="D214">
        <v>81.64</v>
      </c>
      <c r="E214">
        <v>0</v>
      </c>
      <c r="F214">
        <v>81.64</v>
      </c>
      <c r="G214">
        <v>0</v>
      </c>
      <c r="H214" s="25">
        <v>0</v>
      </c>
      <c r="I214">
        <v>0.56999999999999995</v>
      </c>
      <c r="J214">
        <v>0</v>
      </c>
      <c r="K214" s="25">
        <v>0</v>
      </c>
      <c r="L214">
        <v>0</v>
      </c>
      <c r="M214" t="s">
        <v>1307</v>
      </c>
      <c r="N214">
        <v>3</v>
      </c>
    </row>
    <row r="215" spans="1:15" hidden="1" x14ac:dyDescent="0.25">
      <c r="A215">
        <v>3</v>
      </c>
      <c r="B215" t="s">
        <v>785</v>
      </c>
      <c r="C215" t="s">
        <v>1140</v>
      </c>
      <c r="D215">
        <v>81.64</v>
      </c>
      <c r="E215">
        <v>0</v>
      </c>
      <c r="F215">
        <v>81.64</v>
      </c>
      <c r="G215">
        <v>0</v>
      </c>
      <c r="H215" s="25">
        <v>0</v>
      </c>
      <c r="I215">
        <v>0.56999999999999995</v>
      </c>
      <c r="J215">
        <v>0</v>
      </c>
      <c r="K215" s="25">
        <v>0</v>
      </c>
      <c r="L215">
        <v>0</v>
      </c>
      <c r="M215" t="s">
        <v>1307</v>
      </c>
      <c r="N215">
        <v>3</v>
      </c>
    </row>
    <row r="216" spans="1:15" hidden="1" x14ac:dyDescent="0.25">
      <c r="A216">
        <v>4</v>
      </c>
      <c r="B216" t="s">
        <v>785</v>
      </c>
      <c r="C216" t="s">
        <v>1142</v>
      </c>
      <c r="D216">
        <v>81.64</v>
      </c>
      <c r="E216">
        <v>0</v>
      </c>
      <c r="F216">
        <v>66.569999999999993</v>
      </c>
      <c r="G216">
        <v>15.07</v>
      </c>
      <c r="H216" s="25">
        <v>0.18459088682018618</v>
      </c>
      <c r="I216">
        <v>0.47</v>
      </c>
      <c r="J216">
        <v>0</v>
      </c>
      <c r="K216" s="25">
        <v>0</v>
      </c>
      <c r="L216">
        <v>0</v>
      </c>
      <c r="M216" t="s">
        <v>1307</v>
      </c>
      <c r="N216">
        <v>3</v>
      </c>
    </row>
    <row r="217" spans="1:15" hidden="1" x14ac:dyDescent="0.25">
      <c r="A217">
        <v>5</v>
      </c>
      <c r="B217" t="s">
        <v>785</v>
      </c>
      <c r="C217" t="s">
        <v>1144</v>
      </c>
      <c r="D217">
        <v>81.64</v>
      </c>
      <c r="E217">
        <v>0</v>
      </c>
      <c r="F217">
        <v>66.569999999999993</v>
      </c>
      <c r="G217">
        <v>15.07</v>
      </c>
      <c r="H217" s="25">
        <v>0.18459088682018618</v>
      </c>
      <c r="I217">
        <v>0.47</v>
      </c>
      <c r="J217">
        <v>0</v>
      </c>
      <c r="K217" s="25">
        <v>0</v>
      </c>
      <c r="L217">
        <v>0</v>
      </c>
      <c r="M217" t="s">
        <v>1307</v>
      </c>
      <c r="N217">
        <v>3</v>
      </c>
    </row>
    <row r="218" spans="1:15" hidden="1" x14ac:dyDescent="0.25">
      <c r="A218">
        <v>6</v>
      </c>
      <c r="B218" t="s">
        <v>785</v>
      </c>
      <c r="C218" t="s">
        <v>1146</v>
      </c>
      <c r="D218">
        <v>81.64</v>
      </c>
      <c r="E218">
        <v>0</v>
      </c>
      <c r="F218">
        <v>66.569999999999993</v>
      </c>
      <c r="G218">
        <v>15.07</v>
      </c>
      <c r="H218" s="25">
        <v>0.18459088682018618</v>
      </c>
      <c r="I218">
        <v>0.47</v>
      </c>
      <c r="J218">
        <v>0</v>
      </c>
      <c r="K218" s="25">
        <v>0</v>
      </c>
      <c r="L218">
        <v>0</v>
      </c>
      <c r="M218" t="s">
        <v>1307</v>
      </c>
      <c r="N218">
        <v>3</v>
      </c>
    </row>
    <row r="219" spans="1:15" hidden="1" x14ac:dyDescent="0.25">
      <c r="A219">
        <v>7</v>
      </c>
      <c r="B219" t="s">
        <v>785</v>
      </c>
      <c r="C219" t="s">
        <v>1148</v>
      </c>
      <c r="D219">
        <v>81.64</v>
      </c>
      <c r="E219">
        <v>0</v>
      </c>
      <c r="F219">
        <v>66.569999999999993</v>
      </c>
      <c r="G219">
        <v>15.07</v>
      </c>
      <c r="H219" s="25">
        <v>0.18459088682018618</v>
      </c>
      <c r="I219">
        <v>0.47</v>
      </c>
      <c r="J219">
        <v>0</v>
      </c>
      <c r="K219" s="25">
        <v>0</v>
      </c>
      <c r="L219">
        <v>0</v>
      </c>
      <c r="M219" t="s">
        <v>1307</v>
      </c>
      <c r="N219">
        <v>3</v>
      </c>
    </row>
    <row r="220" spans="1:15" hidden="1" x14ac:dyDescent="0.25">
      <c r="A220">
        <v>8</v>
      </c>
      <c r="B220" t="s">
        <v>785</v>
      </c>
      <c r="C220" t="s">
        <v>1150</v>
      </c>
      <c r="D220">
        <v>81.64</v>
      </c>
      <c r="E220">
        <v>0</v>
      </c>
      <c r="F220">
        <v>62.8</v>
      </c>
      <c r="G220">
        <v>15.07</v>
      </c>
      <c r="H220" s="25">
        <v>0.18459088682018618</v>
      </c>
      <c r="I220">
        <v>0.44</v>
      </c>
      <c r="J220">
        <v>3.33</v>
      </c>
      <c r="K220" s="25">
        <v>4.0788829005389514E-2</v>
      </c>
      <c r="L220">
        <v>5.3025477707006372E-2</v>
      </c>
      <c r="M220" t="s">
        <v>1307</v>
      </c>
      <c r="N220">
        <v>3</v>
      </c>
    </row>
    <row r="221" spans="1:15" hidden="1" x14ac:dyDescent="0.25">
      <c r="A221">
        <v>9</v>
      </c>
      <c r="B221" t="s">
        <v>785</v>
      </c>
      <c r="C221" t="s">
        <v>1152</v>
      </c>
      <c r="D221">
        <v>0</v>
      </c>
      <c r="E221">
        <v>41.7</v>
      </c>
      <c r="F221">
        <v>22.09</v>
      </c>
      <c r="G221">
        <v>18.899999999999999</v>
      </c>
      <c r="H221" s="25">
        <v>0.4532374100719424</v>
      </c>
      <c r="I221">
        <v>0.15</v>
      </c>
      <c r="J221">
        <v>0.56000000000000005</v>
      </c>
      <c r="K221" s="25">
        <v>1.3429256594724222E-2</v>
      </c>
      <c r="L221">
        <v>2.5350837483023997E-2</v>
      </c>
      <c r="M221" t="s">
        <v>1307</v>
      </c>
      <c r="N221">
        <v>3</v>
      </c>
    </row>
    <row r="222" spans="1:15" hidden="1" x14ac:dyDescent="0.25">
      <c r="A222">
        <v>10</v>
      </c>
      <c r="B222" t="s">
        <v>785</v>
      </c>
      <c r="C222" t="s">
        <v>1157</v>
      </c>
      <c r="D222">
        <v>81.64</v>
      </c>
      <c r="E222">
        <v>0</v>
      </c>
      <c r="F222">
        <v>48.23</v>
      </c>
      <c r="G222">
        <v>32.880000000000003</v>
      </c>
      <c r="H222" s="25">
        <v>0.40274375306222443</v>
      </c>
      <c r="I222">
        <v>0.34</v>
      </c>
      <c r="J222">
        <v>0.19</v>
      </c>
      <c r="K222" s="25">
        <v>2.3272905438510533E-3</v>
      </c>
      <c r="L222">
        <v>3.939456769645449E-3</v>
      </c>
      <c r="M222" t="s">
        <v>1307</v>
      </c>
      <c r="N222">
        <v>3</v>
      </c>
    </row>
    <row r="223" spans="1:15" hidden="1" x14ac:dyDescent="0.25">
      <c r="A223">
        <v>11</v>
      </c>
      <c r="B223" t="s">
        <v>786</v>
      </c>
      <c r="C223" t="s">
        <v>1160</v>
      </c>
      <c r="D223">
        <v>0</v>
      </c>
      <c r="E223">
        <v>210.3</v>
      </c>
      <c r="F223">
        <v>172.52</v>
      </c>
      <c r="G223">
        <v>0</v>
      </c>
      <c r="H223" s="25">
        <v>0</v>
      </c>
      <c r="I223">
        <v>1.21</v>
      </c>
      <c r="J223">
        <v>36.57</v>
      </c>
      <c r="K223" s="25">
        <v>0.17389443651925821</v>
      </c>
      <c r="L223">
        <v>0.21197542313934614</v>
      </c>
      <c r="M223" t="s">
        <v>1307</v>
      </c>
      <c r="N223">
        <v>3</v>
      </c>
    </row>
    <row r="224" spans="1:15" hidden="1" x14ac:dyDescent="0.25">
      <c r="A224">
        <v>12</v>
      </c>
      <c r="B224" t="s">
        <v>786</v>
      </c>
      <c r="C224" t="s">
        <v>1163</v>
      </c>
      <c r="D224">
        <v>353.25</v>
      </c>
      <c r="E224">
        <v>0</v>
      </c>
      <c r="F224">
        <v>35.58</v>
      </c>
      <c r="G224">
        <v>309.62</v>
      </c>
      <c r="H224" s="25">
        <v>0.87648973814578912</v>
      </c>
      <c r="I224">
        <v>0.25</v>
      </c>
      <c r="J224">
        <v>7.8</v>
      </c>
      <c r="K224" s="25">
        <v>2.2080679405520168E-2</v>
      </c>
      <c r="L224">
        <v>0.21922428330522767</v>
      </c>
      <c r="M224" t="s">
        <v>1307</v>
      </c>
      <c r="N224">
        <v>3</v>
      </c>
    </row>
    <row r="225" spans="1:14" hidden="1" x14ac:dyDescent="0.25">
      <c r="A225">
        <v>13</v>
      </c>
      <c r="B225" t="s">
        <v>787</v>
      </c>
      <c r="C225" t="s">
        <v>1167</v>
      </c>
      <c r="D225">
        <v>847.8</v>
      </c>
      <c r="E225">
        <v>0</v>
      </c>
      <c r="F225">
        <v>723.96</v>
      </c>
      <c r="G225">
        <v>92.71</v>
      </c>
      <c r="H225" s="25">
        <v>0.10935362113706062</v>
      </c>
      <c r="I225">
        <v>5.07</v>
      </c>
      <c r="J225">
        <v>26.06</v>
      </c>
      <c r="K225" s="25">
        <v>3.0738381693795707E-2</v>
      </c>
      <c r="L225">
        <v>3.5996463893032758E-2</v>
      </c>
      <c r="M225" t="s">
        <v>1307</v>
      </c>
      <c r="N225">
        <v>3</v>
      </c>
    </row>
    <row r="226" spans="1:14" hidden="1" x14ac:dyDescent="0.25">
      <c r="A226">
        <v>14</v>
      </c>
      <c r="B226" t="s">
        <v>787</v>
      </c>
      <c r="C226" t="s">
        <v>1171</v>
      </c>
      <c r="D226">
        <v>847.8</v>
      </c>
      <c r="E226">
        <v>0</v>
      </c>
      <c r="F226">
        <v>727.26</v>
      </c>
      <c r="G226">
        <v>92.71</v>
      </c>
      <c r="H226" s="25">
        <v>0.10935362113706062</v>
      </c>
      <c r="I226">
        <v>5.09</v>
      </c>
      <c r="J226">
        <v>22.74</v>
      </c>
      <c r="K226" s="25">
        <v>2.6822363765038923E-2</v>
      </c>
      <c r="L226">
        <v>3.1268047190825835E-2</v>
      </c>
      <c r="M226" t="s">
        <v>1307</v>
      </c>
      <c r="N226">
        <v>3</v>
      </c>
    </row>
    <row r="227" spans="1:14" hidden="1" x14ac:dyDescent="0.25">
      <c r="A227">
        <v>15</v>
      </c>
      <c r="B227" t="s">
        <v>787</v>
      </c>
      <c r="C227" t="s">
        <v>1173</v>
      </c>
      <c r="D227">
        <v>847.8</v>
      </c>
      <c r="E227">
        <v>0</v>
      </c>
      <c r="F227">
        <v>723.2</v>
      </c>
      <c r="G227">
        <v>92.71</v>
      </c>
      <c r="H227" s="25">
        <v>0.10935362113706062</v>
      </c>
      <c r="I227">
        <v>5.0599999999999996</v>
      </c>
      <c r="J227">
        <v>26.83</v>
      </c>
      <c r="K227" s="25">
        <v>3.1646614767633877E-2</v>
      </c>
      <c r="L227">
        <v>3.7099004424778759E-2</v>
      </c>
      <c r="M227" t="s">
        <v>1307</v>
      </c>
      <c r="N227">
        <v>3</v>
      </c>
    </row>
    <row r="228" spans="1:14" hidden="1" x14ac:dyDescent="0.25">
      <c r="A228">
        <v>16</v>
      </c>
      <c r="B228" t="s">
        <v>787</v>
      </c>
      <c r="C228" t="s">
        <v>1175</v>
      </c>
      <c r="D228">
        <v>847.8</v>
      </c>
      <c r="E228">
        <v>0</v>
      </c>
      <c r="F228">
        <v>723.1</v>
      </c>
      <c r="G228">
        <v>93.17</v>
      </c>
      <c r="H228" s="25">
        <v>0.1098962019344185</v>
      </c>
      <c r="I228">
        <v>5.0599999999999996</v>
      </c>
      <c r="J228">
        <v>26.47</v>
      </c>
      <c r="K228" s="25">
        <v>3.122198631752772E-2</v>
      </c>
      <c r="L228">
        <v>3.6606278523025858E-2</v>
      </c>
      <c r="M228" t="s">
        <v>1307</v>
      </c>
      <c r="N228">
        <v>3</v>
      </c>
    </row>
    <row r="229" spans="1:14" hidden="1" x14ac:dyDescent="0.25">
      <c r="A229">
        <v>17</v>
      </c>
      <c r="B229" t="s">
        <v>787</v>
      </c>
      <c r="C229" t="s">
        <v>1177</v>
      </c>
      <c r="D229">
        <v>847.8</v>
      </c>
      <c r="E229">
        <v>0</v>
      </c>
      <c r="F229">
        <v>722.86</v>
      </c>
      <c r="G229">
        <v>80.27</v>
      </c>
      <c r="H229" s="25">
        <v>9.4680349138947864E-2</v>
      </c>
      <c r="I229">
        <v>5.0599999999999996</v>
      </c>
      <c r="J229">
        <v>39.61</v>
      </c>
      <c r="K229" s="25">
        <v>4.6720924746402458E-2</v>
      </c>
      <c r="L229">
        <v>5.4796226101873111E-2</v>
      </c>
      <c r="M229" t="s">
        <v>1307</v>
      </c>
      <c r="N229">
        <v>3</v>
      </c>
    </row>
    <row r="230" spans="1:14" hidden="1" x14ac:dyDescent="0.25">
      <c r="A230">
        <v>18</v>
      </c>
      <c r="B230" t="s">
        <v>787</v>
      </c>
      <c r="C230" t="s">
        <v>1179</v>
      </c>
      <c r="D230">
        <v>847.8</v>
      </c>
      <c r="E230">
        <v>0</v>
      </c>
      <c r="F230">
        <v>722.84</v>
      </c>
      <c r="G230">
        <v>80.27</v>
      </c>
      <c r="H230" s="25">
        <v>9.4680349138947864E-2</v>
      </c>
      <c r="I230">
        <v>5.0599999999999996</v>
      </c>
      <c r="J230">
        <v>39.630000000000003</v>
      </c>
      <c r="K230" s="25">
        <v>4.6744515215852801E-2</v>
      </c>
      <c r="L230">
        <v>5.4825410879309394E-2</v>
      </c>
      <c r="M230" t="s">
        <v>1307</v>
      </c>
      <c r="N230">
        <v>3</v>
      </c>
    </row>
    <row r="231" spans="1:14" hidden="1" x14ac:dyDescent="0.25">
      <c r="A231">
        <v>19</v>
      </c>
      <c r="B231" t="s">
        <v>787</v>
      </c>
      <c r="C231" t="s">
        <v>1181</v>
      </c>
      <c r="D231">
        <v>847.8</v>
      </c>
      <c r="E231">
        <v>0</v>
      </c>
      <c r="F231">
        <v>722.69</v>
      </c>
      <c r="G231">
        <v>94.75</v>
      </c>
      <c r="H231" s="25">
        <v>0.11175984902099552</v>
      </c>
      <c r="I231">
        <v>5.0599999999999996</v>
      </c>
      <c r="J231">
        <v>25.3</v>
      </c>
      <c r="K231" s="25">
        <v>2.9841943854682709E-2</v>
      </c>
      <c r="L231">
        <v>3.5008094757088097E-2</v>
      </c>
      <c r="M231" t="s">
        <v>1307</v>
      </c>
      <c r="N231">
        <v>3</v>
      </c>
    </row>
    <row r="232" spans="1:14" hidden="1" x14ac:dyDescent="0.25">
      <c r="A232">
        <v>20</v>
      </c>
      <c r="B232" t="s">
        <v>787</v>
      </c>
      <c r="C232" t="s">
        <v>1183</v>
      </c>
      <c r="D232">
        <v>847.8</v>
      </c>
      <c r="E232">
        <v>0</v>
      </c>
      <c r="F232">
        <v>722.67</v>
      </c>
      <c r="G232">
        <v>93.43</v>
      </c>
      <c r="H232" s="25">
        <v>0.11020287803727295</v>
      </c>
      <c r="I232">
        <v>5.0599999999999996</v>
      </c>
      <c r="J232">
        <v>26.64</v>
      </c>
      <c r="K232" s="25">
        <v>3.1422505307855626E-2</v>
      </c>
      <c r="L232">
        <v>3.6863298601021215E-2</v>
      </c>
      <c r="M232" t="s">
        <v>1307</v>
      </c>
      <c r="N232">
        <v>3</v>
      </c>
    </row>
    <row r="233" spans="1:14" hidden="1" x14ac:dyDescent="0.25">
      <c r="A233">
        <v>21</v>
      </c>
      <c r="B233" t="s">
        <v>787</v>
      </c>
      <c r="C233" t="s">
        <v>1185</v>
      </c>
      <c r="D233">
        <v>847.8</v>
      </c>
      <c r="E233">
        <v>0</v>
      </c>
      <c r="F233">
        <v>736.28</v>
      </c>
      <c r="G233">
        <v>80.27</v>
      </c>
      <c r="H233" s="25">
        <v>9.4680349138947864E-2</v>
      </c>
      <c r="I233">
        <v>5.15</v>
      </c>
      <c r="J233">
        <v>26.1</v>
      </c>
      <c r="K233" s="25">
        <v>3.0785562632696394E-2</v>
      </c>
      <c r="L233">
        <v>3.5448470690498182E-2</v>
      </c>
      <c r="M233" t="s">
        <v>1307</v>
      </c>
      <c r="N233">
        <v>3</v>
      </c>
    </row>
    <row r="234" spans="1:14" hidden="1" x14ac:dyDescent="0.25">
      <c r="A234">
        <v>22</v>
      </c>
      <c r="B234" t="s">
        <v>787</v>
      </c>
      <c r="C234" t="s">
        <v>1187</v>
      </c>
      <c r="D234">
        <v>847.8</v>
      </c>
      <c r="E234">
        <v>0</v>
      </c>
      <c r="F234">
        <v>742.43</v>
      </c>
      <c r="G234">
        <v>65.959999999999994</v>
      </c>
      <c r="H234" s="25">
        <v>7.7801368247228123E-2</v>
      </c>
      <c r="I234">
        <v>5.2</v>
      </c>
      <c r="J234">
        <v>34.21</v>
      </c>
      <c r="K234" s="25">
        <v>4.0351497994810102E-2</v>
      </c>
      <c r="L234">
        <v>4.6078418167369316E-2</v>
      </c>
      <c r="M234" t="s">
        <v>1307</v>
      </c>
      <c r="N234">
        <v>3</v>
      </c>
    </row>
    <row r="235" spans="1:14" hidden="1" x14ac:dyDescent="0.25">
      <c r="A235">
        <v>23</v>
      </c>
      <c r="B235" t="s">
        <v>787</v>
      </c>
      <c r="C235" t="s">
        <v>1189</v>
      </c>
      <c r="D235">
        <v>847.8</v>
      </c>
      <c r="E235">
        <v>0</v>
      </c>
      <c r="F235">
        <v>742.44</v>
      </c>
      <c r="G235">
        <v>65.709999999999994</v>
      </c>
      <c r="H235" s="25">
        <v>7.7506487379098835E-2</v>
      </c>
      <c r="I235">
        <v>5.2</v>
      </c>
      <c r="J235">
        <v>34.450000000000003</v>
      </c>
      <c r="K235" s="25">
        <v>4.0634583628214205E-2</v>
      </c>
      <c r="L235">
        <v>4.6401055977587417E-2</v>
      </c>
      <c r="M235" t="s">
        <v>1307</v>
      </c>
      <c r="N235">
        <v>3</v>
      </c>
    </row>
    <row r="236" spans="1:14" hidden="1" x14ac:dyDescent="0.25">
      <c r="A236">
        <v>24</v>
      </c>
      <c r="B236" t="s">
        <v>787</v>
      </c>
      <c r="C236" t="s">
        <v>1191</v>
      </c>
      <c r="D236">
        <v>847.8</v>
      </c>
      <c r="E236">
        <v>0</v>
      </c>
      <c r="F236">
        <v>720.91</v>
      </c>
      <c r="G236">
        <v>95.38</v>
      </c>
      <c r="H236" s="25">
        <v>0.11250294880868129</v>
      </c>
      <c r="I236">
        <v>5.05</v>
      </c>
      <c r="J236">
        <v>26.46</v>
      </c>
      <c r="K236" s="25">
        <v>3.1210191082802551E-2</v>
      </c>
      <c r="L236">
        <v>3.6703610714236175E-2</v>
      </c>
      <c r="M236" t="s">
        <v>1307</v>
      </c>
      <c r="N236">
        <v>3</v>
      </c>
    </row>
    <row r="237" spans="1:14" hidden="1" x14ac:dyDescent="0.25">
      <c r="A237">
        <v>25</v>
      </c>
      <c r="B237" t="s">
        <v>787</v>
      </c>
      <c r="C237" t="s">
        <v>1193</v>
      </c>
      <c r="D237">
        <v>847.8</v>
      </c>
      <c r="E237">
        <v>0</v>
      </c>
      <c r="F237">
        <v>720.91</v>
      </c>
      <c r="G237">
        <v>97.12</v>
      </c>
      <c r="H237" s="25">
        <v>0.11455531965086106</v>
      </c>
      <c r="I237">
        <v>5.05</v>
      </c>
      <c r="J237">
        <v>24.72</v>
      </c>
      <c r="K237" s="25">
        <v>2.915782024062279E-2</v>
      </c>
      <c r="L237">
        <v>3.4289994590170757E-2</v>
      </c>
      <c r="M237" t="s">
        <v>1307</v>
      </c>
      <c r="N237">
        <v>3</v>
      </c>
    </row>
    <row r="238" spans="1:14" hidden="1" x14ac:dyDescent="0.25">
      <c r="A238">
        <v>26</v>
      </c>
      <c r="B238" t="s">
        <v>787</v>
      </c>
      <c r="C238" t="s">
        <v>1195</v>
      </c>
      <c r="D238">
        <v>847.8</v>
      </c>
      <c r="E238">
        <v>0</v>
      </c>
      <c r="F238">
        <v>720.91</v>
      </c>
      <c r="G238">
        <v>97.12</v>
      </c>
      <c r="H238" s="25">
        <v>0.11455531965086106</v>
      </c>
      <c r="I238">
        <v>5.05</v>
      </c>
      <c r="J238">
        <v>24.72</v>
      </c>
      <c r="K238" s="25">
        <v>2.915782024062279E-2</v>
      </c>
      <c r="L238">
        <v>3.4289994590170757E-2</v>
      </c>
      <c r="M238" t="s">
        <v>1307</v>
      </c>
      <c r="N238">
        <v>3</v>
      </c>
    </row>
    <row r="239" spans="1:14" hidden="1" x14ac:dyDescent="0.25">
      <c r="A239">
        <v>27</v>
      </c>
      <c r="B239" t="s">
        <v>787</v>
      </c>
      <c r="C239" t="s">
        <v>1197</v>
      </c>
      <c r="D239">
        <v>847.8</v>
      </c>
      <c r="E239">
        <v>0</v>
      </c>
      <c r="F239">
        <v>727.45</v>
      </c>
      <c r="G239">
        <v>80.260000000000005</v>
      </c>
      <c r="H239" s="25">
        <v>9.4668553904222699E-2</v>
      </c>
      <c r="I239">
        <v>5.09</v>
      </c>
      <c r="J239">
        <v>35</v>
      </c>
      <c r="K239" s="25">
        <v>4.1283321538098612E-2</v>
      </c>
      <c r="L239">
        <v>4.8113272389854973E-2</v>
      </c>
      <c r="M239" t="s">
        <v>1307</v>
      </c>
      <c r="N239">
        <v>3</v>
      </c>
    </row>
    <row r="240" spans="1:14" hidden="1" x14ac:dyDescent="0.25">
      <c r="A240">
        <v>28</v>
      </c>
      <c r="B240" t="s">
        <v>787</v>
      </c>
      <c r="C240" t="s">
        <v>1199</v>
      </c>
      <c r="D240">
        <v>847.8</v>
      </c>
      <c r="E240">
        <v>0</v>
      </c>
      <c r="F240">
        <v>737.24</v>
      </c>
      <c r="G240">
        <v>80.260000000000005</v>
      </c>
      <c r="H240" s="25">
        <v>9.4668553904222699E-2</v>
      </c>
      <c r="I240">
        <v>5.16</v>
      </c>
      <c r="J240">
        <v>25.14</v>
      </c>
      <c r="K240" s="25">
        <v>2.9653220099079974E-2</v>
      </c>
      <c r="L240">
        <v>3.4100157343605879E-2</v>
      </c>
      <c r="M240" t="s">
        <v>1307</v>
      </c>
      <c r="N240">
        <v>3</v>
      </c>
    </row>
    <row r="241" spans="1:14" hidden="1" x14ac:dyDescent="0.25">
      <c r="A241">
        <v>29</v>
      </c>
      <c r="B241" t="s">
        <v>787</v>
      </c>
      <c r="C241" t="s">
        <v>1201</v>
      </c>
      <c r="D241">
        <v>847.8</v>
      </c>
      <c r="E241">
        <v>0</v>
      </c>
      <c r="F241">
        <v>773.2</v>
      </c>
      <c r="G241">
        <v>0</v>
      </c>
      <c r="H241" s="25">
        <v>0</v>
      </c>
      <c r="I241">
        <v>5.41</v>
      </c>
      <c r="J241">
        <v>69.19</v>
      </c>
      <c r="K241" s="25">
        <v>8.1611229063458371E-2</v>
      </c>
      <c r="L241">
        <v>8.9485256078634237E-2</v>
      </c>
      <c r="M241" t="s">
        <v>1307</v>
      </c>
      <c r="N241">
        <v>3</v>
      </c>
    </row>
    <row r="242" spans="1:14" hidden="1" x14ac:dyDescent="0.25">
      <c r="A242">
        <v>30</v>
      </c>
      <c r="B242" t="s">
        <v>787</v>
      </c>
      <c r="C242" t="s">
        <v>1203</v>
      </c>
      <c r="D242">
        <v>0</v>
      </c>
      <c r="E242">
        <v>446.86</v>
      </c>
      <c r="F242">
        <v>343.17</v>
      </c>
      <c r="G242">
        <v>83.87</v>
      </c>
      <c r="H242" s="25">
        <v>0.18768741887839593</v>
      </c>
      <c r="I242">
        <v>2.4</v>
      </c>
      <c r="J242">
        <v>17.420000000000002</v>
      </c>
      <c r="K242" s="25">
        <v>3.8983126706350985E-2</v>
      </c>
      <c r="L242">
        <v>5.0762012996474051E-2</v>
      </c>
      <c r="M242" t="s">
        <v>1307</v>
      </c>
      <c r="N242">
        <v>3</v>
      </c>
    </row>
    <row r="243" spans="1:14" hidden="1" x14ac:dyDescent="0.25">
      <c r="A243">
        <v>31</v>
      </c>
      <c r="B243" t="s">
        <v>788</v>
      </c>
      <c r="C243" t="s">
        <v>1205</v>
      </c>
      <c r="D243">
        <v>1507.2</v>
      </c>
      <c r="E243">
        <v>0</v>
      </c>
      <c r="F243">
        <v>1450.53</v>
      </c>
      <c r="G243">
        <v>0</v>
      </c>
      <c r="H243" s="25">
        <v>0</v>
      </c>
      <c r="I243">
        <v>10.15</v>
      </c>
      <c r="J243">
        <v>46.52</v>
      </c>
      <c r="K243" s="25">
        <v>3.0865180467091295E-2</v>
      </c>
      <c r="L243">
        <v>3.2071036104044728E-2</v>
      </c>
      <c r="M243" t="s">
        <v>1307</v>
      </c>
      <c r="N243">
        <v>3</v>
      </c>
    </row>
    <row r="244" spans="1:14" hidden="1" x14ac:dyDescent="0.25">
      <c r="A244">
        <v>32</v>
      </c>
      <c r="B244" t="s">
        <v>788</v>
      </c>
      <c r="C244" t="s">
        <v>1207</v>
      </c>
      <c r="D244">
        <v>1507.2</v>
      </c>
      <c r="E244">
        <v>0</v>
      </c>
      <c r="F244">
        <v>1422.67</v>
      </c>
      <c r="G244">
        <v>0</v>
      </c>
      <c r="H244" s="25">
        <v>0</v>
      </c>
      <c r="I244">
        <v>9.9600000000000009</v>
      </c>
      <c r="J244">
        <v>74.569999999999993</v>
      </c>
      <c r="K244" s="25">
        <v>4.9475849256900205E-2</v>
      </c>
      <c r="L244">
        <v>5.2415528548433572E-2</v>
      </c>
      <c r="M244" t="s">
        <v>1307</v>
      </c>
      <c r="N244">
        <v>3</v>
      </c>
    </row>
    <row r="245" spans="1:14" hidden="1" x14ac:dyDescent="0.25">
      <c r="A245">
        <v>33</v>
      </c>
      <c r="B245" t="s">
        <v>788</v>
      </c>
      <c r="C245" t="s">
        <v>1209</v>
      </c>
      <c r="D245">
        <v>1507.2</v>
      </c>
      <c r="E245">
        <v>0</v>
      </c>
      <c r="F245">
        <v>1422.45</v>
      </c>
      <c r="G245">
        <v>0</v>
      </c>
      <c r="H245" s="25">
        <v>0</v>
      </c>
      <c r="I245">
        <v>9.9600000000000009</v>
      </c>
      <c r="J245">
        <v>74.790000000000006</v>
      </c>
      <c r="K245" s="25">
        <v>4.9621815286624203E-2</v>
      </c>
      <c r="L245">
        <v>5.2578298006959824E-2</v>
      </c>
      <c r="M245" t="s">
        <v>1307</v>
      </c>
      <c r="N245">
        <v>3</v>
      </c>
    </row>
    <row r="246" spans="1:14" hidden="1" x14ac:dyDescent="0.25">
      <c r="A246">
        <v>34</v>
      </c>
      <c r="B246" t="s">
        <v>788</v>
      </c>
      <c r="C246" t="s">
        <v>1211</v>
      </c>
      <c r="D246">
        <v>1507.2</v>
      </c>
      <c r="E246">
        <v>0</v>
      </c>
      <c r="F246">
        <v>1396.27</v>
      </c>
      <c r="G246">
        <v>0</v>
      </c>
      <c r="H246" s="25">
        <v>0</v>
      </c>
      <c r="I246">
        <v>9.77</v>
      </c>
      <c r="J246">
        <v>101.16</v>
      </c>
      <c r="K246" s="25">
        <v>6.7117834394904458E-2</v>
      </c>
      <c r="L246">
        <v>7.2450170812235454E-2</v>
      </c>
      <c r="M246" t="s">
        <v>1307</v>
      </c>
      <c r="N246">
        <v>3</v>
      </c>
    </row>
    <row r="247" spans="1:14" hidden="1" x14ac:dyDescent="0.25">
      <c r="A247">
        <v>35</v>
      </c>
      <c r="B247" t="s">
        <v>788</v>
      </c>
      <c r="C247" t="s">
        <v>1213</v>
      </c>
      <c r="D247">
        <v>1507.2</v>
      </c>
      <c r="E247">
        <v>0</v>
      </c>
      <c r="F247">
        <v>1397.65</v>
      </c>
      <c r="G247">
        <v>0</v>
      </c>
      <c r="H247" s="25">
        <v>0</v>
      </c>
      <c r="I247">
        <v>9.7799999999999994</v>
      </c>
      <c r="J247">
        <v>99.77</v>
      </c>
      <c r="K247" s="25">
        <v>6.6195594479830144E-2</v>
      </c>
      <c r="L247">
        <v>7.1384109040174573E-2</v>
      </c>
      <c r="M247" t="s">
        <v>1307</v>
      </c>
      <c r="N247">
        <v>3</v>
      </c>
    </row>
    <row r="248" spans="1:14" hidden="1" x14ac:dyDescent="0.25">
      <c r="A248">
        <v>36</v>
      </c>
      <c r="B248" t="s">
        <v>788</v>
      </c>
      <c r="C248" t="s">
        <v>1215</v>
      </c>
      <c r="D248">
        <v>1507.2</v>
      </c>
      <c r="E248">
        <v>0</v>
      </c>
      <c r="F248">
        <v>1412.28</v>
      </c>
      <c r="G248">
        <v>0</v>
      </c>
      <c r="H248" s="25">
        <v>0</v>
      </c>
      <c r="I248">
        <v>9.89</v>
      </c>
      <c r="J248">
        <v>85.03</v>
      </c>
      <c r="K248" s="25">
        <v>5.6415870488322716E-2</v>
      </c>
      <c r="L248">
        <v>6.0207607556575185E-2</v>
      </c>
      <c r="M248" t="s">
        <v>1307</v>
      </c>
      <c r="N248">
        <v>3</v>
      </c>
    </row>
    <row r="249" spans="1:14" hidden="1" x14ac:dyDescent="0.25">
      <c r="A249">
        <v>37</v>
      </c>
      <c r="B249" t="s">
        <v>788</v>
      </c>
      <c r="C249" t="s">
        <v>1217</v>
      </c>
      <c r="D249">
        <v>1507.2</v>
      </c>
      <c r="E249">
        <v>0</v>
      </c>
      <c r="F249">
        <v>1422.01</v>
      </c>
      <c r="G249">
        <v>0</v>
      </c>
      <c r="H249" s="25">
        <v>0</v>
      </c>
      <c r="I249">
        <v>9.9499999999999993</v>
      </c>
      <c r="J249">
        <v>75.239999999999995</v>
      </c>
      <c r="K249" s="25">
        <v>4.9920382165605091E-2</v>
      </c>
      <c r="L249">
        <v>5.2911020316312819E-2</v>
      </c>
      <c r="M249" t="s">
        <v>1307</v>
      </c>
      <c r="N249">
        <v>3</v>
      </c>
    </row>
    <row r="250" spans="1:14" hidden="1" x14ac:dyDescent="0.25">
      <c r="A250">
        <v>38</v>
      </c>
      <c r="B250" t="s">
        <v>788</v>
      </c>
      <c r="C250" t="s">
        <v>1219</v>
      </c>
      <c r="D250">
        <v>1507.2</v>
      </c>
      <c r="E250">
        <v>0</v>
      </c>
      <c r="F250">
        <v>1448.71</v>
      </c>
      <c r="G250">
        <v>0</v>
      </c>
      <c r="H250" s="25">
        <v>0</v>
      </c>
      <c r="I250">
        <v>10.14</v>
      </c>
      <c r="J250">
        <v>48.35</v>
      </c>
      <c r="K250" s="25">
        <v>3.2079352441613591E-2</v>
      </c>
      <c r="L250">
        <v>3.3374519400017948E-2</v>
      </c>
      <c r="M250" t="s">
        <v>1307</v>
      </c>
      <c r="N250">
        <v>3</v>
      </c>
    </row>
    <row r="251" spans="1:14" hidden="1" x14ac:dyDescent="0.25">
      <c r="A251">
        <v>39</v>
      </c>
      <c r="B251" t="s">
        <v>788</v>
      </c>
      <c r="C251" t="s">
        <v>1221</v>
      </c>
      <c r="D251">
        <v>1507.2</v>
      </c>
      <c r="E251">
        <v>0</v>
      </c>
      <c r="F251">
        <v>1434.86</v>
      </c>
      <c r="G251">
        <v>0</v>
      </c>
      <c r="H251" s="25">
        <v>0</v>
      </c>
      <c r="I251">
        <v>10.039999999999999</v>
      </c>
      <c r="J251">
        <v>62.3</v>
      </c>
      <c r="K251" s="25">
        <v>4.1334925690021229E-2</v>
      </c>
      <c r="L251">
        <v>4.3418870133671579E-2</v>
      </c>
      <c r="M251" t="s">
        <v>1307</v>
      </c>
      <c r="N251">
        <v>3</v>
      </c>
    </row>
    <row r="252" spans="1:14" hidden="1" x14ac:dyDescent="0.25">
      <c r="A252">
        <v>40</v>
      </c>
      <c r="B252" t="s">
        <v>788</v>
      </c>
      <c r="C252" t="s">
        <v>1223</v>
      </c>
      <c r="D252">
        <v>1507.2</v>
      </c>
      <c r="E252">
        <v>0</v>
      </c>
      <c r="F252">
        <v>1424.4</v>
      </c>
      <c r="G252">
        <v>0</v>
      </c>
      <c r="H252" s="25">
        <v>0</v>
      </c>
      <c r="I252">
        <v>9.9700000000000006</v>
      </c>
      <c r="J252">
        <v>72.83</v>
      </c>
      <c r="K252" s="25">
        <v>4.8321390658174097E-2</v>
      </c>
      <c r="L252">
        <v>5.1130300477393989E-2</v>
      </c>
      <c r="M252" t="s">
        <v>1307</v>
      </c>
      <c r="N252">
        <v>3</v>
      </c>
    </row>
    <row r="253" spans="1:14" hidden="1" x14ac:dyDescent="0.25">
      <c r="A253">
        <v>41</v>
      </c>
      <c r="B253" t="s">
        <v>788</v>
      </c>
      <c r="C253" t="s">
        <v>1223</v>
      </c>
      <c r="D253">
        <v>1507.2</v>
      </c>
      <c r="E253">
        <v>0</v>
      </c>
      <c r="F253">
        <v>19.47</v>
      </c>
      <c r="G253">
        <v>1484.53</v>
      </c>
      <c r="H253" s="25">
        <v>0.98495886411889588</v>
      </c>
      <c r="I253">
        <v>0.14000000000000001</v>
      </c>
      <c r="J253">
        <v>3.06</v>
      </c>
      <c r="K253" s="25">
        <v>2.0302547770700637E-3</v>
      </c>
      <c r="L253">
        <v>0.15716486902927582</v>
      </c>
      <c r="M253" t="s">
        <v>1307</v>
      </c>
      <c r="N253">
        <v>3</v>
      </c>
    </row>
    <row r="254" spans="1:14" hidden="1" x14ac:dyDescent="0.25">
      <c r="A254">
        <v>42</v>
      </c>
      <c r="B254" t="s">
        <v>789</v>
      </c>
      <c r="C254" t="s">
        <v>1227</v>
      </c>
      <c r="D254">
        <v>1413</v>
      </c>
      <c r="E254">
        <v>0</v>
      </c>
      <c r="F254">
        <v>1375.31</v>
      </c>
      <c r="G254">
        <v>0</v>
      </c>
      <c r="H254" s="25">
        <v>0</v>
      </c>
      <c r="I254">
        <v>9.6300000000000008</v>
      </c>
      <c r="J254">
        <v>28.06</v>
      </c>
      <c r="K254" s="25">
        <v>1.9858457183297946E-2</v>
      </c>
      <c r="L254">
        <v>2.0402672851938836E-2</v>
      </c>
      <c r="M254" t="s">
        <v>1307</v>
      </c>
      <c r="N254">
        <v>3</v>
      </c>
    </row>
    <row r="255" spans="1:14" hidden="1" x14ac:dyDescent="0.25">
      <c r="A255">
        <v>43</v>
      </c>
      <c r="B255" t="s">
        <v>789</v>
      </c>
      <c r="C255" t="s">
        <v>1229</v>
      </c>
      <c r="D255">
        <v>1413</v>
      </c>
      <c r="E255">
        <v>0</v>
      </c>
      <c r="F255">
        <v>1375.31</v>
      </c>
      <c r="G255">
        <v>0</v>
      </c>
      <c r="H255" s="25">
        <v>0</v>
      </c>
      <c r="I255">
        <v>9.6300000000000008</v>
      </c>
      <c r="J255">
        <v>28.06</v>
      </c>
      <c r="K255" s="25">
        <v>1.9858457183297946E-2</v>
      </c>
      <c r="L255">
        <v>2.0402672851938836E-2</v>
      </c>
      <c r="M255" t="s">
        <v>1307</v>
      </c>
      <c r="N255">
        <v>3</v>
      </c>
    </row>
    <row r="256" spans="1:14" hidden="1" x14ac:dyDescent="0.25">
      <c r="A256">
        <v>44</v>
      </c>
      <c r="B256" t="s">
        <v>789</v>
      </c>
      <c r="C256" t="s">
        <v>1231</v>
      </c>
      <c r="D256">
        <v>1413</v>
      </c>
      <c r="E256">
        <v>0</v>
      </c>
      <c r="F256">
        <v>1375.32</v>
      </c>
      <c r="G256">
        <v>0</v>
      </c>
      <c r="H256" s="25">
        <v>0</v>
      </c>
      <c r="I256">
        <v>9.6300000000000008</v>
      </c>
      <c r="J256">
        <v>28.05</v>
      </c>
      <c r="K256" s="25">
        <v>1.9851380042462844E-2</v>
      </c>
      <c r="L256">
        <v>2.0395253468283747E-2</v>
      </c>
      <c r="M256" t="s">
        <v>1307</v>
      </c>
      <c r="N256">
        <v>3</v>
      </c>
    </row>
    <row r="257" spans="1:14" hidden="1" x14ac:dyDescent="0.25">
      <c r="A257">
        <v>45</v>
      </c>
      <c r="B257" t="s">
        <v>789</v>
      </c>
      <c r="C257" t="s">
        <v>1233</v>
      </c>
      <c r="D257">
        <v>1413</v>
      </c>
      <c r="E257">
        <v>0</v>
      </c>
      <c r="F257">
        <v>1365.89</v>
      </c>
      <c r="G257">
        <v>0</v>
      </c>
      <c r="H257" s="25">
        <v>0</v>
      </c>
      <c r="I257">
        <v>9.56</v>
      </c>
      <c r="J257">
        <v>37.549999999999997</v>
      </c>
      <c r="K257" s="25">
        <v>2.6574663835810329E-2</v>
      </c>
      <c r="L257">
        <v>2.7491232822555254E-2</v>
      </c>
      <c r="M257" t="s">
        <v>1307</v>
      </c>
      <c r="N257">
        <v>3</v>
      </c>
    </row>
    <row r="258" spans="1:14" hidden="1" x14ac:dyDescent="0.25">
      <c r="A258">
        <v>46</v>
      </c>
      <c r="B258" t="s">
        <v>789</v>
      </c>
      <c r="C258" t="s">
        <v>1235</v>
      </c>
      <c r="D258">
        <v>1413</v>
      </c>
      <c r="E258">
        <v>0</v>
      </c>
      <c r="F258">
        <v>1313.14</v>
      </c>
      <c r="G258">
        <v>0</v>
      </c>
      <c r="H258" s="25">
        <v>0</v>
      </c>
      <c r="I258">
        <v>9.19</v>
      </c>
      <c r="J258">
        <v>90.67</v>
      </c>
      <c r="K258" s="25">
        <v>6.4168435951875449E-2</v>
      </c>
      <c r="L258">
        <v>6.9048235527057272E-2</v>
      </c>
      <c r="M258" t="s">
        <v>1307</v>
      </c>
      <c r="N258">
        <v>3</v>
      </c>
    </row>
    <row r="259" spans="1:14" hidden="1" x14ac:dyDescent="0.25">
      <c r="A259">
        <v>47</v>
      </c>
      <c r="B259" t="s">
        <v>789</v>
      </c>
      <c r="C259" t="s">
        <v>1237</v>
      </c>
      <c r="D259">
        <v>1413</v>
      </c>
      <c r="E259">
        <v>0</v>
      </c>
      <c r="F259">
        <v>1338.6</v>
      </c>
      <c r="G259">
        <v>0</v>
      </c>
      <c r="H259" s="25">
        <v>0</v>
      </c>
      <c r="I259">
        <v>9.3699999999999992</v>
      </c>
      <c r="J259">
        <v>65.03</v>
      </c>
      <c r="K259" s="25">
        <v>4.6022646850672332E-2</v>
      </c>
      <c r="L259">
        <v>4.8580606603914542E-2</v>
      </c>
      <c r="M259" t="s">
        <v>1307</v>
      </c>
      <c r="N259">
        <v>3</v>
      </c>
    </row>
    <row r="260" spans="1:14" hidden="1" x14ac:dyDescent="0.25">
      <c r="A260">
        <v>48</v>
      </c>
      <c r="B260" t="s">
        <v>789</v>
      </c>
      <c r="C260" t="s">
        <v>1239</v>
      </c>
      <c r="D260">
        <v>1413</v>
      </c>
      <c r="E260">
        <v>0</v>
      </c>
      <c r="F260">
        <v>1327.92</v>
      </c>
      <c r="G260">
        <v>0</v>
      </c>
      <c r="H260" s="25">
        <v>0</v>
      </c>
      <c r="I260">
        <v>9.3000000000000007</v>
      </c>
      <c r="J260">
        <v>75.78</v>
      </c>
      <c r="K260" s="25">
        <v>5.3630573248407643E-2</v>
      </c>
      <c r="L260">
        <v>5.706669076450388E-2</v>
      </c>
      <c r="M260" t="s">
        <v>1307</v>
      </c>
      <c r="N260">
        <v>3</v>
      </c>
    </row>
    <row r="261" spans="1:14" hidden="1" x14ac:dyDescent="0.25">
      <c r="A261">
        <v>49</v>
      </c>
      <c r="B261" t="s">
        <v>789</v>
      </c>
      <c r="C261" t="s">
        <v>1241</v>
      </c>
      <c r="D261">
        <v>1413</v>
      </c>
      <c r="E261">
        <v>0</v>
      </c>
      <c r="F261">
        <v>1338.82</v>
      </c>
      <c r="G261">
        <v>0</v>
      </c>
      <c r="H261" s="25">
        <v>0</v>
      </c>
      <c r="I261">
        <v>9.3699999999999992</v>
      </c>
      <c r="J261">
        <v>64.81</v>
      </c>
      <c r="K261" s="25">
        <v>4.5866949752300074E-2</v>
      </c>
      <c r="L261">
        <v>4.8408299846133165E-2</v>
      </c>
      <c r="M261" t="s">
        <v>1307</v>
      </c>
      <c r="N261">
        <v>3</v>
      </c>
    </row>
    <row r="262" spans="1:14" hidden="1" x14ac:dyDescent="0.25">
      <c r="A262">
        <v>50</v>
      </c>
      <c r="B262" t="s">
        <v>789</v>
      </c>
      <c r="C262" t="s">
        <v>1243</v>
      </c>
      <c r="D262">
        <v>1413</v>
      </c>
      <c r="E262">
        <v>0</v>
      </c>
      <c r="F262">
        <v>1343.39</v>
      </c>
      <c r="G262">
        <v>0</v>
      </c>
      <c r="H262" s="25">
        <v>0</v>
      </c>
      <c r="I262">
        <v>9.4</v>
      </c>
      <c r="J262">
        <v>60.21</v>
      </c>
      <c r="K262" s="25">
        <v>4.2611464968152865E-2</v>
      </c>
      <c r="L262">
        <v>4.4819449303627384E-2</v>
      </c>
      <c r="M262" t="s">
        <v>1307</v>
      </c>
      <c r="N262">
        <v>3</v>
      </c>
    </row>
    <row r="263" spans="1:14" hidden="1" x14ac:dyDescent="0.25">
      <c r="A263">
        <v>51</v>
      </c>
      <c r="B263" t="s">
        <v>789</v>
      </c>
      <c r="C263" t="s">
        <v>1245</v>
      </c>
      <c r="D263">
        <v>1413</v>
      </c>
      <c r="E263">
        <v>0</v>
      </c>
      <c r="F263">
        <v>1309.3499999999999</v>
      </c>
      <c r="G263">
        <v>0</v>
      </c>
      <c r="H263" s="25">
        <v>0</v>
      </c>
      <c r="I263">
        <v>9.17</v>
      </c>
      <c r="J263">
        <v>94.48</v>
      </c>
      <c r="K263" s="25">
        <v>6.6864826610049541E-2</v>
      </c>
      <c r="L263">
        <v>7.2157940963073292E-2</v>
      </c>
      <c r="M263" t="s">
        <v>1307</v>
      </c>
      <c r="N263">
        <v>3</v>
      </c>
    </row>
    <row r="264" spans="1:14" hidden="1" x14ac:dyDescent="0.25">
      <c r="A264">
        <v>52</v>
      </c>
      <c r="B264" t="s">
        <v>789</v>
      </c>
      <c r="C264" t="s">
        <v>1248</v>
      </c>
      <c r="D264">
        <v>0</v>
      </c>
      <c r="E264">
        <v>1305.1400000000001</v>
      </c>
      <c r="F264">
        <v>47.06</v>
      </c>
      <c r="G264">
        <v>1240.6099999999999</v>
      </c>
      <c r="H264" s="25">
        <v>0.95055702836477296</v>
      </c>
      <c r="I264">
        <v>0.33</v>
      </c>
      <c r="J264">
        <v>17.14</v>
      </c>
      <c r="K264" s="25">
        <v>1.3132690745820371E-2</v>
      </c>
      <c r="L264">
        <v>0.36421589460263493</v>
      </c>
      <c r="M264" t="s">
        <v>1307</v>
      </c>
      <c r="N264">
        <v>3</v>
      </c>
    </row>
    <row r="265" spans="1:14" hidden="1" x14ac:dyDescent="0.25">
      <c r="A265">
        <v>53</v>
      </c>
      <c r="B265" t="s">
        <v>790</v>
      </c>
      <c r="C265" t="s">
        <v>1253</v>
      </c>
      <c r="D265">
        <v>1695.6</v>
      </c>
      <c r="E265">
        <v>0</v>
      </c>
      <c r="F265">
        <v>1492.14</v>
      </c>
      <c r="G265">
        <v>169.54</v>
      </c>
      <c r="H265" s="25">
        <v>9.9988204765274827E-2</v>
      </c>
      <c r="I265">
        <v>10.44</v>
      </c>
      <c r="J265">
        <v>23.48</v>
      </c>
      <c r="K265" s="25">
        <v>1.3847605567350792E-2</v>
      </c>
      <c r="L265">
        <v>1.5735788866996395E-2</v>
      </c>
      <c r="M265" t="s">
        <v>1307</v>
      </c>
      <c r="N265">
        <v>3</v>
      </c>
    </row>
    <row r="266" spans="1:14" hidden="1" x14ac:dyDescent="0.25">
      <c r="A266">
        <v>54</v>
      </c>
      <c r="B266" t="s">
        <v>790</v>
      </c>
      <c r="C266" t="s">
        <v>1255</v>
      </c>
      <c r="D266">
        <v>1695.6</v>
      </c>
      <c r="E266">
        <v>0</v>
      </c>
      <c r="F266">
        <v>1491.23</v>
      </c>
      <c r="G266">
        <v>169.55</v>
      </c>
      <c r="H266" s="25">
        <v>9.9994102382637423E-2</v>
      </c>
      <c r="I266">
        <v>10.44</v>
      </c>
      <c r="J266">
        <v>24.38</v>
      </c>
      <c r="K266" s="25">
        <v>1.4378391129983487E-2</v>
      </c>
      <c r="L266">
        <v>1.6348920019044682E-2</v>
      </c>
      <c r="M266" t="s">
        <v>1307</v>
      </c>
      <c r="N266">
        <v>3</v>
      </c>
    </row>
    <row r="267" spans="1:14" hidden="1" x14ac:dyDescent="0.25">
      <c r="A267">
        <v>55</v>
      </c>
      <c r="B267" t="s">
        <v>790</v>
      </c>
      <c r="C267" t="s">
        <v>1257</v>
      </c>
      <c r="D267">
        <v>1695.6</v>
      </c>
      <c r="E267">
        <v>0</v>
      </c>
      <c r="F267">
        <v>940.39</v>
      </c>
      <c r="G267">
        <v>728.5</v>
      </c>
      <c r="H267" s="25">
        <v>0.4296414248643548</v>
      </c>
      <c r="I267">
        <v>6.58</v>
      </c>
      <c r="J267">
        <v>20.13</v>
      </c>
      <c r="K267" s="25">
        <v>1.1871903750884642E-2</v>
      </c>
      <c r="L267">
        <v>2.1406012399111007E-2</v>
      </c>
      <c r="M267" t="s">
        <v>1307</v>
      </c>
      <c r="N267">
        <v>3</v>
      </c>
    </row>
    <row r="268" spans="1:14" hidden="1" x14ac:dyDescent="0.25">
      <c r="A268">
        <v>56</v>
      </c>
      <c r="B268" t="s">
        <v>790</v>
      </c>
      <c r="C268" t="s">
        <v>1259</v>
      </c>
      <c r="D268">
        <v>1695.6</v>
      </c>
      <c r="E268">
        <v>0</v>
      </c>
      <c r="F268">
        <v>1491.18</v>
      </c>
      <c r="G268">
        <v>169.56</v>
      </c>
      <c r="H268" s="25">
        <v>0.1</v>
      </c>
      <c r="I268">
        <v>10.44</v>
      </c>
      <c r="J268">
        <v>24.42</v>
      </c>
      <c r="K268" s="25">
        <v>1.440198159943383E-2</v>
      </c>
      <c r="L268">
        <v>1.6376292600490887E-2</v>
      </c>
      <c r="M268" t="s">
        <v>1307</v>
      </c>
      <c r="N268">
        <v>3</v>
      </c>
    </row>
    <row r="269" spans="1:14" hidden="1" x14ac:dyDescent="0.25">
      <c r="A269">
        <v>57</v>
      </c>
      <c r="B269" t="s">
        <v>790</v>
      </c>
      <c r="C269" t="s">
        <v>1261</v>
      </c>
      <c r="D269">
        <v>1695.6</v>
      </c>
      <c r="E269">
        <v>0</v>
      </c>
      <c r="F269">
        <v>1491</v>
      </c>
      <c r="G269">
        <v>169.56</v>
      </c>
      <c r="H269" s="25">
        <v>0.1</v>
      </c>
      <c r="I269">
        <v>10.44</v>
      </c>
      <c r="J269">
        <v>24.6</v>
      </c>
      <c r="K269" s="25">
        <v>1.4508138711960369E-2</v>
      </c>
      <c r="L269">
        <v>1.6498993963782696E-2</v>
      </c>
      <c r="M269" t="s">
        <v>1307</v>
      </c>
      <c r="N269">
        <v>3</v>
      </c>
    </row>
    <row r="270" spans="1:14" hidden="1" x14ac:dyDescent="0.25">
      <c r="A270">
        <v>58</v>
      </c>
      <c r="B270" t="s">
        <v>790</v>
      </c>
      <c r="C270" t="s">
        <v>1263</v>
      </c>
      <c r="D270">
        <v>0</v>
      </c>
      <c r="E270">
        <v>1055.26</v>
      </c>
      <c r="F270">
        <v>326.23</v>
      </c>
      <c r="G270">
        <v>720.23</v>
      </c>
      <c r="H270" s="25">
        <v>0.68251426188806552</v>
      </c>
      <c r="I270">
        <v>2.2799999999999998</v>
      </c>
      <c r="J270">
        <v>6.52</v>
      </c>
      <c r="K270" s="25">
        <v>6.1785721054526841E-3</v>
      </c>
      <c r="L270">
        <v>1.9985899518744441E-2</v>
      </c>
      <c r="M270" t="s">
        <v>1307</v>
      </c>
      <c r="N270">
        <v>3</v>
      </c>
    </row>
    <row r="271" spans="1:14" hidden="1" x14ac:dyDescent="0.25">
      <c r="A271">
        <v>59</v>
      </c>
      <c r="B271" t="s">
        <v>791</v>
      </c>
      <c r="C271" t="s">
        <v>1268</v>
      </c>
      <c r="D271">
        <v>3014.4</v>
      </c>
      <c r="E271">
        <v>0</v>
      </c>
      <c r="F271">
        <v>2873.98</v>
      </c>
      <c r="G271">
        <v>0</v>
      </c>
      <c r="H271" s="25">
        <v>0</v>
      </c>
      <c r="I271">
        <v>20.12</v>
      </c>
      <c r="J271">
        <v>120.3</v>
      </c>
      <c r="K271" s="25">
        <v>3.9908439490445854E-2</v>
      </c>
      <c r="L271">
        <v>4.1858328867980986E-2</v>
      </c>
      <c r="M271" t="s">
        <v>1307</v>
      </c>
      <c r="N271">
        <v>3</v>
      </c>
    </row>
    <row r="272" spans="1:14" hidden="1" x14ac:dyDescent="0.25">
      <c r="A272">
        <v>60</v>
      </c>
      <c r="B272" t="s">
        <v>791</v>
      </c>
      <c r="C272" t="s">
        <v>1270</v>
      </c>
      <c r="D272">
        <v>3014.4</v>
      </c>
      <c r="E272">
        <v>0</v>
      </c>
      <c r="F272">
        <v>2899.83</v>
      </c>
      <c r="G272">
        <v>0</v>
      </c>
      <c r="H272" s="25">
        <v>0</v>
      </c>
      <c r="I272">
        <v>20.3</v>
      </c>
      <c r="J272">
        <v>94.27</v>
      </c>
      <c r="K272" s="25">
        <v>3.1273221868365175E-2</v>
      </c>
      <c r="L272">
        <v>3.2508802240131321E-2</v>
      </c>
      <c r="M272" t="s">
        <v>1307</v>
      </c>
      <c r="N272">
        <v>3</v>
      </c>
    </row>
    <row r="273" spans="1:14" hidden="1" x14ac:dyDescent="0.25">
      <c r="A273">
        <v>61</v>
      </c>
      <c r="B273" t="s">
        <v>791</v>
      </c>
      <c r="C273" t="s">
        <v>1272</v>
      </c>
      <c r="D273">
        <v>0</v>
      </c>
      <c r="E273">
        <v>1850.26</v>
      </c>
      <c r="F273">
        <v>565.04999999999995</v>
      </c>
      <c r="G273">
        <v>1245.6099999999999</v>
      </c>
      <c r="H273" s="25">
        <v>0.67320808967388357</v>
      </c>
      <c r="I273">
        <v>3.96</v>
      </c>
      <c r="J273">
        <v>35.64</v>
      </c>
      <c r="K273" s="25">
        <v>1.9262157750802589E-2</v>
      </c>
      <c r="L273">
        <v>6.3074064242102476E-2</v>
      </c>
      <c r="M273" t="s">
        <v>1307</v>
      </c>
      <c r="N273">
        <v>3</v>
      </c>
    </row>
    <row r="274" spans="1:14" hidden="1" x14ac:dyDescent="0.25">
      <c r="A274">
        <v>62</v>
      </c>
      <c r="B274" t="s">
        <v>792</v>
      </c>
      <c r="C274" t="s">
        <v>1277</v>
      </c>
      <c r="D274">
        <v>3768</v>
      </c>
      <c r="E274">
        <v>0</v>
      </c>
      <c r="F274">
        <v>3250.2</v>
      </c>
      <c r="G274">
        <v>109.14</v>
      </c>
      <c r="H274" s="25">
        <v>2.8964968152866241E-2</v>
      </c>
      <c r="I274">
        <v>22.75</v>
      </c>
      <c r="J274">
        <v>385.91</v>
      </c>
      <c r="K274" s="25">
        <v>0.10241772823779194</v>
      </c>
      <c r="L274">
        <v>0.11873423173958528</v>
      </c>
      <c r="M274" t="s">
        <v>1307</v>
      </c>
      <c r="N274">
        <v>3</v>
      </c>
    </row>
    <row r="275" spans="1:14" hidden="1" x14ac:dyDescent="0.25">
      <c r="A275">
        <v>63</v>
      </c>
      <c r="B275" t="s">
        <v>793</v>
      </c>
      <c r="C275" t="s">
        <v>1282</v>
      </c>
      <c r="D275">
        <v>0</v>
      </c>
      <c r="E275">
        <v>3693.82</v>
      </c>
      <c r="F275">
        <v>2548.2199999999998</v>
      </c>
      <c r="G275">
        <v>813.1</v>
      </c>
      <c r="H275" s="25">
        <v>0.22012442403798776</v>
      </c>
      <c r="I275">
        <v>17.84</v>
      </c>
      <c r="J275">
        <v>314.66000000000003</v>
      </c>
      <c r="K275" s="25">
        <v>8.5185526094936959E-2</v>
      </c>
      <c r="L275">
        <v>0.12348227390099757</v>
      </c>
      <c r="M275" t="s">
        <v>1307</v>
      </c>
      <c r="N275">
        <v>3</v>
      </c>
    </row>
    <row r="276" spans="1:14" hidden="1" x14ac:dyDescent="0.25">
      <c r="A276">
        <v>64</v>
      </c>
      <c r="B276" t="s">
        <v>794</v>
      </c>
      <c r="C276" t="s">
        <v>1288</v>
      </c>
      <c r="D276">
        <v>0</v>
      </c>
      <c r="E276">
        <v>2226.81</v>
      </c>
      <c r="F276">
        <v>1463.29</v>
      </c>
      <c r="G276">
        <v>482.39</v>
      </c>
      <c r="H276" s="25">
        <v>0.21662827093465539</v>
      </c>
      <c r="I276">
        <v>10.24</v>
      </c>
      <c r="J276">
        <v>270.89</v>
      </c>
      <c r="K276" s="25">
        <v>0.12164935490679492</v>
      </c>
      <c r="L276">
        <v>0.18512393305496519</v>
      </c>
      <c r="M276" t="s">
        <v>1307</v>
      </c>
      <c r="N276">
        <v>3</v>
      </c>
    </row>
    <row r="277" spans="1:14" hidden="1" x14ac:dyDescent="0.25">
      <c r="A277">
        <v>65</v>
      </c>
      <c r="B277" t="s">
        <v>795</v>
      </c>
      <c r="C277" t="s">
        <v>1294</v>
      </c>
      <c r="D277">
        <v>0</v>
      </c>
      <c r="E277">
        <v>843.15</v>
      </c>
      <c r="F277">
        <v>296.07</v>
      </c>
      <c r="G277">
        <v>319.44</v>
      </c>
      <c r="H277" s="25">
        <v>0.37886497064579255</v>
      </c>
      <c r="I277">
        <v>2.0699999999999998</v>
      </c>
      <c r="J277">
        <v>225.57</v>
      </c>
      <c r="K277" s="25">
        <v>0.26753246753246751</v>
      </c>
      <c r="L277">
        <v>0.76188063633600167</v>
      </c>
      <c r="M277" t="s">
        <v>1307</v>
      </c>
      <c r="N277">
        <v>3</v>
      </c>
    </row>
    <row r="278" spans="1:14" hidden="1" x14ac:dyDescent="0.25">
      <c r="A278">
        <v>66</v>
      </c>
      <c r="B278" t="s">
        <v>795</v>
      </c>
      <c r="C278" t="s">
        <v>1298</v>
      </c>
      <c r="D278">
        <v>0</v>
      </c>
      <c r="E278">
        <v>1105.74</v>
      </c>
      <c r="F278">
        <v>464.6</v>
      </c>
      <c r="G278">
        <v>603.57000000000005</v>
      </c>
      <c r="H278" s="25">
        <v>0.5458516468609258</v>
      </c>
      <c r="I278">
        <v>3.25</v>
      </c>
      <c r="J278">
        <v>34.32</v>
      </c>
      <c r="K278" s="25">
        <v>3.1038037875088176E-2</v>
      </c>
      <c r="L278">
        <v>7.3869995695221694E-2</v>
      </c>
      <c r="M278" t="s">
        <v>1307</v>
      </c>
      <c r="N278">
        <v>3</v>
      </c>
    </row>
    <row r="279" spans="1:14" hidden="1" x14ac:dyDescent="0.25">
      <c r="A279">
        <v>67</v>
      </c>
      <c r="B279" t="s">
        <v>795</v>
      </c>
      <c r="C279" t="s">
        <v>1302</v>
      </c>
      <c r="D279">
        <v>0</v>
      </c>
      <c r="E279">
        <v>2792.09</v>
      </c>
      <c r="F279">
        <v>1839.74</v>
      </c>
      <c r="G279">
        <v>732.5</v>
      </c>
      <c r="H279" s="25">
        <v>0.2623482767389303</v>
      </c>
      <c r="I279">
        <v>12.88</v>
      </c>
      <c r="J279">
        <v>206.97</v>
      </c>
      <c r="K279" s="25">
        <v>7.4127266671203285E-2</v>
      </c>
      <c r="L279">
        <v>0.11249959233369933</v>
      </c>
      <c r="M279" t="s">
        <v>1307</v>
      </c>
      <c r="N279">
        <v>3</v>
      </c>
    </row>
    <row r="280" spans="1:14" x14ac:dyDescent="0.25">
      <c r="A280">
        <v>1</v>
      </c>
      <c r="B280" t="s">
        <v>785</v>
      </c>
      <c r="C280" t="s">
        <v>1356</v>
      </c>
      <c r="D280">
        <v>81.64</v>
      </c>
      <c r="E280">
        <v>0</v>
      </c>
      <c r="F280">
        <v>67.819999999999993</v>
      </c>
      <c r="G280">
        <v>7.92</v>
      </c>
      <c r="H280" s="25">
        <v>9.701126898579128E-2</v>
      </c>
      <c r="I280">
        <v>0.47</v>
      </c>
      <c r="J280">
        <v>5.43</v>
      </c>
      <c r="K280" s="25">
        <v>6.651151396374326E-2</v>
      </c>
      <c r="L280">
        <v>8.0064877617222058E-2</v>
      </c>
      <c r="M280" t="s">
        <v>1519</v>
      </c>
      <c r="N280">
        <v>4</v>
      </c>
    </row>
    <row r="281" spans="1:14" x14ac:dyDescent="0.25">
      <c r="A281">
        <v>2</v>
      </c>
      <c r="B281" t="s">
        <v>785</v>
      </c>
      <c r="C281" t="s">
        <v>1359</v>
      </c>
      <c r="D281">
        <v>81.64</v>
      </c>
      <c r="E281">
        <v>0</v>
      </c>
      <c r="F281">
        <v>81.64</v>
      </c>
      <c r="G281">
        <v>0</v>
      </c>
      <c r="H281" s="25">
        <v>0</v>
      </c>
      <c r="I281">
        <v>0.56999999999999995</v>
      </c>
      <c r="J281">
        <v>0</v>
      </c>
      <c r="K281" s="25">
        <v>0</v>
      </c>
      <c r="L281">
        <v>0</v>
      </c>
      <c r="M281" t="s">
        <v>1519</v>
      </c>
      <c r="N281">
        <v>4</v>
      </c>
    </row>
    <row r="282" spans="1:14" x14ac:dyDescent="0.25">
      <c r="A282">
        <v>3</v>
      </c>
      <c r="B282" t="s">
        <v>785</v>
      </c>
      <c r="C282" t="s">
        <v>1361</v>
      </c>
      <c r="D282">
        <v>81.64</v>
      </c>
      <c r="E282">
        <v>0</v>
      </c>
      <c r="F282">
        <v>81.64</v>
      </c>
      <c r="G282">
        <v>0</v>
      </c>
      <c r="H282" s="25">
        <v>0</v>
      </c>
      <c r="I282">
        <v>0.56999999999999995</v>
      </c>
      <c r="J282">
        <v>0</v>
      </c>
      <c r="K282" s="25">
        <v>0</v>
      </c>
      <c r="L282">
        <v>0</v>
      </c>
      <c r="M282" t="s">
        <v>1519</v>
      </c>
      <c r="N282">
        <v>4</v>
      </c>
    </row>
    <row r="283" spans="1:14" x14ac:dyDescent="0.25">
      <c r="A283">
        <v>4</v>
      </c>
      <c r="B283" t="s">
        <v>785</v>
      </c>
      <c r="C283" t="s">
        <v>1363</v>
      </c>
      <c r="D283">
        <v>81.64</v>
      </c>
      <c r="E283">
        <v>0</v>
      </c>
      <c r="F283">
        <v>66.569999999999993</v>
      </c>
      <c r="G283">
        <v>15.07</v>
      </c>
      <c r="H283" s="25">
        <v>0.18459088682018618</v>
      </c>
      <c r="I283">
        <v>0.47</v>
      </c>
      <c r="J283">
        <v>0</v>
      </c>
      <c r="K283" s="25">
        <v>0</v>
      </c>
      <c r="L283">
        <v>0</v>
      </c>
      <c r="M283" t="s">
        <v>1519</v>
      </c>
      <c r="N283">
        <v>4</v>
      </c>
    </row>
    <row r="284" spans="1:14" x14ac:dyDescent="0.25">
      <c r="A284">
        <v>5</v>
      </c>
      <c r="B284" t="s">
        <v>785</v>
      </c>
      <c r="C284" t="s">
        <v>1365</v>
      </c>
      <c r="D284">
        <v>81.64</v>
      </c>
      <c r="E284">
        <v>0</v>
      </c>
      <c r="F284">
        <v>66.569999999999993</v>
      </c>
      <c r="G284">
        <v>15.07</v>
      </c>
      <c r="H284" s="25">
        <v>0.18459088682018618</v>
      </c>
      <c r="I284">
        <v>0.47</v>
      </c>
      <c r="J284">
        <v>0</v>
      </c>
      <c r="K284" s="25">
        <v>0</v>
      </c>
      <c r="L284">
        <v>0</v>
      </c>
      <c r="M284" t="s">
        <v>1519</v>
      </c>
      <c r="N284">
        <v>4</v>
      </c>
    </row>
    <row r="285" spans="1:14" x14ac:dyDescent="0.25">
      <c r="A285">
        <v>6</v>
      </c>
      <c r="B285" t="s">
        <v>785</v>
      </c>
      <c r="C285" t="s">
        <v>1367</v>
      </c>
      <c r="D285">
        <v>81.64</v>
      </c>
      <c r="E285">
        <v>0</v>
      </c>
      <c r="F285">
        <v>66.569999999999993</v>
      </c>
      <c r="G285">
        <v>15.07</v>
      </c>
      <c r="H285" s="25">
        <v>0.18459088682018618</v>
      </c>
      <c r="I285">
        <v>0.47</v>
      </c>
      <c r="J285">
        <v>0</v>
      </c>
      <c r="K285" s="25">
        <v>0</v>
      </c>
      <c r="L285">
        <v>0</v>
      </c>
      <c r="M285" t="s">
        <v>1519</v>
      </c>
      <c r="N285">
        <v>4</v>
      </c>
    </row>
    <row r="286" spans="1:14" x14ac:dyDescent="0.25">
      <c r="A286">
        <v>7</v>
      </c>
      <c r="B286" t="s">
        <v>785</v>
      </c>
      <c r="C286" t="s">
        <v>1369</v>
      </c>
      <c r="D286">
        <v>81.64</v>
      </c>
      <c r="E286">
        <v>0</v>
      </c>
      <c r="F286">
        <v>66.569999999999993</v>
      </c>
      <c r="G286">
        <v>15.07</v>
      </c>
      <c r="H286" s="25">
        <v>0.18459088682018618</v>
      </c>
      <c r="I286">
        <v>0.47</v>
      </c>
      <c r="J286">
        <v>0</v>
      </c>
      <c r="K286" s="25">
        <v>0</v>
      </c>
      <c r="L286">
        <v>0</v>
      </c>
      <c r="M286" t="s">
        <v>1519</v>
      </c>
      <c r="N286">
        <v>4</v>
      </c>
    </row>
    <row r="287" spans="1:14" x14ac:dyDescent="0.25">
      <c r="A287">
        <v>8</v>
      </c>
      <c r="B287" t="s">
        <v>785</v>
      </c>
      <c r="C287" t="s">
        <v>1371</v>
      </c>
      <c r="D287">
        <v>81.64</v>
      </c>
      <c r="E287">
        <v>0</v>
      </c>
      <c r="F287">
        <v>62.8</v>
      </c>
      <c r="G287">
        <v>15.07</v>
      </c>
      <c r="H287" s="25">
        <v>0.18459088682018618</v>
      </c>
      <c r="I287">
        <v>0.44</v>
      </c>
      <c r="J287">
        <v>3.33</v>
      </c>
      <c r="K287" s="25">
        <v>4.0788829005389514E-2</v>
      </c>
      <c r="L287">
        <v>5.3025477707006372E-2</v>
      </c>
      <c r="M287" t="s">
        <v>1519</v>
      </c>
      <c r="N287">
        <v>4</v>
      </c>
    </row>
    <row r="288" spans="1:14" x14ac:dyDescent="0.25">
      <c r="A288">
        <v>9</v>
      </c>
      <c r="B288" t="s">
        <v>785</v>
      </c>
      <c r="C288" t="s">
        <v>1373</v>
      </c>
      <c r="D288">
        <v>81.64</v>
      </c>
      <c r="E288">
        <v>0</v>
      </c>
      <c r="F288">
        <v>19.97</v>
      </c>
      <c r="G288">
        <v>61.67</v>
      </c>
      <c r="H288" s="25">
        <v>0.75538951494365514</v>
      </c>
      <c r="I288">
        <v>0.14000000000000001</v>
      </c>
      <c r="J288">
        <v>0</v>
      </c>
      <c r="K288" s="25">
        <v>0</v>
      </c>
      <c r="L288">
        <v>0</v>
      </c>
      <c r="M288" t="s">
        <v>1519</v>
      </c>
      <c r="N288">
        <v>4</v>
      </c>
    </row>
    <row r="289" spans="1:14" x14ac:dyDescent="0.25">
      <c r="A289">
        <v>10</v>
      </c>
      <c r="B289" t="s">
        <v>785</v>
      </c>
      <c r="C289" t="s">
        <v>1375</v>
      </c>
      <c r="D289">
        <v>81.64</v>
      </c>
      <c r="E289">
        <v>0</v>
      </c>
      <c r="F289">
        <v>48.23</v>
      </c>
      <c r="G289">
        <v>32.880000000000003</v>
      </c>
      <c r="H289" s="25">
        <v>0.40274375306222443</v>
      </c>
      <c r="I289">
        <v>0.34</v>
      </c>
      <c r="J289">
        <v>0.19</v>
      </c>
      <c r="K289" s="25">
        <v>2.3272905438510533E-3</v>
      </c>
      <c r="L289">
        <v>3.939456769645449E-3</v>
      </c>
      <c r="M289" t="s">
        <v>1519</v>
      </c>
      <c r="N289">
        <v>4</v>
      </c>
    </row>
    <row r="290" spans="1:14" x14ac:dyDescent="0.25">
      <c r="A290">
        <v>11</v>
      </c>
      <c r="B290" t="s">
        <v>786</v>
      </c>
      <c r="C290" t="s">
        <v>1378</v>
      </c>
      <c r="D290">
        <v>0</v>
      </c>
      <c r="E290">
        <v>309.62</v>
      </c>
      <c r="F290">
        <v>202.8</v>
      </c>
      <c r="G290">
        <v>62.17</v>
      </c>
      <c r="H290" s="25">
        <v>0.20079452231767975</v>
      </c>
      <c r="I290">
        <v>1.42</v>
      </c>
      <c r="J290">
        <v>43.23</v>
      </c>
      <c r="K290" s="25">
        <v>0.13962276338737806</v>
      </c>
      <c r="L290">
        <v>0.21316568047337275</v>
      </c>
      <c r="M290" t="s">
        <v>1519</v>
      </c>
      <c r="N290">
        <v>4</v>
      </c>
    </row>
    <row r="291" spans="1:14" x14ac:dyDescent="0.25">
      <c r="A291">
        <v>12</v>
      </c>
      <c r="B291" t="s">
        <v>787</v>
      </c>
      <c r="C291" t="s">
        <v>1381</v>
      </c>
      <c r="D291">
        <v>847.8</v>
      </c>
      <c r="E291">
        <v>0</v>
      </c>
      <c r="F291">
        <v>717.6</v>
      </c>
      <c r="G291">
        <v>92.71</v>
      </c>
      <c r="H291" s="25">
        <v>0.10935362113706062</v>
      </c>
      <c r="I291">
        <v>5.0199999999999996</v>
      </c>
      <c r="J291">
        <v>32.47</v>
      </c>
      <c r="K291" s="25">
        <v>3.8299127152630341E-2</v>
      </c>
      <c r="L291">
        <v>4.5248049052396877E-2</v>
      </c>
      <c r="M291" t="s">
        <v>1519</v>
      </c>
      <c r="N291">
        <v>4</v>
      </c>
    </row>
    <row r="292" spans="1:14" x14ac:dyDescent="0.25">
      <c r="A292">
        <v>13</v>
      </c>
      <c r="B292" t="s">
        <v>787</v>
      </c>
      <c r="C292" t="s">
        <v>1383</v>
      </c>
      <c r="D292">
        <v>847.8</v>
      </c>
      <c r="E292">
        <v>0</v>
      </c>
      <c r="F292">
        <v>727.26</v>
      </c>
      <c r="G292">
        <v>92.71</v>
      </c>
      <c r="H292" s="25">
        <v>0.10935362113706062</v>
      </c>
      <c r="I292">
        <v>5.09</v>
      </c>
      <c r="J292">
        <v>22.74</v>
      </c>
      <c r="K292" s="25">
        <v>2.6822363765038923E-2</v>
      </c>
      <c r="L292">
        <v>3.1268047190825835E-2</v>
      </c>
      <c r="M292" t="s">
        <v>1519</v>
      </c>
      <c r="N292">
        <v>4</v>
      </c>
    </row>
    <row r="293" spans="1:14" x14ac:dyDescent="0.25">
      <c r="A293">
        <v>14</v>
      </c>
      <c r="B293" t="s">
        <v>787</v>
      </c>
      <c r="C293" t="s">
        <v>1385</v>
      </c>
      <c r="D293">
        <v>847.8</v>
      </c>
      <c r="E293">
        <v>0</v>
      </c>
      <c r="F293">
        <v>723.2</v>
      </c>
      <c r="G293">
        <v>92.71</v>
      </c>
      <c r="H293" s="25">
        <v>0.10935362113706062</v>
      </c>
      <c r="I293">
        <v>5.0599999999999996</v>
      </c>
      <c r="J293">
        <v>26.83</v>
      </c>
      <c r="K293" s="25">
        <v>3.1646614767633877E-2</v>
      </c>
      <c r="L293">
        <v>3.7099004424778759E-2</v>
      </c>
      <c r="M293" t="s">
        <v>1519</v>
      </c>
      <c r="N293">
        <v>4</v>
      </c>
    </row>
    <row r="294" spans="1:14" x14ac:dyDescent="0.25">
      <c r="A294">
        <v>15</v>
      </c>
      <c r="B294" t="s">
        <v>787</v>
      </c>
      <c r="C294" t="s">
        <v>1387</v>
      </c>
      <c r="D294">
        <v>847.8</v>
      </c>
      <c r="E294">
        <v>0</v>
      </c>
      <c r="F294">
        <v>723.1</v>
      </c>
      <c r="G294">
        <v>93.17</v>
      </c>
      <c r="H294" s="25">
        <v>0.1098962019344185</v>
      </c>
      <c r="I294">
        <v>5.0599999999999996</v>
      </c>
      <c r="J294">
        <v>26.47</v>
      </c>
      <c r="K294" s="25">
        <v>3.122198631752772E-2</v>
      </c>
      <c r="L294">
        <v>3.6606278523025858E-2</v>
      </c>
      <c r="M294" t="s">
        <v>1519</v>
      </c>
      <c r="N294">
        <v>4</v>
      </c>
    </row>
    <row r="295" spans="1:14" x14ac:dyDescent="0.25">
      <c r="A295">
        <v>16</v>
      </c>
      <c r="B295" t="s">
        <v>787</v>
      </c>
      <c r="C295" t="s">
        <v>1389</v>
      </c>
      <c r="D295">
        <v>847.8</v>
      </c>
      <c r="E295">
        <v>0</v>
      </c>
      <c r="F295">
        <v>722.86</v>
      </c>
      <c r="G295">
        <v>80.27</v>
      </c>
      <c r="H295" s="25">
        <v>9.4680349138947864E-2</v>
      </c>
      <c r="I295">
        <v>5.0599999999999996</v>
      </c>
      <c r="J295">
        <v>39.61</v>
      </c>
      <c r="K295" s="25">
        <v>4.6720924746402458E-2</v>
      </c>
      <c r="L295">
        <v>5.4796226101873111E-2</v>
      </c>
      <c r="M295" t="s">
        <v>1519</v>
      </c>
      <c r="N295">
        <v>4</v>
      </c>
    </row>
    <row r="296" spans="1:14" x14ac:dyDescent="0.25">
      <c r="A296">
        <v>17</v>
      </c>
      <c r="B296" t="s">
        <v>787</v>
      </c>
      <c r="C296" t="s">
        <v>1391</v>
      </c>
      <c r="D296">
        <v>847.8</v>
      </c>
      <c r="E296">
        <v>0</v>
      </c>
      <c r="F296">
        <v>722.84</v>
      </c>
      <c r="G296">
        <v>80.27</v>
      </c>
      <c r="H296" s="25">
        <v>9.4680349138947864E-2</v>
      </c>
      <c r="I296">
        <v>5.0599999999999996</v>
      </c>
      <c r="J296">
        <v>39.630000000000003</v>
      </c>
      <c r="K296" s="25">
        <v>4.6744515215852801E-2</v>
      </c>
      <c r="L296">
        <v>5.4825410879309394E-2</v>
      </c>
      <c r="M296" t="s">
        <v>1519</v>
      </c>
      <c r="N296">
        <v>4</v>
      </c>
    </row>
    <row r="297" spans="1:14" x14ac:dyDescent="0.25">
      <c r="A297">
        <v>18</v>
      </c>
      <c r="B297" t="s">
        <v>787</v>
      </c>
      <c r="C297" t="s">
        <v>1393</v>
      </c>
      <c r="D297">
        <v>847.8</v>
      </c>
      <c r="E297">
        <v>0</v>
      </c>
      <c r="F297">
        <v>722.69</v>
      </c>
      <c r="G297">
        <v>94.75</v>
      </c>
      <c r="H297" s="25">
        <v>0.11175984902099552</v>
      </c>
      <c r="I297">
        <v>5.0599999999999996</v>
      </c>
      <c r="J297">
        <v>25.3</v>
      </c>
      <c r="K297" s="25">
        <v>2.9841943854682709E-2</v>
      </c>
      <c r="L297">
        <v>3.5008094757088097E-2</v>
      </c>
      <c r="M297" t="s">
        <v>1519</v>
      </c>
      <c r="N297">
        <v>4</v>
      </c>
    </row>
    <row r="298" spans="1:14" x14ac:dyDescent="0.25">
      <c r="A298">
        <v>19</v>
      </c>
      <c r="B298" t="s">
        <v>787</v>
      </c>
      <c r="C298" t="s">
        <v>1395</v>
      </c>
      <c r="D298">
        <v>847.8</v>
      </c>
      <c r="E298">
        <v>0</v>
      </c>
      <c r="F298">
        <v>722.67</v>
      </c>
      <c r="G298">
        <v>93.43</v>
      </c>
      <c r="H298" s="25">
        <v>0.11020287803727295</v>
      </c>
      <c r="I298">
        <v>5.0599999999999996</v>
      </c>
      <c r="J298">
        <v>26.64</v>
      </c>
      <c r="K298" s="25">
        <v>3.1422505307855626E-2</v>
      </c>
      <c r="L298">
        <v>3.6863298601021215E-2</v>
      </c>
      <c r="M298" t="s">
        <v>1519</v>
      </c>
      <c r="N298">
        <v>4</v>
      </c>
    </row>
    <row r="299" spans="1:14" x14ac:dyDescent="0.25">
      <c r="A299">
        <v>20</v>
      </c>
      <c r="B299" t="s">
        <v>787</v>
      </c>
      <c r="C299" t="s">
        <v>1397</v>
      </c>
      <c r="D299">
        <v>847.8</v>
      </c>
      <c r="E299">
        <v>0</v>
      </c>
      <c r="F299">
        <v>736.28</v>
      </c>
      <c r="G299">
        <v>80.27</v>
      </c>
      <c r="H299" s="25">
        <v>9.4680349138947864E-2</v>
      </c>
      <c r="I299">
        <v>5.15</v>
      </c>
      <c r="J299">
        <v>26.1</v>
      </c>
      <c r="K299" s="25">
        <v>3.0785562632696394E-2</v>
      </c>
      <c r="L299">
        <v>3.5448470690498182E-2</v>
      </c>
      <c r="M299" t="s">
        <v>1519</v>
      </c>
      <c r="N299">
        <v>4</v>
      </c>
    </row>
    <row r="300" spans="1:14" x14ac:dyDescent="0.25">
      <c r="A300">
        <v>21</v>
      </c>
      <c r="B300" t="s">
        <v>787</v>
      </c>
      <c r="C300" t="s">
        <v>1399</v>
      </c>
      <c r="D300">
        <v>847.8</v>
      </c>
      <c r="E300">
        <v>0</v>
      </c>
      <c r="F300">
        <v>742.43</v>
      </c>
      <c r="G300">
        <v>65.959999999999994</v>
      </c>
      <c r="H300" s="25">
        <v>7.7801368247228123E-2</v>
      </c>
      <c r="I300">
        <v>5.2</v>
      </c>
      <c r="J300">
        <v>34.21</v>
      </c>
      <c r="K300" s="25">
        <v>4.0351497994810102E-2</v>
      </c>
      <c r="L300">
        <v>4.6078418167369316E-2</v>
      </c>
      <c r="M300" t="s">
        <v>1519</v>
      </c>
      <c r="N300">
        <v>4</v>
      </c>
    </row>
    <row r="301" spans="1:14" x14ac:dyDescent="0.25">
      <c r="A301">
        <v>22</v>
      </c>
      <c r="B301" t="s">
        <v>787</v>
      </c>
      <c r="C301" t="s">
        <v>1401</v>
      </c>
      <c r="D301">
        <v>847.8</v>
      </c>
      <c r="E301">
        <v>0</v>
      </c>
      <c r="F301">
        <v>742.44</v>
      </c>
      <c r="G301">
        <v>65.709999999999994</v>
      </c>
      <c r="H301" s="25">
        <v>7.7506487379098835E-2</v>
      </c>
      <c r="I301">
        <v>5.2</v>
      </c>
      <c r="J301">
        <v>34.450000000000003</v>
      </c>
      <c r="K301" s="25">
        <v>4.0634583628214205E-2</v>
      </c>
      <c r="L301">
        <v>4.6401055977587417E-2</v>
      </c>
      <c r="M301" t="s">
        <v>1519</v>
      </c>
      <c r="N301">
        <v>4</v>
      </c>
    </row>
    <row r="302" spans="1:14" x14ac:dyDescent="0.25">
      <c r="A302">
        <v>23</v>
      </c>
      <c r="B302" t="s">
        <v>787</v>
      </c>
      <c r="C302" t="s">
        <v>1403</v>
      </c>
      <c r="D302">
        <v>847.8</v>
      </c>
      <c r="E302">
        <v>0</v>
      </c>
      <c r="F302">
        <v>720.91</v>
      </c>
      <c r="G302">
        <v>95.38</v>
      </c>
      <c r="H302" s="25">
        <v>0.11250294880868129</v>
      </c>
      <c r="I302">
        <v>5.05</v>
      </c>
      <c r="J302">
        <v>26.46</v>
      </c>
      <c r="K302" s="25">
        <v>3.1210191082802551E-2</v>
      </c>
      <c r="L302">
        <v>3.6703610714236175E-2</v>
      </c>
      <c r="M302" t="s">
        <v>1519</v>
      </c>
      <c r="N302">
        <v>4</v>
      </c>
    </row>
    <row r="303" spans="1:14" x14ac:dyDescent="0.25">
      <c r="A303">
        <v>24</v>
      </c>
      <c r="B303" t="s">
        <v>787</v>
      </c>
      <c r="C303" t="s">
        <v>1405</v>
      </c>
      <c r="D303">
        <v>847.8</v>
      </c>
      <c r="E303">
        <v>0</v>
      </c>
      <c r="F303">
        <v>720.91</v>
      </c>
      <c r="G303">
        <v>97.12</v>
      </c>
      <c r="H303" s="25">
        <v>0.11455531965086106</v>
      </c>
      <c r="I303">
        <v>5.05</v>
      </c>
      <c r="J303">
        <v>24.72</v>
      </c>
      <c r="K303" s="25">
        <v>2.915782024062279E-2</v>
      </c>
      <c r="L303">
        <v>3.4289994590170757E-2</v>
      </c>
      <c r="M303" t="s">
        <v>1519</v>
      </c>
      <c r="N303">
        <v>4</v>
      </c>
    </row>
    <row r="304" spans="1:14" x14ac:dyDescent="0.25">
      <c r="A304">
        <v>25</v>
      </c>
      <c r="B304" t="s">
        <v>787</v>
      </c>
      <c r="C304" t="s">
        <v>1407</v>
      </c>
      <c r="D304">
        <v>847.8</v>
      </c>
      <c r="E304">
        <v>0</v>
      </c>
      <c r="F304">
        <v>720.91</v>
      </c>
      <c r="G304">
        <v>97.12</v>
      </c>
      <c r="H304" s="25">
        <v>0.11455531965086106</v>
      </c>
      <c r="I304">
        <v>5.05</v>
      </c>
      <c r="J304">
        <v>24.72</v>
      </c>
      <c r="K304" s="25">
        <v>2.915782024062279E-2</v>
      </c>
      <c r="L304">
        <v>3.4289994590170757E-2</v>
      </c>
      <c r="M304" t="s">
        <v>1519</v>
      </c>
      <c r="N304">
        <v>4</v>
      </c>
    </row>
    <row r="305" spans="1:14" x14ac:dyDescent="0.25">
      <c r="A305">
        <v>26</v>
      </c>
      <c r="B305" t="s">
        <v>787</v>
      </c>
      <c r="C305" t="s">
        <v>1409</v>
      </c>
      <c r="D305">
        <v>847.8</v>
      </c>
      <c r="E305">
        <v>0</v>
      </c>
      <c r="F305">
        <v>727.45</v>
      </c>
      <c r="G305">
        <v>80.260000000000005</v>
      </c>
      <c r="H305" s="25">
        <v>9.4668553904222699E-2</v>
      </c>
      <c r="I305">
        <v>5.09</v>
      </c>
      <c r="J305">
        <v>35</v>
      </c>
      <c r="K305" s="25">
        <v>4.1283321538098612E-2</v>
      </c>
      <c r="L305">
        <v>4.8113272389854973E-2</v>
      </c>
      <c r="M305" t="s">
        <v>1519</v>
      </c>
      <c r="N305">
        <v>4</v>
      </c>
    </row>
    <row r="306" spans="1:14" x14ac:dyDescent="0.25">
      <c r="A306">
        <v>27</v>
      </c>
      <c r="B306" t="s">
        <v>787</v>
      </c>
      <c r="C306" t="s">
        <v>1411</v>
      </c>
      <c r="D306">
        <v>847.8</v>
      </c>
      <c r="E306">
        <v>0</v>
      </c>
      <c r="F306">
        <v>737.24</v>
      </c>
      <c r="G306">
        <v>80.260000000000005</v>
      </c>
      <c r="H306" s="25">
        <v>9.4668553904222699E-2</v>
      </c>
      <c r="I306">
        <v>5.16</v>
      </c>
      <c r="J306">
        <v>25.14</v>
      </c>
      <c r="K306" s="25">
        <v>2.9653220099079974E-2</v>
      </c>
      <c r="L306">
        <v>3.4100157343605879E-2</v>
      </c>
      <c r="M306" t="s">
        <v>1519</v>
      </c>
      <c r="N306">
        <v>4</v>
      </c>
    </row>
    <row r="307" spans="1:14" x14ac:dyDescent="0.25">
      <c r="A307">
        <v>28</v>
      </c>
      <c r="B307" t="s">
        <v>787</v>
      </c>
      <c r="C307" t="s">
        <v>1413</v>
      </c>
      <c r="D307">
        <v>847.8</v>
      </c>
      <c r="E307">
        <v>0</v>
      </c>
      <c r="F307">
        <v>773.2</v>
      </c>
      <c r="G307">
        <v>0</v>
      </c>
      <c r="H307" s="25">
        <v>0</v>
      </c>
      <c r="I307">
        <v>5.41</v>
      </c>
      <c r="J307">
        <v>69.19</v>
      </c>
      <c r="K307" s="25">
        <v>8.1611229063458371E-2</v>
      </c>
      <c r="L307">
        <v>8.9485256078634237E-2</v>
      </c>
      <c r="M307" t="s">
        <v>1519</v>
      </c>
      <c r="N307">
        <v>4</v>
      </c>
    </row>
    <row r="308" spans="1:14" x14ac:dyDescent="0.25">
      <c r="A308">
        <v>29</v>
      </c>
      <c r="B308" t="s">
        <v>787</v>
      </c>
      <c r="C308" t="s">
        <v>1415</v>
      </c>
      <c r="D308">
        <v>0</v>
      </c>
      <c r="E308">
        <v>446.86</v>
      </c>
      <c r="F308">
        <v>343.17</v>
      </c>
      <c r="G308">
        <v>83.87</v>
      </c>
      <c r="H308" s="25">
        <v>0.18768741887839593</v>
      </c>
      <c r="I308">
        <v>2.4</v>
      </c>
      <c r="J308">
        <v>17.420000000000002</v>
      </c>
      <c r="K308" s="25">
        <v>3.8983126706350985E-2</v>
      </c>
      <c r="L308">
        <v>5.0762012996474051E-2</v>
      </c>
      <c r="M308" t="s">
        <v>1519</v>
      </c>
      <c r="N308">
        <v>4</v>
      </c>
    </row>
    <row r="309" spans="1:14" x14ac:dyDescent="0.25">
      <c r="A309">
        <v>30</v>
      </c>
      <c r="B309" t="s">
        <v>788</v>
      </c>
      <c r="C309" t="s">
        <v>1417</v>
      </c>
      <c r="D309">
        <v>1507.2</v>
      </c>
      <c r="E309">
        <v>0</v>
      </c>
      <c r="F309">
        <v>1450.53</v>
      </c>
      <c r="G309">
        <v>0</v>
      </c>
      <c r="H309" s="25">
        <v>0</v>
      </c>
      <c r="I309">
        <v>10.15</v>
      </c>
      <c r="J309">
        <v>46.52</v>
      </c>
      <c r="K309" s="25">
        <v>3.0865180467091295E-2</v>
      </c>
      <c r="L309">
        <v>3.2071036104044728E-2</v>
      </c>
      <c r="M309" t="s">
        <v>1519</v>
      </c>
      <c r="N309">
        <v>4</v>
      </c>
    </row>
    <row r="310" spans="1:14" x14ac:dyDescent="0.25">
      <c r="A310">
        <v>31</v>
      </c>
      <c r="B310" t="s">
        <v>788</v>
      </c>
      <c r="C310" t="s">
        <v>1419</v>
      </c>
      <c r="D310">
        <v>1507.2</v>
      </c>
      <c r="E310">
        <v>0</v>
      </c>
      <c r="F310">
        <v>1422.67</v>
      </c>
      <c r="G310">
        <v>0</v>
      </c>
      <c r="H310" s="25">
        <v>0</v>
      </c>
      <c r="I310">
        <v>9.9600000000000009</v>
      </c>
      <c r="J310">
        <v>74.569999999999993</v>
      </c>
      <c r="K310" s="25">
        <v>4.9475849256900205E-2</v>
      </c>
      <c r="L310">
        <v>5.2415528548433572E-2</v>
      </c>
      <c r="M310" t="s">
        <v>1519</v>
      </c>
      <c r="N310">
        <v>4</v>
      </c>
    </row>
    <row r="311" spans="1:14" x14ac:dyDescent="0.25">
      <c r="A311">
        <v>32</v>
      </c>
      <c r="B311" t="s">
        <v>788</v>
      </c>
      <c r="C311" t="s">
        <v>1421</v>
      </c>
      <c r="D311">
        <v>1507.2</v>
      </c>
      <c r="E311">
        <v>0</v>
      </c>
      <c r="F311">
        <v>1422.45</v>
      </c>
      <c r="G311">
        <v>0</v>
      </c>
      <c r="H311" s="25">
        <v>0</v>
      </c>
      <c r="I311">
        <v>9.9600000000000009</v>
      </c>
      <c r="J311">
        <v>74.790000000000006</v>
      </c>
      <c r="K311" s="25">
        <v>4.9621815286624203E-2</v>
      </c>
      <c r="L311">
        <v>5.2578298006959824E-2</v>
      </c>
      <c r="M311" t="s">
        <v>1519</v>
      </c>
      <c r="N311">
        <v>4</v>
      </c>
    </row>
    <row r="312" spans="1:14" x14ac:dyDescent="0.25">
      <c r="A312">
        <v>33</v>
      </c>
      <c r="B312" t="s">
        <v>788</v>
      </c>
      <c r="C312" t="s">
        <v>1423</v>
      </c>
      <c r="D312">
        <v>1507.2</v>
      </c>
      <c r="E312">
        <v>0</v>
      </c>
      <c r="F312">
        <v>1396.27</v>
      </c>
      <c r="G312">
        <v>0</v>
      </c>
      <c r="H312" s="25">
        <v>0</v>
      </c>
      <c r="I312">
        <v>9.77</v>
      </c>
      <c r="J312">
        <v>101.16</v>
      </c>
      <c r="K312" s="25">
        <v>6.7117834394904458E-2</v>
      </c>
      <c r="L312">
        <v>7.2450170812235454E-2</v>
      </c>
      <c r="M312" t="s">
        <v>1519</v>
      </c>
      <c r="N312">
        <v>4</v>
      </c>
    </row>
    <row r="313" spans="1:14" x14ac:dyDescent="0.25">
      <c r="A313">
        <v>34</v>
      </c>
      <c r="B313" t="s">
        <v>788</v>
      </c>
      <c r="C313" t="s">
        <v>1425</v>
      </c>
      <c r="D313">
        <v>1507.2</v>
      </c>
      <c r="E313">
        <v>0</v>
      </c>
      <c r="F313">
        <v>1397.65</v>
      </c>
      <c r="G313">
        <v>0</v>
      </c>
      <c r="H313" s="25">
        <v>0</v>
      </c>
      <c r="I313">
        <v>9.7799999999999994</v>
      </c>
      <c r="J313">
        <v>99.77</v>
      </c>
      <c r="K313" s="25">
        <v>6.6195594479830144E-2</v>
      </c>
      <c r="L313">
        <v>7.1384109040174573E-2</v>
      </c>
      <c r="M313" t="s">
        <v>1519</v>
      </c>
      <c r="N313">
        <v>4</v>
      </c>
    </row>
    <row r="314" spans="1:14" x14ac:dyDescent="0.25">
      <c r="A314">
        <v>35</v>
      </c>
      <c r="B314" t="s">
        <v>788</v>
      </c>
      <c r="C314" t="s">
        <v>1427</v>
      </c>
      <c r="D314">
        <v>1507.2</v>
      </c>
      <c r="E314">
        <v>0</v>
      </c>
      <c r="F314">
        <v>1412.28</v>
      </c>
      <c r="G314">
        <v>0</v>
      </c>
      <c r="H314" s="25">
        <v>0</v>
      </c>
      <c r="I314">
        <v>9.89</v>
      </c>
      <c r="J314">
        <v>85.03</v>
      </c>
      <c r="K314" s="25">
        <v>5.6415870488322716E-2</v>
      </c>
      <c r="L314">
        <v>6.0207607556575185E-2</v>
      </c>
      <c r="M314" t="s">
        <v>1519</v>
      </c>
      <c r="N314">
        <v>4</v>
      </c>
    </row>
    <row r="315" spans="1:14" x14ac:dyDescent="0.25">
      <c r="A315">
        <v>36</v>
      </c>
      <c r="B315" t="s">
        <v>788</v>
      </c>
      <c r="C315" t="s">
        <v>1429</v>
      </c>
      <c r="D315">
        <v>1507.2</v>
      </c>
      <c r="E315">
        <v>0</v>
      </c>
      <c r="F315">
        <v>1422.01</v>
      </c>
      <c r="G315">
        <v>0</v>
      </c>
      <c r="H315" s="25">
        <v>0</v>
      </c>
      <c r="I315">
        <v>9.9499999999999993</v>
      </c>
      <c r="J315">
        <v>75.239999999999995</v>
      </c>
      <c r="K315" s="25">
        <v>4.9920382165605091E-2</v>
      </c>
      <c r="L315">
        <v>5.2911020316312819E-2</v>
      </c>
      <c r="M315" t="s">
        <v>1519</v>
      </c>
      <c r="N315">
        <v>4</v>
      </c>
    </row>
    <row r="316" spans="1:14" x14ac:dyDescent="0.25">
      <c r="A316">
        <v>37</v>
      </c>
      <c r="B316" t="s">
        <v>788</v>
      </c>
      <c r="C316" t="s">
        <v>1431</v>
      </c>
      <c r="D316">
        <v>1507.2</v>
      </c>
      <c r="E316">
        <v>0</v>
      </c>
      <c r="F316">
        <v>1448.71</v>
      </c>
      <c r="G316">
        <v>0</v>
      </c>
      <c r="H316" s="25">
        <v>0</v>
      </c>
      <c r="I316">
        <v>10.14</v>
      </c>
      <c r="J316">
        <v>48.35</v>
      </c>
      <c r="K316" s="25">
        <v>3.2079352441613591E-2</v>
      </c>
      <c r="L316">
        <v>3.3374519400017948E-2</v>
      </c>
      <c r="M316" t="s">
        <v>1519</v>
      </c>
      <c r="N316">
        <v>4</v>
      </c>
    </row>
    <row r="317" spans="1:14" x14ac:dyDescent="0.25">
      <c r="A317">
        <v>38</v>
      </c>
      <c r="B317" t="s">
        <v>788</v>
      </c>
      <c r="C317" t="s">
        <v>1433</v>
      </c>
      <c r="D317">
        <v>1507.2</v>
      </c>
      <c r="E317">
        <v>0</v>
      </c>
      <c r="F317">
        <v>1434.86</v>
      </c>
      <c r="G317">
        <v>0</v>
      </c>
      <c r="H317" s="25">
        <v>0</v>
      </c>
      <c r="I317">
        <v>10.039999999999999</v>
      </c>
      <c r="J317">
        <v>62.3</v>
      </c>
      <c r="K317" s="25">
        <v>4.1334925690021229E-2</v>
      </c>
      <c r="L317">
        <v>4.3418870133671579E-2</v>
      </c>
      <c r="M317" t="s">
        <v>1519</v>
      </c>
      <c r="N317">
        <v>4</v>
      </c>
    </row>
    <row r="318" spans="1:14" x14ac:dyDescent="0.25">
      <c r="A318">
        <v>39</v>
      </c>
      <c r="B318" t="s">
        <v>788</v>
      </c>
      <c r="C318" t="s">
        <v>1435</v>
      </c>
      <c r="D318">
        <v>1507.2</v>
      </c>
      <c r="E318">
        <v>0</v>
      </c>
      <c r="F318">
        <v>1424.4</v>
      </c>
      <c r="G318">
        <v>0</v>
      </c>
      <c r="H318" s="25">
        <v>0</v>
      </c>
      <c r="I318">
        <v>9.9700000000000006</v>
      </c>
      <c r="J318">
        <v>72.83</v>
      </c>
      <c r="K318" s="25">
        <v>4.8321390658174097E-2</v>
      </c>
      <c r="L318">
        <v>5.1130300477393989E-2</v>
      </c>
      <c r="M318" t="s">
        <v>1519</v>
      </c>
      <c r="N318">
        <v>4</v>
      </c>
    </row>
    <row r="319" spans="1:14" x14ac:dyDescent="0.25">
      <c r="A319">
        <v>40</v>
      </c>
      <c r="B319" t="s">
        <v>788</v>
      </c>
      <c r="C319" t="s">
        <v>1438</v>
      </c>
      <c r="D319">
        <v>0</v>
      </c>
      <c r="E319">
        <v>1450.68</v>
      </c>
      <c r="F319">
        <v>10.99</v>
      </c>
      <c r="G319">
        <v>1437.24</v>
      </c>
      <c r="H319" s="25">
        <v>0.99073537927041111</v>
      </c>
      <c r="I319">
        <v>0.08</v>
      </c>
      <c r="J319">
        <v>2.37</v>
      </c>
      <c r="K319" s="25">
        <v>1.633716601869468E-3</v>
      </c>
      <c r="L319">
        <v>0.21565059144676979</v>
      </c>
      <c r="M319" t="s">
        <v>1519</v>
      </c>
      <c r="N319">
        <v>4</v>
      </c>
    </row>
    <row r="320" spans="1:14" x14ac:dyDescent="0.25">
      <c r="A320">
        <v>41</v>
      </c>
      <c r="B320" t="s">
        <v>789</v>
      </c>
      <c r="C320" t="s">
        <v>1441</v>
      </c>
      <c r="D320">
        <v>1413</v>
      </c>
      <c r="E320">
        <v>0</v>
      </c>
      <c r="F320">
        <v>1375.31</v>
      </c>
      <c r="G320">
        <v>0</v>
      </c>
      <c r="H320" s="25">
        <v>0</v>
      </c>
      <c r="I320">
        <v>9.6300000000000008</v>
      </c>
      <c r="J320">
        <v>28.06</v>
      </c>
      <c r="K320" s="25">
        <v>1.9858457183297946E-2</v>
      </c>
      <c r="L320">
        <v>2.0402672851938836E-2</v>
      </c>
      <c r="M320" t="s">
        <v>1519</v>
      </c>
      <c r="N320">
        <v>4</v>
      </c>
    </row>
    <row r="321" spans="1:14" x14ac:dyDescent="0.25">
      <c r="A321">
        <v>42</v>
      </c>
      <c r="B321" t="s">
        <v>789</v>
      </c>
      <c r="C321" t="s">
        <v>1443</v>
      </c>
      <c r="D321">
        <v>1413</v>
      </c>
      <c r="E321">
        <v>0</v>
      </c>
      <c r="F321">
        <v>1375.31</v>
      </c>
      <c r="G321">
        <v>0</v>
      </c>
      <c r="H321" s="25">
        <v>0</v>
      </c>
      <c r="I321">
        <v>9.6300000000000008</v>
      </c>
      <c r="J321">
        <v>28.06</v>
      </c>
      <c r="K321" s="25">
        <v>1.9858457183297946E-2</v>
      </c>
      <c r="L321">
        <v>2.0402672851938836E-2</v>
      </c>
      <c r="M321" t="s">
        <v>1519</v>
      </c>
      <c r="N321">
        <v>4</v>
      </c>
    </row>
    <row r="322" spans="1:14" x14ac:dyDescent="0.25">
      <c r="A322">
        <v>43</v>
      </c>
      <c r="B322" t="s">
        <v>789</v>
      </c>
      <c r="C322" t="s">
        <v>1445</v>
      </c>
      <c r="D322">
        <v>1413</v>
      </c>
      <c r="E322">
        <v>0</v>
      </c>
      <c r="F322">
        <v>1375.32</v>
      </c>
      <c r="G322">
        <v>0</v>
      </c>
      <c r="H322" s="25">
        <v>0</v>
      </c>
      <c r="I322">
        <v>9.6300000000000008</v>
      </c>
      <c r="J322">
        <v>28.05</v>
      </c>
      <c r="K322" s="25">
        <v>1.9851380042462844E-2</v>
      </c>
      <c r="L322">
        <v>2.0395253468283747E-2</v>
      </c>
      <c r="M322" t="s">
        <v>1519</v>
      </c>
      <c r="N322">
        <v>4</v>
      </c>
    </row>
    <row r="323" spans="1:14" x14ac:dyDescent="0.25">
      <c r="A323">
        <v>44</v>
      </c>
      <c r="B323" t="s">
        <v>789</v>
      </c>
      <c r="C323" t="s">
        <v>1447</v>
      </c>
      <c r="D323">
        <v>1413</v>
      </c>
      <c r="E323">
        <v>0</v>
      </c>
      <c r="F323">
        <v>1365.89</v>
      </c>
      <c r="G323">
        <v>0</v>
      </c>
      <c r="H323" s="25">
        <v>0</v>
      </c>
      <c r="I323">
        <v>9.56</v>
      </c>
      <c r="J323">
        <v>37.549999999999997</v>
      </c>
      <c r="K323" s="25">
        <v>2.6574663835810329E-2</v>
      </c>
      <c r="L323">
        <v>2.7491232822555254E-2</v>
      </c>
      <c r="M323" t="s">
        <v>1519</v>
      </c>
      <c r="N323">
        <v>4</v>
      </c>
    </row>
    <row r="324" spans="1:14" x14ac:dyDescent="0.25">
      <c r="A324">
        <v>45</v>
      </c>
      <c r="B324" t="s">
        <v>789</v>
      </c>
      <c r="C324" t="s">
        <v>1449</v>
      </c>
      <c r="D324">
        <v>1413</v>
      </c>
      <c r="E324">
        <v>0</v>
      </c>
      <c r="F324">
        <v>1313.14</v>
      </c>
      <c r="G324">
        <v>0</v>
      </c>
      <c r="H324" s="25">
        <v>0</v>
      </c>
      <c r="I324">
        <v>9.19</v>
      </c>
      <c r="J324">
        <v>90.67</v>
      </c>
      <c r="K324" s="25">
        <v>6.4168435951875449E-2</v>
      </c>
      <c r="L324">
        <v>6.9048235527057272E-2</v>
      </c>
      <c r="M324" t="s">
        <v>1519</v>
      </c>
      <c r="N324">
        <v>4</v>
      </c>
    </row>
    <row r="325" spans="1:14" x14ac:dyDescent="0.25">
      <c r="A325">
        <v>46</v>
      </c>
      <c r="B325" t="s">
        <v>789</v>
      </c>
      <c r="C325" t="s">
        <v>1451</v>
      </c>
      <c r="D325">
        <v>1413</v>
      </c>
      <c r="E325">
        <v>0</v>
      </c>
      <c r="F325">
        <v>1338.6</v>
      </c>
      <c r="G325">
        <v>0</v>
      </c>
      <c r="H325" s="25">
        <v>0</v>
      </c>
      <c r="I325">
        <v>9.3699999999999992</v>
      </c>
      <c r="J325">
        <v>65.03</v>
      </c>
      <c r="K325" s="25">
        <v>4.6022646850672332E-2</v>
      </c>
      <c r="L325">
        <v>4.8580606603914542E-2</v>
      </c>
      <c r="M325" t="s">
        <v>1519</v>
      </c>
      <c r="N325">
        <v>4</v>
      </c>
    </row>
    <row r="326" spans="1:14" x14ac:dyDescent="0.25">
      <c r="A326">
        <v>47</v>
      </c>
      <c r="B326" t="s">
        <v>789</v>
      </c>
      <c r="C326" t="s">
        <v>1453</v>
      </c>
      <c r="D326">
        <v>1413</v>
      </c>
      <c r="E326">
        <v>0</v>
      </c>
      <c r="F326">
        <v>1327.92</v>
      </c>
      <c r="G326">
        <v>0</v>
      </c>
      <c r="H326" s="25">
        <v>0</v>
      </c>
      <c r="I326">
        <v>9.3000000000000007</v>
      </c>
      <c r="J326">
        <v>75.78</v>
      </c>
      <c r="K326" s="25">
        <v>5.3630573248407643E-2</v>
      </c>
      <c r="L326">
        <v>5.706669076450388E-2</v>
      </c>
      <c r="M326" t="s">
        <v>1519</v>
      </c>
      <c r="N326">
        <v>4</v>
      </c>
    </row>
    <row r="327" spans="1:14" x14ac:dyDescent="0.25">
      <c r="A327">
        <v>48</v>
      </c>
      <c r="B327" t="s">
        <v>789</v>
      </c>
      <c r="C327" t="s">
        <v>1455</v>
      </c>
      <c r="D327">
        <v>1413</v>
      </c>
      <c r="E327">
        <v>0</v>
      </c>
      <c r="F327">
        <v>1338.82</v>
      </c>
      <c r="G327">
        <v>0</v>
      </c>
      <c r="H327" s="25">
        <v>0</v>
      </c>
      <c r="I327">
        <v>9.3699999999999992</v>
      </c>
      <c r="J327">
        <v>64.81</v>
      </c>
      <c r="K327" s="25">
        <v>4.5866949752300074E-2</v>
      </c>
      <c r="L327">
        <v>4.8408299846133165E-2</v>
      </c>
      <c r="M327" t="s">
        <v>1519</v>
      </c>
      <c r="N327">
        <v>4</v>
      </c>
    </row>
    <row r="328" spans="1:14" x14ac:dyDescent="0.25">
      <c r="A328">
        <v>49</v>
      </c>
      <c r="B328" t="s">
        <v>789</v>
      </c>
      <c r="C328" t="s">
        <v>1457</v>
      </c>
      <c r="D328">
        <v>1413</v>
      </c>
      <c r="E328">
        <v>0</v>
      </c>
      <c r="F328">
        <v>1343.39</v>
      </c>
      <c r="G328">
        <v>0</v>
      </c>
      <c r="H328" s="25">
        <v>0</v>
      </c>
      <c r="I328">
        <v>9.4</v>
      </c>
      <c r="J328">
        <v>60.21</v>
      </c>
      <c r="K328" s="25">
        <v>4.2611464968152865E-2</v>
      </c>
      <c r="L328">
        <v>4.4819449303627384E-2</v>
      </c>
      <c r="M328" t="s">
        <v>1519</v>
      </c>
      <c r="N328">
        <v>4</v>
      </c>
    </row>
    <row r="329" spans="1:14" x14ac:dyDescent="0.25">
      <c r="A329">
        <v>50</v>
      </c>
      <c r="B329" t="s">
        <v>789</v>
      </c>
      <c r="C329" t="s">
        <v>1459</v>
      </c>
      <c r="D329">
        <v>1413</v>
      </c>
      <c r="E329">
        <v>0</v>
      </c>
      <c r="F329">
        <v>1309.3499999999999</v>
      </c>
      <c r="G329">
        <v>0</v>
      </c>
      <c r="H329" s="25">
        <v>0</v>
      </c>
      <c r="I329">
        <v>9.17</v>
      </c>
      <c r="J329">
        <v>94.48</v>
      </c>
      <c r="K329" s="25">
        <v>6.6864826610049541E-2</v>
      </c>
      <c r="L329">
        <v>7.2157940963073292E-2</v>
      </c>
      <c r="M329" t="s">
        <v>1519</v>
      </c>
      <c r="N329">
        <v>4</v>
      </c>
    </row>
    <row r="330" spans="1:14" x14ac:dyDescent="0.25">
      <c r="A330">
        <v>51</v>
      </c>
      <c r="B330" t="s">
        <v>789</v>
      </c>
      <c r="C330" t="s">
        <v>1462</v>
      </c>
      <c r="D330">
        <v>0</v>
      </c>
      <c r="E330">
        <v>1240.6099999999999</v>
      </c>
      <c r="F330">
        <v>37.880000000000003</v>
      </c>
      <c r="G330">
        <v>1186.92</v>
      </c>
      <c r="H330" s="25">
        <v>0.95672290244315306</v>
      </c>
      <c r="I330">
        <v>0.27</v>
      </c>
      <c r="J330">
        <v>15.54</v>
      </c>
      <c r="K330" s="25">
        <v>1.2526096033402923E-2</v>
      </c>
      <c r="L330">
        <v>0.41024287222808864</v>
      </c>
      <c r="M330" t="s">
        <v>1519</v>
      </c>
      <c r="N330">
        <v>4</v>
      </c>
    </row>
    <row r="331" spans="1:14" x14ac:dyDescent="0.25">
      <c r="A331">
        <v>52</v>
      </c>
      <c r="B331" t="s">
        <v>790</v>
      </c>
      <c r="C331" t="s">
        <v>1465</v>
      </c>
      <c r="D331">
        <v>1695.6</v>
      </c>
      <c r="E331">
        <v>0</v>
      </c>
      <c r="F331">
        <v>1492.14</v>
      </c>
      <c r="G331">
        <v>169.54</v>
      </c>
      <c r="H331" s="25">
        <v>9.9988204765274827E-2</v>
      </c>
      <c r="I331">
        <v>10.44</v>
      </c>
      <c r="J331">
        <v>23.48</v>
      </c>
      <c r="K331" s="25">
        <v>1.3847605567350792E-2</v>
      </c>
      <c r="L331">
        <v>1.5735788866996395E-2</v>
      </c>
      <c r="M331" t="s">
        <v>1519</v>
      </c>
      <c r="N331">
        <v>4</v>
      </c>
    </row>
    <row r="332" spans="1:14" x14ac:dyDescent="0.25">
      <c r="A332">
        <v>53</v>
      </c>
      <c r="B332" t="s">
        <v>790</v>
      </c>
      <c r="C332" t="s">
        <v>1467</v>
      </c>
      <c r="D332">
        <v>1695.6</v>
      </c>
      <c r="E332">
        <v>0</v>
      </c>
      <c r="F332">
        <v>1491.23</v>
      </c>
      <c r="G332">
        <v>169.55</v>
      </c>
      <c r="H332" s="25">
        <v>9.9994102382637423E-2</v>
      </c>
      <c r="I332">
        <v>10.44</v>
      </c>
      <c r="J332">
        <v>24.38</v>
      </c>
      <c r="K332" s="25">
        <v>1.4378391129983487E-2</v>
      </c>
      <c r="L332">
        <v>1.6348920019044682E-2</v>
      </c>
      <c r="M332" t="s">
        <v>1519</v>
      </c>
      <c r="N332">
        <v>4</v>
      </c>
    </row>
    <row r="333" spans="1:14" x14ac:dyDescent="0.25">
      <c r="A333">
        <v>54</v>
      </c>
      <c r="B333" t="s">
        <v>790</v>
      </c>
      <c r="C333" t="s">
        <v>1469</v>
      </c>
      <c r="D333">
        <v>1695.6</v>
      </c>
      <c r="E333">
        <v>0</v>
      </c>
      <c r="F333">
        <v>940.39</v>
      </c>
      <c r="G333">
        <v>728.5</v>
      </c>
      <c r="H333" s="25">
        <v>0.4296414248643548</v>
      </c>
      <c r="I333">
        <v>6.58</v>
      </c>
      <c r="J333">
        <v>20.13</v>
      </c>
      <c r="K333" s="25">
        <v>1.1871903750884642E-2</v>
      </c>
      <c r="L333">
        <v>2.1406012399111007E-2</v>
      </c>
      <c r="M333" t="s">
        <v>1519</v>
      </c>
      <c r="N333">
        <v>4</v>
      </c>
    </row>
    <row r="334" spans="1:14" x14ac:dyDescent="0.25">
      <c r="A334">
        <v>55</v>
      </c>
      <c r="B334" t="s">
        <v>790</v>
      </c>
      <c r="C334" t="s">
        <v>1471</v>
      </c>
      <c r="D334">
        <v>1695.6</v>
      </c>
      <c r="E334">
        <v>0</v>
      </c>
      <c r="F334">
        <v>1491.18</v>
      </c>
      <c r="G334">
        <v>169.56</v>
      </c>
      <c r="H334" s="25">
        <v>0.1</v>
      </c>
      <c r="I334">
        <v>10.44</v>
      </c>
      <c r="J334">
        <v>24.42</v>
      </c>
      <c r="K334" s="25">
        <v>1.440198159943383E-2</v>
      </c>
      <c r="L334">
        <v>1.6376292600490887E-2</v>
      </c>
      <c r="M334" t="s">
        <v>1519</v>
      </c>
      <c r="N334">
        <v>4</v>
      </c>
    </row>
    <row r="335" spans="1:14" x14ac:dyDescent="0.25">
      <c r="A335">
        <v>56</v>
      </c>
      <c r="B335" t="s">
        <v>790</v>
      </c>
      <c r="C335" t="s">
        <v>1473</v>
      </c>
      <c r="D335">
        <v>1695.6</v>
      </c>
      <c r="E335">
        <v>0</v>
      </c>
      <c r="F335">
        <v>1491</v>
      </c>
      <c r="G335">
        <v>169.56</v>
      </c>
      <c r="H335" s="25">
        <v>0.1</v>
      </c>
      <c r="I335">
        <v>10.44</v>
      </c>
      <c r="J335">
        <v>24.6</v>
      </c>
      <c r="K335" s="25">
        <v>1.4508138711960369E-2</v>
      </c>
      <c r="L335">
        <v>1.6498993963782696E-2</v>
      </c>
      <c r="M335" t="s">
        <v>1519</v>
      </c>
      <c r="N335">
        <v>4</v>
      </c>
    </row>
    <row r="336" spans="1:14" x14ac:dyDescent="0.25">
      <c r="A336">
        <v>57</v>
      </c>
      <c r="B336" t="s">
        <v>790</v>
      </c>
      <c r="C336" t="s">
        <v>1475</v>
      </c>
      <c r="D336">
        <v>1695.6</v>
      </c>
      <c r="E336">
        <v>0</v>
      </c>
      <c r="F336">
        <v>313.51</v>
      </c>
      <c r="G336">
        <v>1373.29</v>
      </c>
      <c r="H336" s="25">
        <v>0.80991389478650633</v>
      </c>
      <c r="I336">
        <v>2.19</v>
      </c>
      <c r="J336">
        <v>6.61</v>
      </c>
      <c r="K336" s="25">
        <v>3.898325076669026E-3</v>
      </c>
      <c r="L336">
        <v>2.1083856974259196E-2</v>
      </c>
      <c r="M336" t="s">
        <v>1519</v>
      </c>
      <c r="N336">
        <v>4</v>
      </c>
    </row>
    <row r="337" spans="1:14" x14ac:dyDescent="0.25">
      <c r="A337">
        <v>58</v>
      </c>
      <c r="B337" t="s">
        <v>791</v>
      </c>
      <c r="C337" t="s">
        <v>1477</v>
      </c>
      <c r="D337">
        <v>3014.4</v>
      </c>
      <c r="E337">
        <v>0</v>
      </c>
      <c r="F337">
        <v>2873.98</v>
      </c>
      <c r="G337">
        <v>0</v>
      </c>
      <c r="H337" s="25">
        <v>0</v>
      </c>
      <c r="I337">
        <v>20.12</v>
      </c>
      <c r="J337">
        <v>120.3</v>
      </c>
      <c r="K337" s="25">
        <v>3.9908439490445854E-2</v>
      </c>
      <c r="L337">
        <v>4.1858328867980986E-2</v>
      </c>
      <c r="M337" t="s">
        <v>1519</v>
      </c>
      <c r="N337">
        <v>4</v>
      </c>
    </row>
    <row r="338" spans="1:14" x14ac:dyDescent="0.25">
      <c r="A338">
        <v>59</v>
      </c>
      <c r="B338" t="s">
        <v>791</v>
      </c>
      <c r="C338" t="s">
        <v>1479</v>
      </c>
      <c r="D338">
        <v>3014.4</v>
      </c>
      <c r="E338">
        <v>0</v>
      </c>
      <c r="F338">
        <v>2899.83</v>
      </c>
      <c r="G338">
        <v>0</v>
      </c>
      <c r="H338" s="25">
        <v>0</v>
      </c>
      <c r="I338">
        <v>20.3</v>
      </c>
      <c r="J338">
        <v>94.27</v>
      </c>
      <c r="K338" s="25">
        <v>3.1273221868365175E-2</v>
      </c>
      <c r="L338">
        <v>3.2508802240131321E-2</v>
      </c>
      <c r="M338" t="s">
        <v>1519</v>
      </c>
      <c r="N338">
        <v>4</v>
      </c>
    </row>
    <row r="339" spans="1:14" x14ac:dyDescent="0.25">
      <c r="A339">
        <v>60</v>
      </c>
      <c r="B339" t="s">
        <v>791</v>
      </c>
      <c r="C339" t="s">
        <v>1481</v>
      </c>
      <c r="D339">
        <v>0</v>
      </c>
      <c r="E339">
        <v>1244.81</v>
      </c>
      <c r="F339">
        <v>275.22000000000003</v>
      </c>
      <c r="G339">
        <v>910.98</v>
      </c>
      <c r="H339" s="25">
        <v>0.73182252713265483</v>
      </c>
      <c r="I339">
        <v>1.93</v>
      </c>
      <c r="J339">
        <v>56.68</v>
      </c>
      <c r="K339" s="25">
        <v>4.553305323704019E-2</v>
      </c>
      <c r="L339">
        <v>0.20594433544073829</v>
      </c>
      <c r="M339" t="s">
        <v>1519</v>
      </c>
      <c r="N339">
        <v>4</v>
      </c>
    </row>
    <row r="340" spans="1:14" x14ac:dyDescent="0.25">
      <c r="A340">
        <v>61</v>
      </c>
      <c r="B340" t="s">
        <v>791</v>
      </c>
      <c r="C340" t="s">
        <v>1484</v>
      </c>
      <c r="D340">
        <v>3014.4</v>
      </c>
      <c r="E340">
        <v>0</v>
      </c>
      <c r="F340">
        <v>275.05</v>
      </c>
      <c r="G340">
        <v>2720.33</v>
      </c>
      <c r="H340" s="25">
        <v>0.90244493099787682</v>
      </c>
      <c r="I340">
        <v>1.93</v>
      </c>
      <c r="J340">
        <v>17.09</v>
      </c>
      <c r="K340" s="25">
        <v>5.6694532908704879E-3</v>
      </c>
      <c r="L340">
        <v>6.2134157425922557E-2</v>
      </c>
      <c r="M340" t="s">
        <v>1519</v>
      </c>
      <c r="N340">
        <v>4</v>
      </c>
    </row>
    <row r="341" spans="1:14" x14ac:dyDescent="0.25">
      <c r="A341">
        <v>62</v>
      </c>
      <c r="B341" t="s">
        <v>792</v>
      </c>
      <c r="C341" t="s">
        <v>1486</v>
      </c>
      <c r="D341">
        <v>3768</v>
      </c>
      <c r="E341">
        <v>0</v>
      </c>
      <c r="F341">
        <v>3005.2</v>
      </c>
      <c r="G341">
        <v>371.41</v>
      </c>
      <c r="H341" s="25">
        <v>9.856953290870489E-2</v>
      </c>
      <c r="I341">
        <v>21.04</v>
      </c>
      <c r="J341">
        <v>370.35</v>
      </c>
      <c r="K341" s="25">
        <v>9.8288216560509567E-2</v>
      </c>
      <c r="L341">
        <v>0.12323639025688808</v>
      </c>
      <c r="M341" t="s">
        <v>1519</v>
      </c>
      <c r="N341">
        <v>4</v>
      </c>
    </row>
    <row r="342" spans="1:14" x14ac:dyDescent="0.25">
      <c r="A342">
        <v>63</v>
      </c>
      <c r="B342" t="s">
        <v>792</v>
      </c>
      <c r="C342" t="s">
        <v>1489</v>
      </c>
      <c r="D342">
        <v>0</v>
      </c>
      <c r="E342">
        <v>190.54</v>
      </c>
      <c r="F342">
        <v>156.96</v>
      </c>
      <c r="G342">
        <v>0</v>
      </c>
      <c r="H342" s="25">
        <v>0</v>
      </c>
      <c r="I342">
        <v>1.1000000000000001</v>
      </c>
      <c r="J342">
        <v>32.479999999999997</v>
      </c>
      <c r="K342" s="25">
        <v>0.17046289493019837</v>
      </c>
      <c r="L342">
        <v>0.20693170234454636</v>
      </c>
      <c r="M342" t="s">
        <v>1519</v>
      </c>
      <c r="N342">
        <v>4</v>
      </c>
    </row>
    <row r="343" spans="1:14" x14ac:dyDescent="0.25">
      <c r="A343">
        <v>64</v>
      </c>
      <c r="B343" t="s">
        <v>792</v>
      </c>
      <c r="C343" t="s">
        <v>1493</v>
      </c>
      <c r="D343">
        <v>0</v>
      </c>
      <c r="E343">
        <v>84.26</v>
      </c>
      <c r="F343">
        <v>66.849999999999994</v>
      </c>
      <c r="G343">
        <v>0</v>
      </c>
      <c r="H343" s="25">
        <v>0</v>
      </c>
      <c r="I343">
        <v>0.47</v>
      </c>
      <c r="J343">
        <v>16.940000000000001</v>
      </c>
      <c r="K343" s="25">
        <v>0.20104438642297651</v>
      </c>
      <c r="L343">
        <v>0.25340314136125658</v>
      </c>
      <c r="M343" t="s">
        <v>1519</v>
      </c>
      <c r="N343">
        <v>4</v>
      </c>
    </row>
    <row r="344" spans="1:14" x14ac:dyDescent="0.25">
      <c r="A344">
        <v>65</v>
      </c>
      <c r="B344" t="s">
        <v>793</v>
      </c>
      <c r="C344" t="s">
        <v>1496</v>
      </c>
      <c r="D344">
        <v>0</v>
      </c>
      <c r="E344">
        <v>4710</v>
      </c>
      <c r="F344">
        <v>1779.88</v>
      </c>
      <c r="G344">
        <v>2653.21</v>
      </c>
      <c r="H344" s="25">
        <v>0.5633142250530786</v>
      </c>
      <c r="I344">
        <v>12.46</v>
      </c>
      <c r="J344">
        <v>264.45</v>
      </c>
      <c r="K344" s="25">
        <v>5.614649681528662E-2</v>
      </c>
      <c r="L344">
        <v>0.14857743218643951</v>
      </c>
      <c r="M344" t="s">
        <v>1519</v>
      </c>
      <c r="N344">
        <v>4</v>
      </c>
    </row>
    <row r="345" spans="1:14" x14ac:dyDescent="0.25">
      <c r="A345">
        <v>66</v>
      </c>
      <c r="B345" t="s">
        <v>793</v>
      </c>
      <c r="C345" t="s">
        <v>1499</v>
      </c>
      <c r="D345">
        <v>0</v>
      </c>
      <c r="E345">
        <v>813.1</v>
      </c>
      <c r="F345">
        <v>741.86</v>
      </c>
      <c r="G345">
        <v>0</v>
      </c>
      <c r="H345" s="25">
        <v>0</v>
      </c>
      <c r="I345">
        <v>5.19</v>
      </c>
      <c r="J345">
        <v>66.05</v>
      </c>
      <c r="K345" s="25">
        <v>8.1232320747755493E-2</v>
      </c>
      <c r="L345">
        <v>8.9032971180546192E-2</v>
      </c>
      <c r="M345" t="s">
        <v>1519</v>
      </c>
      <c r="N345">
        <v>4</v>
      </c>
    </row>
    <row r="346" spans="1:14" x14ac:dyDescent="0.25">
      <c r="A346">
        <v>67</v>
      </c>
      <c r="B346" t="s">
        <v>794</v>
      </c>
      <c r="C346" t="s">
        <v>1503</v>
      </c>
      <c r="D346">
        <v>0</v>
      </c>
      <c r="E346">
        <v>482.39</v>
      </c>
      <c r="F346">
        <v>409.42</v>
      </c>
      <c r="G346">
        <v>0</v>
      </c>
      <c r="H346" s="25">
        <v>0</v>
      </c>
      <c r="I346">
        <v>2.87</v>
      </c>
      <c r="J346">
        <v>70.099999999999994</v>
      </c>
      <c r="K346" s="25">
        <v>0.14531810360911296</v>
      </c>
      <c r="L346">
        <v>0.17121782033120023</v>
      </c>
      <c r="M346" t="s">
        <v>1519</v>
      </c>
      <c r="N346">
        <v>4</v>
      </c>
    </row>
    <row r="347" spans="1:14" x14ac:dyDescent="0.25">
      <c r="A347">
        <v>68</v>
      </c>
      <c r="B347" t="s">
        <v>794</v>
      </c>
      <c r="C347" t="s">
        <v>1506</v>
      </c>
      <c r="D347">
        <v>5652</v>
      </c>
      <c r="E347">
        <v>0</v>
      </c>
      <c r="F347">
        <v>1042.27</v>
      </c>
      <c r="G347">
        <v>4428.91</v>
      </c>
      <c r="H347" s="25">
        <v>0.78360049539985843</v>
      </c>
      <c r="I347">
        <v>7.3</v>
      </c>
      <c r="J347">
        <v>173.52</v>
      </c>
      <c r="K347" s="25">
        <v>3.070063694267516E-2</v>
      </c>
      <c r="L347">
        <v>0.16648277317777543</v>
      </c>
      <c r="M347" t="s">
        <v>1519</v>
      </c>
      <c r="N347">
        <v>4</v>
      </c>
    </row>
    <row r="348" spans="1:14" x14ac:dyDescent="0.25">
      <c r="A348">
        <v>69</v>
      </c>
      <c r="B348" t="s">
        <v>795</v>
      </c>
      <c r="C348" t="s">
        <v>1509</v>
      </c>
      <c r="D348">
        <v>0</v>
      </c>
      <c r="E348">
        <v>732.5</v>
      </c>
      <c r="F348">
        <v>296.07</v>
      </c>
      <c r="G348">
        <v>258.26</v>
      </c>
      <c r="H348" s="25">
        <v>0.35257337883959045</v>
      </c>
      <c r="I348">
        <v>2.0699999999999998</v>
      </c>
      <c r="J348">
        <v>176.1</v>
      </c>
      <c r="K348" s="25">
        <v>0.24040955631399316</v>
      </c>
      <c r="L348">
        <v>0.59479177221602997</v>
      </c>
      <c r="M348" t="s">
        <v>1519</v>
      </c>
      <c r="N348">
        <v>4</v>
      </c>
    </row>
    <row r="349" spans="1:14" x14ac:dyDescent="0.25">
      <c r="A349">
        <v>70</v>
      </c>
      <c r="B349" t="s">
        <v>795</v>
      </c>
      <c r="C349" t="s">
        <v>1512</v>
      </c>
      <c r="D349">
        <v>0</v>
      </c>
      <c r="E349">
        <v>2441.66</v>
      </c>
      <c r="F349">
        <v>1776.15</v>
      </c>
      <c r="G349">
        <v>0</v>
      </c>
      <c r="H349" s="25">
        <v>0</v>
      </c>
      <c r="I349">
        <v>12.43</v>
      </c>
      <c r="J349">
        <v>653.08000000000004</v>
      </c>
      <c r="K349" s="25">
        <v>0.26747376784646515</v>
      </c>
      <c r="L349">
        <v>0.36769416997438281</v>
      </c>
      <c r="M349" t="s">
        <v>1519</v>
      </c>
      <c r="N349">
        <v>4</v>
      </c>
    </row>
    <row r="350" spans="1:14" x14ac:dyDescent="0.25">
      <c r="A350">
        <v>71</v>
      </c>
      <c r="B350" t="s">
        <v>795</v>
      </c>
      <c r="C350" t="s">
        <v>1516</v>
      </c>
      <c r="D350">
        <v>0</v>
      </c>
      <c r="E350">
        <v>1311.26</v>
      </c>
      <c r="F350">
        <v>464.6</v>
      </c>
      <c r="G350">
        <v>774.8</v>
      </c>
      <c r="H350" s="25">
        <v>0.5908820523771029</v>
      </c>
      <c r="I350">
        <v>3.25</v>
      </c>
      <c r="J350">
        <v>68.61</v>
      </c>
      <c r="K350" s="25">
        <v>5.2323719170873813E-2</v>
      </c>
      <c r="L350">
        <v>0.14767541971588463</v>
      </c>
      <c r="M350" t="s">
        <v>1519</v>
      </c>
      <c r="N350">
        <v>4</v>
      </c>
    </row>
  </sheetData>
  <autoFilter ref="A12:Q350" xr:uid="{F7BCD664-A184-425B-B24F-86B60DC2408E}">
    <filterColumn colId="13">
      <filters>
        <filter val="4"/>
      </filters>
    </filterColumn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A3EFD-338D-48DC-966D-C4143AC72DEB}">
  <sheetPr filterMode="1"/>
  <dimension ref="A1:AD2581"/>
  <sheetViews>
    <sheetView workbookViewId="0">
      <pane ySplit="10" topLeftCell="A11" activePane="bottomLeft" state="frozenSplit"/>
      <selection pane="bottomLeft" activeCell="L3" sqref="L3"/>
    </sheetView>
  </sheetViews>
  <sheetFormatPr defaultRowHeight="15" x14ac:dyDescent="0.25"/>
  <cols>
    <col min="1" max="1" width="30.5703125" bestFit="1" customWidth="1"/>
    <col min="2" max="2" width="14.28515625" bestFit="1" customWidth="1"/>
    <col min="3" max="3" width="14" bestFit="1" customWidth="1"/>
    <col min="4" max="4" width="6.5703125" bestFit="1" customWidth="1"/>
    <col min="5" max="5" width="7" bestFit="1" customWidth="1"/>
    <col min="6" max="6" width="10.140625" bestFit="1" customWidth="1"/>
    <col min="7" max="7" width="5.5703125" bestFit="1" customWidth="1"/>
    <col min="8" max="8" width="7.7109375" bestFit="1" customWidth="1"/>
    <col min="9" max="9" width="11.42578125" bestFit="1" customWidth="1"/>
    <col min="10" max="10" width="7.5703125" bestFit="1" customWidth="1"/>
    <col min="11" max="11" width="8.85546875" bestFit="1" customWidth="1"/>
    <col min="12" max="12" width="7.28515625" bestFit="1" customWidth="1"/>
    <col min="13" max="13" width="14" bestFit="1" customWidth="1"/>
    <col min="14" max="14" width="5.85546875" bestFit="1" customWidth="1"/>
    <col min="15" max="15" width="5.7109375" bestFit="1" customWidth="1"/>
    <col min="16" max="16" width="5.42578125" bestFit="1" customWidth="1"/>
    <col min="17" max="17" width="7.42578125" bestFit="1" customWidth="1"/>
    <col min="18" max="18" width="7.85546875" bestFit="1" customWidth="1"/>
    <col min="19" max="19" width="6.28515625" bestFit="1" customWidth="1"/>
    <col min="21" max="21" width="5.5703125" bestFit="1" customWidth="1"/>
    <col min="22" max="22" width="5.140625" bestFit="1" customWidth="1"/>
    <col min="23" max="23" width="7.7109375" bestFit="1" customWidth="1"/>
    <col min="24" max="24" width="10.7109375" bestFit="1" customWidth="1"/>
    <col min="25" max="25" width="5.42578125" bestFit="1" customWidth="1"/>
    <col min="26" max="27" width="6.42578125" bestFit="1" customWidth="1"/>
    <col min="28" max="28" width="7" bestFit="1" customWidth="1"/>
    <col min="29" max="29" width="39" bestFit="1" customWidth="1"/>
    <col min="30" max="30" width="41.5703125" bestFit="1" customWidth="1"/>
  </cols>
  <sheetData>
    <row r="1" spans="1:30" ht="21" x14ac:dyDescent="0.25">
      <c r="A1" s="18" t="s">
        <v>807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 spans="1:30" ht="2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</row>
    <row r="3" spans="1:30" x14ac:dyDescent="0.25">
      <c r="A3" s="2" t="s">
        <v>808</v>
      </c>
      <c r="C3" s="2" t="str">
        <f>IF(LEN('List chi tiet'!$B$2)=0,"",'List chi tiet'!$B$2)</f>
        <v>TCTN.DNS.26.004 ĐƯỜNG CAO TỐC VIN</v>
      </c>
    </row>
    <row r="4" spans="1:30" x14ac:dyDescent="0.25">
      <c r="A4" s="2" t="s">
        <v>809</v>
      </c>
      <c r="C4" s="11" t="s">
        <v>747</v>
      </c>
    </row>
    <row r="5" spans="1:30" x14ac:dyDescent="0.25">
      <c r="A5" s="2" t="s">
        <v>810</v>
      </c>
      <c r="C5" s="2" t="str">
        <f>IF(LEN($B$4)=0,"",$B$4)</f>
        <v/>
      </c>
    </row>
    <row r="6" spans="1:30" x14ac:dyDescent="0.25">
      <c r="A6" s="2" t="s">
        <v>811</v>
      </c>
      <c r="C6" s="2" t="s">
        <v>812</v>
      </c>
    </row>
    <row r="7" spans="1:30" x14ac:dyDescent="0.25">
      <c r="A7" s="2" t="s">
        <v>813</v>
      </c>
      <c r="C7" s="2"/>
    </row>
    <row r="8" spans="1:30" x14ac:dyDescent="0.25">
      <c r="A8" s="2" t="s">
        <v>814</v>
      </c>
      <c r="C8" s="2"/>
      <c r="H8" s="2">
        <f ca="1">SUMPRODUCT(SUBTOTAL(109, OFFSET(H11, ROW(H11:H99999)-ROW(H11), 0)), (B11:B99999&lt;&gt;"") * (B11:B99999&lt;&gt;0))</f>
        <v>2986</v>
      </c>
      <c r="I8" s="2">
        <f ca="1">SUMPRODUCT(SUBTOTAL(109, OFFSET(I11, ROW(I11:I99999)-ROW(I11), 0)), (B11:B99999&lt;&gt;"") * (B11:B99999&lt;&gt;0))</f>
        <v>64604.880000000048</v>
      </c>
      <c r="P8">
        <f ca="1">VALUE(SUMPRODUCT(SUBTOTAL(103,OFFSET(B11,ROW(B11:B99692)-MIN(ROW(B11:B99692)),,1)),--(B11:B99692&lt;&gt;"")))</f>
        <v>518</v>
      </c>
    </row>
    <row r="9" spans="1:30" x14ac:dyDescent="0.25">
      <c r="A9" s="2" t="s">
        <v>815</v>
      </c>
      <c r="C9" s="2"/>
    </row>
    <row r="10" spans="1:30" ht="45" customHeight="1" x14ac:dyDescent="0.25">
      <c r="A10" s="19" t="s">
        <v>816</v>
      </c>
      <c r="B10" s="19" t="s">
        <v>817</v>
      </c>
      <c r="C10" s="19" t="s">
        <v>818</v>
      </c>
      <c r="D10" s="19" t="s">
        <v>819</v>
      </c>
      <c r="E10" s="19" t="s">
        <v>820</v>
      </c>
      <c r="F10" s="19" t="s">
        <v>821</v>
      </c>
      <c r="G10" s="19" t="s">
        <v>822</v>
      </c>
      <c r="H10" s="19" t="s">
        <v>823</v>
      </c>
      <c r="I10" s="19" t="s">
        <v>824</v>
      </c>
      <c r="J10" s="19" t="s">
        <v>825</v>
      </c>
      <c r="K10" s="19" t="s">
        <v>826</v>
      </c>
      <c r="L10" s="19" t="s">
        <v>827</v>
      </c>
      <c r="M10" s="19" t="s">
        <v>782</v>
      </c>
      <c r="N10" s="19" t="s">
        <v>828</v>
      </c>
      <c r="O10" s="19" t="s">
        <v>829</v>
      </c>
      <c r="P10" s="19" t="s">
        <v>29</v>
      </c>
      <c r="Q10" s="19" t="s">
        <v>830</v>
      </c>
      <c r="R10" s="19" t="s">
        <v>831</v>
      </c>
      <c r="S10" s="19" t="s">
        <v>832</v>
      </c>
      <c r="T10" s="19" t="s">
        <v>833</v>
      </c>
      <c r="U10" s="19" t="s">
        <v>834</v>
      </c>
      <c r="V10" s="19" t="s">
        <v>835</v>
      </c>
      <c r="W10" s="19" t="s">
        <v>836</v>
      </c>
      <c r="X10" s="19" t="s">
        <v>837</v>
      </c>
      <c r="Y10" s="19" t="s">
        <v>22</v>
      </c>
      <c r="Z10" s="19" t="s">
        <v>23</v>
      </c>
      <c r="AA10" s="19" t="s">
        <v>24</v>
      </c>
      <c r="AB10" s="19" t="s">
        <v>25</v>
      </c>
      <c r="AC10" s="19" t="s">
        <v>838</v>
      </c>
      <c r="AD10" s="19" t="s">
        <v>30</v>
      </c>
    </row>
    <row r="11" spans="1:30" hidden="1" x14ac:dyDescent="0.25">
      <c r="A11" s="5">
        <v>1</v>
      </c>
      <c r="B11" s="5" t="s">
        <v>32</v>
      </c>
      <c r="C11" s="5">
        <v>2</v>
      </c>
      <c r="D11" s="5">
        <v>1200</v>
      </c>
      <c r="E11" s="5">
        <v>1800</v>
      </c>
      <c r="F11" s="5" t="s">
        <v>33</v>
      </c>
      <c r="G11" s="5" t="s">
        <v>746</v>
      </c>
      <c r="H11" s="5">
        <v>1</v>
      </c>
      <c r="I11" s="5">
        <v>33.909999999999997</v>
      </c>
      <c r="J11" s="5" t="s">
        <v>839</v>
      </c>
      <c r="K11" s="5" t="s">
        <v>812</v>
      </c>
      <c r="L11" s="5"/>
      <c r="M11" s="5" t="s">
        <v>747</v>
      </c>
      <c r="N11" s="5"/>
      <c r="O11" s="20"/>
      <c r="P11" s="20" t="str">
        <f t="shared" ref="P11:P74" si="0">IF(LEN($B$4)=0,"",$B$4)</f>
        <v/>
      </c>
      <c r="Q11" s="20"/>
      <c r="R11" s="20" t="s">
        <v>81</v>
      </c>
      <c r="S11" s="20"/>
      <c r="T11" s="20"/>
      <c r="U11" s="20"/>
      <c r="V11" s="20"/>
      <c r="W11" s="20">
        <v>1</v>
      </c>
      <c r="X11" s="21" t="s">
        <v>37</v>
      </c>
      <c r="Y11" s="5"/>
      <c r="Z11" s="5" t="s">
        <v>38</v>
      </c>
      <c r="AA11" s="5"/>
      <c r="AB11" s="5" t="str">
        <f>IF(LEN('List chi tiet'!$B$3)=0,"",'List chi tiet'!$B$3)</f>
        <v>TCTN.DNS-26004</v>
      </c>
      <c r="AC11" s="5" t="s">
        <v>36</v>
      </c>
      <c r="AD11" s="5" t="s">
        <v>39</v>
      </c>
    </row>
    <row r="12" spans="1:30" hidden="1" x14ac:dyDescent="0.25">
      <c r="A12" s="5">
        <v>2</v>
      </c>
      <c r="B12" s="5" t="s">
        <v>41</v>
      </c>
      <c r="C12" s="5">
        <v>2</v>
      </c>
      <c r="D12" s="5">
        <v>1200</v>
      </c>
      <c r="E12" s="5">
        <v>1800</v>
      </c>
      <c r="F12" s="5" t="s">
        <v>33</v>
      </c>
      <c r="G12" s="5" t="s">
        <v>746</v>
      </c>
      <c r="H12" s="5">
        <v>1</v>
      </c>
      <c r="I12" s="5">
        <v>33.909999999999997</v>
      </c>
      <c r="J12" s="5" t="s">
        <v>839</v>
      </c>
      <c r="K12" s="5" t="s">
        <v>812</v>
      </c>
      <c r="L12" s="5"/>
      <c r="M12" s="5" t="s">
        <v>747</v>
      </c>
      <c r="N12" s="5"/>
      <c r="O12" s="20"/>
      <c r="P12" s="20" t="str">
        <f t="shared" si="0"/>
        <v/>
      </c>
      <c r="Q12" s="20"/>
      <c r="R12" s="20" t="s">
        <v>81</v>
      </c>
      <c r="S12" s="20"/>
      <c r="T12" s="20"/>
      <c r="U12" s="20"/>
      <c r="V12" s="20"/>
      <c r="W12" s="20">
        <v>1</v>
      </c>
      <c r="X12" s="21" t="s">
        <v>37</v>
      </c>
      <c r="Y12" s="5"/>
      <c r="Z12" s="5" t="s">
        <v>38</v>
      </c>
      <c r="AA12" s="5"/>
      <c r="AB12" s="5" t="str">
        <f>IF(LEN('List chi tiet'!$B$3)=0,"",'List chi tiet'!$B$3)</f>
        <v>TCTN.DNS-26004</v>
      </c>
      <c r="AC12" s="5" t="s">
        <v>36</v>
      </c>
      <c r="AD12" s="5" t="s">
        <v>39</v>
      </c>
    </row>
    <row r="13" spans="1:30" hidden="1" x14ac:dyDescent="0.25">
      <c r="A13" s="5">
        <v>3</v>
      </c>
      <c r="B13" s="5" t="s">
        <v>42</v>
      </c>
      <c r="C13" s="5">
        <v>2</v>
      </c>
      <c r="D13" s="5">
        <v>1300</v>
      </c>
      <c r="E13" s="5">
        <v>4000</v>
      </c>
      <c r="F13" s="5" t="s">
        <v>33</v>
      </c>
      <c r="G13" s="5" t="s">
        <v>746</v>
      </c>
      <c r="H13" s="5">
        <v>1</v>
      </c>
      <c r="I13" s="5">
        <v>81.64</v>
      </c>
      <c r="J13" s="5" t="s">
        <v>839</v>
      </c>
      <c r="K13" s="5" t="s">
        <v>812</v>
      </c>
      <c r="L13" s="5"/>
      <c r="M13" s="5" t="s">
        <v>747</v>
      </c>
      <c r="N13" s="5"/>
      <c r="O13" s="20"/>
      <c r="P13" s="20" t="str">
        <f t="shared" si="0"/>
        <v/>
      </c>
      <c r="Q13" s="20"/>
      <c r="R13" s="20" t="s">
        <v>81</v>
      </c>
      <c r="S13" s="20"/>
      <c r="T13" s="20"/>
      <c r="U13" s="20"/>
      <c r="V13" s="20"/>
      <c r="W13" s="20">
        <v>1</v>
      </c>
      <c r="X13" s="21" t="s">
        <v>37</v>
      </c>
      <c r="Y13" s="5"/>
      <c r="Z13" s="5" t="s">
        <v>38</v>
      </c>
      <c r="AA13" s="5"/>
      <c r="AB13" s="5" t="str">
        <f>IF(LEN('List chi tiet'!$B$3)=0,"",'List chi tiet'!$B$3)</f>
        <v>TCTN.DNS-26004</v>
      </c>
      <c r="AC13" s="5" t="s">
        <v>43</v>
      </c>
      <c r="AD13" s="5" t="s">
        <v>39</v>
      </c>
    </row>
    <row r="14" spans="1:30" hidden="1" x14ac:dyDescent="0.25">
      <c r="A14" s="5">
        <v>4</v>
      </c>
      <c r="B14" s="5" t="s">
        <v>45</v>
      </c>
      <c r="C14" s="5">
        <v>2</v>
      </c>
      <c r="D14" s="5">
        <v>1300</v>
      </c>
      <c r="E14" s="5">
        <v>4000</v>
      </c>
      <c r="F14" s="5" t="s">
        <v>33</v>
      </c>
      <c r="G14" s="5" t="s">
        <v>746</v>
      </c>
      <c r="H14" s="5">
        <v>1</v>
      </c>
      <c r="I14" s="5">
        <v>81.64</v>
      </c>
      <c r="J14" s="5" t="s">
        <v>839</v>
      </c>
      <c r="K14" s="5" t="s">
        <v>812</v>
      </c>
      <c r="L14" s="5"/>
      <c r="M14" s="5" t="s">
        <v>747</v>
      </c>
      <c r="N14" s="5"/>
      <c r="O14" s="20"/>
      <c r="P14" s="20" t="str">
        <f t="shared" si="0"/>
        <v/>
      </c>
      <c r="Q14" s="20"/>
      <c r="R14" s="20" t="s">
        <v>81</v>
      </c>
      <c r="S14" s="20"/>
      <c r="T14" s="20"/>
      <c r="U14" s="20"/>
      <c r="V14" s="20"/>
      <c r="W14" s="20">
        <v>1</v>
      </c>
      <c r="X14" s="21" t="s">
        <v>37</v>
      </c>
      <c r="Y14" s="5"/>
      <c r="Z14" s="5" t="s">
        <v>38</v>
      </c>
      <c r="AA14" s="5"/>
      <c r="AB14" s="5" t="str">
        <f>IF(LEN('List chi tiet'!$B$3)=0,"",'List chi tiet'!$B$3)</f>
        <v>TCTN.DNS-26004</v>
      </c>
      <c r="AC14" s="5" t="s">
        <v>46</v>
      </c>
      <c r="AD14" s="5" t="s">
        <v>39</v>
      </c>
    </row>
    <row r="15" spans="1:30" hidden="1" x14ac:dyDescent="0.25">
      <c r="A15" s="5">
        <v>5</v>
      </c>
      <c r="B15" s="5" t="s">
        <v>48</v>
      </c>
      <c r="C15" s="5">
        <v>2</v>
      </c>
      <c r="D15" s="5">
        <v>1060</v>
      </c>
      <c r="E15" s="5">
        <v>4000</v>
      </c>
      <c r="F15" s="5" t="s">
        <v>33</v>
      </c>
      <c r="G15" s="5" t="s">
        <v>746</v>
      </c>
      <c r="H15" s="5">
        <v>1</v>
      </c>
      <c r="I15" s="5">
        <v>66.569999999999993</v>
      </c>
      <c r="J15" s="5" t="s">
        <v>839</v>
      </c>
      <c r="K15" s="5" t="s">
        <v>812</v>
      </c>
      <c r="L15" s="5"/>
      <c r="M15" s="5" t="s">
        <v>747</v>
      </c>
      <c r="N15" s="5"/>
      <c r="O15" s="20"/>
      <c r="P15" s="20" t="str">
        <f t="shared" si="0"/>
        <v/>
      </c>
      <c r="Q15" s="20"/>
      <c r="R15" s="20" t="s">
        <v>81</v>
      </c>
      <c r="S15" s="20"/>
      <c r="T15" s="20"/>
      <c r="U15" s="20"/>
      <c r="V15" s="20"/>
      <c r="W15" s="20">
        <v>1</v>
      </c>
      <c r="X15" s="21" t="s">
        <v>37</v>
      </c>
      <c r="Y15" s="5"/>
      <c r="Z15" s="5" t="s">
        <v>38</v>
      </c>
      <c r="AA15" s="5"/>
      <c r="AB15" s="5" t="str">
        <f>IF(LEN('List chi tiet'!$B$3)=0,"",'List chi tiet'!$B$3)</f>
        <v>TCTN.DNS-26004</v>
      </c>
      <c r="AC15" s="5" t="s">
        <v>50</v>
      </c>
      <c r="AD15" s="5" t="s">
        <v>39</v>
      </c>
    </row>
    <row r="16" spans="1:30" hidden="1" x14ac:dyDescent="0.25">
      <c r="A16" s="5">
        <v>6</v>
      </c>
      <c r="B16" s="5" t="s">
        <v>52</v>
      </c>
      <c r="C16" s="5">
        <v>2</v>
      </c>
      <c r="D16" s="5">
        <v>1060</v>
      </c>
      <c r="E16" s="5">
        <v>4000</v>
      </c>
      <c r="F16" s="5" t="s">
        <v>33</v>
      </c>
      <c r="G16" s="5" t="s">
        <v>746</v>
      </c>
      <c r="H16" s="5">
        <v>1</v>
      </c>
      <c r="I16" s="5">
        <v>66.569999999999993</v>
      </c>
      <c r="J16" s="5" t="s">
        <v>839</v>
      </c>
      <c r="K16" s="5" t="s">
        <v>812</v>
      </c>
      <c r="L16" s="5"/>
      <c r="M16" s="5" t="s">
        <v>747</v>
      </c>
      <c r="N16" s="5"/>
      <c r="O16" s="20"/>
      <c r="P16" s="20" t="str">
        <f t="shared" si="0"/>
        <v/>
      </c>
      <c r="Q16" s="20"/>
      <c r="R16" s="20" t="s">
        <v>81</v>
      </c>
      <c r="S16" s="20"/>
      <c r="T16" s="20"/>
      <c r="U16" s="20"/>
      <c r="V16" s="20"/>
      <c r="W16" s="20">
        <v>1</v>
      </c>
      <c r="X16" s="21" t="s">
        <v>37</v>
      </c>
      <c r="Y16" s="5"/>
      <c r="Z16" s="5" t="s">
        <v>38</v>
      </c>
      <c r="AA16" s="5"/>
      <c r="AB16" s="5" t="str">
        <f>IF(LEN('List chi tiet'!$B$3)=0,"",'List chi tiet'!$B$3)</f>
        <v>TCTN.DNS-26004</v>
      </c>
      <c r="AC16" s="5" t="s">
        <v>53</v>
      </c>
      <c r="AD16" s="5" t="s">
        <v>39</v>
      </c>
    </row>
    <row r="17" spans="1:30" hidden="1" x14ac:dyDescent="0.25">
      <c r="A17" s="5">
        <v>7</v>
      </c>
      <c r="B17" s="5" t="s">
        <v>55</v>
      </c>
      <c r="C17" s="5">
        <v>2</v>
      </c>
      <c r="D17" s="5">
        <v>1060</v>
      </c>
      <c r="E17" s="5">
        <v>4000</v>
      </c>
      <c r="F17" s="5" t="s">
        <v>33</v>
      </c>
      <c r="G17" s="5" t="s">
        <v>746</v>
      </c>
      <c r="H17" s="5">
        <v>1</v>
      </c>
      <c r="I17" s="5">
        <v>66.569999999999993</v>
      </c>
      <c r="J17" s="5" t="s">
        <v>839</v>
      </c>
      <c r="K17" s="5" t="s">
        <v>812</v>
      </c>
      <c r="L17" s="5"/>
      <c r="M17" s="5" t="s">
        <v>747</v>
      </c>
      <c r="N17" s="5"/>
      <c r="O17" s="20"/>
      <c r="P17" s="20" t="str">
        <f t="shared" si="0"/>
        <v/>
      </c>
      <c r="Q17" s="20"/>
      <c r="R17" s="20" t="s">
        <v>81</v>
      </c>
      <c r="S17" s="20"/>
      <c r="T17" s="20"/>
      <c r="U17" s="20"/>
      <c r="V17" s="20"/>
      <c r="W17" s="20">
        <v>1</v>
      </c>
      <c r="X17" s="21" t="s">
        <v>37</v>
      </c>
      <c r="Y17" s="5"/>
      <c r="Z17" s="5" t="s">
        <v>38</v>
      </c>
      <c r="AA17" s="5"/>
      <c r="AB17" s="5" t="str">
        <f>IF(LEN('List chi tiet'!$B$3)=0,"",'List chi tiet'!$B$3)</f>
        <v>TCTN.DNS-26004</v>
      </c>
      <c r="AC17" s="5" t="s">
        <v>56</v>
      </c>
      <c r="AD17" s="5" t="s">
        <v>39</v>
      </c>
    </row>
    <row r="18" spans="1:30" hidden="1" x14ac:dyDescent="0.25">
      <c r="A18" s="5">
        <v>8</v>
      </c>
      <c r="B18" s="5" t="s">
        <v>58</v>
      </c>
      <c r="C18" s="5">
        <v>2</v>
      </c>
      <c r="D18" s="5">
        <v>1060</v>
      </c>
      <c r="E18" s="5">
        <v>4000</v>
      </c>
      <c r="F18" s="5" t="s">
        <v>33</v>
      </c>
      <c r="G18" s="5" t="s">
        <v>746</v>
      </c>
      <c r="H18" s="5">
        <v>1</v>
      </c>
      <c r="I18" s="5">
        <v>66.569999999999993</v>
      </c>
      <c r="J18" s="5" t="s">
        <v>839</v>
      </c>
      <c r="K18" s="5" t="s">
        <v>812</v>
      </c>
      <c r="L18" s="5"/>
      <c r="M18" s="5" t="s">
        <v>747</v>
      </c>
      <c r="N18" s="5"/>
      <c r="O18" s="20"/>
      <c r="P18" s="20" t="str">
        <f t="shared" si="0"/>
        <v/>
      </c>
      <c r="Q18" s="20"/>
      <c r="R18" s="20" t="s">
        <v>81</v>
      </c>
      <c r="S18" s="20"/>
      <c r="T18" s="20"/>
      <c r="U18" s="20"/>
      <c r="V18" s="20"/>
      <c r="W18" s="20">
        <v>1</v>
      </c>
      <c r="X18" s="21" t="s">
        <v>37</v>
      </c>
      <c r="Y18" s="5"/>
      <c r="Z18" s="5" t="s">
        <v>38</v>
      </c>
      <c r="AA18" s="5"/>
      <c r="AB18" s="5" t="str">
        <f>IF(LEN('List chi tiet'!$B$3)=0,"",'List chi tiet'!$B$3)</f>
        <v>TCTN.DNS-26004</v>
      </c>
      <c r="AC18" s="5" t="s">
        <v>59</v>
      </c>
      <c r="AD18" s="5" t="s">
        <v>39</v>
      </c>
    </row>
    <row r="19" spans="1:30" hidden="1" x14ac:dyDescent="0.25">
      <c r="A19" s="5">
        <v>9</v>
      </c>
      <c r="B19" s="5" t="s">
        <v>61</v>
      </c>
      <c r="C19" s="5">
        <v>2</v>
      </c>
      <c r="D19" s="5">
        <v>500</v>
      </c>
      <c r="E19" s="5">
        <v>4000</v>
      </c>
      <c r="F19" s="5" t="s">
        <v>33</v>
      </c>
      <c r="G19" s="5" t="s">
        <v>746</v>
      </c>
      <c r="H19" s="5">
        <v>1</v>
      </c>
      <c r="I19" s="5">
        <v>31.4</v>
      </c>
      <c r="J19" s="5" t="s">
        <v>839</v>
      </c>
      <c r="K19" s="5" t="s">
        <v>812</v>
      </c>
      <c r="L19" s="5"/>
      <c r="M19" s="5" t="s">
        <v>747</v>
      </c>
      <c r="N19" s="5"/>
      <c r="O19" s="20"/>
      <c r="P19" s="20" t="str">
        <f t="shared" si="0"/>
        <v/>
      </c>
      <c r="Q19" s="20"/>
      <c r="R19" s="20" t="s">
        <v>81</v>
      </c>
      <c r="S19" s="20"/>
      <c r="T19" s="20"/>
      <c r="U19" s="20"/>
      <c r="V19" s="20"/>
      <c r="W19" s="20">
        <v>1</v>
      </c>
      <c r="X19" s="21" t="s">
        <v>37</v>
      </c>
      <c r="Y19" s="5"/>
      <c r="Z19" s="5" t="s">
        <v>38</v>
      </c>
      <c r="AA19" s="5"/>
      <c r="AB19" s="5" t="str">
        <f>IF(LEN('List chi tiet'!$B$3)=0,"",'List chi tiet'!$B$3)</f>
        <v>TCTN.DNS-26004</v>
      </c>
      <c r="AC19" s="5" t="s">
        <v>63</v>
      </c>
      <c r="AD19" s="5" t="s">
        <v>39</v>
      </c>
    </row>
    <row r="20" spans="1:30" hidden="1" x14ac:dyDescent="0.25">
      <c r="A20" s="5">
        <v>10</v>
      </c>
      <c r="B20" s="5" t="s">
        <v>65</v>
      </c>
      <c r="C20" s="5">
        <v>2</v>
      </c>
      <c r="D20" s="5">
        <v>500</v>
      </c>
      <c r="E20" s="5">
        <v>4000</v>
      </c>
      <c r="F20" s="5" t="s">
        <v>33</v>
      </c>
      <c r="G20" s="5" t="s">
        <v>746</v>
      </c>
      <c r="H20" s="5">
        <v>1</v>
      </c>
      <c r="I20" s="5">
        <v>31.4</v>
      </c>
      <c r="J20" s="5" t="s">
        <v>839</v>
      </c>
      <c r="K20" s="5" t="s">
        <v>812</v>
      </c>
      <c r="L20" s="5"/>
      <c r="M20" s="5" t="s">
        <v>747</v>
      </c>
      <c r="N20" s="5"/>
      <c r="O20" s="20"/>
      <c r="P20" s="20" t="str">
        <f t="shared" si="0"/>
        <v/>
      </c>
      <c r="Q20" s="20"/>
      <c r="R20" s="20" t="s">
        <v>81</v>
      </c>
      <c r="S20" s="20"/>
      <c r="T20" s="20"/>
      <c r="U20" s="20"/>
      <c r="V20" s="20"/>
      <c r="W20" s="20">
        <v>1</v>
      </c>
      <c r="X20" s="21" t="s">
        <v>37</v>
      </c>
      <c r="Y20" s="5"/>
      <c r="Z20" s="5" t="s">
        <v>38</v>
      </c>
      <c r="AA20" s="5"/>
      <c r="AB20" s="5" t="str">
        <f>IF(LEN('List chi tiet'!$B$3)=0,"",'List chi tiet'!$B$3)</f>
        <v>TCTN.DNS-26004</v>
      </c>
      <c r="AC20" s="5" t="s">
        <v>63</v>
      </c>
      <c r="AD20" s="5" t="s">
        <v>39</v>
      </c>
    </row>
    <row r="21" spans="1:30" hidden="1" x14ac:dyDescent="0.25">
      <c r="A21" s="5">
        <v>11</v>
      </c>
      <c r="B21" s="5" t="s">
        <v>66</v>
      </c>
      <c r="C21" s="5">
        <v>2</v>
      </c>
      <c r="D21" s="5">
        <v>1060</v>
      </c>
      <c r="E21" s="5">
        <v>1200</v>
      </c>
      <c r="F21" s="5" t="s">
        <v>33</v>
      </c>
      <c r="G21" s="5" t="s">
        <v>746</v>
      </c>
      <c r="H21" s="5">
        <v>1</v>
      </c>
      <c r="I21" s="5">
        <v>19.97</v>
      </c>
      <c r="J21" s="5" t="s">
        <v>839</v>
      </c>
      <c r="K21" s="5" t="s">
        <v>812</v>
      </c>
      <c r="L21" s="5"/>
      <c r="M21" s="5" t="s">
        <v>747</v>
      </c>
      <c r="N21" s="5"/>
      <c r="O21" s="20"/>
      <c r="P21" s="20" t="str">
        <f t="shared" si="0"/>
        <v/>
      </c>
      <c r="Q21" s="20"/>
      <c r="R21" s="20" t="s">
        <v>81</v>
      </c>
      <c r="S21" s="20"/>
      <c r="T21" s="20"/>
      <c r="U21" s="20"/>
      <c r="V21" s="20"/>
      <c r="W21" s="20">
        <v>1</v>
      </c>
      <c r="X21" s="21" t="s">
        <v>37</v>
      </c>
      <c r="Y21" s="5"/>
      <c r="Z21" s="5" t="s">
        <v>38</v>
      </c>
      <c r="AA21" s="5"/>
      <c r="AB21" s="5" t="str">
        <f>IF(LEN('List chi tiet'!$B$3)=0,"",'List chi tiet'!$B$3)</f>
        <v>TCTN.DNS-26004</v>
      </c>
      <c r="AC21" s="5" t="s">
        <v>68</v>
      </c>
      <c r="AD21" s="5" t="s">
        <v>39</v>
      </c>
    </row>
    <row r="22" spans="1:30" hidden="1" x14ac:dyDescent="0.25">
      <c r="A22" s="5">
        <v>12</v>
      </c>
      <c r="B22" s="5" t="s">
        <v>70</v>
      </c>
      <c r="C22" s="5">
        <v>2</v>
      </c>
      <c r="D22" s="5">
        <v>500</v>
      </c>
      <c r="E22" s="5">
        <v>1800</v>
      </c>
      <c r="F22" s="5" t="s">
        <v>33</v>
      </c>
      <c r="G22" s="5" t="s">
        <v>746</v>
      </c>
      <c r="H22" s="5">
        <v>1</v>
      </c>
      <c r="I22" s="5">
        <v>14.13</v>
      </c>
      <c r="J22" s="5" t="s">
        <v>839</v>
      </c>
      <c r="K22" s="5" t="s">
        <v>812</v>
      </c>
      <c r="L22" s="5"/>
      <c r="M22" s="5" t="s">
        <v>747</v>
      </c>
      <c r="N22" s="5"/>
      <c r="O22" s="20"/>
      <c r="P22" s="20" t="str">
        <f t="shared" si="0"/>
        <v/>
      </c>
      <c r="Q22" s="20"/>
      <c r="R22" s="20" t="s">
        <v>81</v>
      </c>
      <c r="S22" s="20"/>
      <c r="T22" s="20"/>
      <c r="U22" s="20"/>
      <c r="V22" s="20"/>
      <c r="W22" s="20">
        <v>1</v>
      </c>
      <c r="X22" s="21" t="s">
        <v>37</v>
      </c>
      <c r="Y22" s="5"/>
      <c r="Z22" s="5" t="s">
        <v>38</v>
      </c>
      <c r="AA22" s="5"/>
      <c r="AB22" s="5" t="str">
        <f>IF(LEN('List chi tiet'!$B$3)=0,"",'List chi tiet'!$B$3)</f>
        <v>TCTN.DNS-26004</v>
      </c>
      <c r="AC22" s="5" t="s">
        <v>72</v>
      </c>
      <c r="AD22" s="5" t="s">
        <v>39</v>
      </c>
    </row>
    <row r="23" spans="1:30" hidden="1" x14ac:dyDescent="0.25">
      <c r="A23" s="5">
        <v>13</v>
      </c>
      <c r="B23" s="5" t="s">
        <v>74</v>
      </c>
      <c r="C23" s="5">
        <v>2</v>
      </c>
      <c r="D23" s="5">
        <v>1060</v>
      </c>
      <c r="E23" s="5">
        <v>1200</v>
      </c>
      <c r="F23" s="5" t="s">
        <v>33</v>
      </c>
      <c r="G23" s="5" t="s">
        <v>746</v>
      </c>
      <c r="H23" s="5">
        <v>1</v>
      </c>
      <c r="I23" s="5">
        <v>19.97</v>
      </c>
      <c r="J23" s="5" t="s">
        <v>839</v>
      </c>
      <c r="K23" s="5" t="s">
        <v>812</v>
      </c>
      <c r="L23" s="5"/>
      <c r="M23" s="5" t="s">
        <v>747</v>
      </c>
      <c r="N23" s="5"/>
      <c r="O23" s="20"/>
      <c r="P23" s="20" t="str">
        <f t="shared" si="0"/>
        <v/>
      </c>
      <c r="Q23" s="20"/>
      <c r="R23" s="20" t="s">
        <v>81</v>
      </c>
      <c r="S23" s="20"/>
      <c r="T23" s="20"/>
      <c r="U23" s="20"/>
      <c r="V23" s="20"/>
      <c r="W23" s="20">
        <v>1</v>
      </c>
      <c r="X23" s="21" t="s">
        <v>37</v>
      </c>
      <c r="Y23" s="5"/>
      <c r="Z23" s="5" t="s">
        <v>38</v>
      </c>
      <c r="AA23" s="5"/>
      <c r="AB23" s="5" t="str">
        <f>IF(LEN('List chi tiet'!$B$3)=0,"",'List chi tiet'!$B$3)</f>
        <v>TCTN.DNS-26004</v>
      </c>
      <c r="AC23" s="5" t="s">
        <v>72</v>
      </c>
      <c r="AD23" s="5" t="s">
        <v>39</v>
      </c>
    </row>
    <row r="24" spans="1:30" hidden="1" x14ac:dyDescent="0.25">
      <c r="A24" s="5">
        <v>14</v>
      </c>
      <c r="B24" s="5" t="s">
        <v>75</v>
      </c>
      <c r="C24" s="5">
        <v>2</v>
      </c>
      <c r="D24" s="5">
        <v>500</v>
      </c>
      <c r="E24" s="5">
        <v>1800</v>
      </c>
      <c r="F24" s="5" t="s">
        <v>33</v>
      </c>
      <c r="G24" s="5" t="s">
        <v>746</v>
      </c>
      <c r="H24" s="5">
        <v>1</v>
      </c>
      <c r="I24" s="5">
        <v>14.13</v>
      </c>
      <c r="J24" s="5" t="s">
        <v>839</v>
      </c>
      <c r="K24" s="5" t="s">
        <v>812</v>
      </c>
      <c r="L24" s="5"/>
      <c r="M24" s="5" t="s">
        <v>747</v>
      </c>
      <c r="N24" s="5"/>
      <c r="O24" s="20"/>
      <c r="P24" s="20" t="str">
        <f t="shared" si="0"/>
        <v/>
      </c>
      <c r="Q24" s="20"/>
      <c r="R24" s="20" t="s">
        <v>81</v>
      </c>
      <c r="S24" s="20"/>
      <c r="T24" s="20"/>
      <c r="U24" s="20"/>
      <c r="V24" s="20"/>
      <c r="W24" s="20">
        <v>1</v>
      </c>
      <c r="X24" s="21" t="s">
        <v>37</v>
      </c>
      <c r="Y24" s="5"/>
      <c r="Z24" s="5" t="s">
        <v>38</v>
      </c>
      <c r="AA24" s="5"/>
      <c r="AB24" s="5" t="str">
        <f>IF(LEN('List chi tiet'!$B$3)=0,"",'List chi tiet'!$B$3)</f>
        <v>TCTN.DNS-26004</v>
      </c>
      <c r="AC24" s="5" t="s">
        <v>72</v>
      </c>
      <c r="AD24" s="5" t="s">
        <v>39</v>
      </c>
    </row>
    <row r="25" spans="1:30" hidden="1" x14ac:dyDescent="0.25">
      <c r="A25" s="5">
        <v>15</v>
      </c>
      <c r="B25" s="5" t="s">
        <v>76</v>
      </c>
      <c r="C25" s="5">
        <v>5</v>
      </c>
      <c r="D25" s="5">
        <v>63</v>
      </c>
      <c r="E25" s="5">
        <v>186</v>
      </c>
      <c r="F25" s="5" t="s">
        <v>77</v>
      </c>
      <c r="G25" s="5" t="s">
        <v>746</v>
      </c>
      <c r="H25" s="5">
        <v>26</v>
      </c>
      <c r="I25" s="5">
        <v>11.86</v>
      </c>
      <c r="J25" s="5" t="s">
        <v>839</v>
      </c>
      <c r="K25" s="5" t="s">
        <v>812</v>
      </c>
      <c r="L25" s="5"/>
      <c r="M25" s="5" t="s">
        <v>747</v>
      </c>
      <c r="N25" s="5"/>
      <c r="O25" s="20"/>
      <c r="P25" s="20" t="str">
        <f t="shared" si="0"/>
        <v/>
      </c>
      <c r="Q25" s="20" t="s">
        <v>26</v>
      </c>
      <c r="R25" s="20" t="s">
        <v>81</v>
      </c>
      <c r="S25" s="20"/>
      <c r="T25" s="20"/>
      <c r="U25" s="20"/>
      <c r="V25" s="20"/>
      <c r="W25" s="20">
        <v>1</v>
      </c>
      <c r="X25" s="21" t="s">
        <v>37</v>
      </c>
      <c r="Y25" s="5"/>
      <c r="Z25" s="5" t="s">
        <v>38</v>
      </c>
      <c r="AA25" s="5"/>
      <c r="AB25" s="5" t="str">
        <f>IF(LEN('List chi tiet'!$B$3)=0,"",'List chi tiet'!$B$3)</f>
        <v>TCTN.DNS-26004</v>
      </c>
      <c r="AC25" s="5" t="s">
        <v>80</v>
      </c>
      <c r="AD25" s="5" t="s">
        <v>39</v>
      </c>
    </row>
    <row r="26" spans="1:30" hidden="1" x14ac:dyDescent="0.25">
      <c r="A26" s="5">
        <v>16</v>
      </c>
      <c r="B26" s="5" t="s">
        <v>83</v>
      </c>
      <c r="C26" s="5">
        <v>5</v>
      </c>
      <c r="D26" s="5">
        <v>43</v>
      </c>
      <c r="E26" s="5">
        <v>86</v>
      </c>
      <c r="F26" s="5" t="s">
        <v>77</v>
      </c>
      <c r="G26" s="5" t="s">
        <v>746</v>
      </c>
      <c r="H26" s="5">
        <v>112</v>
      </c>
      <c r="I26" s="5">
        <v>15.82</v>
      </c>
      <c r="J26" s="5" t="s">
        <v>839</v>
      </c>
      <c r="K26" s="5" t="s">
        <v>812</v>
      </c>
      <c r="L26" s="5"/>
      <c r="M26" s="5" t="s">
        <v>747</v>
      </c>
      <c r="N26" s="5"/>
      <c r="O26" s="20"/>
      <c r="P26" s="20" t="str">
        <f t="shared" si="0"/>
        <v/>
      </c>
      <c r="Q26" s="20" t="s">
        <v>26</v>
      </c>
      <c r="R26" s="20" t="s">
        <v>81</v>
      </c>
      <c r="S26" s="20"/>
      <c r="T26" s="20"/>
      <c r="U26" s="20"/>
      <c r="V26" s="20"/>
      <c r="W26" s="20">
        <v>1</v>
      </c>
      <c r="X26" s="21" t="s">
        <v>37</v>
      </c>
      <c r="Y26" s="5"/>
      <c r="Z26" s="5" t="s">
        <v>38</v>
      </c>
      <c r="AA26" s="5"/>
      <c r="AB26" s="5" t="str">
        <f>IF(LEN('List chi tiet'!$B$3)=0,"",'List chi tiet'!$B$3)</f>
        <v>TCTN.DNS-26004</v>
      </c>
      <c r="AC26" s="5" t="s">
        <v>80</v>
      </c>
      <c r="AD26" s="5" t="s">
        <v>39</v>
      </c>
    </row>
    <row r="27" spans="1:30" hidden="1" x14ac:dyDescent="0.25">
      <c r="A27" s="5">
        <v>17</v>
      </c>
      <c r="B27" s="5" t="s">
        <v>85</v>
      </c>
      <c r="C27" s="5">
        <v>5</v>
      </c>
      <c r="D27" s="5">
        <v>63</v>
      </c>
      <c r="E27" s="5">
        <v>186</v>
      </c>
      <c r="F27" s="5" t="s">
        <v>77</v>
      </c>
      <c r="G27" s="5" t="s">
        <v>746</v>
      </c>
      <c r="H27" s="5">
        <v>28</v>
      </c>
      <c r="I27" s="5">
        <v>12.77</v>
      </c>
      <c r="J27" s="5" t="s">
        <v>839</v>
      </c>
      <c r="K27" s="5" t="s">
        <v>812</v>
      </c>
      <c r="L27" s="5"/>
      <c r="M27" s="5" t="s">
        <v>747</v>
      </c>
      <c r="N27" s="5"/>
      <c r="O27" s="20"/>
      <c r="P27" s="20" t="str">
        <f t="shared" si="0"/>
        <v/>
      </c>
      <c r="Q27" s="20" t="s">
        <v>26</v>
      </c>
      <c r="R27" s="20" t="s">
        <v>81</v>
      </c>
      <c r="S27" s="20"/>
      <c r="T27" s="20"/>
      <c r="U27" s="20"/>
      <c r="V27" s="20"/>
      <c r="W27" s="20">
        <v>1</v>
      </c>
      <c r="X27" s="21" t="s">
        <v>37</v>
      </c>
      <c r="Y27" s="5"/>
      <c r="Z27" s="5" t="s">
        <v>38</v>
      </c>
      <c r="AA27" s="5"/>
      <c r="AB27" s="5" t="str">
        <f>IF(LEN('List chi tiet'!$B$3)=0,"",'List chi tiet'!$B$3)</f>
        <v>TCTN.DNS-26004</v>
      </c>
      <c r="AC27" s="5" t="s">
        <v>80</v>
      </c>
      <c r="AD27" s="5" t="s">
        <v>39</v>
      </c>
    </row>
    <row r="28" spans="1:30" hidden="1" x14ac:dyDescent="0.25">
      <c r="A28" s="5">
        <v>18</v>
      </c>
      <c r="B28" s="5" t="s">
        <v>86</v>
      </c>
      <c r="C28" s="5">
        <v>5</v>
      </c>
      <c r="D28" s="5">
        <v>43</v>
      </c>
      <c r="E28" s="5">
        <v>86</v>
      </c>
      <c r="F28" s="5" t="s">
        <v>77</v>
      </c>
      <c r="G28" s="5" t="s">
        <v>746</v>
      </c>
      <c r="H28" s="5">
        <v>120</v>
      </c>
      <c r="I28" s="5">
        <v>16.95</v>
      </c>
      <c r="J28" s="5" t="s">
        <v>839</v>
      </c>
      <c r="K28" s="5" t="s">
        <v>812</v>
      </c>
      <c r="L28" s="5"/>
      <c r="M28" s="5" t="s">
        <v>747</v>
      </c>
      <c r="N28" s="5"/>
      <c r="O28" s="20"/>
      <c r="P28" s="20" t="str">
        <f t="shared" si="0"/>
        <v/>
      </c>
      <c r="Q28" s="20" t="s">
        <v>26</v>
      </c>
      <c r="R28" s="20" t="s">
        <v>81</v>
      </c>
      <c r="S28" s="20"/>
      <c r="T28" s="20"/>
      <c r="U28" s="20"/>
      <c r="V28" s="20"/>
      <c r="W28" s="20">
        <v>1</v>
      </c>
      <c r="X28" s="21" t="s">
        <v>37</v>
      </c>
      <c r="Y28" s="5"/>
      <c r="Z28" s="5" t="s">
        <v>38</v>
      </c>
      <c r="AA28" s="5"/>
      <c r="AB28" s="5" t="str">
        <f>IF(LEN('List chi tiet'!$B$3)=0,"",'List chi tiet'!$B$3)</f>
        <v>TCTN.DNS-26004</v>
      </c>
      <c r="AC28" s="5" t="s">
        <v>80</v>
      </c>
      <c r="AD28" s="5" t="s">
        <v>39</v>
      </c>
    </row>
    <row r="29" spans="1:30" hidden="1" x14ac:dyDescent="0.25">
      <c r="A29" s="5">
        <v>19</v>
      </c>
      <c r="B29" s="5" t="s">
        <v>87</v>
      </c>
      <c r="C29" s="5">
        <v>5</v>
      </c>
      <c r="D29" s="5">
        <v>63</v>
      </c>
      <c r="E29" s="5">
        <v>186</v>
      </c>
      <c r="F29" s="5" t="s">
        <v>77</v>
      </c>
      <c r="G29" s="5" t="s">
        <v>746</v>
      </c>
      <c r="H29" s="5">
        <v>42</v>
      </c>
      <c r="I29" s="5">
        <v>19.149999999999999</v>
      </c>
      <c r="J29" s="5" t="s">
        <v>839</v>
      </c>
      <c r="K29" s="5" t="s">
        <v>812</v>
      </c>
      <c r="L29" s="5"/>
      <c r="M29" s="5" t="s">
        <v>747</v>
      </c>
      <c r="N29" s="5"/>
      <c r="O29" s="20"/>
      <c r="P29" s="20" t="str">
        <f t="shared" si="0"/>
        <v/>
      </c>
      <c r="Q29" s="20" t="s">
        <v>26</v>
      </c>
      <c r="R29" s="20" t="s">
        <v>81</v>
      </c>
      <c r="S29" s="20"/>
      <c r="T29" s="20"/>
      <c r="U29" s="20"/>
      <c r="V29" s="20"/>
      <c r="W29" s="20">
        <v>1</v>
      </c>
      <c r="X29" s="21" t="s">
        <v>37</v>
      </c>
      <c r="Y29" s="5"/>
      <c r="Z29" s="5" t="s">
        <v>38</v>
      </c>
      <c r="AA29" s="5"/>
      <c r="AB29" s="5" t="str">
        <f>IF(LEN('List chi tiet'!$B$3)=0,"",'List chi tiet'!$B$3)</f>
        <v>TCTN.DNS-26004</v>
      </c>
      <c r="AC29" s="5" t="s">
        <v>80</v>
      </c>
      <c r="AD29" s="5" t="s">
        <v>39</v>
      </c>
    </row>
    <row r="30" spans="1:30" hidden="1" x14ac:dyDescent="0.25">
      <c r="A30" s="5">
        <v>20</v>
      </c>
      <c r="B30" s="5" t="s">
        <v>88</v>
      </c>
      <c r="C30" s="5">
        <v>5</v>
      </c>
      <c r="D30" s="5">
        <v>43</v>
      </c>
      <c r="E30" s="5">
        <v>86</v>
      </c>
      <c r="F30" s="5" t="s">
        <v>77</v>
      </c>
      <c r="G30" s="5" t="s">
        <v>746</v>
      </c>
      <c r="H30" s="5">
        <v>176</v>
      </c>
      <c r="I30" s="5">
        <v>24.85</v>
      </c>
      <c r="J30" s="5" t="s">
        <v>839</v>
      </c>
      <c r="K30" s="5" t="s">
        <v>812</v>
      </c>
      <c r="L30" s="5"/>
      <c r="M30" s="5" t="s">
        <v>747</v>
      </c>
      <c r="N30" s="5"/>
      <c r="O30" s="20"/>
      <c r="P30" s="20" t="str">
        <f t="shared" si="0"/>
        <v/>
      </c>
      <c r="Q30" s="20" t="s">
        <v>26</v>
      </c>
      <c r="R30" s="20" t="s">
        <v>81</v>
      </c>
      <c r="S30" s="20"/>
      <c r="T30" s="20"/>
      <c r="U30" s="20"/>
      <c r="V30" s="20"/>
      <c r="W30" s="20">
        <v>1</v>
      </c>
      <c r="X30" s="21" t="s">
        <v>37</v>
      </c>
      <c r="Y30" s="5"/>
      <c r="Z30" s="5" t="s">
        <v>38</v>
      </c>
      <c r="AA30" s="5"/>
      <c r="AB30" s="5" t="str">
        <f>IF(LEN('List chi tiet'!$B$3)=0,"",'List chi tiet'!$B$3)</f>
        <v>TCTN.DNS-26004</v>
      </c>
      <c r="AC30" s="5" t="s">
        <v>80</v>
      </c>
      <c r="AD30" s="5" t="s">
        <v>39</v>
      </c>
    </row>
    <row r="31" spans="1:30" hidden="1" x14ac:dyDescent="0.25">
      <c r="A31" s="5">
        <v>21</v>
      </c>
      <c r="B31" s="5" t="s">
        <v>89</v>
      </c>
      <c r="C31" s="5">
        <v>5</v>
      </c>
      <c r="D31" s="5">
        <v>63</v>
      </c>
      <c r="E31" s="5">
        <v>186</v>
      </c>
      <c r="F31" s="5" t="s">
        <v>77</v>
      </c>
      <c r="G31" s="5" t="s">
        <v>746</v>
      </c>
      <c r="H31" s="5">
        <v>26</v>
      </c>
      <c r="I31" s="5">
        <v>11.86</v>
      </c>
      <c r="J31" s="5" t="s">
        <v>839</v>
      </c>
      <c r="K31" s="5" t="s">
        <v>812</v>
      </c>
      <c r="L31" s="5"/>
      <c r="M31" s="5" t="s">
        <v>747</v>
      </c>
      <c r="N31" s="5"/>
      <c r="O31" s="20"/>
      <c r="P31" s="20" t="str">
        <f t="shared" si="0"/>
        <v/>
      </c>
      <c r="Q31" s="20" t="s">
        <v>26</v>
      </c>
      <c r="R31" s="20" t="s">
        <v>81</v>
      </c>
      <c r="S31" s="20"/>
      <c r="T31" s="20"/>
      <c r="U31" s="20"/>
      <c r="V31" s="20"/>
      <c r="W31" s="20">
        <v>1</v>
      </c>
      <c r="X31" s="21" t="s">
        <v>37</v>
      </c>
      <c r="Y31" s="5"/>
      <c r="Z31" s="5" t="s">
        <v>38</v>
      </c>
      <c r="AA31" s="5"/>
      <c r="AB31" s="5" t="str">
        <f>IF(LEN('List chi tiet'!$B$3)=0,"",'List chi tiet'!$B$3)</f>
        <v>TCTN.DNS-26004</v>
      </c>
      <c r="AC31" s="5" t="s">
        <v>80</v>
      </c>
      <c r="AD31" s="5" t="s">
        <v>39</v>
      </c>
    </row>
    <row r="32" spans="1:30" hidden="1" x14ac:dyDescent="0.25">
      <c r="A32" s="5">
        <v>22</v>
      </c>
      <c r="B32" s="5" t="s">
        <v>90</v>
      </c>
      <c r="C32" s="5">
        <v>5</v>
      </c>
      <c r="D32" s="5">
        <v>43</v>
      </c>
      <c r="E32" s="5">
        <v>86</v>
      </c>
      <c r="F32" s="5" t="s">
        <v>77</v>
      </c>
      <c r="G32" s="5" t="s">
        <v>746</v>
      </c>
      <c r="H32" s="5">
        <v>112</v>
      </c>
      <c r="I32" s="5">
        <v>15.82</v>
      </c>
      <c r="J32" s="5" t="s">
        <v>839</v>
      </c>
      <c r="K32" s="5" t="s">
        <v>812</v>
      </c>
      <c r="L32" s="5"/>
      <c r="M32" s="5" t="s">
        <v>747</v>
      </c>
      <c r="N32" s="5"/>
      <c r="O32" s="20"/>
      <c r="P32" s="20" t="str">
        <f t="shared" si="0"/>
        <v/>
      </c>
      <c r="Q32" s="20" t="s">
        <v>26</v>
      </c>
      <c r="R32" s="20" t="s">
        <v>81</v>
      </c>
      <c r="S32" s="20"/>
      <c r="T32" s="20"/>
      <c r="U32" s="20"/>
      <c r="V32" s="20"/>
      <c r="W32" s="20">
        <v>1</v>
      </c>
      <c r="X32" s="21" t="s">
        <v>37</v>
      </c>
      <c r="Y32" s="5"/>
      <c r="Z32" s="5" t="s">
        <v>38</v>
      </c>
      <c r="AA32" s="5"/>
      <c r="AB32" s="5" t="str">
        <f>IF(LEN('List chi tiet'!$B$3)=0,"",'List chi tiet'!$B$3)</f>
        <v>TCTN.DNS-26004</v>
      </c>
      <c r="AC32" s="5" t="s">
        <v>80</v>
      </c>
      <c r="AD32" s="5" t="s">
        <v>39</v>
      </c>
    </row>
    <row r="33" spans="1:30" hidden="1" x14ac:dyDescent="0.25">
      <c r="A33" s="5">
        <v>23</v>
      </c>
      <c r="B33" s="5" t="s">
        <v>91</v>
      </c>
      <c r="C33" s="5">
        <v>5</v>
      </c>
      <c r="D33" s="5">
        <v>63</v>
      </c>
      <c r="E33" s="5">
        <v>186</v>
      </c>
      <c r="F33" s="5" t="s">
        <v>77</v>
      </c>
      <c r="G33" s="5" t="s">
        <v>746</v>
      </c>
      <c r="H33" s="5">
        <v>28</v>
      </c>
      <c r="I33" s="5">
        <v>12.77</v>
      </c>
      <c r="J33" s="5" t="s">
        <v>839</v>
      </c>
      <c r="K33" s="5" t="s">
        <v>812</v>
      </c>
      <c r="L33" s="5"/>
      <c r="M33" s="5" t="s">
        <v>747</v>
      </c>
      <c r="N33" s="5"/>
      <c r="O33" s="20"/>
      <c r="P33" s="20" t="str">
        <f t="shared" si="0"/>
        <v/>
      </c>
      <c r="Q33" s="20" t="s">
        <v>26</v>
      </c>
      <c r="R33" s="20" t="s">
        <v>81</v>
      </c>
      <c r="S33" s="20"/>
      <c r="T33" s="20"/>
      <c r="U33" s="20"/>
      <c r="V33" s="20"/>
      <c r="W33" s="20">
        <v>1</v>
      </c>
      <c r="X33" s="21" t="s">
        <v>37</v>
      </c>
      <c r="Y33" s="5"/>
      <c r="Z33" s="5" t="s">
        <v>38</v>
      </c>
      <c r="AA33" s="5"/>
      <c r="AB33" s="5" t="str">
        <f>IF(LEN('List chi tiet'!$B$3)=0,"",'List chi tiet'!$B$3)</f>
        <v>TCTN.DNS-26004</v>
      </c>
      <c r="AC33" s="5" t="s">
        <v>80</v>
      </c>
      <c r="AD33" s="5" t="s">
        <v>39</v>
      </c>
    </row>
    <row r="34" spans="1:30" hidden="1" x14ac:dyDescent="0.25">
      <c r="A34" s="5">
        <v>24</v>
      </c>
      <c r="B34" s="5" t="s">
        <v>92</v>
      </c>
      <c r="C34" s="5">
        <v>5</v>
      </c>
      <c r="D34" s="5">
        <v>43</v>
      </c>
      <c r="E34" s="5">
        <v>86</v>
      </c>
      <c r="F34" s="5" t="s">
        <v>77</v>
      </c>
      <c r="G34" s="5" t="s">
        <v>746</v>
      </c>
      <c r="H34" s="5">
        <v>120</v>
      </c>
      <c r="I34" s="5">
        <v>16.95</v>
      </c>
      <c r="J34" s="5" t="s">
        <v>839</v>
      </c>
      <c r="K34" s="5" t="s">
        <v>812</v>
      </c>
      <c r="L34" s="5"/>
      <c r="M34" s="5" t="s">
        <v>747</v>
      </c>
      <c r="N34" s="5"/>
      <c r="O34" s="20"/>
      <c r="P34" s="20" t="str">
        <f t="shared" si="0"/>
        <v/>
      </c>
      <c r="Q34" s="20" t="s">
        <v>26</v>
      </c>
      <c r="R34" s="20" t="s">
        <v>81</v>
      </c>
      <c r="S34" s="20"/>
      <c r="T34" s="20"/>
      <c r="U34" s="20"/>
      <c r="V34" s="20"/>
      <c r="W34" s="20">
        <v>1</v>
      </c>
      <c r="X34" s="21" t="s">
        <v>37</v>
      </c>
      <c r="Y34" s="5"/>
      <c r="Z34" s="5" t="s">
        <v>38</v>
      </c>
      <c r="AA34" s="5"/>
      <c r="AB34" s="5" t="str">
        <f>IF(LEN('List chi tiet'!$B$3)=0,"",'List chi tiet'!$B$3)</f>
        <v>TCTN.DNS-26004</v>
      </c>
      <c r="AC34" s="5" t="s">
        <v>80</v>
      </c>
      <c r="AD34" s="5" t="s">
        <v>39</v>
      </c>
    </row>
    <row r="35" spans="1:30" hidden="1" x14ac:dyDescent="0.25">
      <c r="A35" s="5">
        <v>25</v>
      </c>
      <c r="B35" s="5" t="s">
        <v>93</v>
      </c>
      <c r="C35" s="5">
        <v>5</v>
      </c>
      <c r="D35" s="5">
        <v>63</v>
      </c>
      <c r="E35" s="5">
        <v>186</v>
      </c>
      <c r="F35" s="5" t="s">
        <v>77</v>
      </c>
      <c r="G35" s="5" t="s">
        <v>746</v>
      </c>
      <c r="H35" s="5">
        <v>42</v>
      </c>
      <c r="I35" s="5">
        <v>19.149999999999999</v>
      </c>
      <c r="J35" s="5" t="s">
        <v>839</v>
      </c>
      <c r="K35" s="5" t="s">
        <v>812</v>
      </c>
      <c r="L35" s="5"/>
      <c r="M35" s="5" t="s">
        <v>747</v>
      </c>
      <c r="N35" s="5"/>
      <c r="O35" s="20"/>
      <c r="P35" s="20" t="str">
        <f t="shared" si="0"/>
        <v/>
      </c>
      <c r="Q35" s="20" t="s">
        <v>26</v>
      </c>
      <c r="R35" s="20" t="s">
        <v>81</v>
      </c>
      <c r="S35" s="20"/>
      <c r="T35" s="20"/>
      <c r="U35" s="20"/>
      <c r="V35" s="20"/>
      <c r="W35" s="20">
        <v>1</v>
      </c>
      <c r="X35" s="21" t="s">
        <v>37</v>
      </c>
      <c r="Y35" s="5"/>
      <c r="Z35" s="5" t="s">
        <v>38</v>
      </c>
      <c r="AA35" s="5"/>
      <c r="AB35" s="5" t="str">
        <f>IF(LEN('List chi tiet'!$B$3)=0,"",'List chi tiet'!$B$3)</f>
        <v>TCTN.DNS-26004</v>
      </c>
      <c r="AC35" s="5" t="s">
        <v>80</v>
      </c>
      <c r="AD35" s="5" t="s">
        <v>39</v>
      </c>
    </row>
    <row r="36" spans="1:30" hidden="1" x14ac:dyDescent="0.25">
      <c r="A36" s="5">
        <v>26</v>
      </c>
      <c r="B36" s="5" t="s">
        <v>94</v>
      </c>
      <c r="C36" s="5">
        <v>5</v>
      </c>
      <c r="D36" s="5">
        <v>43</v>
      </c>
      <c r="E36" s="5">
        <v>86</v>
      </c>
      <c r="F36" s="5" t="s">
        <v>77</v>
      </c>
      <c r="G36" s="5" t="s">
        <v>746</v>
      </c>
      <c r="H36" s="5">
        <v>176</v>
      </c>
      <c r="I36" s="5">
        <v>24.85</v>
      </c>
      <c r="J36" s="5" t="s">
        <v>839</v>
      </c>
      <c r="K36" s="5" t="s">
        <v>812</v>
      </c>
      <c r="L36" s="5"/>
      <c r="M36" s="5" t="s">
        <v>747</v>
      </c>
      <c r="N36" s="5"/>
      <c r="O36" s="20"/>
      <c r="P36" s="20" t="str">
        <f t="shared" si="0"/>
        <v/>
      </c>
      <c r="Q36" s="20" t="s">
        <v>26</v>
      </c>
      <c r="R36" s="20" t="s">
        <v>81</v>
      </c>
      <c r="S36" s="20"/>
      <c r="T36" s="20"/>
      <c r="U36" s="20"/>
      <c r="V36" s="20"/>
      <c r="W36" s="20">
        <v>1</v>
      </c>
      <c r="X36" s="21" t="s">
        <v>37</v>
      </c>
      <c r="Y36" s="5"/>
      <c r="Z36" s="5" t="s">
        <v>38</v>
      </c>
      <c r="AA36" s="5"/>
      <c r="AB36" s="5" t="str">
        <f>IF(LEN('List chi tiet'!$B$3)=0,"",'List chi tiet'!$B$3)</f>
        <v>TCTN.DNS-26004</v>
      </c>
      <c r="AC36" s="5" t="s">
        <v>80</v>
      </c>
      <c r="AD36" s="5" t="s">
        <v>39</v>
      </c>
    </row>
    <row r="37" spans="1:30" hidden="1" x14ac:dyDescent="0.25">
      <c r="A37" s="5">
        <v>27</v>
      </c>
      <c r="B37" s="5" t="s">
        <v>95</v>
      </c>
      <c r="C37" s="5">
        <v>6</v>
      </c>
      <c r="D37" s="5">
        <v>328</v>
      </c>
      <c r="E37" s="5">
        <v>1752</v>
      </c>
      <c r="F37" s="5" t="s">
        <v>77</v>
      </c>
      <c r="G37" s="5" t="s">
        <v>746</v>
      </c>
      <c r="H37" s="5">
        <v>1</v>
      </c>
      <c r="I37" s="5">
        <v>25.59</v>
      </c>
      <c r="J37" s="5" t="s">
        <v>839</v>
      </c>
      <c r="K37" s="5" t="s">
        <v>812</v>
      </c>
      <c r="L37" s="5"/>
      <c r="M37" s="5" t="s">
        <v>747</v>
      </c>
      <c r="N37" s="5"/>
      <c r="O37" s="20"/>
      <c r="P37" s="20" t="str">
        <f t="shared" si="0"/>
        <v/>
      </c>
      <c r="Q37" s="20"/>
      <c r="R37" s="20" t="s">
        <v>81</v>
      </c>
      <c r="S37" s="20"/>
      <c r="T37" s="20"/>
      <c r="U37" s="20" t="s">
        <v>81</v>
      </c>
      <c r="V37" s="20" t="s">
        <v>81</v>
      </c>
      <c r="W37" s="20">
        <v>1</v>
      </c>
      <c r="X37" s="21" t="s">
        <v>37</v>
      </c>
      <c r="Y37" s="5"/>
      <c r="Z37" s="5" t="s">
        <v>38</v>
      </c>
      <c r="AA37" s="5"/>
      <c r="AB37" s="5" t="str">
        <f>IF(LEN('List chi tiet'!$B$3)=0,"",'List chi tiet'!$B$3)</f>
        <v>TCTN.DNS-26004</v>
      </c>
      <c r="AC37" s="5" t="s">
        <v>98</v>
      </c>
      <c r="AD37" s="5" t="s">
        <v>39</v>
      </c>
    </row>
    <row r="38" spans="1:30" hidden="1" x14ac:dyDescent="0.25">
      <c r="A38" s="5">
        <v>28</v>
      </c>
      <c r="B38" s="5" t="s">
        <v>100</v>
      </c>
      <c r="C38" s="5">
        <v>6</v>
      </c>
      <c r="D38" s="5">
        <v>328</v>
      </c>
      <c r="E38" s="5">
        <v>1752</v>
      </c>
      <c r="F38" s="5" t="s">
        <v>77</v>
      </c>
      <c r="G38" s="5" t="s">
        <v>746</v>
      </c>
      <c r="H38" s="5">
        <v>1</v>
      </c>
      <c r="I38" s="5">
        <v>25.59</v>
      </c>
      <c r="J38" s="5" t="s">
        <v>839</v>
      </c>
      <c r="K38" s="5" t="s">
        <v>812</v>
      </c>
      <c r="L38" s="5"/>
      <c r="M38" s="5" t="s">
        <v>747</v>
      </c>
      <c r="N38" s="5"/>
      <c r="O38" s="20"/>
      <c r="P38" s="20" t="str">
        <f t="shared" si="0"/>
        <v/>
      </c>
      <c r="Q38" s="20"/>
      <c r="R38" s="20" t="s">
        <v>81</v>
      </c>
      <c r="S38" s="20"/>
      <c r="T38" s="20"/>
      <c r="U38" s="20" t="s">
        <v>81</v>
      </c>
      <c r="V38" s="20" t="s">
        <v>81</v>
      </c>
      <c r="W38" s="20">
        <v>1</v>
      </c>
      <c r="X38" s="21" t="s">
        <v>37</v>
      </c>
      <c r="Y38" s="5"/>
      <c r="Z38" s="5" t="s">
        <v>38</v>
      </c>
      <c r="AA38" s="5"/>
      <c r="AB38" s="5" t="str">
        <f>IF(LEN('List chi tiet'!$B$3)=0,"",'List chi tiet'!$B$3)</f>
        <v>TCTN.DNS-26004</v>
      </c>
      <c r="AC38" s="5" t="s">
        <v>98</v>
      </c>
      <c r="AD38" s="5" t="s">
        <v>39</v>
      </c>
    </row>
    <row r="39" spans="1:30" hidden="1" x14ac:dyDescent="0.25">
      <c r="A39" s="5">
        <v>29</v>
      </c>
      <c r="B39" s="5" t="s">
        <v>101</v>
      </c>
      <c r="C39" s="5">
        <v>6</v>
      </c>
      <c r="D39" s="5">
        <v>328</v>
      </c>
      <c r="E39" s="5">
        <v>1752</v>
      </c>
      <c r="F39" s="5" t="s">
        <v>77</v>
      </c>
      <c r="G39" s="5" t="s">
        <v>746</v>
      </c>
      <c r="H39" s="5">
        <v>3</v>
      </c>
      <c r="I39" s="5">
        <v>76.790000000000006</v>
      </c>
      <c r="J39" s="5" t="s">
        <v>839</v>
      </c>
      <c r="K39" s="5" t="s">
        <v>812</v>
      </c>
      <c r="L39" s="5"/>
      <c r="M39" s="5" t="s">
        <v>747</v>
      </c>
      <c r="N39" s="5"/>
      <c r="O39" s="20"/>
      <c r="P39" s="20" t="str">
        <f t="shared" si="0"/>
        <v/>
      </c>
      <c r="Q39" s="20"/>
      <c r="R39" s="20" t="s">
        <v>81</v>
      </c>
      <c r="S39" s="20"/>
      <c r="T39" s="20"/>
      <c r="U39" s="20" t="s">
        <v>81</v>
      </c>
      <c r="V39" s="20" t="s">
        <v>81</v>
      </c>
      <c r="W39" s="20">
        <v>1</v>
      </c>
      <c r="X39" s="21" t="s">
        <v>37</v>
      </c>
      <c r="Y39" s="5"/>
      <c r="Z39" s="5" t="s">
        <v>38</v>
      </c>
      <c r="AA39" s="5"/>
      <c r="AB39" s="5" t="str">
        <f>IF(LEN('List chi tiet'!$B$3)=0,"",'List chi tiet'!$B$3)</f>
        <v>TCTN.DNS-26004</v>
      </c>
      <c r="AC39" s="5" t="s">
        <v>98</v>
      </c>
      <c r="AD39" s="5" t="s">
        <v>39</v>
      </c>
    </row>
    <row r="40" spans="1:30" hidden="1" x14ac:dyDescent="0.25">
      <c r="A40" s="5">
        <v>30</v>
      </c>
      <c r="B40" s="5" t="s">
        <v>102</v>
      </c>
      <c r="C40" s="5">
        <v>6</v>
      </c>
      <c r="D40" s="5">
        <v>328</v>
      </c>
      <c r="E40" s="5">
        <v>1753</v>
      </c>
      <c r="F40" s="5" t="s">
        <v>77</v>
      </c>
      <c r="G40" s="5" t="s">
        <v>746</v>
      </c>
      <c r="H40" s="5">
        <v>3</v>
      </c>
      <c r="I40" s="5">
        <v>76.83</v>
      </c>
      <c r="J40" s="5" t="s">
        <v>839</v>
      </c>
      <c r="K40" s="5" t="s">
        <v>812</v>
      </c>
      <c r="L40" s="5"/>
      <c r="M40" s="5" t="s">
        <v>747</v>
      </c>
      <c r="N40" s="5"/>
      <c r="O40" s="20"/>
      <c r="P40" s="20" t="str">
        <f t="shared" si="0"/>
        <v/>
      </c>
      <c r="Q40" s="20"/>
      <c r="R40" s="20" t="s">
        <v>81</v>
      </c>
      <c r="S40" s="20"/>
      <c r="T40" s="20"/>
      <c r="U40" s="20" t="s">
        <v>81</v>
      </c>
      <c r="V40" s="20" t="s">
        <v>81</v>
      </c>
      <c r="W40" s="20">
        <v>1</v>
      </c>
      <c r="X40" s="21" t="s">
        <v>37</v>
      </c>
      <c r="Y40" s="5"/>
      <c r="Z40" s="5" t="s">
        <v>38</v>
      </c>
      <c r="AA40" s="5"/>
      <c r="AB40" s="5" t="str">
        <f>IF(LEN('List chi tiet'!$B$3)=0,"",'List chi tiet'!$B$3)</f>
        <v>TCTN.DNS-26004</v>
      </c>
      <c r="AC40" s="5" t="s">
        <v>98</v>
      </c>
      <c r="AD40" s="5" t="s">
        <v>39</v>
      </c>
    </row>
    <row r="41" spans="1:30" hidden="1" x14ac:dyDescent="0.25">
      <c r="A41" s="5">
        <v>31</v>
      </c>
      <c r="B41" s="5" t="s">
        <v>104</v>
      </c>
      <c r="C41" s="5">
        <v>6</v>
      </c>
      <c r="D41" s="5">
        <v>328</v>
      </c>
      <c r="E41" s="5">
        <v>1752</v>
      </c>
      <c r="F41" s="5" t="s">
        <v>77</v>
      </c>
      <c r="G41" s="5" t="s">
        <v>746</v>
      </c>
      <c r="H41" s="5">
        <v>2</v>
      </c>
      <c r="I41" s="5">
        <v>51.18</v>
      </c>
      <c r="J41" s="5" t="s">
        <v>839</v>
      </c>
      <c r="K41" s="5" t="s">
        <v>812</v>
      </c>
      <c r="L41" s="5"/>
      <c r="M41" s="5" t="s">
        <v>747</v>
      </c>
      <c r="N41" s="5"/>
      <c r="O41" s="20"/>
      <c r="P41" s="20" t="str">
        <f t="shared" si="0"/>
        <v/>
      </c>
      <c r="Q41" s="20"/>
      <c r="R41" s="20" t="s">
        <v>81</v>
      </c>
      <c r="S41" s="20"/>
      <c r="T41" s="20"/>
      <c r="U41" s="20" t="s">
        <v>81</v>
      </c>
      <c r="V41" s="20" t="s">
        <v>81</v>
      </c>
      <c r="W41" s="20">
        <v>1</v>
      </c>
      <c r="X41" s="21" t="s">
        <v>37</v>
      </c>
      <c r="Y41" s="5"/>
      <c r="Z41" s="5" t="s">
        <v>38</v>
      </c>
      <c r="AA41" s="5"/>
      <c r="AB41" s="5" t="str">
        <f>IF(LEN('List chi tiet'!$B$3)=0,"",'List chi tiet'!$B$3)</f>
        <v>TCTN.DNS-26004</v>
      </c>
      <c r="AC41" s="5" t="s">
        <v>98</v>
      </c>
      <c r="AD41" s="5" t="s">
        <v>39</v>
      </c>
    </row>
    <row r="42" spans="1:30" hidden="1" x14ac:dyDescent="0.25">
      <c r="A42" s="5">
        <v>32</v>
      </c>
      <c r="B42" s="5" t="s">
        <v>105</v>
      </c>
      <c r="C42" s="5">
        <v>6</v>
      </c>
      <c r="D42" s="5">
        <v>328</v>
      </c>
      <c r="E42" s="5">
        <v>1752</v>
      </c>
      <c r="F42" s="5" t="s">
        <v>77</v>
      </c>
      <c r="G42" s="5" t="s">
        <v>746</v>
      </c>
      <c r="H42" s="5">
        <v>1</v>
      </c>
      <c r="I42" s="5">
        <v>25.59</v>
      </c>
      <c r="J42" s="5" t="s">
        <v>839</v>
      </c>
      <c r="K42" s="5" t="s">
        <v>812</v>
      </c>
      <c r="L42" s="5"/>
      <c r="M42" s="5" t="s">
        <v>747</v>
      </c>
      <c r="N42" s="5"/>
      <c r="O42" s="20"/>
      <c r="P42" s="20" t="str">
        <f t="shared" si="0"/>
        <v/>
      </c>
      <c r="Q42" s="20"/>
      <c r="R42" s="20" t="s">
        <v>81</v>
      </c>
      <c r="S42" s="20"/>
      <c r="T42" s="20"/>
      <c r="U42" s="20" t="s">
        <v>81</v>
      </c>
      <c r="V42" s="20" t="s">
        <v>81</v>
      </c>
      <c r="W42" s="20">
        <v>1</v>
      </c>
      <c r="X42" s="21" t="s">
        <v>37</v>
      </c>
      <c r="Y42" s="5"/>
      <c r="Z42" s="5" t="s">
        <v>38</v>
      </c>
      <c r="AA42" s="5"/>
      <c r="AB42" s="5" t="str">
        <f>IF(LEN('List chi tiet'!$B$3)=0,"",'List chi tiet'!$B$3)</f>
        <v>TCTN.DNS-26004</v>
      </c>
      <c r="AC42" s="5" t="s">
        <v>98</v>
      </c>
      <c r="AD42" s="5" t="s">
        <v>39</v>
      </c>
    </row>
    <row r="43" spans="1:30" hidden="1" x14ac:dyDescent="0.25">
      <c r="A43" s="5">
        <v>33</v>
      </c>
      <c r="B43" s="5" t="s">
        <v>106</v>
      </c>
      <c r="C43" s="5">
        <v>6</v>
      </c>
      <c r="D43" s="5">
        <v>328</v>
      </c>
      <c r="E43" s="5">
        <v>1752</v>
      </c>
      <c r="F43" s="5" t="s">
        <v>77</v>
      </c>
      <c r="G43" s="5" t="s">
        <v>746</v>
      </c>
      <c r="H43" s="5">
        <v>1</v>
      </c>
      <c r="I43" s="5">
        <v>25.59</v>
      </c>
      <c r="J43" s="5" t="s">
        <v>839</v>
      </c>
      <c r="K43" s="5" t="s">
        <v>812</v>
      </c>
      <c r="L43" s="5"/>
      <c r="M43" s="5" t="s">
        <v>747</v>
      </c>
      <c r="N43" s="5"/>
      <c r="O43" s="20"/>
      <c r="P43" s="20" t="str">
        <f t="shared" si="0"/>
        <v/>
      </c>
      <c r="Q43" s="20"/>
      <c r="R43" s="20" t="s">
        <v>81</v>
      </c>
      <c r="S43" s="20"/>
      <c r="T43" s="20"/>
      <c r="U43" s="20" t="s">
        <v>81</v>
      </c>
      <c r="V43" s="20" t="s">
        <v>81</v>
      </c>
      <c r="W43" s="20">
        <v>1</v>
      </c>
      <c r="X43" s="21" t="s">
        <v>37</v>
      </c>
      <c r="Y43" s="5"/>
      <c r="Z43" s="5" t="s">
        <v>38</v>
      </c>
      <c r="AA43" s="5"/>
      <c r="AB43" s="5" t="str">
        <f>IF(LEN('List chi tiet'!$B$3)=0,"",'List chi tiet'!$B$3)</f>
        <v>TCTN.DNS-26004</v>
      </c>
      <c r="AC43" s="5" t="s">
        <v>98</v>
      </c>
      <c r="AD43" s="5" t="s">
        <v>39</v>
      </c>
    </row>
    <row r="44" spans="1:30" hidden="1" x14ac:dyDescent="0.25">
      <c r="A44" s="5">
        <v>34</v>
      </c>
      <c r="B44" s="5" t="s">
        <v>107</v>
      </c>
      <c r="C44" s="5">
        <v>6</v>
      </c>
      <c r="D44" s="5">
        <v>328</v>
      </c>
      <c r="E44" s="5">
        <v>1752</v>
      </c>
      <c r="F44" s="5" t="s">
        <v>77</v>
      </c>
      <c r="G44" s="5" t="s">
        <v>746</v>
      </c>
      <c r="H44" s="5">
        <v>3</v>
      </c>
      <c r="I44" s="5">
        <v>76.790000000000006</v>
      </c>
      <c r="J44" s="5" t="s">
        <v>839</v>
      </c>
      <c r="K44" s="5" t="s">
        <v>812</v>
      </c>
      <c r="L44" s="5"/>
      <c r="M44" s="5" t="s">
        <v>747</v>
      </c>
      <c r="N44" s="5"/>
      <c r="O44" s="20"/>
      <c r="P44" s="20" t="str">
        <f t="shared" si="0"/>
        <v/>
      </c>
      <c r="Q44" s="20"/>
      <c r="R44" s="20" t="s">
        <v>81</v>
      </c>
      <c r="S44" s="20"/>
      <c r="T44" s="20"/>
      <c r="U44" s="20" t="s">
        <v>81</v>
      </c>
      <c r="V44" s="20" t="s">
        <v>81</v>
      </c>
      <c r="W44" s="20">
        <v>1</v>
      </c>
      <c r="X44" s="21" t="s">
        <v>37</v>
      </c>
      <c r="Y44" s="5"/>
      <c r="Z44" s="5" t="s">
        <v>38</v>
      </c>
      <c r="AA44" s="5"/>
      <c r="AB44" s="5" t="str">
        <f>IF(LEN('List chi tiet'!$B$3)=0,"",'List chi tiet'!$B$3)</f>
        <v>TCTN.DNS-26004</v>
      </c>
      <c r="AC44" s="5" t="s">
        <v>98</v>
      </c>
      <c r="AD44" s="5" t="s">
        <v>39</v>
      </c>
    </row>
    <row r="45" spans="1:30" hidden="1" x14ac:dyDescent="0.25">
      <c r="A45" s="5">
        <v>35</v>
      </c>
      <c r="B45" s="5" t="s">
        <v>108</v>
      </c>
      <c r="C45" s="5">
        <v>6</v>
      </c>
      <c r="D45" s="5">
        <v>328</v>
      </c>
      <c r="E45" s="5">
        <v>1753</v>
      </c>
      <c r="F45" s="5" t="s">
        <v>77</v>
      </c>
      <c r="G45" s="5" t="s">
        <v>746</v>
      </c>
      <c r="H45" s="5">
        <v>3</v>
      </c>
      <c r="I45" s="5">
        <v>76.83</v>
      </c>
      <c r="J45" s="5" t="s">
        <v>839</v>
      </c>
      <c r="K45" s="5" t="s">
        <v>812</v>
      </c>
      <c r="L45" s="5"/>
      <c r="M45" s="5" t="s">
        <v>747</v>
      </c>
      <c r="N45" s="5"/>
      <c r="O45" s="20"/>
      <c r="P45" s="20" t="str">
        <f t="shared" si="0"/>
        <v/>
      </c>
      <c r="Q45" s="20"/>
      <c r="R45" s="20" t="s">
        <v>81</v>
      </c>
      <c r="S45" s="20"/>
      <c r="T45" s="20"/>
      <c r="U45" s="20" t="s">
        <v>81</v>
      </c>
      <c r="V45" s="20" t="s">
        <v>81</v>
      </c>
      <c r="W45" s="20">
        <v>1</v>
      </c>
      <c r="X45" s="21" t="s">
        <v>37</v>
      </c>
      <c r="Y45" s="5"/>
      <c r="Z45" s="5" t="s">
        <v>38</v>
      </c>
      <c r="AA45" s="5"/>
      <c r="AB45" s="5" t="str">
        <f>IF(LEN('List chi tiet'!$B$3)=0,"",'List chi tiet'!$B$3)</f>
        <v>TCTN.DNS-26004</v>
      </c>
      <c r="AC45" s="5" t="s">
        <v>98</v>
      </c>
      <c r="AD45" s="5" t="s">
        <v>39</v>
      </c>
    </row>
    <row r="46" spans="1:30" hidden="1" x14ac:dyDescent="0.25">
      <c r="A46" s="5">
        <v>36</v>
      </c>
      <c r="B46" s="5" t="s">
        <v>109</v>
      </c>
      <c r="C46" s="5">
        <v>6</v>
      </c>
      <c r="D46" s="5">
        <v>328</v>
      </c>
      <c r="E46" s="5">
        <v>1752</v>
      </c>
      <c r="F46" s="5" t="s">
        <v>77</v>
      </c>
      <c r="G46" s="5" t="s">
        <v>746</v>
      </c>
      <c r="H46" s="5">
        <v>2</v>
      </c>
      <c r="I46" s="5">
        <v>51.18</v>
      </c>
      <c r="J46" s="5" t="s">
        <v>839</v>
      </c>
      <c r="K46" s="5" t="s">
        <v>812</v>
      </c>
      <c r="L46" s="5"/>
      <c r="M46" s="5" t="s">
        <v>747</v>
      </c>
      <c r="N46" s="5"/>
      <c r="O46" s="20"/>
      <c r="P46" s="20" t="str">
        <f t="shared" si="0"/>
        <v/>
      </c>
      <c r="Q46" s="20"/>
      <c r="R46" s="20" t="s">
        <v>81</v>
      </c>
      <c r="S46" s="20"/>
      <c r="T46" s="20"/>
      <c r="U46" s="20" t="s">
        <v>81</v>
      </c>
      <c r="V46" s="20" t="s">
        <v>81</v>
      </c>
      <c r="W46" s="20">
        <v>1</v>
      </c>
      <c r="X46" s="21" t="s">
        <v>37</v>
      </c>
      <c r="Y46" s="5"/>
      <c r="Z46" s="5" t="s">
        <v>38</v>
      </c>
      <c r="AA46" s="5"/>
      <c r="AB46" s="5" t="str">
        <f>IF(LEN('List chi tiet'!$B$3)=0,"",'List chi tiet'!$B$3)</f>
        <v>TCTN.DNS-26004</v>
      </c>
      <c r="AC46" s="5" t="s">
        <v>98</v>
      </c>
      <c r="AD46" s="5" t="s">
        <v>39</v>
      </c>
    </row>
    <row r="47" spans="1:30" hidden="1" x14ac:dyDescent="0.25">
      <c r="A47" s="5">
        <v>37</v>
      </c>
      <c r="B47" s="5" t="s">
        <v>110</v>
      </c>
      <c r="C47" s="5">
        <v>6</v>
      </c>
      <c r="D47" s="5">
        <v>328</v>
      </c>
      <c r="E47" s="5">
        <v>1672</v>
      </c>
      <c r="F47" s="5" t="s">
        <v>77</v>
      </c>
      <c r="G47" s="5" t="s">
        <v>746</v>
      </c>
      <c r="H47" s="5">
        <v>2</v>
      </c>
      <c r="I47" s="5">
        <v>48.91</v>
      </c>
      <c r="J47" s="5" t="s">
        <v>839</v>
      </c>
      <c r="K47" s="5" t="s">
        <v>812</v>
      </c>
      <c r="L47" s="5"/>
      <c r="M47" s="5" t="s">
        <v>747</v>
      </c>
      <c r="N47" s="5"/>
      <c r="O47" s="20"/>
      <c r="P47" s="20" t="str">
        <f t="shared" si="0"/>
        <v/>
      </c>
      <c r="Q47" s="20"/>
      <c r="R47" s="20" t="s">
        <v>81</v>
      </c>
      <c r="S47" s="20"/>
      <c r="T47" s="20"/>
      <c r="U47" s="20" t="s">
        <v>81</v>
      </c>
      <c r="V47" s="20" t="s">
        <v>81</v>
      </c>
      <c r="W47" s="20">
        <v>1</v>
      </c>
      <c r="X47" s="21" t="s">
        <v>37</v>
      </c>
      <c r="Y47" s="5"/>
      <c r="Z47" s="5" t="s">
        <v>38</v>
      </c>
      <c r="AA47" s="5"/>
      <c r="AB47" s="5" t="str">
        <f>IF(LEN('List chi tiet'!$B$3)=0,"",'List chi tiet'!$B$3)</f>
        <v>TCTN.DNS-26004</v>
      </c>
      <c r="AC47" s="5" t="s">
        <v>98</v>
      </c>
      <c r="AD47" s="5" t="s">
        <v>39</v>
      </c>
    </row>
    <row r="48" spans="1:30" hidden="1" x14ac:dyDescent="0.25">
      <c r="A48" s="5">
        <v>38</v>
      </c>
      <c r="B48" s="5" t="s">
        <v>112</v>
      </c>
      <c r="C48" s="5">
        <v>6</v>
      </c>
      <c r="D48" s="5">
        <v>328</v>
      </c>
      <c r="E48" s="5">
        <v>1718</v>
      </c>
      <c r="F48" s="5" t="s">
        <v>77</v>
      </c>
      <c r="G48" s="5" t="s">
        <v>746</v>
      </c>
      <c r="H48" s="5">
        <v>1</v>
      </c>
      <c r="I48" s="5">
        <v>25.11</v>
      </c>
      <c r="J48" s="5" t="s">
        <v>839</v>
      </c>
      <c r="K48" s="5" t="s">
        <v>812</v>
      </c>
      <c r="L48" s="5"/>
      <c r="M48" s="5" t="s">
        <v>747</v>
      </c>
      <c r="N48" s="5"/>
      <c r="O48" s="20"/>
      <c r="P48" s="20" t="str">
        <f t="shared" si="0"/>
        <v/>
      </c>
      <c r="Q48" s="20"/>
      <c r="R48" s="20" t="s">
        <v>81</v>
      </c>
      <c r="S48" s="20"/>
      <c r="T48" s="20"/>
      <c r="U48" s="20" t="s">
        <v>81</v>
      </c>
      <c r="V48" s="20" t="s">
        <v>81</v>
      </c>
      <c r="W48" s="20">
        <v>1</v>
      </c>
      <c r="X48" s="21" t="s">
        <v>37</v>
      </c>
      <c r="Y48" s="5"/>
      <c r="Z48" s="5" t="s">
        <v>38</v>
      </c>
      <c r="AA48" s="5"/>
      <c r="AB48" s="5" t="str">
        <f>IF(LEN('List chi tiet'!$B$3)=0,"",'List chi tiet'!$B$3)</f>
        <v>TCTN.DNS-26004</v>
      </c>
      <c r="AC48" s="5" t="s">
        <v>98</v>
      </c>
      <c r="AD48" s="5" t="s">
        <v>39</v>
      </c>
    </row>
    <row r="49" spans="1:30" hidden="1" x14ac:dyDescent="0.25">
      <c r="A49" s="5">
        <v>39</v>
      </c>
      <c r="B49" s="5" t="s">
        <v>114</v>
      </c>
      <c r="C49" s="5">
        <v>6</v>
      </c>
      <c r="D49" s="5">
        <v>328</v>
      </c>
      <c r="E49" s="5">
        <v>1729</v>
      </c>
      <c r="F49" s="5" t="s">
        <v>77</v>
      </c>
      <c r="G49" s="5" t="s">
        <v>746</v>
      </c>
      <c r="H49" s="5">
        <v>5</v>
      </c>
      <c r="I49" s="5">
        <v>126.35</v>
      </c>
      <c r="J49" s="5" t="s">
        <v>839</v>
      </c>
      <c r="K49" s="5" t="s">
        <v>812</v>
      </c>
      <c r="L49" s="5"/>
      <c r="M49" s="5" t="s">
        <v>747</v>
      </c>
      <c r="N49" s="5"/>
      <c r="O49" s="20"/>
      <c r="P49" s="20" t="str">
        <f t="shared" si="0"/>
        <v/>
      </c>
      <c r="Q49" s="20"/>
      <c r="R49" s="20" t="s">
        <v>81</v>
      </c>
      <c r="S49" s="20"/>
      <c r="T49" s="20"/>
      <c r="U49" s="20" t="s">
        <v>81</v>
      </c>
      <c r="V49" s="20" t="s">
        <v>81</v>
      </c>
      <c r="W49" s="20">
        <v>1</v>
      </c>
      <c r="X49" s="21" t="s">
        <v>37</v>
      </c>
      <c r="Y49" s="5"/>
      <c r="Z49" s="5" t="s">
        <v>38</v>
      </c>
      <c r="AA49" s="5"/>
      <c r="AB49" s="5" t="str">
        <f>IF(LEN('List chi tiet'!$B$3)=0,"",'List chi tiet'!$B$3)</f>
        <v>TCTN.DNS-26004</v>
      </c>
      <c r="AC49" s="5" t="s">
        <v>98</v>
      </c>
      <c r="AD49" s="5" t="s">
        <v>39</v>
      </c>
    </row>
    <row r="50" spans="1:30" hidden="1" x14ac:dyDescent="0.25">
      <c r="A50" s="5">
        <v>40</v>
      </c>
      <c r="B50" s="5" t="s">
        <v>116</v>
      </c>
      <c r="C50" s="5">
        <v>6</v>
      </c>
      <c r="D50" s="5">
        <v>298</v>
      </c>
      <c r="E50" s="5">
        <v>378</v>
      </c>
      <c r="F50" s="5" t="s">
        <v>77</v>
      </c>
      <c r="G50" s="5" t="s">
        <v>746</v>
      </c>
      <c r="H50" s="5">
        <v>1</v>
      </c>
      <c r="I50" s="5">
        <v>5.27</v>
      </c>
      <c r="J50" s="5" t="s">
        <v>839</v>
      </c>
      <c r="K50" s="5" t="s">
        <v>812</v>
      </c>
      <c r="L50" s="5"/>
      <c r="M50" s="5" t="s">
        <v>747</v>
      </c>
      <c r="N50" s="5"/>
      <c r="O50" s="20"/>
      <c r="P50" s="20" t="str">
        <f t="shared" si="0"/>
        <v/>
      </c>
      <c r="Q50" s="20" t="s">
        <v>26</v>
      </c>
      <c r="R50" s="20" t="s">
        <v>81</v>
      </c>
      <c r="S50" s="20"/>
      <c r="T50" s="20"/>
      <c r="U50" s="20"/>
      <c r="V50" s="20"/>
      <c r="W50" s="20">
        <v>1</v>
      </c>
      <c r="X50" s="21" t="s">
        <v>37</v>
      </c>
      <c r="Y50" s="5"/>
      <c r="Z50" s="5" t="s">
        <v>38</v>
      </c>
      <c r="AA50" s="5"/>
      <c r="AB50" s="5" t="str">
        <f>IF(LEN('List chi tiet'!$B$3)=0,"",'List chi tiet'!$B$3)</f>
        <v>TCTN.DNS-26004</v>
      </c>
      <c r="AC50" s="5" t="s">
        <v>98</v>
      </c>
      <c r="AD50" s="5" t="s">
        <v>39</v>
      </c>
    </row>
    <row r="51" spans="1:30" hidden="1" x14ac:dyDescent="0.25">
      <c r="A51" s="5">
        <v>41</v>
      </c>
      <c r="B51" s="5" t="s">
        <v>118</v>
      </c>
      <c r="C51" s="5">
        <v>6</v>
      </c>
      <c r="D51" s="5">
        <v>328</v>
      </c>
      <c r="E51" s="5">
        <v>1729</v>
      </c>
      <c r="F51" s="5" t="s">
        <v>77</v>
      </c>
      <c r="G51" s="5" t="s">
        <v>746</v>
      </c>
      <c r="H51" s="5">
        <v>13</v>
      </c>
      <c r="I51" s="5">
        <v>328.51</v>
      </c>
      <c r="J51" s="5" t="s">
        <v>839</v>
      </c>
      <c r="K51" s="5" t="s">
        <v>812</v>
      </c>
      <c r="L51" s="5"/>
      <c r="M51" s="5" t="s">
        <v>747</v>
      </c>
      <c r="N51" s="5"/>
      <c r="O51" s="20"/>
      <c r="P51" s="20" t="str">
        <f t="shared" si="0"/>
        <v/>
      </c>
      <c r="Q51" s="20"/>
      <c r="R51" s="20" t="s">
        <v>81</v>
      </c>
      <c r="S51" s="20"/>
      <c r="T51" s="20"/>
      <c r="U51" s="20" t="s">
        <v>81</v>
      </c>
      <c r="V51" s="20" t="s">
        <v>81</v>
      </c>
      <c r="W51" s="20">
        <v>1</v>
      </c>
      <c r="X51" s="21" t="s">
        <v>37</v>
      </c>
      <c r="Y51" s="5"/>
      <c r="Z51" s="5" t="s">
        <v>38</v>
      </c>
      <c r="AA51" s="5"/>
      <c r="AB51" s="5" t="str">
        <f>IF(LEN('List chi tiet'!$B$3)=0,"",'List chi tiet'!$B$3)</f>
        <v>TCTN.DNS-26004</v>
      </c>
      <c r="AC51" s="5" t="s">
        <v>119</v>
      </c>
      <c r="AD51" s="5" t="s">
        <v>39</v>
      </c>
    </row>
    <row r="52" spans="1:30" hidden="1" x14ac:dyDescent="0.25">
      <c r="A52" s="5">
        <v>42</v>
      </c>
      <c r="B52" s="5" t="s">
        <v>114</v>
      </c>
      <c r="C52" s="5">
        <v>6</v>
      </c>
      <c r="D52" s="5">
        <v>328</v>
      </c>
      <c r="E52" s="5">
        <v>1729</v>
      </c>
      <c r="F52" s="5" t="s">
        <v>77</v>
      </c>
      <c r="G52" s="5" t="s">
        <v>746</v>
      </c>
      <c r="H52" s="5">
        <v>15</v>
      </c>
      <c r="I52" s="5">
        <v>379.05</v>
      </c>
      <c r="J52" s="5" t="s">
        <v>839</v>
      </c>
      <c r="K52" s="5" t="s">
        <v>812</v>
      </c>
      <c r="L52" s="5"/>
      <c r="M52" s="5" t="s">
        <v>747</v>
      </c>
      <c r="N52" s="5"/>
      <c r="O52" s="20"/>
      <c r="P52" s="20" t="str">
        <f t="shared" si="0"/>
        <v/>
      </c>
      <c r="Q52" s="20"/>
      <c r="R52" s="20" t="s">
        <v>81</v>
      </c>
      <c r="S52" s="20"/>
      <c r="T52" s="20"/>
      <c r="U52" s="20" t="s">
        <v>81</v>
      </c>
      <c r="V52" s="20" t="s">
        <v>81</v>
      </c>
      <c r="W52" s="20">
        <v>1</v>
      </c>
      <c r="X52" s="21" t="s">
        <v>37</v>
      </c>
      <c r="Y52" s="5"/>
      <c r="Z52" s="5" t="s">
        <v>38</v>
      </c>
      <c r="AA52" s="5"/>
      <c r="AB52" s="5" t="str">
        <f>IF(LEN('List chi tiet'!$B$3)=0,"",'List chi tiet'!$B$3)</f>
        <v>TCTN.DNS-26004</v>
      </c>
      <c r="AC52" s="5" t="s">
        <v>119</v>
      </c>
      <c r="AD52" s="5" t="s">
        <v>39</v>
      </c>
    </row>
    <row r="53" spans="1:30" hidden="1" x14ac:dyDescent="0.25">
      <c r="A53" s="5">
        <v>43</v>
      </c>
      <c r="B53" s="5" t="s">
        <v>121</v>
      </c>
      <c r="C53" s="5">
        <v>6</v>
      </c>
      <c r="D53" s="5">
        <v>328</v>
      </c>
      <c r="E53" s="5">
        <v>934</v>
      </c>
      <c r="F53" s="5" t="s">
        <v>77</v>
      </c>
      <c r="G53" s="5" t="s">
        <v>746</v>
      </c>
      <c r="H53" s="5">
        <v>1</v>
      </c>
      <c r="I53" s="5">
        <v>14.43</v>
      </c>
      <c r="J53" s="5" t="s">
        <v>839</v>
      </c>
      <c r="K53" s="5" t="s">
        <v>812</v>
      </c>
      <c r="L53" s="5"/>
      <c r="M53" s="5" t="s">
        <v>747</v>
      </c>
      <c r="N53" s="5"/>
      <c r="O53" s="20"/>
      <c r="P53" s="20" t="str">
        <f t="shared" si="0"/>
        <v/>
      </c>
      <c r="Q53" s="20"/>
      <c r="R53" s="20" t="s">
        <v>81</v>
      </c>
      <c r="S53" s="20"/>
      <c r="T53" s="20"/>
      <c r="U53" s="20" t="s">
        <v>81</v>
      </c>
      <c r="V53" s="20"/>
      <c r="W53" s="20">
        <v>1</v>
      </c>
      <c r="X53" s="21" t="s">
        <v>37</v>
      </c>
      <c r="Y53" s="5"/>
      <c r="Z53" s="5" t="s">
        <v>38</v>
      </c>
      <c r="AA53" s="5"/>
      <c r="AB53" s="5" t="str">
        <f>IF(LEN('List chi tiet'!$B$3)=0,"",'List chi tiet'!$B$3)</f>
        <v>TCTN.DNS-26004</v>
      </c>
      <c r="AC53" s="5" t="s">
        <v>119</v>
      </c>
      <c r="AD53" s="5" t="s">
        <v>39</v>
      </c>
    </row>
    <row r="54" spans="1:30" hidden="1" x14ac:dyDescent="0.25">
      <c r="A54" s="5">
        <v>44</v>
      </c>
      <c r="B54" s="5" t="s">
        <v>123</v>
      </c>
      <c r="C54" s="5">
        <v>6</v>
      </c>
      <c r="D54" s="5">
        <v>298</v>
      </c>
      <c r="E54" s="5">
        <v>378</v>
      </c>
      <c r="F54" s="5" t="s">
        <v>77</v>
      </c>
      <c r="G54" s="5" t="s">
        <v>746</v>
      </c>
      <c r="H54" s="5">
        <v>1</v>
      </c>
      <c r="I54" s="5">
        <v>5.27</v>
      </c>
      <c r="J54" s="5" t="s">
        <v>839</v>
      </c>
      <c r="K54" s="5" t="s">
        <v>812</v>
      </c>
      <c r="L54" s="5"/>
      <c r="M54" s="5" t="s">
        <v>747</v>
      </c>
      <c r="N54" s="5"/>
      <c r="O54" s="20"/>
      <c r="P54" s="20" t="str">
        <f t="shared" si="0"/>
        <v/>
      </c>
      <c r="Q54" s="20" t="s">
        <v>26</v>
      </c>
      <c r="R54" s="20" t="s">
        <v>81</v>
      </c>
      <c r="S54" s="20"/>
      <c r="T54" s="20"/>
      <c r="U54" s="20"/>
      <c r="V54" s="20"/>
      <c r="W54" s="20">
        <v>1</v>
      </c>
      <c r="X54" s="21" t="s">
        <v>37</v>
      </c>
      <c r="Y54" s="5"/>
      <c r="Z54" s="5" t="s">
        <v>38</v>
      </c>
      <c r="AA54" s="5"/>
      <c r="AB54" s="5" t="str">
        <f>IF(LEN('List chi tiet'!$B$3)=0,"",'List chi tiet'!$B$3)</f>
        <v>TCTN.DNS-26004</v>
      </c>
      <c r="AC54" s="5" t="s">
        <v>119</v>
      </c>
      <c r="AD54" s="5" t="s">
        <v>39</v>
      </c>
    </row>
    <row r="55" spans="1:30" hidden="1" x14ac:dyDescent="0.25">
      <c r="A55" s="5">
        <v>45</v>
      </c>
      <c r="B55" s="5" t="s">
        <v>124</v>
      </c>
      <c r="C55" s="5">
        <v>6</v>
      </c>
      <c r="D55" s="5">
        <v>328</v>
      </c>
      <c r="E55" s="5">
        <v>1672</v>
      </c>
      <c r="F55" s="5" t="s">
        <v>77</v>
      </c>
      <c r="G55" s="5" t="s">
        <v>746</v>
      </c>
      <c r="H55" s="5">
        <v>2</v>
      </c>
      <c r="I55" s="5">
        <v>48.91</v>
      </c>
      <c r="J55" s="5" t="s">
        <v>839</v>
      </c>
      <c r="K55" s="5" t="s">
        <v>812</v>
      </c>
      <c r="L55" s="5"/>
      <c r="M55" s="5" t="s">
        <v>747</v>
      </c>
      <c r="N55" s="5"/>
      <c r="O55" s="20"/>
      <c r="P55" s="20" t="str">
        <f t="shared" si="0"/>
        <v/>
      </c>
      <c r="Q55" s="20"/>
      <c r="R55" s="20" t="s">
        <v>81</v>
      </c>
      <c r="S55" s="20"/>
      <c r="T55" s="20"/>
      <c r="U55" s="20" t="s">
        <v>81</v>
      </c>
      <c r="V55" s="20" t="s">
        <v>81</v>
      </c>
      <c r="W55" s="20">
        <v>1</v>
      </c>
      <c r="X55" s="21" t="s">
        <v>37</v>
      </c>
      <c r="Y55" s="5"/>
      <c r="Z55" s="5" t="s">
        <v>38</v>
      </c>
      <c r="AA55" s="5"/>
      <c r="AB55" s="5" t="str">
        <f>IF(LEN('List chi tiet'!$B$3)=0,"",'List chi tiet'!$B$3)</f>
        <v>TCTN.DNS-26004</v>
      </c>
      <c r="AC55" s="5" t="s">
        <v>125</v>
      </c>
      <c r="AD55" s="5" t="s">
        <v>39</v>
      </c>
    </row>
    <row r="56" spans="1:30" hidden="1" x14ac:dyDescent="0.25">
      <c r="A56" s="5">
        <v>46</v>
      </c>
      <c r="B56" s="5" t="s">
        <v>127</v>
      </c>
      <c r="C56" s="5">
        <v>6</v>
      </c>
      <c r="D56" s="5">
        <v>328</v>
      </c>
      <c r="E56" s="5">
        <v>1718</v>
      </c>
      <c r="F56" s="5" t="s">
        <v>77</v>
      </c>
      <c r="G56" s="5" t="s">
        <v>746</v>
      </c>
      <c r="H56" s="5">
        <v>8</v>
      </c>
      <c r="I56" s="5">
        <v>200.91</v>
      </c>
      <c r="J56" s="5" t="s">
        <v>839</v>
      </c>
      <c r="K56" s="5" t="s">
        <v>812</v>
      </c>
      <c r="L56" s="5"/>
      <c r="M56" s="5" t="s">
        <v>747</v>
      </c>
      <c r="N56" s="5"/>
      <c r="O56" s="20"/>
      <c r="P56" s="20" t="str">
        <f t="shared" si="0"/>
        <v/>
      </c>
      <c r="Q56" s="20"/>
      <c r="R56" s="20" t="s">
        <v>81</v>
      </c>
      <c r="S56" s="20"/>
      <c r="T56" s="20"/>
      <c r="U56" s="20" t="s">
        <v>81</v>
      </c>
      <c r="V56" s="20" t="s">
        <v>81</v>
      </c>
      <c r="W56" s="20">
        <v>1</v>
      </c>
      <c r="X56" s="21" t="s">
        <v>37</v>
      </c>
      <c r="Y56" s="5"/>
      <c r="Z56" s="5" t="s">
        <v>38</v>
      </c>
      <c r="AA56" s="5"/>
      <c r="AB56" s="5" t="str">
        <f>IF(LEN('List chi tiet'!$B$3)=0,"",'List chi tiet'!$B$3)</f>
        <v>TCTN.DNS-26004</v>
      </c>
      <c r="AC56" s="5" t="s">
        <v>125</v>
      </c>
      <c r="AD56" s="5" t="s">
        <v>39</v>
      </c>
    </row>
    <row r="57" spans="1:30" hidden="1" x14ac:dyDescent="0.25">
      <c r="A57" s="5">
        <v>47</v>
      </c>
      <c r="B57" s="5" t="s">
        <v>118</v>
      </c>
      <c r="C57" s="5">
        <v>6</v>
      </c>
      <c r="D57" s="5">
        <v>328</v>
      </c>
      <c r="E57" s="5">
        <v>1729</v>
      </c>
      <c r="F57" s="5" t="s">
        <v>77</v>
      </c>
      <c r="G57" s="5" t="s">
        <v>746</v>
      </c>
      <c r="H57" s="5">
        <v>7</v>
      </c>
      <c r="I57" s="5">
        <v>176.89</v>
      </c>
      <c r="J57" s="5" t="s">
        <v>839</v>
      </c>
      <c r="K57" s="5" t="s">
        <v>812</v>
      </c>
      <c r="L57" s="5"/>
      <c r="M57" s="5" t="s">
        <v>747</v>
      </c>
      <c r="N57" s="5"/>
      <c r="O57" s="20"/>
      <c r="P57" s="20" t="str">
        <f t="shared" si="0"/>
        <v/>
      </c>
      <c r="Q57" s="20"/>
      <c r="R57" s="20" t="s">
        <v>81</v>
      </c>
      <c r="S57" s="20"/>
      <c r="T57" s="20"/>
      <c r="U57" s="20" t="s">
        <v>81</v>
      </c>
      <c r="V57" s="20" t="s">
        <v>81</v>
      </c>
      <c r="W57" s="20">
        <v>1</v>
      </c>
      <c r="X57" s="21" t="s">
        <v>37</v>
      </c>
      <c r="Y57" s="5"/>
      <c r="Z57" s="5" t="s">
        <v>38</v>
      </c>
      <c r="AA57" s="5"/>
      <c r="AB57" s="5" t="str">
        <f>IF(LEN('List chi tiet'!$B$3)=0,"",'List chi tiet'!$B$3)</f>
        <v>TCTN.DNS-26004</v>
      </c>
      <c r="AC57" s="5" t="s">
        <v>125</v>
      </c>
      <c r="AD57" s="5" t="s">
        <v>39</v>
      </c>
    </row>
    <row r="58" spans="1:30" hidden="1" x14ac:dyDescent="0.25">
      <c r="A58" s="5">
        <v>48</v>
      </c>
      <c r="B58" s="5" t="s">
        <v>112</v>
      </c>
      <c r="C58" s="5">
        <v>6</v>
      </c>
      <c r="D58" s="5">
        <v>328</v>
      </c>
      <c r="E58" s="5">
        <v>1718</v>
      </c>
      <c r="F58" s="5" t="s">
        <v>77</v>
      </c>
      <c r="G58" s="5" t="s">
        <v>746</v>
      </c>
      <c r="H58" s="5">
        <v>7</v>
      </c>
      <c r="I58" s="5">
        <v>175.79</v>
      </c>
      <c r="J58" s="5" t="s">
        <v>839</v>
      </c>
      <c r="K58" s="5" t="s">
        <v>812</v>
      </c>
      <c r="L58" s="5"/>
      <c r="M58" s="5" t="s">
        <v>747</v>
      </c>
      <c r="N58" s="5"/>
      <c r="O58" s="20"/>
      <c r="P58" s="20" t="str">
        <f t="shared" si="0"/>
        <v/>
      </c>
      <c r="Q58" s="20"/>
      <c r="R58" s="20" t="s">
        <v>81</v>
      </c>
      <c r="S58" s="20"/>
      <c r="T58" s="20"/>
      <c r="U58" s="20" t="s">
        <v>81</v>
      </c>
      <c r="V58" s="20" t="s">
        <v>81</v>
      </c>
      <c r="W58" s="20">
        <v>1</v>
      </c>
      <c r="X58" s="21" t="s">
        <v>37</v>
      </c>
      <c r="Y58" s="5"/>
      <c r="Z58" s="5" t="s">
        <v>38</v>
      </c>
      <c r="AA58" s="5"/>
      <c r="AB58" s="5" t="str">
        <f>IF(LEN('List chi tiet'!$B$3)=0,"",'List chi tiet'!$B$3)</f>
        <v>TCTN.DNS-26004</v>
      </c>
      <c r="AC58" s="5" t="s">
        <v>125</v>
      </c>
      <c r="AD58" s="5" t="s">
        <v>39</v>
      </c>
    </row>
    <row r="59" spans="1:30" hidden="1" x14ac:dyDescent="0.25">
      <c r="A59" s="5">
        <v>49</v>
      </c>
      <c r="B59" s="5" t="s">
        <v>121</v>
      </c>
      <c r="C59" s="5">
        <v>6</v>
      </c>
      <c r="D59" s="5">
        <v>328</v>
      </c>
      <c r="E59" s="5">
        <v>934</v>
      </c>
      <c r="F59" s="5" t="s">
        <v>77</v>
      </c>
      <c r="G59" s="5" t="s">
        <v>746</v>
      </c>
      <c r="H59" s="5">
        <v>8</v>
      </c>
      <c r="I59" s="5">
        <v>115.43</v>
      </c>
      <c r="J59" s="5" t="s">
        <v>839</v>
      </c>
      <c r="K59" s="5" t="s">
        <v>812</v>
      </c>
      <c r="L59" s="5"/>
      <c r="M59" s="5" t="s">
        <v>747</v>
      </c>
      <c r="N59" s="5"/>
      <c r="O59" s="20"/>
      <c r="P59" s="20" t="str">
        <f t="shared" si="0"/>
        <v/>
      </c>
      <c r="Q59" s="20"/>
      <c r="R59" s="20" t="s">
        <v>81</v>
      </c>
      <c r="S59" s="20"/>
      <c r="T59" s="20"/>
      <c r="U59" s="20" t="s">
        <v>81</v>
      </c>
      <c r="V59" s="20"/>
      <c r="W59" s="20">
        <v>1</v>
      </c>
      <c r="X59" s="21" t="s">
        <v>37</v>
      </c>
      <c r="Y59" s="5"/>
      <c r="Z59" s="5" t="s">
        <v>38</v>
      </c>
      <c r="AA59" s="5"/>
      <c r="AB59" s="5" t="str">
        <f>IF(LEN('List chi tiet'!$B$3)=0,"",'List chi tiet'!$B$3)</f>
        <v>TCTN.DNS-26004</v>
      </c>
      <c r="AC59" s="5" t="s">
        <v>125</v>
      </c>
      <c r="AD59" s="5" t="s">
        <v>39</v>
      </c>
    </row>
    <row r="60" spans="1:30" hidden="1" x14ac:dyDescent="0.25">
      <c r="A60" s="5">
        <v>50</v>
      </c>
      <c r="B60" s="5" t="s">
        <v>116</v>
      </c>
      <c r="C60" s="5">
        <v>6</v>
      </c>
      <c r="D60" s="5">
        <v>298</v>
      </c>
      <c r="E60" s="5">
        <v>378</v>
      </c>
      <c r="F60" s="5" t="s">
        <v>77</v>
      </c>
      <c r="G60" s="5" t="s">
        <v>746</v>
      </c>
      <c r="H60" s="5">
        <v>1</v>
      </c>
      <c r="I60" s="5">
        <v>5.27</v>
      </c>
      <c r="J60" s="5" t="s">
        <v>839</v>
      </c>
      <c r="K60" s="5" t="s">
        <v>812</v>
      </c>
      <c r="L60" s="5"/>
      <c r="M60" s="5" t="s">
        <v>747</v>
      </c>
      <c r="N60" s="5"/>
      <c r="O60" s="20"/>
      <c r="P60" s="20" t="str">
        <f t="shared" si="0"/>
        <v/>
      </c>
      <c r="Q60" s="20" t="s">
        <v>26</v>
      </c>
      <c r="R60" s="20" t="s">
        <v>81</v>
      </c>
      <c r="S60" s="20"/>
      <c r="T60" s="20"/>
      <c r="U60" s="20"/>
      <c r="V60" s="20"/>
      <c r="W60" s="20">
        <v>1</v>
      </c>
      <c r="X60" s="21" t="s">
        <v>37</v>
      </c>
      <c r="Y60" s="5"/>
      <c r="Z60" s="5" t="s">
        <v>38</v>
      </c>
      <c r="AA60" s="5"/>
      <c r="AB60" s="5" t="str">
        <f>IF(LEN('List chi tiet'!$B$3)=0,"",'List chi tiet'!$B$3)</f>
        <v>TCTN.DNS-26004</v>
      </c>
      <c r="AC60" s="5" t="s">
        <v>125</v>
      </c>
      <c r="AD60" s="5" t="s">
        <v>39</v>
      </c>
    </row>
    <row r="61" spans="1:30" hidden="1" x14ac:dyDescent="0.25">
      <c r="A61" s="5">
        <v>51</v>
      </c>
      <c r="B61" s="5" t="s">
        <v>128</v>
      </c>
      <c r="C61" s="5">
        <v>6</v>
      </c>
      <c r="D61" s="5">
        <v>188</v>
      </c>
      <c r="E61" s="5">
        <v>2493</v>
      </c>
      <c r="F61" s="5" t="s">
        <v>77</v>
      </c>
      <c r="G61" s="5" t="s">
        <v>746</v>
      </c>
      <c r="H61" s="5">
        <v>4</v>
      </c>
      <c r="I61" s="5">
        <v>86.83</v>
      </c>
      <c r="J61" s="5" t="s">
        <v>839</v>
      </c>
      <c r="K61" s="5" t="s">
        <v>812</v>
      </c>
      <c r="L61" s="5"/>
      <c r="M61" s="5" t="s">
        <v>747</v>
      </c>
      <c r="N61" s="5"/>
      <c r="O61" s="20"/>
      <c r="P61" s="20" t="str">
        <f t="shared" si="0"/>
        <v/>
      </c>
      <c r="Q61" s="20"/>
      <c r="R61" s="20" t="s">
        <v>81</v>
      </c>
      <c r="S61" s="20"/>
      <c r="T61" s="20"/>
      <c r="U61" s="20" t="s">
        <v>81</v>
      </c>
      <c r="V61" s="20" t="s">
        <v>81</v>
      </c>
      <c r="W61" s="20">
        <v>1</v>
      </c>
      <c r="X61" s="21" t="s">
        <v>37</v>
      </c>
      <c r="Y61" s="5"/>
      <c r="Z61" s="5" t="s">
        <v>38</v>
      </c>
      <c r="AA61" s="5"/>
      <c r="AB61" s="5" t="str">
        <f>IF(LEN('List chi tiet'!$B$3)=0,"",'List chi tiet'!$B$3)</f>
        <v>TCTN.DNS-26004</v>
      </c>
      <c r="AC61" s="5" t="s">
        <v>130</v>
      </c>
      <c r="AD61" s="5" t="s">
        <v>39</v>
      </c>
    </row>
    <row r="62" spans="1:30" hidden="1" x14ac:dyDescent="0.25">
      <c r="A62" s="5">
        <v>52</v>
      </c>
      <c r="B62" s="5" t="s">
        <v>132</v>
      </c>
      <c r="C62" s="5">
        <v>6</v>
      </c>
      <c r="D62" s="5">
        <v>188</v>
      </c>
      <c r="E62" s="5">
        <v>2494</v>
      </c>
      <c r="F62" s="5" t="s">
        <v>77</v>
      </c>
      <c r="G62" s="5" t="s">
        <v>746</v>
      </c>
      <c r="H62" s="5">
        <v>4</v>
      </c>
      <c r="I62" s="5">
        <v>86.84</v>
      </c>
      <c r="J62" s="5" t="s">
        <v>839</v>
      </c>
      <c r="K62" s="5" t="s">
        <v>812</v>
      </c>
      <c r="L62" s="5"/>
      <c r="M62" s="5" t="s">
        <v>747</v>
      </c>
      <c r="N62" s="5"/>
      <c r="O62" s="20"/>
      <c r="P62" s="20" t="str">
        <f t="shared" si="0"/>
        <v/>
      </c>
      <c r="Q62" s="20"/>
      <c r="R62" s="20" t="s">
        <v>81</v>
      </c>
      <c r="S62" s="20"/>
      <c r="T62" s="20"/>
      <c r="U62" s="20" t="s">
        <v>81</v>
      </c>
      <c r="V62" s="20" t="s">
        <v>81</v>
      </c>
      <c r="W62" s="20">
        <v>1</v>
      </c>
      <c r="X62" s="21" t="s">
        <v>37</v>
      </c>
      <c r="Y62" s="5"/>
      <c r="Z62" s="5" t="s">
        <v>38</v>
      </c>
      <c r="AA62" s="5"/>
      <c r="AB62" s="5" t="str">
        <f>IF(LEN('List chi tiet'!$B$3)=0,"",'List chi tiet'!$B$3)</f>
        <v>TCTN.DNS-26004</v>
      </c>
      <c r="AC62" s="5" t="s">
        <v>130</v>
      </c>
      <c r="AD62" s="5" t="s">
        <v>39</v>
      </c>
    </row>
    <row r="63" spans="1:30" hidden="1" x14ac:dyDescent="0.25">
      <c r="A63" s="5">
        <v>53</v>
      </c>
      <c r="B63" s="5" t="s">
        <v>134</v>
      </c>
      <c r="C63" s="5">
        <v>6</v>
      </c>
      <c r="D63" s="5">
        <v>188</v>
      </c>
      <c r="E63" s="5">
        <v>2491</v>
      </c>
      <c r="F63" s="5" t="s">
        <v>77</v>
      </c>
      <c r="G63" s="5" t="s">
        <v>746</v>
      </c>
      <c r="H63" s="5">
        <v>12</v>
      </c>
      <c r="I63" s="5">
        <v>260.32</v>
      </c>
      <c r="J63" s="5" t="s">
        <v>839</v>
      </c>
      <c r="K63" s="5" t="s">
        <v>812</v>
      </c>
      <c r="L63" s="5"/>
      <c r="M63" s="5" t="s">
        <v>747</v>
      </c>
      <c r="N63" s="5"/>
      <c r="O63" s="20"/>
      <c r="P63" s="20" t="str">
        <f t="shared" si="0"/>
        <v/>
      </c>
      <c r="Q63" s="20"/>
      <c r="R63" s="20" t="s">
        <v>81</v>
      </c>
      <c r="S63" s="20"/>
      <c r="T63" s="20"/>
      <c r="U63" s="20" t="s">
        <v>81</v>
      </c>
      <c r="V63" s="20" t="s">
        <v>81</v>
      </c>
      <c r="W63" s="20">
        <v>1</v>
      </c>
      <c r="X63" s="21" t="s">
        <v>37</v>
      </c>
      <c r="Y63" s="5"/>
      <c r="Z63" s="5" t="s">
        <v>38</v>
      </c>
      <c r="AA63" s="5"/>
      <c r="AB63" s="5" t="str">
        <f>IF(LEN('List chi tiet'!$B$3)=0,"",'List chi tiet'!$B$3)</f>
        <v>TCTN.DNS-26004</v>
      </c>
      <c r="AC63" s="5" t="s">
        <v>130</v>
      </c>
      <c r="AD63" s="5" t="s">
        <v>39</v>
      </c>
    </row>
    <row r="64" spans="1:30" hidden="1" x14ac:dyDescent="0.25">
      <c r="A64" s="5">
        <v>54</v>
      </c>
      <c r="B64" s="5" t="s">
        <v>136</v>
      </c>
      <c r="C64" s="5">
        <v>6</v>
      </c>
      <c r="D64" s="5">
        <v>188</v>
      </c>
      <c r="E64" s="5">
        <v>2493</v>
      </c>
      <c r="F64" s="5" t="s">
        <v>77</v>
      </c>
      <c r="G64" s="5" t="s">
        <v>746</v>
      </c>
      <c r="H64" s="5">
        <v>4</v>
      </c>
      <c r="I64" s="5">
        <v>86.83</v>
      </c>
      <c r="J64" s="5" t="s">
        <v>839</v>
      </c>
      <c r="K64" s="5" t="s">
        <v>812</v>
      </c>
      <c r="L64" s="5"/>
      <c r="M64" s="5" t="s">
        <v>747</v>
      </c>
      <c r="N64" s="5"/>
      <c r="O64" s="20"/>
      <c r="P64" s="20" t="str">
        <f t="shared" si="0"/>
        <v/>
      </c>
      <c r="Q64" s="20"/>
      <c r="R64" s="20" t="s">
        <v>81</v>
      </c>
      <c r="S64" s="20"/>
      <c r="T64" s="20"/>
      <c r="U64" s="20" t="s">
        <v>81</v>
      </c>
      <c r="V64" s="20" t="s">
        <v>81</v>
      </c>
      <c r="W64" s="20">
        <v>1</v>
      </c>
      <c r="X64" s="21" t="s">
        <v>37</v>
      </c>
      <c r="Y64" s="5"/>
      <c r="Z64" s="5" t="s">
        <v>38</v>
      </c>
      <c r="AA64" s="5"/>
      <c r="AB64" s="5" t="str">
        <f>IF(LEN('List chi tiet'!$B$3)=0,"",'List chi tiet'!$B$3)</f>
        <v>TCTN.DNS-26004</v>
      </c>
      <c r="AC64" s="5" t="s">
        <v>130</v>
      </c>
      <c r="AD64" s="5" t="s">
        <v>39</v>
      </c>
    </row>
    <row r="65" spans="1:30" hidden="1" x14ac:dyDescent="0.25">
      <c r="A65" s="5">
        <v>55</v>
      </c>
      <c r="B65" s="5" t="s">
        <v>137</v>
      </c>
      <c r="C65" s="5">
        <v>6</v>
      </c>
      <c r="D65" s="5">
        <v>188</v>
      </c>
      <c r="E65" s="5">
        <v>2494</v>
      </c>
      <c r="F65" s="5" t="s">
        <v>77</v>
      </c>
      <c r="G65" s="5" t="s">
        <v>746</v>
      </c>
      <c r="H65" s="5">
        <v>4</v>
      </c>
      <c r="I65" s="5">
        <v>86.84</v>
      </c>
      <c r="J65" s="5" t="s">
        <v>839</v>
      </c>
      <c r="K65" s="5" t="s">
        <v>812</v>
      </c>
      <c r="L65" s="5"/>
      <c r="M65" s="5" t="s">
        <v>747</v>
      </c>
      <c r="N65" s="5"/>
      <c r="O65" s="20"/>
      <c r="P65" s="20" t="str">
        <f t="shared" si="0"/>
        <v/>
      </c>
      <c r="Q65" s="20"/>
      <c r="R65" s="20" t="s">
        <v>81</v>
      </c>
      <c r="S65" s="20"/>
      <c r="T65" s="20"/>
      <c r="U65" s="20" t="s">
        <v>81</v>
      </c>
      <c r="V65" s="20" t="s">
        <v>81</v>
      </c>
      <c r="W65" s="20">
        <v>1</v>
      </c>
      <c r="X65" s="21" t="s">
        <v>37</v>
      </c>
      <c r="Y65" s="5"/>
      <c r="Z65" s="5" t="s">
        <v>38</v>
      </c>
      <c r="AA65" s="5"/>
      <c r="AB65" s="5" t="str">
        <f>IF(LEN('List chi tiet'!$B$3)=0,"",'List chi tiet'!$B$3)</f>
        <v>TCTN.DNS-26004</v>
      </c>
      <c r="AC65" s="5" t="s">
        <v>130</v>
      </c>
      <c r="AD65" s="5" t="s">
        <v>39</v>
      </c>
    </row>
    <row r="66" spans="1:30" hidden="1" x14ac:dyDescent="0.25">
      <c r="A66" s="5">
        <v>56</v>
      </c>
      <c r="B66" s="5" t="s">
        <v>138</v>
      </c>
      <c r="C66" s="5">
        <v>6</v>
      </c>
      <c r="D66" s="5">
        <v>328</v>
      </c>
      <c r="E66" s="5">
        <v>934</v>
      </c>
      <c r="F66" s="5" t="s">
        <v>77</v>
      </c>
      <c r="G66" s="5" t="s">
        <v>746</v>
      </c>
      <c r="H66" s="5">
        <v>4</v>
      </c>
      <c r="I66" s="5">
        <v>57.72</v>
      </c>
      <c r="J66" s="5" t="s">
        <v>839</v>
      </c>
      <c r="K66" s="5" t="s">
        <v>812</v>
      </c>
      <c r="L66" s="5"/>
      <c r="M66" s="5" t="s">
        <v>747</v>
      </c>
      <c r="N66" s="5"/>
      <c r="O66" s="20"/>
      <c r="P66" s="20" t="str">
        <f t="shared" si="0"/>
        <v/>
      </c>
      <c r="Q66" s="20"/>
      <c r="R66" s="20" t="s">
        <v>81</v>
      </c>
      <c r="S66" s="20"/>
      <c r="T66" s="20"/>
      <c r="U66" s="20" t="s">
        <v>81</v>
      </c>
      <c r="V66" s="20"/>
      <c r="W66" s="20">
        <v>1</v>
      </c>
      <c r="X66" s="21" t="s">
        <v>37</v>
      </c>
      <c r="Y66" s="5"/>
      <c r="Z66" s="5" t="s">
        <v>38</v>
      </c>
      <c r="AA66" s="5"/>
      <c r="AB66" s="5" t="str">
        <f>IF(LEN('List chi tiet'!$B$3)=0,"",'List chi tiet'!$B$3)</f>
        <v>TCTN.DNS-26004</v>
      </c>
      <c r="AC66" s="5" t="s">
        <v>130</v>
      </c>
      <c r="AD66" s="5" t="s">
        <v>39</v>
      </c>
    </row>
    <row r="67" spans="1:30" hidden="1" x14ac:dyDescent="0.25">
      <c r="A67" s="5">
        <v>57</v>
      </c>
      <c r="B67" s="5" t="s">
        <v>139</v>
      </c>
      <c r="C67" s="5">
        <v>6</v>
      </c>
      <c r="D67" s="5">
        <v>328</v>
      </c>
      <c r="E67" s="5">
        <v>934</v>
      </c>
      <c r="F67" s="5" t="s">
        <v>77</v>
      </c>
      <c r="G67" s="5" t="s">
        <v>746</v>
      </c>
      <c r="H67" s="5">
        <v>4</v>
      </c>
      <c r="I67" s="5">
        <v>57.72</v>
      </c>
      <c r="J67" s="5" t="s">
        <v>839</v>
      </c>
      <c r="K67" s="5" t="s">
        <v>812</v>
      </c>
      <c r="L67" s="5"/>
      <c r="M67" s="5" t="s">
        <v>747</v>
      </c>
      <c r="N67" s="5"/>
      <c r="O67" s="20"/>
      <c r="P67" s="20" t="str">
        <f t="shared" si="0"/>
        <v/>
      </c>
      <c r="Q67" s="20"/>
      <c r="R67" s="20" t="s">
        <v>81</v>
      </c>
      <c r="S67" s="20"/>
      <c r="T67" s="20"/>
      <c r="U67" s="20" t="s">
        <v>81</v>
      </c>
      <c r="V67" s="20"/>
      <c r="W67" s="20">
        <v>1</v>
      </c>
      <c r="X67" s="21" t="s">
        <v>37</v>
      </c>
      <c r="Y67" s="5"/>
      <c r="Z67" s="5" t="s">
        <v>38</v>
      </c>
      <c r="AA67" s="5"/>
      <c r="AB67" s="5" t="str">
        <f>IF(LEN('List chi tiet'!$B$3)=0,"",'List chi tiet'!$B$3)</f>
        <v>TCTN.DNS-26004</v>
      </c>
      <c r="AC67" s="5" t="s">
        <v>130</v>
      </c>
      <c r="AD67" s="5" t="s">
        <v>39</v>
      </c>
    </row>
    <row r="68" spans="1:30" hidden="1" x14ac:dyDescent="0.25">
      <c r="A68" s="5">
        <v>58</v>
      </c>
      <c r="B68" s="5" t="s">
        <v>140</v>
      </c>
      <c r="C68" s="5">
        <v>6</v>
      </c>
      <c r="D68" s="5">
        <v>188</v>
      </c>
      <c r="E68" s="5">
        <v>2491</v>
      </c>
      <c r="F68" s="5" t="s">
        <v>77</v>
      </c>
      <c r="G68" s="5" t="s">
        <v>746</v>
      </c>
      <c r="H68" s="5">
        <v>18</v>
      </c>
      <c r="I68" s="5">
        <v>390.49</v>
      </c>
      <c r="J68" s="5" t="s">
        <v>839</v>
      </c>
      <c r="K68" s="5" t="s">
        <v>812</v>
      </c>
      <c r="L68" s="5"/>
      <c r="M68" s="5" t="s">
        <v>747</v>
      </c>
      <c r="N68" s="5"/>
      <c r="O68" s="20"/>
      <c r="P68" s="20" t="str">
        <f t="shared" si="0"/>
        <v/>
      </c>
      <c r="Q68" s="20"/>
      <c r="R68" s="20" t="s">
        <v>81</v>
      </c>
      <c r="S68" s="20"/>
      <c r="T68" s="20"/>
      <c r="U68" s="20" t="s">
        <v>81</v>
      </c>
      <c r="V68" s="20" t="s">
        <v>81</v>
      </c>
      <c r="W68" s="20">
        <v>1</v>
      </c>
      <c r="X68" s="21" t="s">
        <v>37</v>
      </c>
      <c r="Y68" s="5"/>
      <c r="Z68" s="5" t="s">
        <v>38</v>
      </c>
      <c r="AA68" s="5"/>
      <c r="AB68" s="5" t="str">
        <f>IF(LEN('List chi tiet'!$B$3)=0,"",'List chi tiet'!$B$3)</f>
        <v>TCTN.DNS-26004</v>
      </c>
      <c r="AC68" s="5" t="s">
        <v>141</v>
      </c>
      <c r="AD68" s="5" t="s">
        <v>39</v>
      </c>
    </row>
    <row r="69" spans="1:30" hidden="1" x14ac:dyDescent="0.25">
      <c r="A69" s="5">
        <v>59</v>
      </c>
      <c r="B69" s="5" t="s">
        <v>134</v>
      </c>
      <c r="C69" s="5">
        <v>6</v>
      </c>
      <c r="D69" s="5">
        <v>188</v>
      </c>
      <c r="E69" s="5">
        <v>2491</v>
      </c>
      <c r="F69" s="5" t="s">
        <v>77</v>
      </c>
      <c r="G69" s="5" t="s">
        <v>746</v>
      </c>
      <c r="H69" s="5">
        <v>6</v>
      </c>
      <c r="I69" s="5">
        <v>130.16</v>
      </c>
      <c r="J69" s="5" t="s">
        <v>839</v>
      </c>
      <c r="K69" s="5" t="s">
        <v>812</v>
      </c>
      <c r="L69" s="5"/>
      <c r="M69" s="5" t="s">
        <v>747</v>
      </c>
      <c r="N69" s="5"/>
      <c r="O69" s="20"/>
      <c r="P69" s="20" t="str">
        <f t="shared" si="0"/>
        <v/>
      </c>
      <c r="Q69" s="20"/>
      <c r="R69" s="20" t="s">
        <v>81</v>
      </c>
      <c r="S69" s="20"/>
      <c r="T69" s="20"/>
      <c r="U69" s="20" t="s">
        <v>81</v>
      </c>
      <c r="V69" s="20" t="s">
        <v>81</v>
      </c>
      <c r="W69" s="20">
        <v>1</v>
      </c>
      <c r="X69" s="21" t="s">
        <v>37</v>
      </c>
      <c r="Y69" s="5"/>
      <c r="Z69" s="5" t="s">
        <v>38</v>
      </c>
      <c r="AA69" s="5"/>
      <c r="AB69" s="5" t="str">
        <f>IF(LEN('List chi tiet'!$B$3)=0,"",'List chi tiet'!$B$3)</f>
        <v>TCTN.DNS-26004</v>
      </c>
      <c r="AC69" s="5" t="s">
        <v>141</v>
      </c>
      <c r="AD69" s="5" t="s">
        <v>39</v>
      </c>
    </row>
    <row r="70" spans="1:30" hidden="1" x14ac:dyDescent="0.25">
      <c r="A70" s="5">
        <v>60</v>
      </c>
      <c r="B70" s="5" t="s">
        <v>143</v>
      </c>
      <c r="C70" s="5">
        <v>6</v>
      </c>
      <c r="D70" s="5">
        <v>188</v>
      </c>
      <c r="E70" s="5">
        <v>2491</v>
      </c>
      <c r="F70" s="5" t="s">
        <v>77</v>
      </c>
      <c r="G70" s="5" t="s">
        <v>746</v>
      </c>
      <c r="H70" s="5">
        <v>4</v>
      </c>
      <c r="I70" s="5">
        <v>86.77</v>
      </c>
      <c r="J70" s="5" t="s">
        <v>839</v>
      </c>
      <c r="K70" s="5" t="s">
        <v>812</v>
      </c>
      <c r="L70" s="5"/>
      <c r="M70" s="5" t="s">
        <v>747</v>
      </c>
      <c r="N70" s="5"/>
      <c r="O70" s="20"/>
      <c r="P70" s="20" t="str">
        <f t="shared" si="0"/>
        <v/>
      </c>
      <c r="Q70" s="20"/>
      <c r="R70" s="20" t="s">
        <v>81</v>
      </c>
      <c r="S70" s="20"/>
      <c r="T70" s="20"/>
      <c r="U70" s="20" t="s">
        <v>81</v>
      </c>
      <c r="V70" s="20" t="s">
        <v>81</v>
      </c>
      <c r="W70" s="20">
        <v>1</v>
      </c>
      <c r="X70" s="21" t="s">
        <v>37</v>
      </c>
      <c r="Y70" s="5"/>
      <c r="Z70" s="5" t="s">
        <v>38</v>
      </c>
      <c r="AA70" s="5"/>
      <c r="AB70" s="5" t="str">
        <f>IF(LEN('List chi tiet'!$B$3)=0,"",'List chi tiet'!$B$3)</f>
        <v>TCTN.DNS-26004</v>
      </c>
      <c r="AC70" s="5" t="s">
        <v>141</v>
      </c>
      <c r="AD70" s="5" t="s">
        <v>39</v>
      </c>
    </row>
    <row r="71" spans="1:30" hidden="1" x14ac:dyDescent="0.25">
      <c r="A71" s="5">
        <v>61</v>
      </c>
      <c r="B71" s="5" t="s">
        <v>144</v>
      </c>
      <c r="C71" s="5">
        <v>6</v>
      </c>
      <c r="D71" s="5">
        <v>328</v>
      </c>
      <c r="E71" s="5">
        <v>934</v>
      </c>
      <c r="F71" s="5" t="s">
        <v>77</v>
      </c>
      <c r="G71" s="5" t="s">
        <v>746</v>
      </c>
      <c r="H71" s="5">
        <v>5</v>
      </c>
      <c r="I71" s="5">
        <v>72.150000000000006</v>
      </c>
      <c r="J71" s="5" t="s">
        <v>839</v>
      </c>
      <c r="K71" s="5" t="s">
        <v>812</v>
      </c>
      <c r="L71" s="5"/>
      <c r="M71" s="5" t="s">
        <v>747</v>
      </c>
      <c r="N71" s="5"/>
      <c r="O71" s="20"/>
      <c r="P71" s="20" t="str">
        <f t="shared" si="0"/>
        <v/>
      </c>
      <c r="Q71" s="20"/>
      <c r="R71" s="20" t="s">
        <v>81</v>
      </c>
      <c r="S71" s="20"/>
      <c r="T71" s="20"/>
      <c r="U71" s="20" t="s">
        <v>81</v>
      </c>
      <c r="V71" s="20"/>
      <c r="W71" s="20">
        <v>1</v>
      </c>
      <c r="X71" s="21" t="s">
        <v>37</v>
      </c>
      <c r="Y71" s="5"/>
      <c r="Z71" s="5" t="s">
        <v>38</v>
      </c>
      <c r="AA71" s="5"/>
      <c r="AB71" s="5" t="str">
        <f>IF(LEN('List chi tiet'!$B$3)=0,"",'List chi tiet'!$B$3)</f>
        <v>TCTN.DNS-26004</v>
      </c>
      <c r="AC71" s="5" t="s">
        <v>141</v>
      </c>
      <c r="AD71" s="5" t="s">
        <v>39</v>
      </c>
    </row>
    <row r="72" spans="1:30" hidden="1" x14ac:dyDescent="0.25">
      <c r="A72" s="5">
        <v>62</v>
      </c>
      <c r="B72" s="5" t="s">
        <v>138</v>
      </c>
      <c r="C72" s="5">
        <v>6</v>
      </c>
      <c r="D72" s="5">
        <v>328</v>
      </c>
      <c r="E72" s="5">
        <v>934</v>
      </c>
      <c r="F72" s="5" t="s">
        <v>77</v>
      </c>
      <c r="G72" s="5" t="s">
        <v>746</v>
      </c>
      <c r="H72" s="5">
        <v>3</v>
      </c>
      <c r="I72" s="5">
        <v>43.29</v>
      </c>
      <c r="J72" s="5" t="s">
        <v>839</v>
      </c>
      <c r="K72" s="5" t="s">
        <v>812</v>
      </c>
      <c r="L72" s="5"/>
      <c r="M72" s="5" t="s">
        <v>747</v>
      </c>
      <c r="N72" s="5"/>
      <c r="O72" s="20"/>
      <c r="P72" s="20" t="str">
        <f t="shared" si="0"/>
        <v/>
      </c>
      <c r="Q72" s="20"/>
      <c r="R72" s="20" t="s">
        <v>81</v>
      </c>
      <c r="S72" s="20"/>
      <c r="T72" s="20"/>
      <c r="U72" s="20" t="s">
        <v>81</v>
      </c>
      <c r="V72" s="20"/>
      <c r="W72" s="20">
        <v>1</v>
      </c>
      <c r="X72" s="21" t="s">
        <v>37</v>
      </c>
      <c r="Y72" s="5"/>
      <c r="Z72" s="5" t="s">
        <v>38</v>
      </c>
      <c r="AA72" s="5"/>
      <c r="AB72" s="5" t="str">
        <f>IF(LEN('List chi tiet'!$B$3)=0,"",'List chi tiet'!$B$3)</f>
        <v>TCTN.DNS-26004</v>
      </c>
      <c r="AC72" s="5" t="s">
        <v>141</v>
      </c>
      <c r="AD72" s="5" t="s">
        <v>39</v>
      </c>
    </row>
    <row r="73" spans="1:30" hidden="1" x14ac:dyDescent="0.25">
      <c r="A73" s="5">
        <v>63</v>
      </c>
      <c r="B73" s="5" t="s">
        <v>145</v>
      </c>
      <c r="C73" s="5">
        <v>6</v>
      </c>
      <c r="D73" s="5">
        <v>188</v>
      </c>
      <c r="E73" s="5">
        <v>2491</v>
      </c>
      <c r="F73" s="5" t="s">
        <v>77</v>
      </c>
      <c r="G73" s="5" t="s">
        <v>746</v>
      </c>
      <c r="H73" s="5">
        <v>14</v>
      </c>
      <c r="I73" s="5">
        <v>303.7</v>
      </c>
      <c r="J73" s="5" t="s">
        <v>839</v>
      </c>
      <c r="K73" s="5" t="s">
        <v>812</v>
      </c>
      <c r="L73" s="5"/>
      <c r="M73" s="5" t="s">
        <v>747</v>
      </c>
      <c r="N73" s="5"/>
      <c r="O73" s="20"/>
      <c r="P73" s="20" t="str">
        <f t="shared" si="0"/>
        <v/>
      </c>
      <c r="Q73" s="20"/>
      <c r="R73" s="20" t="s">
        <v>81</v>
      </c>
      <c r="S73" s="20"/>
      <c r="T73" s="20"/>
      <c r="U73" s="20" t="s">
        <v>81</v>
      </c>
      <c r="V73" s="20" t="s">
        <v>81</v>
      </c>
      <c r="W73" s="20">
        <v>1</v>
      </c>
      <c r="X73" s="21" t="s">
        <v>37</v>
      </c>
      <c r="Y73" s="5"/>
      <c r="Z73" s="5" t="s">
        <v>38</v>
      </c>
      <c r="AA73" s="5"/>
      <c r="AB73" s="5" t="str">
        <f>IF(LEN('List chi tiet'!$B$3)=0,"",'List chi tiet'!$B$3)</f>
        <v>TCTN.DNS-26004</v>
      </c>
      <c r="AC73" s="5" t="s">
        <v>146</v>
      </c>
      <c r="AD73" s="5" t="s">
        <v>39</v>
      </c>
    </row>
    <row r="74" spans="1:30" hidden="1" x14ac:dyDescent="0.25">
      <c r="A74" s="5">
        <v>64</v>
      </c>
      <c r="B74" s="5" t="s">
        <v>148</v>
      </c>
      <c r="C74" s="5">
        <v>6</v>
      </c>
      <c r="D74" s="5">
        <v>328</v>
      </c>
      <c r="E74" s="5">
        <v>934</v>
      </c>
      <c r="F74" s="5" t="s">
        <v>77</v>
      </c>
      <c r="G74" s="5" t="s">
        <v>746</v>
      </c>
      <c r="H74" s="5">
        <v>4</v>
      </c>
      <c r="I74" s="5">
        <v>57.72</v>
      </c>
      <c r="J74" s="5" t="s">
        <v>839</v>
      </c>
      <c r="K74" s="5" t="s">
        <v>812</v>
      </c>
      <c r="L74" s="5"/>
      <c r="M74" s="5" t="s">
        <v>747</v>
      </c>
      <c r="N74" s="5"/>
      <c r="O74" s="20"/>
      <c r="P74" s="20" t="str">
        <f t="shared" si="0"/>
        <v/>
      </c>
      <c r="Q74" s="20"/>
      <c r="R74" s="20" t="s">
        <v>81</v>
      </c>
      <c r="S74" s="20"/>
      <c r="T74" s="20"/>
      <c r="U74" s="20" t="s">
        <v>81</v>
      </c>
      <c r="V74" s="20"/>
      <c r="W74" s="20">
        <v>1</v>
      </c>
      <c r="X74" s="21" t="s">
        <v>37</v>
      </c>
      <c r="Y74" s="5"/>
      <c r="Z74" s="5" t="s">
        <v>38</v>
      </c>
      <c r="AA74" s="5"/>
      <c r="AB74" s="5" t="str">
        <f>IF(LEN('List chi tiet'!$B$3)=0,"",'List chi tiet'!$B$3)</f>
        <v>TCTN.DNS-26004</v>
      </c>
      <c r="AC74" s="5" t="s">
        <v>146</v>
      </c>
      <c r="AD74" s="5" t="s">
        <v>39</v>
      </c>
    </row>
    <row r="75" spans="1:30" hidden="1" x14ac:dyDescent="0.25">
      <c r="A75" s="5">
        <v>65</v>
      </c>
      <c r="B75" s="5" t="s">
        <v>143</v>
      </c>
      <c r="C75" s="5">
        <v>6</v>
      </c>
      <c r="D75" s="5">
        <v>188</v>
      </c>
      <c r="E75" s="5">
        <v>2491</v>
      </c>
      <c r="F75" s="5" t="s">
        <v>77</v>
      </c>
      <c r="G75" s="5" t="s">
        <v>746</v>
      </c>
      <c r="H75" s="5">
        <v>14</v>
      </c>
      <c r="I75" s="5">
        <v>303.7</v>
      </c>
      <c r="J75" s="5" t="s">
        <v>839</v>
      </c>
      <c r="K75" s="5" t="s">
        <v>812</v>
      </c>
      <c r="L75" s="5"/>
      <c r="M75" s="5" t="s">
        <v>747</v>
      </c>
      <c r="N75" s="5"/>
      <c r="O75" s="20"/>
      <c r="P75" s="20" t="str">
        <f t="shared" ref="P75:P138" si="1">IF(LEN($B$4)=0,"",$B$4)</f>
        <v/>
      </c>
      <c r="Q75" s="20"/>
      <c r="R75" s="20" t="s">
        <v>81</v>
      </c>
      <c r="S75" s="20"/>
      <c r="T75" s="20"/>
      <c r="U75" s="20" t="s">
        <v>81</v>
      </c>
      <c r="V75" s="20" t="s">
        <v>81</v>
      </c>
      <c r="W75" s="20">
        <v>1</v>
      </c>
      <c r="X75" s="21" t="s">
        <v>37</v>
      </c>
      <c r="Y75" s="5"/>
      <c r="Z75" s="5" t="s">
        <v>38</v>
      </c>
      <c r="AA75" s="5"/>
      <c r="AB75" s="5" t="str">
        <f>IF(LEN('List chi tiet'!$B$3)=0,"",'List chi tiet'!$B$3)</f>
        <v>TCTN.DNS-26004</v>
      </c>
      <c r="AC75" s="5" t="s">
        <v>146</v>
      </c>
      <c r="AD75" s="5" t="s">
        <v>39</v>
      </c>
    </row>
    <row r="76" spans="1:30" hidden="1" x14ac:dyDescent="0.25">
      <c r="A76" s="5">
        <v>66</v>
      </c>
      <c r="B76" s="5" t="s">
        <v>149</v>
      </c>
      <c r="C76" s="5">
        <v>6</v>
      </c>
      <c r="D76" s="5">
        <v>328</v>
      </c>
      <c r="E76" s="5">
        <v>934</v>
      </c>
      <c r="F76" s="5" t="s">
        <v>77</v>
      </c>
      <c r="G76" s="5" t="s">
        <v>746</v>
      </c>
      <c r="H76" s="5">
        <v>3</v>
      </c>
      <c r="I76" s="5">
        <v>43.29</v>
      </c>
      <c r="J76" s="5" t="s">
        <v>839</v>
      </c>
      <c r="K76" s="5" t="s">
        <v>812</v>
      </c>
      <c r="L76" s="5"/>
      <c r="M76" s="5" t="s">
        <v>747</v>
      </c>
      <c r="N76" s="5"/>
      <c r="O76" s="20"/>
      <c r="P76" s="20" t="str">
        <f t="shared" si="1"/>
        <v/>
      </c>
      <c r="Q76" s="20"/>
      <c r="R76" s="20" t="s">
        <v>81</v>
      </c>
      <c r="S76" s="20"/>
      <c r="T76" s="20"/>
      <c r="U76" s="20" t="s">
        <v>81</v>
      </c>
      <c r="V76" s="20"/>
      <c r="W76" s="20">
        <v>1</v>
      </c>
      <c r="X76" s="21" t="s">
        <v>37</v>
      </c>
      <c r="Y76" s="5"/>
      <c r="Z76" s="5" t="s">
        <v>38</v>
      </c>
      <c r="AA76" s="5"/>
      <c r="AB76" s="5" t="str">
        <f>IF(LEN('List chi tiet'!$B$3)=0,"",'List chi tiet'!$B$3)</f>
        <v>TCTN.DNS-26004</v>
      </c>
      <c r="AC76" s="5" t="s">
        <v>146</v>
      </c>
      <c r="AD76" s="5" t="s">
        <v>39</v>
      </c>
    </row>
    <row r="77" spans="1:30" hidden="1" x14ac:dyDescent="0.25">
      <c r="A77" s="5">
        <v>67</v>
      </c>
      <c r="B77" s="5" t="s">
        <v>144</v>
      </c>
      <c r="C77" s="5">
        <v>6</v>
      </c>
      <c r="D77" s="5">
        <v>328</v>
      </c>
      <c r="E77" s="5">
        <v>934</v>
      </c>
      <c r="F77" s="5" t="s">
        <v>77</v>
      </c>
      <c r="G77" s="5" t="s">
        <v>746</v>
      </c>
      <c r="H77" s="5">
        <v>1</v>
      </c>
      <c r="I77" s="5">
        <v>14.43</v>
      </c>
      <c r="J77" s="5" t="s">
        <v>839</v>
      </c>
      <c r="K77" s="5" t="s">
        <v>812</v>
      </c>
      <c r="L77" s="5"/>
      <c r="M77" s="5" t="s">
        <v>747</v>
      </c>
      <c r="N77" s="5"/>
      <c r="O77" s="20"/>
      <c r="P77" s="20" t="str">
        <f t="shared" si="1"/>
        <v/>
      </c>
      <c r="Q77" s="20"/>
      <c r="R77" s="20" t="s">
        <v>81</v>
      </c>
      <c r="S77" s="20"/>
      <c r="T77" s="20"/>
      <c r="U77" s="20" t="s">
        <v>81</v>
      </c>
      <c r="V77" s="20"/>
      <c r="W77" s="20">
        <v>1</v>
      </c>
      <c r="X77" s="21" t="s">
        <v>37</v>
      </c>
      <c r="Y77" s="5"/>
      <c r="Z77" s="5" t="s">
        <v>38</v>
      </c>
      <c r="AA77" s="5"/>
      <c r="AB77" s="5" t="str">
        <f>IF(LEN('List chi tiet'!$B$3)=0,"",'List chi tiet'!$B$3)</f>
        <v>TCTN.DNS-26004</v>
      </c>
      <c r="AC77" s="5" t="s">
        <v>146</v>
      </c>
      <c r="AD77" s="5" t="s">
        <v>39</v>
      </c>
    </row>
    <row r="78" spans="1:30" hidden="1" x14ac:dyDescent="0.25">
      <c r="A78" s="5">
        <v>68</v>
      </c>
      <c r="B78" s="5" t="s">
        <v>145</v>
      </c>
      <c r="C78" s="5">
        <v>6</v>
      </c>
      <c r="D78" s="5">
        <v>188</v>
      </c>
      <c r="E78" s="5">
        <v>2491</v>
      </c>
      <c r="F78" s="5" t="s">
        <v>77</v>
      </c>
      <c r="G78" s="5" t="s">
        <v>746</v>
      </c>
      <c r="H78" s="5">
        <v>4</v>
      </c>
      <c r="I78" s="5">
        <v>86.77</v>
      </c>
      <c r="J78" s="5" t="s">
        <v>839</v>
      </c>
      <c r="K78" s="5" t="s">
        <v>812</v>
      </c>
      <c r="L78" s="5"/>
      <c r="M78" s="5" t="s">
        <v>747</v>
      </c>
      <c r="N78" s="5"/>
      <c r="O78" s="20"/>
      <c r="P78" s="20" t="str">
        <f t="shared" si="1"/>
        <v/>
      </c>
      <c r="Q78" s="20"/>
      <c r="R78" s="20" t="s">
        <v>81</v>
      </c>
      <c r="S78" s="20"/>
      <c r="T78" s="20"/>
      <c r="U78" s="20" t="s">
        <v>81</v>
      </c>
      <c r="V78" s="20" t="s">
        <v>81</v>
      </c>
      <c r="W78" s="20">
        <v>1</v>
      </c>
      <c r="X78" s="21" t="s">
        <v>37</v>
      </c>
      <c r="Y78" s="5"/>
      <c r="Z78" s="5" t="s">
        <v>38</v>
      </c>
      <c r="AA78" s="5"/>
      <c r="AB78" s="5" t="str">
        <f>IF(LEN('List chi tiet'!$B$3)=0,"",'List chi tiet'!$B$3)</f>
        <v>TCTN.DNS-26004</v>
      </c>
      <c r="AC78" s="5" t="s">
        <v>150</v>
      </c>
      <c r="AD78" s="5" t="s">
        <v>39</v>
      </c>
    </row>
    <row r="79" spans="1:30" hidden="1" x14ac:dyDescent="0.25">
      <c r="A79" s="5">
        <v>69</v>
      </c>
      <c r="B79" s="5" t="s">
        <v>152</v>
      </c>
      <c r="C79" s="5">
        <v>6</v>
      </c>
      <c r="D79" s="5">
        <v>188</v>
      </c>
      <c r="E79" s="5">
        <v>2491</v>
      </c>
      <c r="F79" s="5" t="s">
        <v>77</v>
      </c>
      <c r="G79" s="5" t="s">
        <v>746</v>
      </c>
      <c r="H79" s="5">
        <v>6</v>
      </c>
      <c r="I79" s="5">
        <v>130.12</v>
      </c>
      <c r="J79" s="5" t="s">
        <v>839</v>
      </c>
      <c r="K79" s="5" t="s">
        <v>812</v>
      </c>
      <c r="L79" s="5"/>
      <c r="M79" s="5" t="s">
        <v>747</v>
      </c>
      <c r="N79" s="5"/>
      <c r="O79" s="20"/>
      <c r="P79" s="20" t="str">
        <f t="shared" si="1"/>
        <v/>
      </c>
      <c r="Q79" s="20"/>
      <c r="R79" s="20" t="s">
        <v>81</v>
      </c>
      <c r="S79" s="20"/>
      <c r="T79" s="20"/>
      <c r="U79" s="20" t="s">
        <v>81</v>
      </c>
      <c r="V79" s="20" t="s">
        <v>81</v>
      </c>
      <c r="W79" s="20">
        <v>1</v>
      </c>
      <c r="X79" s="21" t="s">
        <v>37</v>
      </c>
      <c r="Y79" s="5"/>
      <c r="Z79" s="5" t="s">
        <v>38</v>
      </c>
      <c r="AA79" s="5"/>
      <c r="AB79" s="5" t="str">
        <f>IF(LEN('List chi tiet'!$B$3)=0,"",'List chi tiet'!$B$3)</f>
        <v>TCTN.DNS-26004</v>
      </c>
      <c r="AC79" s="5" t="s">
        <v>150</v>
      </c>
      <c r="AD79" s="5" t="s">
        <v>39</v>
      </c>
    </row>
    <row r="80" spans="1:30" hidden="1" x14ac:dyDescent="0.25">
      <c r="A80" s="5">
        <v>70</v>
      </c>
      <c r="B80" s="5" t="s">
        <v>153</v>
      </c>
      <c r="C80" s="5">
        <v>6</v>
      </c>
      <c r="D80" s="5">
        <v>188</v>
      </c>
      <c r="E80" s="5">
        <v>2491</v>
      </c>
      <c r="F80" s="5" t="s">
        <v>77</v>
      </c>
      <c r="G80" s="5" t="s">
        <v>746</v>
      </c>
      <c r="H80" s="5">
        <v>18</v>
      </c>
      <c r="I80" s="5">
        <v>390.36</v>
      </c>
      <c r="J80" s="5" t="s">
        <v>839</v>
      </c>
      <c r="K80" s="5" t="s">
        <v>812</v>
      </c>
      <c r="L80" s="5"/>
      <c r="M80" s="5" t="s">
        <v>747</v>
      </c>
      <c r="N80" s="5"/>
      <c r="O80" s="20"/>
      <c r="P80" s="20" t="str">
        <f t="shared" si="1"/>
        <v/>
      </c>
      <c r="Q80" s="20"/>
      <c r="R80" s="20" t="s">
        <v>81</v>
      </c>
      <c r="S80" s="20"/>
      <c r="T80" s="20"/>
      <c r="U80" s="20" t="s">
        <v>81</v>
      </c>
      <c r="V80" s="20" t="s">
        <v>81</v>
      </c>
      <c r="W80" s="20">
        <v>1</v>
      </c>
      <c r="X80" s="21" t="s">
        <v>37</v>
      </c>
      <c r="Y80" s="5"/>
      <c r="Z80" s="5" t="s">
        <v>38</v>
      </c>
      <c r="AA80" s="5"/>
      <c r="AB80" s="5" t="str">
        <f>IF(LEN('List chi tiet'!$B$3)=0,"",'List chi tiet'!$B$3)</f>
        <v>TCTN.DNS-26004</v>
      </c>
      <c r="AC80" s="5" t="s">
        <v>150</v>
      </c>
      <c r="AD80" s="5" t="s">
        <v>39</v>
      </c>
    </row>
    <row r="81" spans="1:30" hidden="1" x14ac:dyDescent="0.25">
      <c r="A81" s="5">
        <v>71</v>
      </c>
      <c r="B81" s="5" t="s">
        <v>154</v>
      </c>
      <c r="C81" s="5">
        <v>6</v>
      </c>
      <c r="D81" s="5">
        <v>328</v>
      </c>
      <c r="E81" s="5">
        <v>934</v>
      </c>
      <c r="F81" s="5" t="s">
        <v>77</v>
      </c>
      <c r="G81" s="5" t="s">
        <v>746</v>
      </c>
      <c r="H81" s="5">
        <v>3</v>
      </c>
      <c r="I81" s="5">
        <v>43.29</v>
      </c>
      <c r="J81" s="5" t="s">
        <v>839</v>
      </c>
      <c r="K81" s="5" t="s">
        <v>812</v>
      </c>
      <c r="L81" s="5"/>
      <c r="M81" s="5" t="s">
        <v>747</v>
      </c>
      <c r="N81" s="5"/>
      <c r="O81" s="20"/>
      <c r="P81" s="20" t="str">
        <f t="shared" si="1"/>
        <v/>
      </c>
      <c r="Q81" s="20"/>
      <c r="R81" s="20" t="s">
        <v>81</v>
      </c>
      <c r="S81" s="20"/>
      <c r="T81" s="20"/>
      <c r="U81" s="20" t="s">
        <v>81</v>
      </c>
      <c r="V81" s="20"/>
      <c r="W81" s="20">
        <v>1</v>
      </c>
      <c r="X81" s="21" t="s">
        <v>37</v>
      </c>
      <c r="Y81" s="5"/>
      <c r="Z81" s="5" t="s">
        <v>38</v>
      </c>
      <c r="AA81" s="5"/>
      <c r="AB81" s="5" t="str">
        <f>IF(LEN('List chi tiet'!$B$3)=0,"",'List chi tiet'!$B$3)</f>
        <v>TCTN.DNS-26004</v>
      </c>
      <c r="AC81" s="5" t="s">
        <v>150</v>
      </c>
      <c r="AD81" s="5" t="s">
        <v>39</v>
      </c>
    </row>
    <row r="82" spans="1:30" hidden="1" x14ac:dyDescent="0.25">
      <c r="A82" s="5">
        <v>72</v>
      </c>
      <c r="B82" s="5" t="s">
        <v>139</v>
      </c>
      <c r="C82" s="5">
        <v>6</v>
      </c>
      <c r="D82" s="5">
        <v>328</v>
      </c>
      <c r="E82" s="5">
        <v>934</v>
      </c>
      <c r="F82" s="5" t="s">
        <v>77</v>
      </c>
      <c r="G82" s="5" t="s">
        <v>746</v>
      </c>
      <c r="H82" s="5">
        <v>5</v>
      </c>
      <c r="I82" s="5">
        <v>72.150000000000006</v>
      </c>
      <c r="J82" s="5" t="s">
        <v>839</v>
      </c>
      <c r="K82" s="5" t="s">
        <v>812</v>
      </c>
      <c r="L82" s="5"/>
      <c r="M82" s="5" t="s">
        <v>747</v>
      </c>
      <c r="N82" s="5"/>
      <c r="O82" s="20"/>
      <c r="P82" s="20" t="str">
        <f t="shared" si="1"/>
        <v/>
      </c>
      <c r="Q82" s="20"/>
      <c r="R82" s="20" t="s">
        <v>81</v>
      </c>
      <c r="S82" s="20"/>
      <c r="T82" s="20"/>
      <c r="U82" s="20" t="s">
        <v>81</v>
      </c>
      <c r="V82" s="20"/>
      <c r="W82" s="20">
        <v>1</v>
      </c>
      <c r="X82" s="21" t="s">
        <v>37</v>
      </c>
      <c r="Y82" s="5"/>
      <c r="Z82" s="5" t="s">
        <v>38</v>
      </c>
      <c r="AA82" s="5"/>
      <c r="AB82" s="5" t="str">
        <f>IF(LEN('List chi tiet'!$B$3)=0,"",'List chi tiet'!$B$3)</f>
        <v>TCTN.DNS-26004</v>
      </c>
      <c r="AC82" s="5" t="s">
        <v>150</v>
      </c>
      <c r="AD82" s="5" t="s">
        <v>39</v>
      </c>
    </row>
    <row r="83" spans="1:30" hidden="1" x14ac:dyDescent="0.25">
      <c r="A83" s="5">
        <v>73</v>
      </c>
      <c r="B83" s="5" t="s">
        <v>152</v>
      </c>
      <c r="C83" s="5">
        <v>6</v>
      </c>
      <c r="D83" s="5">
        <v>188</v>
      </c>
      <c r="E83" s="5">
        <v>2491</v>
      </c>
      <c r="F83" s="5" t="s">
        <v>77</v>
      </c>
      <c r="G83" s="5" t="s">
        <v>746</v>
      </c>
      <c r="H83" s="5">
        <v>12</v>
      </c>
      <c r="I83" s="5">
        <v>260.24</v>
      </c>
      <c r="J83" s="5" t="s">
        <v>839</v>
      </c>
      <c r="K83" s="5" t="s">
        <v>812</v>
      </c>
      <c r="L83" s="5"/>
      <c r="M83" s="5" t="s">
        <v>747</v>
      </c>
      <c r="N83" s="5"/>
      <c r="O83" s="20"/>
      <c r="P83" s="20" t="str">
        <f t="shared" si="1"/>
        <v/>
      </c>
      <c r="Q83" s="20"/>
      <c r="R83" s="20" t="s">
        <v>81</v>
      </c>
      <c r="S83" s="20"/>
      <c r="T83" s="20"/>
      <c r="U83" s="20" t="s">
        <v>81</v>
      </c>
      <c r="V83" s="20" t="s">
        <v>81</v>
      </c>
      <c r="W83" s="20">
        <v>1</v>
      </c>
      <c r="X83" s="21" t="s">
        <v>37</v>
      </c>
      <c r="Y83" s="5"/>
      <c r="Z83" s="5" t="s">
        <v>38</v>
      </c>
      <c r="AA83" s="5"/>
      <c r="AB83" s="5" t="str">
        <f>IF(LEN('List chi tiet'!$B$3)=0,"",'List chi tiet'!$B$3)</f>
        <v>TCTN.DNS-26004</v>
      </c>
      <c r="AC83" s="5" t="s">
        <v>155</v>
      </c>
      <c r="AD83" s="5" t="s">
        <v>39</v>
      </c>
    </row>
    <row r="84" spans="1:30" hidden="1" x14ac:dyDescent="0.25">
      <c r="A84" s="5">
        <v>74</v>
      </c>
      <c r="B84" s="5" t="s">
        <v>148</v>
      </c>
      <c r="C84" s="5">
        <v>6</v>
      </c>
      <c r="D84" s="5">
        <v>328</v>
      </c>
      <c r="E84" s="5">
        <v>934</v>
      </c>
      <c r="F84" s="5" t="s">
        <v>77</v>
      </c>
      <c r="G84" s="5" t="s">
        <v>746</v>
      </c>
      <c r="H84" s="5">
        <v>1</v>
      </c>
      <c r="I84" s="5">
        <v>14.43</v>
      </c>
      <c r="J84" s="5" t="s">
        <v>839</v>
      </c>
      <c r="K84" s="5" t="s">
        <v>812</v>
      </c>
      <c r="L84" s="5"/>
      <c r="M84" s="5" t="s">
        <v>747</v>
      </c>
      <c r="N84" s="5"/>
      <c r="O84" s="20"/>
      <c r="P84" s="20" t="str">
        <f t="shared" si="1"/>
        <v/>
      </c>
      <c r="Q84" s="20"/>
      <c r="R84" s="20" t="s">
        <v>81</v>
      </c>
      <c r="S84" s="20"/>
      <c r="T84" s="20"/>
      <c r="U84" s="20" t="s">
        <v>81</v>
      </c>
      <c r="V84" s="20"/>
      <c r="W84" s="20">
        <v>1</v>
      </c>
      <c r="X84" s="21" t="s">
        <v>37</v>
      </c>
      <c r="Y84" s="5"/>
      <c r="Z84" s="5" t="s">
        <v>38</v>
      </c>
      <c r="AA84" s="5"/>
      <c r="AB84" s="5" t="str">
        <f>IF(LEN('List chi tiet'!$B$3)=0,"",'List chi tiet'!$B$3)</f>
        <v>TCTN.DNS-26004</v>
      </c>
      <c r="AC84" s="5" t="s">
        <v>155</v>
      </c>
      <c r="AD84" s="5" t="s">
        <v>39</v>
      </c>
    </row>
    <row r="85" spans="1:30" hidden="1" x14ac:dyDescent="0.25">
      <c r="A85" s="5">
        <v>75</v>
      </c>
      <c r="B85" s="5" t="s">
        <v>149</v>
      </c>
      <c r="C85" s="5">
        <v>6</v>
      </c>
      <c r="D85" s="5">
        <v>328</v>
      </c>
      <c r="E85" s="5">
        <v>934</v>
      </c>
      <c r="F85" s="5" t="s">
        <v>77</v>
      </c>
      <c r="G85" s="5" t="s">
        <v>746</v>
      </c>
      <c r="H85" s="5">
        <v>3</v>
      </c>
      <c r="I85" s="5">
        <v>43.29</v>
      </c>
      <c r="J85" s="5" t="s">
        <v>839</v>
      </c>
      <c r="K85" s="5" t="s">
        <v>812</v>
      </c>
      <c r="L85" s="5"/>
      <c r="M85" s="5" t="s">
        <v>747</v>
      </c>
      <c r="N85" s="5"/>
      <c r="O85" s="20"/>
      <c r="P85" s="20" t="str">
        <f t="shared" si="1"/>
        <v/>
      </c>
      <c r="Q85" s="20"/>
      <c r="R85" s="20" t="s">
        <v>81</v>
      </c>
      <c r="S85" s="20"/>
      <c r="T85" s="20"/>
      <c r="U85" s="20" t="s">
        <v>81</v>
      </c>
      <c r="V85" s="20"/>
      <c r="W85" s="20">
        <v>1</v>
      </c>
      <c r="X85" s="21" t="s">
        <v>37</v>
      </c>
      <c r="Y85" s="5"/>
      <c r="Z85" s="5" t="s">
        <v>38</v>
      </c>
      <c r="AA85" s="5"/>
      <c r="AB85" s="5" t="str">
        <f>IF(LEN('List chi tiet'!$B$3)=0,"",'List chi tiet'!$B$3)</f>
        <v>TCTN.DNS-26004</v>
      </c>
      <c r="AC85" s="5" t="s">
        <v>155</v>
      </c>
      <c r="AD85" s="5" t="s">
        <v>39</v>
      </c>
    </row>
    <row r="86" spans="1:30" hidden="1" x14ac:dyDescent="0.25">
      <c r="A86" s="5">
        <v>76</v>
      </c>
      <c r="B86" s="5" t="s">
        <v>157</v>
      </c>
      <c r="C86" s="5">
        <v>6</v>
      </c>
      <c r="D86" s="5">
        <v>188</v>
      </c>
      <c r="E86" s="5">
        <v>2491</v>
      </c>
      <c r="F86" s="5" t="s">
        <v>77</v>
      </c>
      <c r="G86" s="5" t="s">
        <v>746</v>
      </c>
      <c r="H86" s="5">
        <v>16</v>
      </c>
      <c r="I86" s="5">
        <v>346.99</v>
      </c>
      <c r="J86" s="5" t="s">
        <v>839</v>
      </c>
      <c r="K86" s="5" t="s">
        <v>812</v>
      </c>
      <c r="L86" s="5"/>
      <c r="M86" s="5" t="s">
        <v>747</v>
      </c>
      <c r="N86" s="5"/>
      <c r="O86" s="20"/>
      <c r="P86" s="20" t="str">
        <f t="shared" si="1"/>
        <v/>
      </c>
      <c r="Q86" s="20"/>
      <c r="R86" s="20" t="s">
        <v>81</v>
      </c>
      <c r="S86" s="20"/>
      <c r="T86" s="20"/>
      <c r="U86" s="20" t="s">
        <v>81</v>
      </c>
      <c r="V86" s="20" t="s">
        <v>81</v>
      </c>
      <c r="W86" s="20">
        <v>1</v>
      </c>
      <c r="X86" s="21" t="s">
        <v>37</v>
      </c>
      <c r="Y86" s="5"/>
      <c r="Z86" s="5" t="s">
        <v>38</v>
      </c>
      <c r="AA86" s="5"/>
      <c r="AB86" s="5" t="str">
        <f>IF(LEN('List chi tiet'!$B$3)=0,"",'List chi tiet'!$B$3)</f>
        <v>TCTN.DNS-26004</v>
      </c>
      <c r="AC86" s="5" t="s">
        <v>155</v>
      </c>
      <c r="AD86" s="5" t="s">
        <v>39</v>
      </c>
    </row>
    <row r="87" spans="1:30" hidden="1" x14ac:dyDescent="0.25">
      <c r="A87" s="5">
        <v>77</v>
      </c>
      <c r="B87" s="5" t="s">
        <v>154</v>
      </c>
      <c r="C87" s="5">
        <v>6</v>
      </c>
      <c r="D87" s="5">
        <v>328</v>
      </c>
      <c r="E87" s="5">
        <v>934</v>
      </c>
      <c r="F87" s="5" t="s">
        <v>77</v>
      </c>
      <c r="G87" s="5" t="s">
        <v>746</v>
      </c>
      <c r="H87" s="5">
        <v>4</v>
      </c>
      <c r="I87" s="5">
        <v>57.72</v>
      </c>
      <c r="J87" s="5" t="s">
        <v>839</v>
      </c>
      <c r="K87" s="5" t="s">
        <v>812</v>
      </c>
      <c r="L87" s="5"/>
      <c r="M87" s="5" t="s">
        <v>747</v>
      </c>
      <c r="N87" s="5"/>
      <c r="O87" s="20"/>
      <c r="P87" s="20" t="str">
        <f t="shared" si="1"/>
        <v/>
      </c>
      <c r="Q87" s="20"/>
      <c r="R87" s="20" t="s">
        <v>81</v>
      </c>
      <c r="S87" s="20"/>
      <c r="T87" s="20"/>
      <c r="U87" s="20" t="s">
        <v>81</v>
      </c>
      <c r="V87" s="20"/>
      <c r="W87" s="20">
        <v>1</v>
      </c>
      <c r="X87" s="21" t="s">
        <v>37</v>
      </c>
      <c r="Y87" s="5"/>
      <c r="Z87" s="5" t="s">
        <v>38</v>
      </c>
      <c r="AA87" s="5"/>
      <c r="AB87" s="5" t="str">
        <f>IF(LEN('List chi tiet'!$B$3)=0,"",'List chi tiet'!$B$3)</f>
        <v>TCTN.DNS-26004</v>
      </c>
      <c r="AC87" s="5" t="s">
        <v>155</v>
      </c>
      <c r="AD87" s="5" t="s">
        <v>39</v>
      </c>
    </row>
    <row r="88" spans="1:30" hidden="1" x14ac:dyDescent="0.25">
      <c r="A88" s="5">
        <v>78</v>
      </c>
      <c r="B88" s="5" t="s">
        <v>158</v>
      </c>
      <c r="C88" s="5">
        <v>6</v>
      </c>
      <c r="D88" s="5">
        <v>328</v>
      </c>
      <c r="E88" s="5">
        <v>894</v>
      </c>
      <c r="F88" s="5" t="s">
        <v>77</v>
      </c>
      <c r="G88" s="5" t="s">
        <v>746</v>
      </c>
      <c r="H88" s="5">
        <v>2</v>
      </c>
      <c r="I88" s="5">
        <v>27.62</v>
      </c>
      <c r="J88" s="5" t="s">
        <v>839</v>
      </c>
      <c r="K88" s="5" t="s">
        <v>812</v>
      </c>
      <c r="L88" s="5"/>
      <c r="M88" s="5" t="s">
        <v>747</v>
      </c>
      <c r="N88" s="5"/>
      <c r="O88" s="20"/>
      <c r="P88" s="20" t="str">
        <f t="shared" si="1"/>
        <v/>
      </c>
      <c r="Q88" s="20"/>
      <c r="R88" s="20" t="s">
        <v>81</v>
      </c>
      <c r="S88" s="20"/>
      <c r="T88" s="20"/>
      <c r="U88" s="20" t="s">
        <v>81</v>
      </c>
      <c r="V88" s="20"/>
      <c r="W88" s="20">
        <v>1</v>
      </c>
      <c r="X88" s="21" t="s">
        <v>37</v>
      </c>
      <c r="Y88" s="5"/>
      <c r="Z88" s="5" t="s">
        <v>38</v>
      </c>
      <c r="AA88" s="5"/>
      <c r="AB88" s="5" t="str">
        <f>IF(LEN('List chi tiet'!$B$3)=0,"",'List chi tiet'!$B$3)</f>
        <v>TCTN.DNS-26004</v>
      </c>
      <c r="AC88" s="5" t="s">
        <v>160</v>
      </c>
      <c r="AD88" s="5" t="s">
        <v>39</v>
      </c>
    </row>
    <row r="89" spans="1:30" hidden="1" x14ac:dyDescent="0.25">
      <c r="A89" s="5">
        <v>79</v>
      </c>
      <c r="B89" s="5" t="s">
        <v>162</v>
      </c>
      <c r="C89" s="5">
        <v>6</v>
      </c>
      <c r="D89" s="5">
        <v>188</v>
      </c>
      <c r="E89" s="5">
        <v>2491</v>
      </c>
      <c r="F89" s="5" t="s">
        <v>77</v>
      </c>
      <c r="G89" s="5" t="s">
        <v>746</v>
      </c>
      <c r="H89" s="5">
        <v>18</v>
      </c>
      <c r="I89" s="5">
        <v>390.36</v>
      </c>
      <c r="J89" s="5" t="s">
        <v>839</v>
      </c>
      <c r="K89" s="5" t="s">
        <v>812</v>
      </c>
      <c r="L89" s="5"/>
      <c r="M89" s="5" t="s">
        <v>747</v>
      </c>
      <c r="N89" s="5"/>
      <c r="O89" s="20"/>
      <c r="P89" s="20" t="str">
        <f t="shared" si="1"/>
        <v/>
      </c>
      <c r="Q89" s="20"/>
      <c r="R89" s="20" t="s">
        <v>81</v>
      </c>
      <c r="S89" s="20"/>
      <c r="T89" s="20"/>
      <c r="U89" s="20" t="s">
        <v>81</v>
      </c>
      <c r="V89" s="20" t="s">
        <v>81</v>
      </c>
      <c r="W89" s="20">
        <v>1</v>
      </c>
      <c r="X89" s="21" t="s">
        <v>37</v>
      </c>
      <c r="Y89" s="5"/>
      <c r="Z89" s="5" t="s">
        <v>38</v>
      </c>
      <c r="AA89" s="5"/>
      <c r="AB89" s="5" t="str">
        <f>IF(LEN('List chi tiet'!$B$3)=0,"",'List chi tiet'!$B$3)</f>
        <v>TCTN.DNS-26004</v>
      </c>
      <c r="AC89" s="5" t="s">
        <v>160</v>
      </c>
      <c r="AD89" s="5" t="s">
        <v>39</v>
      </c>
    </row>
    <row r="90" spans="1:30" hidden="1" x14ac:dyDescent="0.25">
      <c r="A90" s="5">
        <v>80</v>
      </c>
      <c r="B90" s="5" t="s">
        <v>163</v>
      </c>
      <c r="C90" s="5">
        <v>6</v>
      </c>
      <c r="D90" s="5">
        <v>328</v>
      </c>
      <c r="E90" s="5">
        <v>894</v>
      </c>
      <c r="F90" s="5" t="s">
        <v>77</v>
      </c>
      <c r="G90" s="5" t="s">
        <v>746</v>
      </c>
      <c r="H90" s="5">
        <v>2</v>
      </c>
      <c r="I90" s="5">
        <v>27.62</v>
      </c>
      <c r="J90" s="5" t="s">
        <v>839</v>
      </c>
      <c r="K90" s="5" t="s">
        <v>812</v>
      </c>
      <c r="L90" s="5"/>
      <c r="M90" s="5" t="s">
        <v>747</v>
      </c>
      <c r="N90" s="5"/>
      <c r="O90" s="20"/>
      <c r="P90" s="20" t="str">
        <f t="shared" si="1"/>
        <v/>
      </c>
      <c r="Q90" s="20"/>
      <c r="R90" s="20" t="s">
        <v>81</v>
      </c>
      <c r="S90" s="20"/>
      <c r="T90" s="20"/>
      <c r="U90" s="20" t="s">
        <v>81</v>
      </c>
      <c r="V90" s="20"/>
      <c r="W90" s="20">
        <v>1</v>
      </c>
      <c r="X90" s="21" t="s">
        <v>37</v>
      </c>
      <c r="Y90" s="5"/>
      <c r="Z90" s="5" t="s">
        <v>38</v>
      </c>
      <c r="AA90" s="5"/>
      <c r="AB90" s="5" t="str">
        <f>IF(LEN('List chi tiet'!$B$3)=0,"",'List chi tiet'!$B$3)</f>
        <v>TCTN.DNS-26004</v>
      </c>
      <c r="AC90" s="5" t="s">
        <v>160</v>
      </c>
      <c r="AD90" s="5" t="s">
        <v>39</v>
      </c>
    </row>
    <row r="91" spans="1:30" hidden="1" x14ac:dyDescent="0.25">
      <c r="A91" s="5">
        <v>81</v>
      </c>
      <c r="B91" s="5" t="s">
        <v>164</v>
      </c>
      <c r="C91" s="5">
        <v>6</v>
      </c>
      <c r="D91" s="5">
        <v>328</v>
      </c>
      <c r="E91" s="5">
        <v>894</v>
      </c>
      <c r="F91" s="5" t="s">
        <v>77</v>
      </c>
      <c r="G91" s="5" t="s">
        <v>746</v>
      </c>
      <c r="H91" s="5">
        <v>1</v>
      </c>
      <c r="I91" s="5">
        <v>13.81</v>
      </c>
      <c r="J91" s="5" t="s">
        <v>839</v>
      </c>
      <c r="K91" s="5" t="s">
        <v>812</v>
      </c>
      <c r="L91" s="5"/>
      <c r="M91" s="5" t="s">
        <v>747</v>
      </c>
      <c r="N91" s="5"/>
      <c r="O91" s="20"/>
      <c r="P91" s="20" t="str">
        <f t="shared" si="1"/>
        <v/>
      </c>
      <c r="Q91" s="20"/>
      <c r="R91" s="20" t="s">
        <v>81</v>
      </c>
      <c r="S91" s="20"/>
      <c r="T91" s="20"/>
      <c r="U91" s="20" t="s">
        <v>81</v>
      </c>
      <c r="V91" s="20"/>
      <c r="W91" s="20">
        <v>1</v>
      </c>
      <c r="X91" s="21" t="s">
        <v>37</v>
      </c>
      <c r="Y91" s="5"/>
      <c r="Z91" s="5" t="s">
        <v>38</v>
      </c>
      <c r="AA91" s="5"/>
      <c r="AB91" s="5" t="str">
        <f>IF(LEN('List chi tiet'!$B$3)=0,"",'List chi tiet'!$B$3)</f>
        <v>TCTN.DNS-26004</v>
      </c>
      <c r="AC91" s="5" t="s">
        <v>160</v>
      </c>
      <c r="AD91" s="5" t="s">
        <v>39</v>
      </c>
    </row>
    <row r="92" spans="1:30" hidden="1" x14ac:dyDescent="0.25">
      <c r="A92" s="5">
        <v>82</v>
      </c>
      <c r="B92" s="5" t="s">
        <v>165</v>
      </c>
      <c r="C92" s="5">
        <v>6</v>
      </c>
      <c r="D92" s="5">
        <v>328</v>
      </c>
      <c r="E92" s="5">
        <v>894</v>
      </c>
      <c r="F92" s="5" t="s">
        <v>77</v>
      </c>
      <c r="G92" s="5" t="s">
        <v>746</v>
      </c>
      <c r="H92" s="5">
        <v>2</v>
      </c>
      <c r="I92" s="5">
        <v>27.62</v>
      </c>
      <c r="J92" s="5" t="s">
        <v>839</v>
      </c>
      <c r="K92" s="5" t="s">
        <v>812</v>
      </c>
      <c r="L92" s="5"/>
      <c r="M92" s="5" t="s">
        <v>747</v>
      </c>
      <c r="N92" s="5"/>
      <c r="O92" s="20"/>
      <c r="P92" s="20" t="str">
        <f t="shared" si="1"/>
        <v/>
      </c>
      <c r="Q92" s="20"/>
      <c r="R92" s="20" t="s">
        <v>81</v>
      </c>
      <c r="S92" s="20"/>
      <c r="T92" s="20"/>
      <c r="U92" s="20" t="s">
        <v>81</v>
      </c>
      <c r="V92" s="20"/>
      <c r="W92" s="20">
        <v>1</v>
      </c>
      <c r="X92" s="21" t="s">
        <v>37</v>
      </c>
      <c r="Y92" s="5"/>
      <c r="Z92" s="5" t="s">
        <v>38</v>
      </c>
      <c r="AA92" s="5"/>
      <c r="AB92" s="5" t="str">
        <f>IF(LEN('List chi tiet'!$B$3)=0,"",'List chi tiet'!$B$3)</f>
        <v>TCTN.DNS-26004</v>
      </c>
      <c r="AC92" s="5" t="s">
        <v>160</v>
      </c>
      <c r="AD92" s="5" t="s">
        <v>39</v>
      </c>
    </row>
    <row r="93" spans="1:30" hidden="1" x14ac:dyDescent="0.25">
      <c r="A93" s="5">
        <v>83</v>
      </c>
      <c r="B93" s="5" t="s">
        <v>157</v>
      </c>
      <c r="C93" s="5">
        <v>6</v>
      </c>
      <c r="D93" s="5">
        <v>188</v>
      </c>
      <c r="E93" s="5">
        <v>2491</v>
      </c>
      <c r="F93" s="5" t="s">
        <v>77</v>
      </c>
      <c r="G93" s="5" t="s">
        <v>746</v>
      </c>
      <c r="H93" s="5">
        <v>2</v>
      </c>
      <c r="I93" s="5">
        <v>43.37</v>
      </c>
      <c r="J93" s="5" t="s">
        <v>839</v>
      </c>
      <c r="K93" s="5" t="s">
        <v>812</v>
      </c>
      <c r="L93" s="5"/>
      <c r="M93" s="5" t="s">
        <v>747</v>
      </c>
      <c r="N93" s="5"/>
      <c r="O93" s="20"/>
      <c r="P93" s="20" t="str">
        <f t="shared" si="1"/>
        <v/>
      </c>
      <c r="Q93" s="20"/>
      <c r="R93" s="20" t="s">
        <v>81</v>
      </c>
      <c r="S93" s="20"/>
      <c r="T93" s="20"/>
      <c r="U93" s="20" t="s">
        <v>81</v>
      </c>
      <c r="V93" s="20" t="s">
        <v>81</v>
      </c>
      <c r="W93" s="20">
        <v>1</v>
      </c>
      <c r="X93" s="21" t="s">
        <v>37</v>
      </c>
      <c r="Y93" s="5"/>
      <c r="Z93" s="5" t="s">
        <v>38</v>
      </c>
      <c r="AA93" s="5"/>
      <c r="AB93" s="5" t="str">
        <f>IF(LEN('List chi tiet'!$B$3)=0,"",'List chi tiet'!$B$3)</f>
        <v>TCTN.DNS-26004</v>
      </c>
      <c r="AC93" s="5" t="s">
        <v>160</v>
      </c>
      <c r="AD93" s="5" t="s">
        <v>39</v>
      </c>
    </row>
    <row r="94" spans="1:30" hidden="1" x14ac:dyDescent="0.25">
      <c r="A94" s="5">
        <v>84</v>
      </c>
      <c r="B94" s="5" t="s">
        <v>166</v>
      </c>
      <c r="C94" s="5">
        <v>6</v>
      </c>
      <c r="D94" s="5">
        <v>188</v>
      </c>
      <c r="E94" s="5">
        <v>2483</v>
      </c>
      <c r="F94" s="5" t="s">
        <v>77</v>
      </c>
      <c r="G94" s="5" t="s">
        <v>746</v>
      </c>
      <c r="H94" s="5">
        <v>8</v>
      </c>
      <c r="I94" s="5">
        <v>172.99</v>
      </c>
      <c r="J94" s="5" t="s">
        <v>839</v>
      </c>
      <c r="K94" s="5" t="s">
        <v>812</v>
      </c>
      <c r="L94" s="5"/>
      <c r="M94" s="5" t="s">
        <v>747</v>
      </c>
      <c r="N94" s="5"/>
      <c r="O94" s="20"/>
      <c r="P94" s="20" t="str">
        <f t="shared" si="1"/>
        <v/>
      </c>
      <c r="Q94" s="20"/>
      <c r="R94" s="20" t="s">
        <v>81</v>
      </c>
      <c r="S94" s="20"/>
      <c r="T94" s="20"/>
      <c r="U94" s="20" t="s">
        <v>81</v>
      </c>
      <c r="V94" s="20" t="s">
        <v>81</v>
      </c>
      <c r="W94" s="20">
        <v>1</v>
      </c>
      <c r="X94" s="21" t="s">
        <v>37</v>
      </c>
      <c r="Y94" s="5"/>
      <c r="Z94" s="5" t="s">
        <v>38</v>
      </c>
      <c r="AA94" s="5"/>
      <c r="AB94" s="5" t="str">
        <f>IF(LEN('List chi tiet'!$B$3)=0,"",'List chi tiet'!$B$3)</f>
        <v>TCTN.DNS-26004</v>
      </c>
      <c r="AC94" s="5" t="s">
        <v>160</v>
      </c>
      <c r="AD94" s="5" t="s">
        <v>39</v>
      </c>
    </row>
    <row r="95" spans="1:30" hidden="1" x14ac:dyDescent="0.25">
      <c r="A95" s="5">
        <v>85</v>
      </c>
      <c r="B95" s="5" t="s">
        <v>168</v>
      </c>
      <c r="C95" s="5">
        <v>6</v>
      </c>
      <c r="D95" s="5">
        <v>328</v>
      </c>
      <c r="E95" s="5">
        <v>894</v>
      </c>
      <c r="F95" s="5" t="s">
        <v>77</v>
      </c>
      <c r="G95" s="5" t="s">
        <v>746</v>
      </c>
      <c r="H95" s="5">
        <v>2</v>
      </c>
      <c r="I95" s="5">
        <v>27.62</v>
      </c>
      <c r="J95" s="5" t="s">
        <v>839</v>
      </c>
      <c r="K95" s="5" t="s">
        <v>812</v>
      </c>
      <c r="L95" s="5"/>
      <c r="M95" s="5" t="s">
        <v>747</v>
      </c>
      <c r="N95" s="5"/>
      <c r="O95" s="20"/>
      <c r="P95" s="20" t="str">
        <f t="shared" si="1"/>
        <v/>
      </c>
      <c r="Q95" s="20"/>
      <c r="R95" s="20" t="s">
        <v>81</v>
      </c>
      <c r="S95" s="20"/>
      <c r="T95" s="20"/>
      <c r="U95" s="20" t="s">
        <v>81</v>
      </c>
      <c r="V95" s="20"/>
      <c r="W95" s="20">
        <v>1</v>
      </c>
      <c r="X95" s="21" t="s">
        <v>37</v>
      </c>
      <c r="Y95" s="5"/>
      <c r="Z95" s="5" t="s">
        <v>38</v>
      </c>
      <c r="AA95" s="5"/>
      <c r="AB95" s="5" t="str">
        <f>IF(LEN('List chi tiet'!$B$3)=0,"",'List chi tiet'!$B$3)</f>
        <v>TCTN.DNS-26004</v>
      </c>
      <c r="AC95" s="5" t="s">
        <v>160</v>
      </c>
      <c r="AD95" s="5" t="s">
        <v>39</v>
      </c>
    </row>
    <row r="96" spans="1:30" hidden="1" x14ac:dyDescent="0.25">
      <c r="A96" s="5">
        <v>86</v>
      </c>
      <c r="B96" s="5" t="s">
        <v>116</v>
      </c>
      <c r="C96" s="5">
        <v>6</v>
      </c>
      <c r="D96" s="5">
        <v>298</v>
      </c>
      <c r="E96" s="5">
        <v>378</v>
      </c>
      <c r="F96" s="5" t="s">
        <v>77</v>
      </c>
      <c r="G96" s="5" t="s">
        <v>746</v>
      </c>
      <c r="H96" s="5">
        <v>1</v>
      </c>
      <c r="I96" s="5">
        <v>5.27</v>
      </c>
      <c r="J96" s="5" t="s">
        <v>839</v>
      </c>
      <c r="K96" s="5" t="s">
        <v>812</v>
      </c>
      <c r="L96" s="5"/>
      <c r="M96" s="5" t="s">
        <v>747</v>
      </c>
      <c r="N96" s="5"/>
      <c r="O96" s="20"/>
      <c r="P96" s="20" t="str">
        <f t="shared" si="1"/>
        <v/>
      </c>
      <c r="Q96" s="20" t="s">
        <v>26</v>
      </c>
      <c r="R96" s="20" t="s">
        <v>81</v>
      </c>
      <c r="S96" s="20"/>
      <c r="T96" s="20"/>
      <c r="U96" s="20"/>
      <c r="V96" s="20"/>
      <c r="W96" s="20">
        <v>1</v>
      </c>
      <c r="X96" s="21" t="s">
        <v>37</v>
      </c>
      <c r="Y96" s="5"/>
      <c r="Z96" s="5" t="s">
        <v>38</v>
      </c>
      <c r="AA96" s="5"/>
      <c r="AB96" s="5" t="str">
        <f>IF(LEN('List chi tiet'!$B$3)=0,"",'List chi tiet'!$B$3)</f>
        <v>TCTN.DNS-26004</v>
      </c>
      <c r="AC96" s="5" t="s">
        <v>160</v>
      </c>
      <c r="AD96" s="5" t="s">
        <v>39</v>
      </c>
    </row>
    <row r="97" spans="1:30" hidden="1" x14ac:dyDescent="0.25">
      <c r="A97" s="5">
        <v>87</v>
      </c>
      <c r="B97" s="5" t="s">
        <v>166</v>
      </c>
      <c r="C97" s="5">
        <v>6</v>
      </c>
      <c r="D97" s="5">
        <v>188</v>
      </c>
      <c r="E97" s="5">
        <v>2483</v>
      </c>
      <c r="F97" s="5" t="s">
        <v>77</v>
      </c>
      <c r="G97" s="5" t="s">
        <v>746</v>
      </c>
      <c r="H97" s="5">
        <v>28</v>
      </c>
      <c r="I97" s="5">
        <v>605.47</v>
      </c>
      <c r="J97" s="5" t="s">
        <v>839</v>
      </c>
      <c r="K97" s="5" t="s">
        <v>812</v>
      </c>
      <c r="L97" s="5"/>
      <c r="M97" s="5" t="s">
        <v>747</v>
      </c>
      <c r="N97" s="5"/>
      <c r="O97" s="20"/>
      <c r="P97" s="20" t="str">
        <f t="shared" si="1"/>
        <v/>
      </c>
      <c r="Q97" s="20"/>
      <c r="R97" s="20" t="s">
        <v>81</v>
      </c>
      <c r="S97" s="20"/>
      <c r="T97" s="20"/>
      <c r="U97" s="20" t="s">
        <v>81</v>
      </c>
      <c r="V97" s="20" t="s">
        <v>81</v>
      </c>
      <c r="W97" s="20">
        <v>1</v>
      </c>
      <c r="X97" s="21" t="s">
        <v>37</v>
      </c>
      <c r="Y97" s="5"/>
      <c r="Z97" s="5" t="s">
        <v>38</v>
      </c>
      <c r="AA97" s="5"/>
      <c r="AB97" s="5" t="str">
        <f>IF(LEN('List chi tiet'!$B$3)=0,"",'List chi tiet'!$B$3)</f>
        <v>TCTN.DNS-26004</v>
      </c>
      <c r="AC97" s="5" t="s">
        <v>169</v>
      </c>
      <c r="AD97" s="5" t="s">
        <v>39</v>
      </c>
    </row>
    <row r="98" spans="1:30" hidden="1" x14ac:dyDescent="0.25">
      <c r="A98" s="5">
        <v>88</v>
      </c>
      <c r="B98" s="5" t="s">
        <v>116</v>
      </c>
      <c r="C98" s="5">
        <v>6</v>
      </c>
      <c r="D98" s="5">
        <v>298</v>
      </c>
      <c r="E98" s="5">
        <v>378</v>
      </c>
      <c r="F98" s="5" t="s">
        <v>77</v>
      </c>
      <c r="G98" s="5" t="s">
        <v>746</v>
      </c>
      <c r="H98" s="5">
        <v>5</v>
      </c>
      <c r="I98" s="5">
        <v>26.34</v>
      </c>
      <c r="J98" s="5" t="s">
        <v>839</v>
      </c>
      <c r="K98" s="5" t="s">
        <v>812</v>
      </c>
      <c r="L98" s="5"/>
      <c r="M98" s="5" t="s">
        <v>747</v>
      </c>
      <c r="N98" s="5"/>
      <c r="O98" s="20"/>
      <c r="P98" s="20" t="str">
        <f t="shared" si="1"/>
        <v/>
      </c>
      <c r="Q98" s="20" t="s">
        <v>26</v>
      </c>
      <c r="R98" s="20" t="s">
        <v>81</v>
      </c>
      <c r="S98" s="20"/>
      <c r="T98" s="20"/>
      <c r="U98" s="20"/>
      <c r="V98" s="20"/>
      <c r="W98" s="20">
        <v>1</v>
      </c>
      <c r="X98" s="21" t="s">
        <v>37</v>
      </c>
      <c r="Y98" s="5"/>
      <c r="Z98" s="5" t="s">
        <v>38</v>
      </c>
      <c r="AA98" s="5"/>
      <c r="AB98" s="5" t="str">
        <f>IF(LEN('List chi tiet'!$B$3)=0,"",'List chi tiet'!$B$3)</f>
        <v>TCTN.DNS-26004</v>
      </c>
      <c r="AC98" s="5" t="s">
        <v>169</v>
      </c>
      <c r="AD98" s="5" t="s">
        <v>39</v>
      </c>
    </row>
    <row r="99" spans="1:30" hidden="1" x14ac:dyDescent="0.25">
      <c r="A99" s="5">
        <v>89</v>
      </c>
      <c r="B99" s="5" t="s">
        <v>123</v>
      </c>
      <c r="C99" s="5">
        <v>6</v>
      </c>
      <c r="D99" s="5">
        <v>298</v>
      </c>
      <c r="E99" s="5">
        <v>378</v>
      </c>
      <c r="F99" s="5" t="s">
        <v>77</v>
      </c>
      <c r="G99" s="5" t="s">
        <v>746</v>
      </c>
      <c r="H99" s="5">
        <v>7</v>
      </c>
      <c r="I99" s="5">
        <v>36.869999999999997</v>
      </c>
      <c r="J99" s="5" t="s">
        <v>839</v>
      </c>
      <c r="K99" s="5" t="s">
        <v>812</v>
      </c>
      <c r="L99" s="5"/>
      <c r="M99" s="5" t="s">
        <v>747</v>
      </c>
      <c r="N99" s="5"/>
      <c r="O99" s="20"/>
      <c r="P99" s="20" t="str">
        <f t="shared" si="1"/>
        <v/>
      </c>
      <c r="Q99" s="20" t="s">
        <v>26</v>
      </c>
      <c r="R99" s="20" t="s">
        <v>81</v>
      </c>
      <c r="S99" s="20"/>
      <c r="T99" s="20"/>
      <c r="U99" s="20"/>
      <c r="V99" s="20"/>
      <c r="W99" s="20">
        <v>1</v>
      </c>
      <c r="X99" s="21" t="s">
        <v>37</v>
      </c>
      <c r="Y99" s="5"/>
      <c r="Z99" s="5" t="s">
        <v>38</v>
      </c>
      <c r="AA99" s="5"/>
      <c r="AB99" s="5" t="str">
        <f>IF(LEN('List chi tiet'!$B$3)=0,"",'List chi tiet'!$B$3)</f>
        <v>TCTN.DNS-26004</v>
      </c>
      <c r="AC99" s="5" t="s">
        <v>169</v>
      </c>
      <c r="AD99" s="5" t="s">
        <v>39</v>
      </c>
    </row>
    <row r="100" spans="1:30" hidden="1" x14ac:dyDescent="0.25">
      <c r="A100" s="5">
        <v>90</v>
      </c>
      <c r="B100" s="5" t="s">
        <v>171</v>
      </c>
      <c r="C100" s="5">
        <v>6</v>
      </c>
      <c r="D100" s="5">
        <v>298</v>
      </c>
      <c r="E100" s="5">
        <v>378</v>
      </c>
      <c r="F100" s="5" t="s">
        <v>77</v>
      </c>
      <c r="G100" s="5" t="s">
        <v>746</v>
      </c>
      <c r="H100" s="5">
        <v>14</v>
      </c>
      <c r="I100" s="5">
        <v>73.75</v>
      </c>
      <c r="J100" s="5" t="s">
        <v>839</v>
      </c>
      <c r="K100" s="5" t="s">
        <v>812</v>
      </c>
      <c r="L100" s="5"/>
      <c r="M100" s="5" t="s">
        <v>747</v>
      </c>
      <c r="N100" s="5"/>
      <c r="O100" s="20"/>
      <c r="P100" s="20" t="str">
        <f t="shared" si="1"/>
        <v/>
      </c>
      <c r="Q100" s="20" t="s">
        <v>26</v>
      </c>
      <c r="R100" s="20" t="s">
        <v>81</v>
      </c>
      <c r="S100" s="20"/>
      <c r="T100" s="20"/>
      <c r="U100" s="20"/>
      <c r="V100" s="20"/>
      <c r="W100" s="20">
        <v>1</v>
      </c>
      <c r="X100" s="21" t="s">
        <v>37</v>
      </c>
      <c r="Y100" s="5"/>
      <c r="Z100" s="5" t="s">
        <v>38</v>
      </c>
      <c r="AA100" s="5"/>
      <c r="AB100" s="5" t="str">
        <f>IF(LEN('List chi tiet'!$B$3)=0,"",'List chi tiet'!$B$3)</f>
        <v>TCTN.DNS-26004</v>
      </c>
      <c r="AC100" s="5" t="s">
        <v>169</v>
      </c>
      <c r="AD100" s="5" t="s">
        <v>39</v>
      </c>
    </row>
    <row r="101" spans="1:30" hidden="1" x14ac:dyDescent="0.25">
      <c r="A101" s="5">
        <v>91</v>
      </c>
      <c r="B101" s="5" t="s">
        <v>172</v>
      </c>
      <c r="C101" s="5">
        <v>6</v>
      </c>
      <c r="D101" s="5">
        <v>188</v>
      </c>
      <c r="E101" s="5">
        <v>2483</v>
      </c>
      <c r="F101" s="5" t="s">
        <v>77</v>
      </c>
      <c r="G101" s="5" t="s">
        <v>746</v>
      </c>
      <c r="H101" s="5">
        <v>24</v>
      </c>
      <c r="I101" s="5">
        <v>518.97</v>
      </c>
      <c r="J101" s="5" t="s">
        <v>839</v>
      </c>
      <c r="K101" s="5" t="s">
        <v>812</v>
      </c>
      <c r="L101" s="5"/>
      <c r="M101" s="5" t="s">
        <v>747</v>
      </c>
      <c r="N101" s="5"/>
      <c r="O101" s="20"/>
      <c r="P101" s="20" t="str">
        <f t="shared" si="1"/>
        <v/>
      </c>
      <c r="Q101" s="20"/>
      <c r="R101" s="20" t="s">
        <v>81</v>
      </c>
      <c r="S101" s="20"/>
      <c r="T101" s="20"/>
      <c r="U101" s="20" t="s">
        <v>81</v>
      </c>
      <c r="V101" s="20" t="s">
        <v>81</v>
      </c>
      <c r="W101" s="20">
        <v>1</v>
      </c>
      <c r="X101" s="21" t="s">
        <v>37</v>
      </c>
      <c r="Y101" s="5"/>
      <c r="Z101" s="5" t="s">
        <v>38</v>
      </c>
      <c r="AA101" s="5"/>
      <c r="AB101" s="5" t="str">
        <f>IF(LEN('List chi tiet'!$B$3)=0,"",'List chi tiet'!$B$3)</f>
        <v>TCTN.DNS-26004</v>
      </c>
      <c r="AC101" s="5" t="s">
        <v>173</v>
      </c>
      <c r="AD101" s="5" t="s">
        <v>39</v>
      </c>
    </row>
    <row r="102" spans="1:30" hidden="1" x14ac:dyDescent="0.25">
      <c r="A102" s="5">
        <v>92</v>
      </c>
      <c r="B102" s="5" t="s">
        <v>166</v>
      </c>
      <c r="C102" s="5">
        <v>6</v>
      </c>
      <c r="D102" s="5">
        <v>188</v>
      </c>
      <c r="E102" s="5">
        <v>2483</v>
      </c>
      <c r="F102" s="5" t="s">
        <v>77</v>
      </c>
      <c r="G102" s="5" t="s">
        <v>746</v>
      </c>
      <c r="H102" s="5">
        <v>4</v>
      </c>
      <c r="I102" s="5">
        <v>86.5</v>
      </c>
      <c r="J102" s="5" t="s">
        <v>839</v>
      </c>
      <c r="K102" s="5" t="s">
        <v>812</v>
      </c>
      <c r="L102" s="5"/>
      <c r="M102" s="5" t="s">
        <v>747</v>
      </c>
      <c r="N102" s="5"/>
      <c r="O102" s="20"/>
      <c r="P102" s="20" t="str">
        <f t="shared" si="1"/>
        <v/>
      </c>
      <c r="Q102" s="20"/>
      <c r="R102" s="20" t="s">
        <v>81</v>
      </c>
      <c r="S102" s="20"/>
      <c r="T102" s="20"/>
      <c r="U102" s="20" t="s">
        <v>81</v>
      </c>
      <c r="V102" s="20" t="s">
        <v>81</v>
      </c>
      <c r="W102" s="20">
        <v>1</v>
      </c>
      <c r="X102" s="21" t="s">
        <v>37</v>
      </c>
      <c r="Y102" s="5"/>
      <c r="Z102" s="5" t="s">
        <v>38</v>
      </c>
      <c r="AA102" s="5"/>
      <c r="AB102" s="5" t="str">
        <f>IF(LEN('List chi tiet'!$B$3)=0,"",'List chi tiet'!$B$3)</f>
        <v>TCTN.DNS-26004</v>
      </c>
      <c r="AC102" s="5" t="s">
        <v>173</v>
      </c>
      <c r="AD102" s="5" t="s">
        <v>39</v>
      </c>
    </row>
    <row r="103" spans="1:30" hidden="1" x14ac:dyDescent="0.25">
      <c r="A103" s="5">
        <v>93</v>
      </c>
      <c r="B103" s="5" t="s">
        <v>116</v>
      </c>
      <c r="C103" s="5">
        <v>6</v>
      </c>
      <c r="D103" s="5">
        <v>298</v>
      </c>
      <c r="E103" s="5">
        <v>378</v>
      </c>
      <c r="F103" s="5" t="s">
        <v>77</v>
      </c>
      <c r="G103" s="5" t="s">
        <v>746</v>
      </c>
      <c r="H103" s="5">
        <v>6</v>
      </c>
      <c r="I103" s="5">
        <v>31.61</v>
      </c>
      <c r="J103" s="5" t="s">
        <v>839</v>
      </c>
      <c r="K103" s="5" t="s">
        <v>812</v>
      </c>
      <c r="L103" s="5"/>
      <c r="M103" s="5" t="s">
        <v>747</v>
      </c>
      <c r="N103" s="5"/>
      <c r="O103" s="20"/>
      <c r="P103" s="20" t="str">
        <f t="shared" si="1"/>
        <v/>
      </c>
      <c r="Q103" s="20" t="s">
        <v>26</v>
      </c>
      <c r="R103" s="20" t="s">
        <v>81</v>
      </c>
      <c r="S103" s="20"/>
      <c r="T103" s="20"/>
      <c r="U103" s="20"/>
      <c r="V103" s="20"/>
      <c r="W103" s="20">
        <v>1</v>
      </c>
      <c r="X103" s="21" t="s">
        <v>37</v>
      </c>
      <c r="Y103" s="5"/>
      <c r="Z103" s="5" t="s">
        <v>38</v>
      </c>
      <c r="AA103" s="5"/>
      <c r="AB103" s="5" t="str">
        <f>IF(LEN('List chi tiet'!$B$3)=0,"",'List chi tiet'!$B$3)</f>
        <v>TCTN.DNS-26004</v>
      </c>
      <c r="AC103" s="5" t="s">
        <v>173</v>
      </c>
      <c r="AD103" s="5" t="s">
        <v>39</v>
      </c>
    </row>
    <row r="104" spans="1:30" hidden="1" x14ac:dyDescent="0.25">
      <c r="A104" s="5">
        <v>94</v>
      </c>
      <c r="B104" s="5" t="s">
        <v>123</v>
      </c>
      <c r="C104" s="5">
        <v>6</v>
      </c>
      <c r="D104" s="5">
        <v>298</v>
      </c>
      <c r="E104" s="5">
        <v>378</v>
      </c>
      <c r="F104" s="5" t="s">
        <v>77</v>
      </c>
      <c r="G104" s="5" t="s">
        <v>746</v>
      </c>
      <c r="H104" s="5">
        <v>20</v>
      </c>
      <c r="I104" s="5">
        <v>105.36</v>
      </c>
      <c r="J104" s="5" t="s">
        <v>839</v>
      </c>
      <c r="K104" s="5" t="s">
        <v>812</v>
      </c>
      <c r="L104" s="5"/>
      <c r="M104" s="5" t="s">
        <v>747</v>
      </c>
      <c r="N104" s="5"/>
      <c r="O104" s="20"/>
      <c r="P104" s="20" t="str">
        <f t="shared" si="1"/>
        <v/>
      </c>
      <c r="Q104" s="20" t="s">
        <v>26</v>
      </c>
      <c r="R104" s="20" t="s">
        <v>81</v>
      </c>
      <c r="S104" s="20"/>
      <c r="T104" s="20"/>
      <c r="U104" s="20"/>
      <c r="V104" s="20"/>
      <c r="W104" s="20">
        <v>1</v>
      </c>
      <c r="X104" s="21" t="s">
        <v>37</v>
      </c>
      <c r="Y104" s="5"/>
      <c r="Z104" s="5" t="s">
        <v>38</v>
      </c>
      <c r="AA104" s="5"/>
      <c r="AB104" s="5" t="str">
        <f>IF(LEN('List chi tiet'!$B$3)=0,"",'List chi tiet'!$B$3)</f>
        <v>TCTN.DNS-26004</v>
      </c>
      <c r="AC104" s="5" t="s">
        <v>173</v>
      </c>
      <c r="AD104" s="5" t="s">
        <v>39</v>
      </c>
    </row>
    <row r="105" spans="1:30" hidden="1" x14ac:dyDescent="0.25">
      <c r="A105" s="5">
        <v>95</v>
      </c>
      <c r="B105" s="5" t="s">
        <v>175</v>
      </c>
      <c r="C105" s="5">
        <v>6</v>
      </c>
      <c r="D105" s="5">
        <v>328</v>
      </c>
      <c r="E105" s="5">
        <v>934</v>
      </c>
      <c r="F105" s="5" t="s">
        <v>77</v>
      </c>
      <c r="G105" s="5" t="s">
        <v>746</v>
      </c>
      <c r="H105" s="5">
        <v>2</v>
      </c>
      <c r="I105" s="5">
        <v>28.86</v>
      </c>
      <c r="J105" s="5" t="s">
        <v>839</v>
      </c>
      <c r="K105" s="5" t="s">
        <v>812</v>
      </c>
      <c r="L105" s="5"/>
      <c r="M105" s="5" t="s">
        <v>747</v>
      </c>
      <c r="N105" s="5"/>
      <c r="O105" s="20"/>
      <c r="P105" s="20" t="str">
        <f t="shared" si="1"/>
        <v/>
      </c>
      <c r="Q105" s="20"/>
      <c r="R105" s="20" t="s">
        <v>81</v>
      </c>
      <c r="S105" s="20"/>
      <c r="T105" s="20"/>
      <c r="U105" s="20" t="s">
        <v>81</v>
      </c>
      <c r="V105" s="20"/>
      <c r="W105" s="20">
        <v>1</v>
      </c>
      <c r="X105" s="21" t="s">
        <v>37</v>
      </c>
      <c r="Y105" s="5"/>
      <c r="Z105" s="5" t="s">
        <v>38</v>
      </c>
      <c r="AA105" s="5"/>
      <c r="AB105" s="5" t="str">
        <f>IF(LEN('List chi tiet'!$B$3)=0,"",'List chi tiet'!$B$3)</f>
        <v>TCTN.DNS-26004</v>
      </c>
      <c r="AC105" s="5" t="s">
        <v>176</v>
      </c>
      <c r="AD105" s="5" t="s">
        <v>39</v>
      </c>
    </row>
    <row r="106" spans="1:30" hidden="1" x14ac:dyDescent="0.25">
      <c r="A106" s="5">
        <v>96</v>
      </c>
      <c r="B106" s="5" t="s">
        <v>178</v>
      </c>
      <c r="C106" s="5">
        <v>6</v>
      </c>
      <c r="D106" s="5">
        <v>328</v>
      </c>
      <c r="E106" s="5">
        <v>934</v>
      </c>
      <c r="F106" s="5" t="s">
        <v>77</v>
      </c>
      <c r="G106" s="5" t="s">
        <v>746</v>
      </c>
      <c r="H106" s="5">
        <v>4</v>
      </c>
      <c r="I106" s="5">
        <v>57.72</v>
      </c>
      <c r="J106" s="5" t="s">
        <v>839</v>
      </c>
      <c r="K106" s="5" t="s">
        <v>812</v>
      </c>
      <c r="L106" s="5"/>
      <c r="M106" s="5" t="s">
        <v>747</v>
      </c>
      <c r="N106" s="5"/>
      <c r="O106" s="20"/>
      <c r="P106" s="20" t="str">
        <f t="shared" si="1"/>
        <v/>
      </c>
      <c r="Q106" s="20"/>
      <c r="R106" s="20" t="s">
        <v>81</v>
      </c>
      <c r="S106" s="20"/>
      <c r="T106" s="20"/>
      <c r="U106" s="20" t="s">
        <v>81</v>
      </c>
      <c r="V106" s="20"/>
      <c r="W106" s="20">
        <v>1</v>
      </c>
      <c r="X106" s="21" t="s">
        <v>37</v>
      </c>
      <c r="Y106" s="5"/>
      <c r="Z106" s="5" t="s">
        <v>38</v>
      </c>
      <c r="AA106" s="5"/>
      <c r="AB106" s="5" t="str">
        <f>IF(LEN('List chi tiet'!$B$3)=0,"",'List chi tiet'!$B$3)</f>
        <v>TCTN.DNS-26004</v>
      </c>
      <c r="AC106" s="5" t="s">
        <v>176</v>
      </c>
      <c r="AD106" s="5" t="s">
        <v>39</v>
      </c>
    </row>
    <row r="107" spans="1:30" hidden="1" x14ac:dyDescent="0.25">
      <c r="A107" s="5">
        <v>97</v>
      </c>
      <c r="B107" s="5" t="s">
        <v>179</v>
      </c>
      <c r="C107" s="5">
        <v>6</v>
      </c>
      <c r="D107" s="5">
        <v>328</v>
      </c>
      <c r="E107" s="5">
        <v>934</v>
      </c>
      <c r="F107" s="5" t="s">
        <v>77</v>
      </c>
      <c r="G107" s="5" t="s">
        <v>746</v>
      </c>
      <c r="H107" s="5">
        <v>2</v>
      </c>
      <c r="I107" s="5">
        <v>28.86</v>
      </c>
      <c r="J107" s="5" t="s">
        <v>839</v>
      </c>
      <c r="K107" s="5" t="s">
        <v>812</v>
      </c>
      <c r="L107" s="5"/>
      <c r="M107" s="5" t="s">
        <v>747</v>
      </c>
      <c r="N107" s="5"/>
      <c r="O107" s="20"/>
      <c r="P107" s="20" t="str">
        <f t="shared" si="1"/>
        <v/>
      </c>
      <c r="Q107" s="20"/>
      <c r="R107" s="20" t="s">
        <v>81</v>
      </c>
      <c r="S107" s="20"/>
      <c r="T107" s="20"/>
      <c r="U107" s="20" t="s">
        <v>81</v>
      </c>
      <c r="V107" s="20"/>
      <c r="W107" s="20">
        <v>1</v>
      </c>
      <c r="X107" s="21" t="s">
        <v>37</v>
      </c>
      <c r="Y107" s="5"/>
      <c r="Z107" s="5" t="s">
        <v>38</v>
      </c>
      <c r="AA107" s="5"/>
      <c r="AB107" s="5" t="str">
        <f>IF(LEN('List chi tiet'!$B$3)=0,"",'List chi tiet'!$B$3)</f>
        <v>TCTN.DNS-26004</v>
      </c>
      <c r="AC107" s="5" t="s">
        <v>176</v>
      </c>
      <c r="AD107" s="5" t="s">
        <v>39</v>
      </c>
    </row>
    <row r="108" spans="1:30" hidden="1" x14ac:dyDescent="0.25">
      <c r="A108" s="5">
        <v>98</v>
      </c>
      <c r="B108" s="5" t="s">
        <v>172</v>
      </c>
      <c r="C108" s="5">
        <v>6</v>
      </c>
      <c r="D108" s="5">
        <v>188</v>
      </c>
      <c r="E108" s="5">
        <v>2483</v>
      </c>
      <c r="F108" s="5" t="s">
        <v>77</v>
      </c>
      <c r="G108" s="5" t="s">
        <v>746</v>
      </c>
      <c r="H108" s="5">
        <v>16</v>
      </c>
      <c r="I108" s="5">
        <v>345.98</v>
      </c>
      <c r="J108" s="5" t="s">
        <v>839</v>
      </c>
      <c r="K108" s="5" t="s">
        <v>812</v>
      </c>
      <c r="L108" s="5"/>
      <c r="M108" s="5" t="s">
        <v>747</v>
      </c>
      <c r="N108" s="5"/>
      <c r="O108" s="20"/>
      <c r="P108" s="20" t="str">
        <f t="shared" si="1"/>
        <v/>
      </c>
      <c r="Q108" s="20"/>
      <c r="R108" s="20" t="s">
        <v>81</v>
      </c>
      <c r="S108" s="20"/>
      <c r="T108" s="20"/>
      <c r="U108" s="20" t="s">
        <v>81</v>
      </c>
      <c r="V108" s="20" t="s">
        <v>81</v>
      </c>
      <c r="W108" s="20">
        <v>1</v>
      </c>
      <c r="X108" s="21" t="s">
        <v>37</v>
      </c>
      <c r="Y108" s="5"/>
      <c r="Z108" s="5" t="s">
        <v>38</v>
      </c>
      <c r="AA108" s="5"/>
      <c r="AB108" s="5" t="str">
        <f>IF(LEN('List chi tiet'!$B$3)=0,"",'List chi tiet'!$B$3)</f>
        <v>TCTN.DNS-26004</v>
      </c>
      <c r="AC108" s="5" t="s">
        <v>176</v>
      </c>
      <c r="AD108" s="5" t="s">
        <v>39</v>
      </c>
    </row>
    <row r="109" spans="1:30" hidden="1" x14ac:dyDescent="0.25">
      <c r="A109" s="5">
        <v>99</v>
      </c>
      <c r="B109" s="5" t="s">
        <v>180</v>
      </c>
      <c r="C109" s="5">
        <v>6</v>
      </c>
      <c r="D109" s="5">
        <v>188</v>
      </c>
      <c r="E109" s="5">
        <v>2483</v>
      </c>
      <c r="F109" s="5" t="s">
        <v>77</v>
      </c>
      <c r="G109" s="5" t="s">
        <v>746</v>
      </c>
      <c r="H109" s="5">
        <v>12</v>
      </c>
      <c r="I109" s="5">
        <v>259.49</v>
      </c>
      <c r="J109" s="5" t="s">
        <v>839</v>
      </c>
      <c r="K109" s="5" t="s">
        <v>812</v>
      </c>
      <c r="L109" s="5"/>
      <c r="M109" s="5" t="s">
        <v>747</v>
      </c>
      <c r="N109" s="5"/>
      <c r="O109" s="20"/>
      <c r="P109" s="20" t="str">
        <f t="shared" si="1"/>
        <v/>
      </c>
      <c r="Q109" s="20"/>
      <c r="R109" s="20" t="s">
        <v>81</v>
      </c>
      <c r="S109" s="20"/>
      <c r="T109" s="20"/>
      <c r="U109" s="20" t="s">
        <v>81</v>
      </c>
      <c r="V109" s="20" t="s">
        <v>81</v>
      </c>
      <c r="W109" s="20">
        <v>1</v>
      </c>
      <c r="X109" s="21" t="s">
        <v>37</v>
      </c>
      <c r="Y109" s="5"/>
      <c r="Z109" s="5" t="s">
        <v>38</v>
      </c>
      <c r="AA109" s="5"/>
      <c r="AB109" s="5" t="str">
        <f>IF(LEN('List chi tiet'!$B$3)=0,"",'List chi tiet'!$B$3)</f>
        <v>TCTN.DNS-26004</v>
      </c>
      <c r="AC109" s="5" t="s">
        <v>176</v>
      </c>
      <c r="AD109" s="5" t="s">
        <v>39</v>
      </c>
    </row>
    <row r="110" spans="1:30" hidden="1" x14ac:dyDescent="0.25">
      <c r="A110" s="5">
        <v>100</v>
      </c>
      <c r="B110" s="5" t="s">
        <v>175</v>
      </c>
      <c r="C110" s="5">
        <v>6</v>
      </c>
      <c r="D110" s="5">
        <v>328</v>
      </c>
      <c r="E110" s="5">
        <v>934</v>
      </c>
      <c r="F110" s="5" t="s">
        <v>77</v>
      </c>
      <c r="G110" s="5" t="s">
        <v>746</v>
      </c>
      <c r="H110" s="5">
        <v>2</v>
      </c>
      <c r="I110" s="5">
        <v>28.86</v>
      </c>
      <c r="J110" s="5" t="s">
        <v>839</v>
      </c>
      <c r="K110" s="5" t="s">
        <v>812</v>
      </c>
      <c r="L110" s="5"/>
      <c r="M110" s="5" t="s">
        <v>747</v>
      </c>
      <c r="N110" s="5"/>
      <c r="O110" s="20"/>
      <c r="P110" s="20" t="str">
        <f t="shared" si="1"/>
        <v/>
      </c>
      <c r="Q110" s="20"/>
      <c r="R110" s="20" t="s">
        <v>81</v>
      </c>
      <c r="S110" s="20"/>
      <c r="T110" s="20"/>
      <c r="U110" s="20" t="s">
        <v>81</v>
      </c>
      <c r="V110" s="20"/>
      <c r="W110" s="20">
        <v>1</v>
      </c>
      <c r="X110" s="21" t="s">
        <v>37</v>
      </c>
      <c r="Y110" s="5"/>
      <c r="Z110" s="5" t="s">
        <v>38</v>
      </c>
      <c r="AA110" s="5"/>
      <c r="AB110" s="5" t="str">
        <f>IF(LEN('List chi tiet'!$B$3)=0,"",'List chi tiet'!$B$3)</f>
        <v>TCTN.DNS-26004</v>
      </c>
      <c r="AC110" s="5" t="s">
        <v>181</v>
      </c>
      <c r="AD110" s="5" t="s">
        <v>39</v>
      </c>
    </row>
    <row r="111" spans="1:30" hidden="1" x14ac:dyDescent="0.25">
      <c r="A111" s="5">
        <v>101</v>
      </c>
      <c r="B111" s="5" t="s">
        <v>178</v>
      </c>
      <c r="C111" s="5">
        <v>6</v>
      </c>
      <c r="D111" s="5">
        <v>328</v>
      </c>
      <c r="E111" s="5">
        <v>934</v>
      </c>
      <c r="F111" s="5" t="s">
        <v>77</v>
      </c>
      <c r="G111" s="5" t="s">
        <v>746</v>
      </c>
      <c r="H111" s="5">
        <v>1</v>
      </c>
      <c r="I111" s="5">
        <v>14.43</v>
      </c>
      <c r="J111" s="5" t="s">
        <v>839</v>
      </c>
      <c r="K111" s="5" t="s">
        <v>812</v>
      </c>
      <c r="L111" s="5"/>
      <c r="M111" s="5" t="s">
        <v>747</v>
      </c>
      <c r="N111" s="5"/>
      <c r="O111" s="20"/>
      <c r="P111" s="20" t="str">
        <f t="shared" si="1"/>
        <v/>
      </c>
      <c r="Q111" s="20"/>
      <c r="R111" s="20" t="s">
        <v>81</v>
      </c>
      <c r="S111" s="20"/>
      <c r="T111" s="20"/>
      <c r="U111" s="20" t="s">
        <v>81</v>
      </c>
      <c r="V111" s="20"/>
      <c r="W111" s="20">
        <v>1</v>
      </c>
      <c r="X111" s="21" t="s">
        <v>37</v>
      </c>
      <c r="Y111" s="5"/>
      <c r="Z111" s="5" t="s">
        <v>38</v>
      </c>
      <c r="AA111" s="5"/>
      <c r="AB111" s="5" t="str">
        <f>IF(LEN('List chi tiet'!$B$3)=0,"",'List chi tiet'!$B$3)</f>
        <v>TCTN.DNS-26004</v>
      </c>
      <c r="AC111" s="5" t="s">
        <v>181</v>
      </c>
      <c r="AD111" s="5" t="s">
        <v>39</v>
      </c>
    </row>
    <row r="112" spans="1:30" hidden="1" x14ac:dyDescent="0.25">
      <c r="A112" s="5">
        <v>102</v>
      </c>
      <c r="B112" s="5" t="s">
        <v>179</v>
      </c>
      <c r="C112" s="5">
        <v>6</v>
      </c>
      <c r="D112" s="5">
        <v>328</v>
      </c>
      <c r="E112" s="5">
        <v>934</v>
      </c>
      <c r="F112" s="5" t="s">
        <v>77</v>
      </c>
      <c r="G112" s="5" t="s">
        <v>746</v>
      </c>
      <c r="H112" s="5">
        <v>5</v>
      </c>
      <c r="I112" s="5">
        <v>72.150000000000006</v>
      </c>
      <c r="J112" s="5" t="s">
        <v>839</v>
      </c>
      <c r="K112" s="5" t="s">
        <v>812</v>
      </c>
      <c r="L112" s="5"/>
      <c r="M112" s="5" t="s">
        <v>747</v>
      </c>
      <c r="N112" s="5"/>
      <c r="O112" s="20"/>
      <c r="P112" s="20" t="str">
        <f t="shared" si="1"/>
        <v/>
      </c>
      <c r="Q112" s="20"/>
      <c r="R112" s="20" t="s">
        <v>81</v>
      </c>
      <c r="S112" s="20"/>
      <c r="T112" s="20"/>
      <c r="U112" s="20" t="s">
        <v>81</v>
      </c>
      <c r="V112" s="20"/>
      <c r="W112" s="20">
        <v>1</v>
      </c>
      <c r="X112" s="21" t="s">
        <v>37</v>
      </c>
      <c r="Y112" s="5"/>
      <c r="Z112" s="5" t="s">
        <v>38</v>
      </c>
      <c r="AA112" s="5"/>
      <c r="AB112" s="5" t="str">
        <f>IF(LEN('List chi tiet'!$B$3)=0,"",'List chi tiet'!$B$3)</f>
        <v>TCTN.DNS-26004</v>
      </c>
      <c r="AC112" s="5" t="s">
        <v>181</v>
      </c>
      <c r="AD112" s="5" t="s">
        <v>39</v>
      </c>
    </row>
    <row r="113" spans="1:30" hidden="1" x14ac:dyDescent="0.25">
      <c r="A113" s="5">
        <v>103</v>
      </c>
      <c r="B113" s="5" t="s">
        <v>180</v>
      </c>
      <c r="C113" s="5">
        <v>6</v>
      </c>
      <c r="D113" s="5">
        <v>188</v>
      </c>
      <c r="E113" s="5">
        <v>2483</v>
      </c>
      <c r="F113" s="5" t="s">
        <v>77</v>
      </c>
      <c r="G113" s="5" t="s">
        <v>746</v>
      </c>
      <c r="H113" s="5">
        <v>28</v>
      </c>
      <c r="I113" s="5">
        <v>605.47</v>
      </c>
      <c r="J113" s="5" t="s">
        <v>839</v>
      </c>
      <c r="K113" s="5" t="s">
        <v>812</v>
      </c>
      <c r="L113" s="5"/>
      <c r="M113" s="5" t="s">
        <v>747</v>
      </c>
      <c r="N113" s="5"/>
      <c r="O113" s="20"/>
      <c r="P113" s="20" t="str">
        <f t="shared" si="1"/>
        <v/>
      </c>
      <c r="Q113" s="20"/>
      <c r="R113" s="20" t="s">
        <v>81</v>
      </c>
      <c r="S113" s="20"/>
      <c r="T113" s="20"/>
      <c r="U113" s="20" t="s">
        <v>81</v>
      </c>
      <c r="V113" s="20" t="s">
        <v>81</v>
      </c>
      <c r="W113" s="20">
        <v>1</v>
      </c>
      <c r="X113" s="21" t="s">
        <v>37</v>
      </c>
      <c r="Y113" s="5"/>
      <c r="Z113" s="5" t="s">
        <v>38</v>
      </c>
      <c r="AA113" s="5"/>
      <c r="AB113" s="5" t="str">
        <f>IF(LEN('List chi tiet'!$B$3)=0,"",'List chi tiet'!$B$3)</f>
        <v>TCTN.DNS-26004</v>
      </c>
      <c r="AC113" s="5" t="s">
        <v>181</v>
      </c>
      <c r="AD113" s="5" t="s">
        <v>39</v>
      </c>
    </row>
    <row r="114" spans="1:30" hidden="1" x14ac:dyDescent="0.25">
      <c r="A114" s="5">
        <v>104</v>
      </c>
      <c r="B114" s="5" t="s">
        <v>175</v>
      </c>
      <c r="C114" s="5">
        <v>6</v>
      </c>
      <c r="D114" s="5">
        <v>328</v>
      </c>
      <c r="E114" s="5">
        <v>934</v>
      </c>
      <c r="F114" s="5" t="s">
        <v>77</v>
      </c>
      <c r="G114" s="5" t="s">
        <v>746</v>
      </c>
      <c r="H114" s="5">
        <v>2</v>
      </c>
      <c r="I114" s="5">
        <v>28.86</v>
      </c>
      <c r="J114" s="5" t="s">
        <v>839</v>
      </c>
      <c r="K114" s="5" t="s">
        <v>812</v>
      </c>
      <c r="L114" s="5"/>
      <c r="M114" s="5" t="s">
        <v>747</v>
      </c>
      <c r="N114" s="5"/>
      <c r="O114" s="20"/>
      <c r="P114" s="20" t="str">
        <f t="shared" si="1"/>
        <v/>
      </c>
      <c r="Q114" s="20"/>
      <c r="R114" s="20" t="s">
        <v>81</v>
      </c>
      <c r="S114" s="20"/>
      <c r="T114" s="20"/>
      <c r="U114" s="20" t="s">
        <v>81</v>
      </c>
      <c r="V114" s="20"/>
      <c r="W114" s="20">
        <v>1</v>
      </c>
      <c r="X114" s="21" t="s">
        <v>37</v>
      </c>
      <c r="Y114" s="5"/>
      <c r="Z114" s="5" t="s">
        <v>38</v>
      </c>
      <c r="AA114" s="5"/>
      <c r="AB114" s="5" t="str">
        <f>IF(LEN('List chi tiet'!$B$3)=0,"",'List chi tiet'!$B$3)</f>
        <v>TCTN.DNS-26004</v>
      </c>
      <c r="AC114" s="5" t="s">
        <v>183</v>
      </c>
      <c r="AD114" s="5" t="s">
        <v>39</v>
      </c>
    </row>
    <row r="115" spans="1:30" hidden="1" x14ac:dyDescent="0.25">
      <c r="A115" s="5">
        <v>105</v>
      </c>
      <c r="B115" s="5" t="s">
        <v>178</v>
      </c>
      <c r="C115" s="5">
        <v>6</v>
      </c>
      <c r="D115" s="5">
        <v>328</v>
      </c>
      <c r="E115" s="5">
        <v>934</v>
      </c>
      <c r="F115" s="5" t="s">
        <v>77</v>
      </c>
      <c r="G115" s="5" t="s">
        <v>746</v>
      </c>
      <c r="H115" s="5">
        <v>1</v>
      </c>
      <c r="I115" s="5">
        <v>14.43</v>
      </c>
      <c r="J115" s="5" t="s">
        <v>839</v>
      </c>
      <c r="K115" s="5" t="s">
        <v>812</v>
      </c>
      <c r="L115" s="5"/>
      <c r="M115" s="5" t="s">
        <v>747</v>
      </c>
      <c r="N115" s="5"/>
      <c r="O115" s="20"/>
      <c r="P115" s="20" t="str">
        <f t="shared" si="1"/>
        <v/>
      </c>
      <c r="Q115" s="20"/>
      <c r="R115" s="20" t="s">
        <v>81</v>
      </c>
      <c r="S115" s="20"/>
      <c r="T115" s="20"/>
      <c r="U115" s="20" t="s">
        <v>81</v>
      </c>
      <c r="V115" s="20"/>
      <c r="W115" s="20">
        <v>1</v>
      </c>
      <c r="X115" s="21" t="s">
        <v>37</v>
      </c>
      <c r="Y115" s="5"/>
      <c r="Z115" s="5" t="s">
        <v>38</v>
      </c>
      <c r="AA115" s="5"/>
      <c r="AB115" s="5" t="str">
        <f>IF(LEN('List chi tiet'!$B$3)=0,"",'List chi tiet'!$B$3)</f>
        <v>TCTN.DNS-26004</v>
      </c>
      <c r="AC115" s="5" t="s">
        <v>183</v>
      </c>
      <c r="AD115" s="5" t="s">
        <v>39</v>
      </c>
    </row>
    <row r="116" spans="1:30" hidden="1" x14ac:dyDescent="0.25">
      <c r="A116" s="5">
        <v>106</v>
      </c>
      <c r="B116" s="5" t="s">
        <v>179</v>
      </c>
      <c r="C116" s="5">
        <v>6</v>
      </c>
      <c r="D116" s="5">
        <v>328</v>
      </c>
      <c r="E116" s="5">
        <v>934</v>
      </c>
      <c r="F116" s="5" t="s">
        <v>77</v>
      </c>
      <c r="G116" s="5" t="s">
        <v>746</v>
      </c>
      <c r="H116" s="5">
        <v>1</v>
      </c>
      <c r="I116" s="5">
        <v>14.43</v>
      </c>
      <c r="J116" s="5" t="s">
        <v>839</v>
      </c>
      <c r="K116" s="5" t="s">
        <v>812</v>
      </c>
      <c r="L116" s="5"/>
      <c r="M116" s="5" t="s">
        <v>747</v>
      </c>
      <c r="N116" s="5"/>
      <c r="O116" s="20"/>
      <c r="P116" s="20" t="str">
        <f t="shared" si="1"/>
        <v/>
      </c>
      <c r="Q116" s="20"/>
      <c r="R116" s="20" t="s">
        <v>81</v>
      </c>
      <c r="S116" s="20"/>
      <c r="T116" s="20"/>
      <c r="U116" s="20" t="s">
        <v>81</v>
      </c>
      <c r="V116" s="20"/>
      <c r="W116" s="20">
        <v>1</v>
      </c>
      <c r="X116" s="21" t="s">
        <v>37</v>
      </c>
      <c r="Y116" s="5"/>
      <c r="Z116" s="5" t="s">
        <v>38</v>
      </c>
      <c r="AA116" s="5"/>
      <c r="AB116" s="5" t="str">
        <f>IF(LEN('List chi tiet'!$B$3)=0,"",'List chi tiet'!$B$3)</f>
        <v>TCTN.DNS-26004</v>
      </c>
      <c r="AC116" s="5" t="s">
        <v>183</v>
      </c>
      <c r="AD116" s="5" t="s">
        <v>39</v>
      </c>
    </row>
    <row r="117" spans="1:30" hidden="1" x14ac:dyDescent="0.25">
      <c r="A117" s="5">
        <v>107</v>
      </c>
      <c r="B117" s="5" t="s">
        <v>185</v>
      </c>
      <c r="C117" s="5">
        <v>6</v>
      </c>
      <c r="D117" s="5">
        <v>188</v>
      </c>
      <c r="E117" s="5">
        <v>2483</v>
      </c>
      <c r="F117" s="5" t="s">
        <v>77</v>
      </c>
      <c r="G117" s="5" t="s">
        <v>746</v>
      </c>
      <c r="H117" s="5">
        <v>28</v>
      </c>
      <c r="I117" s="5">
        <v>605.47</v>
      </c>
      <c r="J117" s="5" t="s">
        <v>839</v>
      </c>
      <c r="K117" s="5" t="s">
        <v>812</v>
      </c>
      <c r="L117" s="5"/>
      <c r="M117" s="5" t="s">
        <v>747</v>
      </c>
      <c r="N117" s="5"/>
      <c r="O117" s="20"/>
      <c r="P117" s="20" t="str">
        <f t="shared" si="1"/>
        <v/>
      </c>
      <c r="Q117" s="20"/>
      <c r="R117" s="20" t="s">
        <v>81</v>
      </c>
      <c r="S117" s="20"/>
      <c r="T117" s="20"/>
      <c r="U117" s="20" t="s">
        <v>81</v>
      </c>
      <c r="V117" s="20" t="s">
        <v>81</v>
      </c>
      <c r="W117" s="20">
        <v>1</v>
      </c>
      <c r="X117" s="21" t="s">
        <v>37</v>
      </c>
      <c r="Y117" s="5"/>
      <c r="Z117" s="5" t="s">
        <v>38</v>
      </c>
      <c r="AA117" s="5"/>
      <c r="AB117" s="5" t="str">
        <f>IF(LEN('List chi tiet'!$B$3)=0,"",'List chi tiet'!$B$3)</f>
        <v>TCTN.DNS-26004</v>
      </c>
      <c r="AC117" s="5" t="s">
        <v>183</v>
      </c>
      <c r="AD117" s="5" t="s">
        <v>39</v>
      </c>
    </row>
    <row r="118" spans="1:30" hidden="1" x14ac:dyDescent="0.25">
      <c r="A118" s="5">
        <v>108</v>
      </c>
      <c r="B118" s="5" t="s">
        <v>138</v>
      </c>
      <c r="C118" s="5">
        <v>6</v>
      </c>
      <c r="D118" s="5">
        <v>328</v>
      </c>
      <c r="E118" s="5">
        <v>934</v>
      </c>
      <c r="F118" s="5" t="s">
        <v>77</v>
      </c>
      <c r="G118" s="5" t="s">
        <v>746</v>
      </c>
      <c r="H118" s="5">
        <v>2</v>
      </c>
      <c r="I118" s="5">
        <v>28.86</v>
      </c>
      <c r="J118" s="5" t="s">
        <v>839</v>
      </c>
      <c r="K118" s="5" t="s">
        <v>812</v>
      </c>
      <c r="L118" s="5"/>
      <c r="M118" s="5" t="s">
        <v>747</v>
      </c>
      <c r="N118" s="5"/>
      <c r="O118" s="20"/>
      <c r="P118" s="20" t="str">
        <f t="shared" si="1"/>
        <v/>
      </c>
      <c r="Q118" s="20"/>
      <c r="R118" s="20" t="s">
        <v>81</v>
      </c>
      <c r="S118" s="20"/>
      <c r="T118" s="20"/>
      <c r="U118" s="20" t="s">
        <v>81</v>
      </c>
      <c r="V118" s="20"/>
      <c r="W118" s="20">
        <v>1</v>
      </c>
      <c r="X118" s="21" t="s">
        <v>37</v>
      </c>
      <c r="Y118" s="5"/>
      <c r="Z118" s="5" t="s">
        <v>38</v>
      </c>
      <c r="AA118" s="5"/>
      <c r="AB118" s="5" t="str">
        <f>IF(LEN('List chi tiet'!$B$3)=0,"",'List chi tiet'!$B$3)</f>
        <v>TCTN.DNS-26004</v>
      </c>
      <c r="AC118" s="5" t="s">
        <v>183</v>
      </c>
      <c r="AD118" s="5" t="s">
        <v>39</v>
      </c>
    </row>
    <row r="119" spans="1:30" hidden="1" x14ac:dyDescent="0.25">
      <c r="A119" s="5">
        <v>109</v>
      </c>
      <c r="B119" s="5" t="s">
        <v>154</v>
      </c>
      <c r="C119" s="5">
        <v>6</v>
      </c>
      <c r="D119" s="5">
        <v>328</v>
      </c>
      <c r="E119" s="5">
        <v>934</v>
      </c>
      <c r="F119" s="5" t="s">
        <v>77</v>
      </c>
      <c r="G119" s="5" t="s">
        <v>746</v>
      </c>
      <c r="H119" s="5">
        <v>2</v>
      </c>
      <c r="I119" s="5">
        <v>28.86</v>
      </c>
      <c r="J119" s="5" t="s">
        <v>839</v>
      </c>
      <c r="K119" s="5" t="s">
        <v>812</v>
      </c>
      <c r="L119" s="5"/>
      <c r="M119" s="5" t="s">
        <v>747</v>
      </c>
      <c r="N119" s="5"/>
      <c r="O119" s="20"/>
      <c r="P119" s="20" t="str">
        <f t="shared" si="1"/>
        <v/>
      </c>
      <c r="Q119" s="20"/>
      <c r="R119" s="20" t="s">
        <v>81</v>
      </c>
      <c r="S119" s="20"/>
      <c r="T119" s="20"/>
      <c r="U119" s="20" t="s">
        <v>81</v>
      </c>
      <c r="V119" s="20"/>
      <c r="W119" s="20">
        <v>1</v>
      </c>
      <c r="X119" s="21" t="s">
        <v>37</v>
      </c>
      <c r="Y119" s="5"/>
      <c r="Z119" s="5" t="s">
        <v>38</v>
      </c>
      <c r="AA119" s="5"/>
      <c r="AB119" s="5" t="str">
        <f>IF(LEN('List chi tiet'!$B$3)=0,"",'List chi tiet'!$B$3)</f>
        <v>TCTN.DNS-26004</v>
      </c>
      <c r="AC119" s="5" t="s">
        <v>183</v>
      </c>
      <c r="AD119" s="5" t="s">
        <v>39</v>
      </c>
    </row>
    <row r="120" spans="1:30" hidden="1" x14ac:dyDescent="0.25">
      <c r="A120" s="5">
        <v>110</v>
      </c>
      <c r="B120" s="5" t="s">
        <v>186</v>
      </c>
      <c r="C120" s="5">
        <v>6</v>
      </c>
      <c r="D120" s="5">
        <v>328</v>
      </c>
      <c r="E120" s="5">
        <v>894</v>
      </c>
      <c r="F120" s="5" t="s">
        <v>77</v>
      </c>
      <c r="G120" s="5" t="s">
        <v>746</v>
      </c>
      <c r="H120" s="5">
        <v>2</v>
      </c>
      <c r="I120" s="5">
        <v>27.62</v>
      </c>
      <c r="J120" s="5" t="s">
        <v>839</v>
      </c>
      <c r="K120" s="5" t="s">
        <v>812</v>
      </c>
      <c r="L120" s="5"/>
      <c r="M120" s="5" t="s">
        <v>747</v>
      </c>
      <c r="N120" s="5"/>
      <c r="O120" s="20"/>
      <c r="P120" s="20" t="str">
        <f t="shared" si="1"/>
        <v/>
      </c>
      <c r="Q120" s="20"/>
      <c r="R120" s="20" t="s">
        <v>81</v>
      </c>
      <c r="S120" s="20"/>
      <c r="T120" s="20"/>
      <c r="U120" s="20" t="s">
        <v>81</v>
      </c>
      <c r="V120" s="20"/>
      <c r="W120" s="20">
        <v>1</v>
      </c>
      <c r="X120" s="21" t="s">
        <v>37</v>
      </c>
      <c r="Y120" s="5"/>
      <c r="Z120" s="5" t="s">
        <v>38</v>
      </c>
      <c r="AA120" s="5"/>
      <c r="AB120" s="5" t="str">
        <f>IF(LEN('List chi tiet'!$B$3)=0,"",'List chi tiet'!$B$3)</f>
        <v>TCTN.DNS-26004</v>
      </c>
      <c r="AC120" s="5" t="s">
        <v>187</v>
      </c>
      <c r="AD120" s="5" t="s">
        <v>39</v>
      </c>
    </row>
    <row r="121" spans="1:30" hidden="1" x14ac:dyDescent="0.25">
      <c r="A121" s="5">
        <v>111</v>
      </c>
      <c r="B121" s="5" t="s">
        <v>189</v>
      </c>
      <c r="C121" s="5">
        <v>6</v>
      </c>
      <c r="D121" s="5">
        <v>188</v>
      </c>
      <c r="E121" s="5">
        <v>2481</v>
      </c>
      <c r="F121" s="5" t="s">
        <v>77</v>
      </c>
      <c r="G121" s="5" t="s">
        <v>746</v>
      </c>
      <c r="H121" s="5">
        <v>2</v>
      </c>
      <c r="I121" s="5">
        <v>43.22</v>
      </c>
      <c r="J121" s="5" t="s">
        <v>839</v>
      </c>
      <c r="K121" s="5" t="s">
        <v>812</v>
      </c>
      <c r="L121" s="5"/>
      <c r="M121" s="5" t="s">
        <v>747</v>
      </c>
      <c r="N121" s="5"/>
      <c r="O121" s="20"/>
      <c r="P121" s="20" t="str">
        <f t="shared" si="1"/>
        <v/>
      </c>
      <c r="Q121" s="20"/>
      <c r="R121" s="20" t="s">
        <v>81</v>
      </c>
      <c r="S121" s="20"/>
      <c r="T121" s="20"/>
      <c r="U121" s="20" t="s">
        <v>81</v>
      </c>
      <c r="V121" s="20" t="s">
        <v>81</v>
      </c>
      <c r="W121" s="20">
        <v>1</v>
      </c>
      <c r="X121" s="21" t="s">
        <v>37</v>
      </c>
      <c r="Y121" s="5"/>
      <c r="Z121" s="5" t="s">
        <v>38</v>
      </c>
      <c r="AA121" s="5"/>
      <c r="AB121" s="5" t="str">
        <f>IF(LEN('List chi tiet'!$B$3)=0,"",'List chi tiet'!$B$3)</f>
        <v>TCTN.DNS-26004</v>
      </c>
      <c r="AC121" s="5" t="s">
        <v>187</v>
      </c>
      <c r="AD121" s="5" t="s">
        <v>39</v>
      </c>
    </row>
    <row r="122" spans="1:30" hidden="1" x14ac:dyDescent="0.25">
      <c r="A122" s="5">
        <v>112</v>
      </c>
      <c r="B122" s="5" t="s">
        <v>191</v>
      </c>
      <c r="C122" s="5">
        <v>6</v>
      </c>
      <c r="D122" s="5">
        <v>188</v>
      </c>
      <c r="E122" s="5">
        <v>2481</v>
      </c>
      <c r="F122" s="5" t="s">
        <v>77</v>
      </c>
      <c r="G122" s="5" t="s">
        <v>746</v>
      </c>
      <c r="H122" s="5">
        <v>2</v>
      </c>
      <c r="I122" s="5">
        <v>43.22</v>
      </c>
      <c r="J122" s="5" t="s">
        <v>839</v>
      </c>
      <c r="K122" s="5" t="s">
        <v>812</v>
      </c>
      <c r="L122" s="5"/>
      <c r="M122" s="5" t="s">
        <v>747</v>
      </c>
      <c r="N122" s="5"/>
      <c r="O122" s="20"/>
      <c r="P122" s="20" t="str">
        <f t="shared" si="1"/>
        <v/>
      </c>
      <c r="Q122" s="20"/>
      <c r="R122" s="20" t="s">
        <v>81</v>
      </c>
      <c r="S122" s="20"/>
      <c r="T122" s="20"/>
      <c r="U122" s="20" t="s">
        <v>81</v>
      </c>
      <c r="V122" s="20" t="s">
        <v>81</v>
      </c>
      <c r="W122" s="20">
        <v>1</v>
      </c>
      <c r="X122" s="21" t="s">
        <v>37</v>
      </c>
      <c r="Y122" s="5"/>
      <c r="Z122" s="5" t="s">
        <v>38</v>
      </c>
      <c r="AA122" s="5"/>
      <c r="AB122" s="5" t="str">
        <f>IF(LEN('List chi tiet'!$B$3)=0,"",'List chi tiet'!$B$3)</f>
        <v>TCTN.DNS-26004</v>
      </c>
      <c r="AC122" s="5" t="s">
        <v>187</v>
      </c>
      <c r="AD122" s="5" t="s">
        <v>39</v>
      </c>
    </row>
    <row r="123" spans="1:30" hidden="1" x14ac:dyDescent="0.25">
      <c r="A123" s="5">
        <v>113</v>
      </c>
      <c r="B123" s="5" t="s">
        <v>192</v>
      </c>
      <c r="C123" s="5">
        <v>6</v>
      </c>
      <c r="D123" s="5">
        <v>188</v>
      </c>
      <c r="E123" s="5">
        <v>2480</v>
      </c>
      <c r="F123" s="5" t="s">
        <v>77</v>
      </c>
      <c r="G123" s="5" t="s">
        <v>746</v>
      </c>
      <c r="H123" s="5">
        <v>2</v>
      </c>
      <c r="I123" s="5">
        <v>43.2</v>
      </c>
      <c r="J123" s="5" t="s">
        <v>839</v>
      </c>
      <c r="K123" s="5" t="s">
        <v>812</v>
      </c>
      <c r="L123" s="5"/>
      <c r="M123" s="5" t="s">
        <v>747</v>
      </c>
      <c r="N123" s="5"/>
      <c r="O123" s="20"/>
      <c r="P123" s="20" t="str">
        <f t="shared" si="1"/>
        <v/>
      </c>
      <c r="Q123" s="20"/>
      <c r="R123" s="20" t="s">
        <v>81</v>
      </c>
      <c r="S123" s="20"/>
      <c r="T123" s="20"/>
      <c r="U123" s="20" t="s">
        <v>81</v>
      </c>
      <c r="V123" s="20" t="s">
        <v>81</v>
      </c>
      <c r="W123" s="20">
        <v>1</v>
      </c>
      <c r="X123" s="21" t="s">
        <v>37</v>
      </c>
      <c r="Y123" s="5"/>
      <c r="Z123" s="5" t="s">
        <v>38</v>
      </c>
      <c r="AA123" s="5"/>
      <c r="AB123" s="5" t="str">
        <f>IF(LEN('List chi tiet'!$B$3)=0,"",'List chi tiet'!$B$3)</f>
        <v>TCTN.DNS-26004</v>
      </c>
      <c r="AC123" s="5" t="s">
        <v>187</v>
      </c>
      <c r="AD123" s="5" t="s">
        <v>39</v>
      </c>
    </row>
    <row r="124" spans="1:30" hidden="1" x14ac:dyDescent="0.25">
      <c r="A124" s="5">
        <v>114</v>
      </c>
      <c r="B124" s="5" t="s">
        <v>194</v>
      </c>
      <c r="C124" s="5">
        <v>6</v>
      </c>
      <c r="D124" s="5">
        <v>188</v>
      </c>
      <c r="E124" s="5">
        <v>2480</v>
      </c>
      <c r="F124" s="5" t="s">
        <v>77</v>
      </c>
      <c r="G124" s="5" t="s">
        <v>746</v>
      </c>
      <c r="H124" s="5">
        <v>2</v>
      </c>
      <c r="I124" s="5">
        <v>43.21</v>
      </c>
      <c r="J124" s="5" t="s">
        <v>839</v>
      </c>
      <c r="K124" s="5" t="s">
        <v>812</v>
      </c>
      <c r="L124" s="5"/>
      <c r="M124" s="5" t="s">
        <v>747</v>
      </c>
      <c r="N124" s="5"/>
      <c r="O124" s="20"/>
      <c r="P124" s="20" t="str">
        <f t="shared" si="1"/>
        <v/>
      </c>
      <c r="Q124" s="20"/>
      <c r="R124" s="20" t="s">
        <v>81</v>
      </c>
      <c r="S124" s="20"/>
      <c r="T124" s="20"/>
      <c r="U124" s="20" t="s">
        <v>81</v>
      </c>
      <c r="V124" s="20" t="s">
        <v>81</v>
      </c>
      <c r="W124" s="20">
        <v>1</v>
      </c>
      <c r="X124" s="21" t="s">
        <v>37</v>
      </c>
      <c r="Y124" s="5"/>
      <c r="Z124" s="5" t="s">
        <v>38</v>
      </c>
      <c r="AA124" s="5"/>
      <c r="AB124" s="5" t="str">
        <f>IF(LEN('List chi tiet'!$B$3)=0,"",'List chi tiet'!$B$3)</f>
        <v>TCTN.DNS-26004</v>
      </c>
      <c r="AC124" s="5" t="s">
        <v>187</v>
      </c>
      <c r="AD124" s="5" t="s">
        <v>39</v>
      </c>
    </row>
    <row r="125" spans="1:30" hidden="1" x14ac:dyDescent="0.25">
      <c r="A125" s="5">
        <v>115</v>
      </c>
      <c r="B125" s="5" t="s">
        <v>195</v>
      </c>
      <c r="C125" s="5">
        <v>6</v>
      </c>
      <c r="D125" s="5">
        <v>328</v>
      </c>
      <c r="E125" s="5">
        <v>934</v>
      </c>
      <c r="F125" s="5" t="s">
        <v>77</v>
      </c>
      <c r="G125" s="5" t="s">
        <v>746</v>
      </c>
      <c r="H125" s="5">
        <v>2</v>
      </c>
      <c r="I125" s="5">
        <v>28.86</v>
      </c>
      <c r="J125" s="5" t="s">
        <v>839</v>
      </c>
      <c r="K125" s="5" t="s">
        <v>812</v>
      </c>
      <c r="L125" s="5"/>
      <c r="M125" s="5" t="s">
        <v>747</v>
      </c>
      <c r="N125" s="5"/>
      <c r="O125" s="20"/>
      <c r="P125" s="20" t="str">
        <f t="shared" si="1"/>
        <v/>
      </c>
      <c r="Q125" s="20"/>
      <c r="R125" s="20" t="s">
        <v>81</v>
      </c>
      <c r="S125" s="20"/>
      <c r="T125" s="20"/>
      <c r="U125" s="20" t="s">
        <v>81</v>
      </c>
      <c r="V125" s="20"/>
      <c r="W125" s="20">
        <v>1</v>
      </c>
      <c r="X125" s="21" t="s">
        <v>37</v>
      </c>
      <c r="Y125" s="5"/>
      <c r="Z125" s="5" t="s">
        <v>38</v>
      </c>
      <c r="AA125" s="5"/>
      <c r="AB125" s="5" t="str">
        <f>IF(LEN('List chi tiet'!$B$3)=0,"",'List chi tiet'!$B$3)</f>
        <v>TCTN.DNS-26004</v>
      </c>
      <c r="AC125" s="5" t="s">
        <v>187</v>
      </c>
      <c r="AD125" s="5" t="s">
        <v>39</v>
      </c>
    </row>
    <row r="126" spans="1:30" hidden="1" x14ac:dyDescent="0.25">
      <c r="A126" s="5">
        <v>116</v>
      </c>
      <c r="B126" s="5" t="s">
        <v>185</v>
      </c>
      <c r="C126" s="5">
        <v>6</v>
      </c>
      <c r="D126" s="5">
        <v>188</v>
      </c>
      <c r="E126" s="5">
        <v>2483</v>
      </c>
      <c r="F126" s="5" t="s">
        <v>77</v>
      </c>
      <c r="G126" s="5" t="s">
        <v>746</v>
      </c>
      <c r="H126" s="5">
        <v>12</v>
      </c>
      <c r="I126" s="5">
        <v>259.49</v>
      </c>
      <c r="J126" s="5" t="s">
        <v>839</v>
      </c>
      <c r="K126" s="5" t="s">
        <v>812</v>
      </c>
      <c r="L126" s="5"/>
      <c r="M126" s="5" t="s">
        <v>747</v>
      </c>
      <c r="N126" s="5"/>
      <c r="O126" s="20"/>
      <c r="P126" s="20" t="str">
        <f t="shared" si="1"/>
        <v/>
      </c>
      <c r="Q126" s="20"/>
      <c r="R126" s="20" t="s">
        <v>81</v>
      </c>
      <c r="S126" s="20"/>
      <c r="T126" s="20"/>
      <c r="U126" s="20" t="s">
        <v>81</v>
      </c>
      <c r="V126" s="20" t="s">
        <v>81</v>
      </c>
      <c r="W126" s="20">
        <v>1</v>
      </c>
      <c r="X126" s="21" t="s">
        <v>37</v>
      </c>
      <c r="Y126" s="5"/>
      <c r="Z126" s="5" t="s">
        <v>38</v>
      </c>
      <c r="AA126" s="5"/>
      <c r="AB126" s="5" t="str">
        <f>IF(LEN('List chi tiet'!$B$3)=0,"",'List chi tiet'!$B$3)</f>
        <v>TCTN.DNS-26004</v>
      </c>
      <c r="AC126" s="5" t="s">
        <v>187</v>
      </c>
      <c r="AD126" s="5" t="s">
        <v>39</v>
      </c>
    </row>
    <row r="127" spans="1:30" hidden="1" x14ac:dyDescent="0.25">
      <c r="A127" s="5">
        <v>117</v>
      </c>
      <c r="B127" s="5" t="s">
        <v>164</v>
      </c>
      <c r="C127" s="5">
        <v>6</v>
      </c>
      <c r="D127" s="5">
        <v>328</v>
      </c>
      <c r="E127" s="5">
        <v>894</v>
      </c>
      <c r="F127" s="5" t="s">
        <v>77</v>
      </c>
      <c r="G127" s="5" t="s">
        <v>746</v>
      </c>
      <c r="H127" s="5">
        <v>1</v>
      </c>
      <c r="I127" s="5">
        <v>13.81</v>
      </c>
      <c r="J127" s="5" t="s">
        <v>839</v>
      </c>
      <c r="K127" s="5" t="s">
        <v>812</v>
      </c>
      <c r="L127" s="5"/>
      <c r="M127" s="5" t="s">
        <v>747</v>
      </c>
      <c r="N127" s="5"/>
      <c r="O127" s="20"/>
      <c r="P127" s="20" t="str">
        <f t="shared" si="1"/>
        <v/>
      </c>
      <c r="Q127" s="20"/>
      <c r="R127" s="20" t="s">
        <v>81</v>
      </c>
      <c r="S127" s="20"/>
      <c r="T127" s="20"/>
      <c r="U127" s="20" t="s">
        <v>81</v>
      </c>
      <c r="V127" s="20"/>
      <c r="W127" s="20">
        <v>1</v>
      </c>
      <c r="X127" s="21" t="s">
        <v>37</v>
      </c>
      <c r="Y127" s="5"/>
      <c r="Z127" s="5" t="s">
        <v>38</v>
      </c>
      <c r="AA127" s="5"/>
      <c r="AB127" s="5" t="str">
        <f>IF(LEN('List chi tiet'!$B$3)=0,"",'List chi tiet'!$B$3)</f>
        <v>TCTN.DNS-26004</v>
      </c>
      <c r="AC127" s="5" t="s">
        <v>187</v>
      </c>
      <c r="AD127" s="5" t="s">
        <v>39</v>
      </c>
    </row>
    <row r="128" spans="1:30" hidden="1" x14ac:dyDescent="0.25">
      <c r="A128" s="5">
        <v>118</v>
      </c>
      <c r="B128" s="5" t="s">
        <v>196</v>
      </c>
      <c r="C128" s="5">
        <v>6</v>
      </c>
      <c r="D128" s="5">
        <v>328</v>
      </c>
      <c r="E128" s="5">
        <v>894</v>
      </c>
      <c r="F128" s="5" t="s">
        <v>77</v>
      </c>
      <c r="G128" s="5" t="s">
        <v>746</v>
      </c>
      <c r="H128" s="5">
        <v>1</v>
      </c>
      <c r="I128" s="5">
        <v>13.81</v>
      </c>
      <c r="J128" s="5" t="s">
        <v>839</v>
      </c>
      <c r="K128" s="5" t="s">
        <v>812</v>
      </c>
      <c r="L128" s="5"/>
      <c r="M128" s="5" t="s">
        <v>747</v>
      </c>
      <c r="N128" s="5"/>
      <c r="O128" s="20"/>
      <c r="P128" s="20" t="str">
        <f t="shared" si="1"/>
        <v/>
      </c>
      <c r="Q128" s="20"/>
      <c r="R128" s="20" t="s">
        <v>81</v>
      </c>
      <c r="S128" s="20"/>
      <c r="T128" s="20"/>
      <c r="U128" s="20" t="s">
        <v>81</v>
      </c>
      <c r="V128" s="20"/>
      <c r="W128" s="20">
        <v>1</v>
      </c>
      <c r="X128" s="21" t="s">
        <v>37</v>
      </c>
      <c r="Y128" s="5"/>
      <c r="Z128" s="5" t="s">
        <v>38</v>
      </c>
      <c r="AA128" s="5"/>
      <c r="AB128" s="5" t="str">
        <f>IF(LEN('List chi tiet'!$B$3)=0,"",'List chi tiet'!$B$3)</f>
        <v>TCTN.DNS-26004</v>
      </c>
      <c r="AC128" s="5" t="s">
        <v>187</v>
      </c>
      <c r="AD128" s="5" t="s">
        <v>39</v>
      </c>
    </row>
    <row r="129" spans="1:30" hidden="1" x14ac:dyDescent="0.25">
      <c r="A129" s="5">
        <v>119</v>
      </c>
      <c r="B129" s="5" t="s">
        <v>197</v>
      </c>
      <c r="C129" s="5">
        <v>6</v>
      </c>
      <c r="D129" s="5">
        <v>188</v>
      </c>
      <c r="E129" s="5">
        <v>2481</v>
      </c>
      <c r="F129" s="5" t="s">
        <v>77</v>
      </c>
      <c r="G129" s="5" t="s">
        <v>746</v>
      </c>
      <c r="H129" s="5">
        <v>2</v>
      </c>
      <c r="I129" s="5">
        <v>43.22</v>
      </c>
      <c r="J129" s="5" t="s">
        <v>839</v>
      </c>
      <c r="K129" s="5" t="s">
        <v>812</v>
      </c>
      <c r="L129" s="5"/>
      <c r="M129" s="5" t="s">
        <v>747</v>
      </c>
      <c r="N129" s="5"/>
      <c r="O129" s="20"/>
      <c r="P129" s="20" t="str">
        <f t="shared" si="1"/>
        <v/>
      </c>
      <c r="Q129" s="20"/>
      <c r="R129" s="20" t="s">
        <v>81</v>
      </c>
      <c r="S129" s="20"/>
      <c r="T129" s="20"/>
      <c r="U129" s="20" t="s">
        <v>81</v>
      </c>
      <c r="V129" s="20" t="s">
        <v>81</v>
      </c>
      <c r="W129" s="20">
        <v>1</v>
      </c>
      <c r="X129" s="21" t="s">
        <v>37</v>
      </c>
      <c r="Y129" s="5"/>
      <c r="Z129" s="5" t="s">
        <v>38</v>
      </c>
      <c r="AA129" s="5"/>
      <c r="AB129" s="5" t="str">
        <f>IF(LEN('List chi tiet'!$B$3)=0,"",'List chi tiet'!$B$3)</f>
        <v>TCTN.DNS-26004</v>
      </c>
      <c r="AC129" s="5" t="s">
        <v>187</v>
      </c>
      <c r="AD129" s="5" t="s">
        <v>39</v>
      </c>
    </row>
    <row r="130" spans="1:30" hidden="1" x14ac:dyDescent="0.25">
      <c r="A130" s="5">
        <v>120</v>
      </c>
      <c r="B130" s="5" t="s">
        <v>198</v>
      </c>
      <c r="C130" s="5">
        <v>6</v>
      </c>
      <c r="D130" s="5">
        <v>188</v>
      </c>
      <c r="E130" s="5">
        <v>2481</v>
      </c>
      <c r="F130" s="5" t="s">
        <v>77</v>
      </c>
      <c r="G130" s="5" t="s">
        <v>746</v>
      </c>
      <c r="H130" s="5">
        <v>2</v>
      </c>
      <c r="I130" s="5">
        <v>43.22</v>
      </c>
      <c r="J130" s="5" t="s">
        <v>839</v>
      </c>
      <c r="K130" s="5" t="s">
        <v>812</v>
      </c>
      <c r="L130" s="5"/>
      <c r="M130" s="5" t="s">
        <v>747</v>
      </c>
      <c r="N130" s="5"/>
      <c r="O130" s="20"/>
      <c r="P130" s="20" t="str">
        <f t="shared" si="1"/>
        <v/>
      </c>
      <c r="Q130" s="20"/>
      <c r="R130" s="20" t="s">
        <v>81</v>
      </c>
      <c r="S130" s="20"/>
      <c r="T130" s="20"/>
      <c r="U130" s="20" t="s">
        <v>81</v>
      </c>
      <c r="V130" s="20" t="s">
        <v>81</v>
      </c>
      <c r="W130" s="20">
        <v>1</v>
      </c>
      <c r="X130" s="21" t="s">
        <v>37</v>
      </c>
      <c r="Y130" s="5"/>
      <c r="Z130" s="5" t="s">
        <v>38</v>
      </c>
      <c r="AA130" s="5"/>
      <c r="AB130" s="5" t="str">
        <f>IF(LEN('List chi tiet'!$B$3)=0,"",'List chi tiet'!$B$3)</f>
        <v>TCTN.DNS-26004</v>
      </c>
      <c r="AC130" s="5" t="s">
        <v>187</v>
      </c>
      <c r="AD130" s="5" t="s">
        <v>39</v>
      </c>
    </row>
    <row r="131" spans="1:30" hidden="1" x14ac:dyDescent="0.25">
      <c r="A131" s="5">
        <v>121</v>
      </c>
      <c r="B131" s="5" t="s">
        <v>199</v>
      </c>
      <c r="C131" s="5">
        <v>6</v>
      </c>
      <c r="D131" s="5">
        <v>188</v>
      </c>
      <c r="E131" s="5">
        <v>2480</v>
      </c>
      <c r="F131" s="5" t="s">
        <v>77</v>
      </c>
      <c r="G131" s="5" t="s">
        <v>746</v>
      </c>
      <c r="H131" s="5">
        <v>2</v>
      </c>
      <c r="I131" s="5">
        <v>43.2</v>
      </c>
      <c r="J131" s="5" t="s">
        <v>839</v>
      </c>
      <c r="K131" s="5" t="s">
        <v>812</v>
      </c>
      <c r="L131" s="5"/>
      <c r="M131" s="5" t="s">
        <v>747</v>
      </c>
      <c r="N131" s="5"/>
      <c r="O131" s="20"/>
      <c r="P131" s="20" t="str">
        <f t="shared" si="1"/>
        <v/>
      </c>
      <c r="Q131" s="20"/>
      <c r="R131" s="20" t="s">
        <v>81</v>
      </c>
      <c r="S131" s="20"/>
      <c r="T131" s="20"/>
      <c r="U131" s="20" t="s">
        <v>81</v>
      </c>
      <c r="V131" s="20" t="s">
        <v>81</v>
      </c>
      <c r="W131" s="20">
        <v>1</v>
      </c>
      <c r="X131" s="21" t="s">
        <v>37</v>
      </c>
      <c r="Y131" s="5"/>
      <c r="Z131" s="5" t="s">
        <v>38</v>
      </c>
      <c r="AA131" s="5"/>
      <c r="AB131" s="5" t="str">
        <f>IF(LEN('List chi tiet'!$B$3)=0,"",'List chi tiet'!$B$3)</f>
        <v>TCTN.DNS-26004</v>
      </c>
      <c r="AC131" s="5" t="s">
        <v>187</v>
      </c>
      <c r="AD131" s="5" t="s">
        <v>39</v>
      </c>
    </row>
    <row r="132" spans="1:30" hidden="1" x14ac:dyDescent="0.25">
      <c r="A132" s="5">
        <v>122</v>
      </c>
      <c r="B132" s="5" t="s">
        <v>200</v>
      </c>
      <c r="C132" s="5">
        <v>6</v>
      </c>
      <c r="D132" s="5">
        <v>188</v>
      </c>
      <c r="E132" s="5">
        <v>2480</v>
      </c>
      <c r="F132" s="5" t="s">
        <v>77</v>
      </c>
      <c r="G132" s="5" t="s">
        <v>746</v>
      </c>
      <c r="H132" s="5">
        <v>2</v>
      </c>
      <c r="I132" s="5">
        <v>43.21</v>
      </c>
      <c r="J132" s="5" t="s">
        <v>839</v>
      </c>
      <c r="K132" s="5" t="s">
        <v>812</v>
      </c>
      <c r="L132" s="5"/>
      <c r="M132" s="5" t="s">
        <v>747</v>
      </c>
      <c r="N132" s="5"/>
      <c r="O132" s="20"/>
      <c r="P132" s="20" t="str">
        <f t="shared" si="1"/>
        <v/>
      </c>
      <c r="Q132" s="20"/>
      <c r="R132" s="20" t="s">
        <v>81</v>
      </c>
      <c r="S132" s="20"/>
      <c r="T132" s="20"/>
      <c r="U132" s="20" t="s">
        <v>81</v>
      </c>
      <c r="V132" s="20" t="s">
        <v>81</v>
      </c>
      <c r="W132" s="20">
        <v>1</v>
      </c>
      <c r="X132" s="21" t="s">
        <v>37</v>
      </c>
      <c r="Y132" s="5"/>
      <c r="Z132" s="5" t="s">
        <v>38</v>
      </c>
      <c r="AA132" s="5"/>
      <c r="AB132" s="5" t="str">
        <f>IF(LEN('List chi tiet'!$B$3)=0,"",'List chi tiet'!$B$3)</f>
        <v>TCTN.DNS-26004</v>
      </c>
      <c r="AC132" s="5" t="s">
        <v>187</v>
      </c>
      <c r="AD132" s="5" t="s">
        <v>39</v>
      </c>
    </row>
    <row r="133" spans="1:30" hidden="1" x14ac:dyDescent="0.25">
      <c r="A133" s="5">
        <v>123</v>
      </c>
      <c r="B133" s="5" t="s">
        <v>201</v>
      </c>
      <c r="C133" s="5">
        <v>6</v>
      </c>
      <c r="D133" s="5">
        <v>328</v>
      </c>
      <c r="E133" s="5">
        <v>894</v>
      </c>
      <c r="F133" s="5" t="s">
        <v>77</v>
      </c>
      <c r="G133" s="5" t="s">
        <v>746</v>
      </c>
      <c r="H133" s="5">
        <v>2</v>
      </c>
      <c r="I133" s="5">
        <v>27.62</v>
      </c>
      <c r="J133" s="5" t="s">
        <v>839</v>
      </c>
      <c r="K133" s="5" t="s">
        <v>812</v>
      </c>
      <c r="L133" s="5"/>
      <c r="M133" s="5" t="s">
        <v>747</v>
      </c>
      <c r="N133" s="5"/>
      <c r="O133" s="20"/>
      <c r="P133" s="20" t="str">
        <f t="shared" si="1"/>
        <v/>
      </c>
      <c r="Q133" s="20"/>
      <c r="R133" s="20" t="s">
        <v>81</v>
      </c>
      <c r="S133" s="20"/>
      <c r="T133" s="20"/>
      <c r="U133" s="20" t="s">
        <v>81</v>
      </c>
      <c r="V133" s="20"/>
      <c r="W133" s="20">
        <v>1</v>
      </c>
      <c r="X133" s="21" t="s">
        <v>37</v>
      </c>
      <c r="Y133" s="5"/>
      <c r="Z133" s="5" t="s">
        <v>38</v>
      </c>
      <c r="AA133" s="5"/>
      <c r="AB133" s="5" t="str">
        <f>IF(LEN('List chi tiet'!$B$3)=0,"",'List chi tiet'!$B$3)</f>
        <v>TCTN.DNS-26004</v>
      </c>
      <c r="AC133" s="5" t="s">
        <v>187</v>
      </c>
      <c r="AD133" s="5" t="s">
        <v>39</v>
      </c>
    </row>
    <row r="134" spans="1:30" hidden="1" x14ac:dyDescent="0.25">
      <c r="A134" s="5">
        <v>124</v>
      </c>
      <c r="B134" s="5" t="s">
        <v>116</v>
      </c>
      <c r="C134" s="5">
        <v>6</v>
      </c>
      <c r="D134" s="5">
        <v>298</v>
      </c>
      <c r="E134" s="5">
        <v>378</v>
      </c>
      <c r="F134" s="5" t="s">
        <v>77</v>
      </c>
      <c r="G134" s="5" t="s">
        <v>746</v>
      </c>
      <c r="H134" s="5">
        <v>2</v>
      </c>
      <c r="I134" s="5">
        <v>10.54</v>
      </c>
      <c r="J134" s="5" t="s">
        <v>839</v>
      </c>
      <c r="K134" s="5" t="s">
        <v>812</v>
      </c>
      <c r="L134" s="5"/>
      <c r="M134" s="5" t="s">
        <v>747</v>
      </c>
      <c r="N134" s="5"/>
      <c r="O134" s="20"/>
      <c r="P134" s="20" t="str">
        <f t="shared" si="1"/>
        <v/>
      </c>
      <c r="Q134" s="20" t="s">
        <v>26</v>
      </c>
      <c r="R134" s="20" t="s">
        <v>81</v>
      </c>
      <c r="S134" s="20"/>
      <c r="T134" s="20"/>
      <c r="U134" s="20"/>
      <c r="V134" s="20"/>
      <c r="W134" s="20">
        <v>1</v>
      </c>
      <c r="X134" s="21" t="s">
        <v>37</v>
      </c>
      <c r="Y134" s="5"/>
      <c r="Z134" s="5" t="s">
        <v>38</v>
      </c>
      <c r="AA134" s="5"/>
      <c r="AB134" s="5" t="str">
        <f>IF(LEN('List chi tiet'!$B$3)=0,"",'List chi tiet'!$B$3)</f>
        <v>TCTN.DNS-26004</v>
      </c>
      <c r="AC134" s="5" t="s">
        <v>187</v>
      </c>
      <c r="AD134" s="5" t="s">
        <v>39</v>
      </c>
    </row>
    <row r="135" spans="1:30" hidden="1" x14ac:dyDescent="0.25">
      <c r="A135" s="5">
        <v>125</v>
      </c>
      <c r="B135" s="5" t="s">
        <v>202</v>
      </c>
      <c r="C135" s="5">
        <v>6</v>
      </c>
      <c r="D135" s="5">
        <v>188</v>
      </c>
      <c r="E135" s="5">
        <v>2348</v>
      </c>
      <c r="F135" s="5" t="s">
        <v>77</v>
      </c>
      <c r="G135" s="5" t="s">
        <v>746</v>
      </c>
      <c r="H135" s="5">
        <v>8</v>
      </c>
      <c r="I135" s="5">
        <v>164.9</v>
      </c>
      <c r="J135" s="5" t="s">
        <v>839</v>
      </c>
      <c r="K135" s="5" t="s">
        <v>812</v>
      </c>
      <c r="L135" s="5"/>
      <c r="M135" s="5" t="s">
        <v>747</v>
      </c>
      <c r="N135" s="5"/>
      <c r="O135" s="20"/>
      <c r="P135" s="20" t="str">
        <f t="shared" si="1"/>
        <v/>
      </c>
      <c r="Q135" s="20"/>
      <c r="R135" s="20" t="s">
        <v>81</v>
      </c>
      <c r="S135" s="20"/>
      <c r="T135" s="20"/>
      <c r="U135" s="20" t="s">
        <v>81</v>
      </c>
      <c r="V135" s="20" t="s">
        <v>81</v>
      </c>
      <c r="W135" s="20">
        <v>1</v>
      </c>
      <c r="X135" s="21" t="s">
        <v>37</v>
      </c>
      <c r="Y135" s="5"/>
      <c r="Z135" s="5" t="s">
        <v>38</v>
      </c>
      <c r="AA135" s="5"/>
      <c r="AB135" s="5" t="str">
        <f>IF(LEN('List chi tiet'!$B$3)=0,"",'List chi tiet'!$B$3)</f>
        <v>TCTN.DNS-26004</v>
      </c>
      <c r="AC135" s="5" t="s">
        <v>204</v>
      </c>
      <c r="AD135" s="5" t="s">
        <v>39</v>
      </c>
    </row>
    <row r="136" spans="1:30" hidden="1" x14ac:dyDescent="0.25">
      <c r="A136" s="5">
        <v>126</v>
      </c>
      <c r="B136" s="5" t="s">
        <v>206</v>
      </c>
      <c r="C136" s="5">
        <v>6</v>
      </c>
      <c r="D136" s="5">
        <v>188</v>
      </c>
      <c r="E136" s="5">
        <v>2348</v>
      </c>
      <c r="F136" s="5" t="s">
        <v>77</v>
      </c>
      <c r="G136" s="5" t="s">
        <v>746</v>
      </c>
      <c r="H136" s="5">
        <v>2</v>
      </c>
      <c r="I136" s="5">
        <v>41.23</v>
      </c>
      <c r="J136" s="5" t="s">
        <v>839</v>
      </c>
      <c r="K136" s="5" t="s">
        <v>812</v>
      </c>
      <c r="L136" s="5"/>
      <c r="M136" s="5" t="s">
        <v>747</v>
      </c>
      <c r="N136" s="5"/>
      <c r="O136" s="20"/>
      <c r="P136" s="20" t="str">
        <f t="shared" si="1"/>
        <v/>
      </c>
      <c r="Q136" s="20"/>
      <c r="R136" s="20" t="s">
        <v>81</v>
      </c>
      <c r="S136" s="20"/>
      <c r="T136" s="20"/>
      <c r="U136" s="20" t="s">
        <v>81</v>
      </c>
      <c r="V136" s="20" t="s">
        <v>81</v>
      </c>
      <c r="W136" s="20">
        <v>1</v>
      </c>
      <c r="X136" s="21" t="s">
        <v>37</v>
      </c>
      <c r="Y136" s="5"/>
      <c r="Z136" s="5" t="s">
        <v>38</v>
      </c>
      <c r="AA136" s="5"/>
      <c r="AB136" s="5" t="str">
        <f>IF(LEN('List chi tiet'!$B$3)=0,"",'List chi tiet'!$B$3)</f>
        <v>TCTN.DNS-26004</v>
      </c>
      <c r="AC136" s="5" t="s">
        <v>204</v>
      </c>
      <c r="AD136" s="5" t="s">
        <v>39</v>
      </c>
    </row>
    <row r="137" spans="1:30" hidden="1" x14ac:dyDescent="0.25">
      <c r="A137" s="5">
        <v>127</v>
      </c>
      <c r="B137" s="5" t="s">
        <v>207</v>
      </c>
      <c r="C137" s="5">
        <v>6</v>
      </c>
      <c r="D137" s="5">
        <v>188</v>
      </c>
      <c r="E137" s="5">
        <v>2348</v>
      </c>
      <c r="F137" s="5" t="s">
        <v>77</v>
      </c>
      <c r="G137" s="5" t="s">
        <v>746</v>
      </c>
      <c r="H137" s="5">
        <v>1</v>
      </c>
      <c r="I137" s="5">
        <v>20.61</v>
      </c>
      <c r="J137" s="5" t="s">
        <v>839</v>
      </c>
      <c r="K137" s="5" t="s">
        <v>812</v>
      </c>
      <c r="L137" s="5"/>
      <c r="M137" s="5" t="s">
        <v>747</v>
      </c>
      <c r="N137" s="5"/>
      <c r="O137" s="20"/>
      <c r="P137" s="20" t="str">
        <f t="shared" si="1"/>
        <v/>
      </c>
      <c r="Q137" s="20"/>
      <c r="R137" s="20" t="s">
        <v>81</v>
      </c>
      <c r="S137" s="20"/>
      <c r="T137" s="20"/>
      <c r="U137" s="20" t="s">
        <v>81</v>
      </c>
      <c r="V137" s="20" t="s">
        <v>81</v>
      </c>
      <c r="W137" s="20">
        <v>1</v>
      </c>
      <c r="X137" s="21" t="s">
        <v>37</v>
      </c>
      <c r="Y137" s="5"/>
      <c r="Z137" s="5" t="s">
        <v>38</v>
      </c>
      <c r="AA137" s="5"/>
      <c r="AB137" s="5" t="str">
        <f>IF(LEN('List chi tiet'!$B$3)=0,"",'List chi tiet'!$B$3)</f>
        <v>TCTN.DNS-26004</v>
      </c>
      <c r="AC137" s="5" t="s">
        <v>204</v>
      </c>
      <c r="AD137" s="5" t="s">
        <v>39</v>
      </c>
    </row>
    <row r="138" spans="1:30" hidden="1" x14ac:dyDescent="0.25">
      <c r="A138" s="5">
        <v>128</v>
      </c>
      <c r="B138" s="5" t="s">
        <v>208</v>
      </c>
      <c r="C138" s="5">
        <v>6</v>
      </c>
      <c r="D138" s="5">
        <v>188</v>
      </c>
      <c r="E138" s="5">
        <v>2348</v>
      </c>
      <c r="F138" s="5" t="s">
        <v>77</v>
      </c>
      <c r="G138" s="5" t="s">
        <v>746</v>
      </c>
      <c r="H138" s="5">
        <v>6</v>
      </c>
      <c r="I138" s="5">
        <v>123.67</v>
      </c>
      <c r="J138" s="5" t="s">
        <v>839</v>
      </c>
      <c r="K138" s="5" t="s">
        <v>812</v>
      </c>
      <c r="L138" s="5"/>
      <c r="M138" s="5" t="s">
        <v>747</v>
      </c>
      <c r="N138" s="5"/>
      <c r="O138" s="20"/>
      <c r="P138" s="20" t="str">
        <f t="shared" si="1"/>
        <v/>
      </c>
      <c r="Q138" s="20"/>
      <c r="R138" s="20" t="s">
        <v>81</v>
      </c>
      <c r="S138" s="20"/>
      <c r="T138" s="20"/>
      <c r="U138" s="20" t="s">
        <v>81</v>
      </c>
      <c r="V138" s="20" t="s">
        <v>81</v>
      </c>
      <c r="W138" s="20">
        <v>1</v>
      </c>
      <c r="X138" s="21" t="s">
        <v>37</v>
      </c>
      <c r="Y138" s="5"/>
      <c r="Z138" s="5" t="s">
        <v>38</v>
      </c>
      <c r="AA138" s="5"/>
      <c r="AB138" s="5" t="str">
        <f>IF(LEN('List chi tiet'!$B$3)=0,"",'List chi tiet'!$B$3)</f>
        <v>TCTN.DNS-26004</v>
      </c>
      <c r="AC138" s="5" t="s">
        <v>204</v>
      </c>
      <c r="AD138" s="5" t="s">
        <v>39</v>
      </c>
    </row>
    <row r="139" spans="1:30" hidden="1" x14ac:dyDescent="0.25">
      <c r="A139" s="5">
        <v>129</v>
      </c>
      <c r="B139" s="5" t="s">
        <v>209</v>
      </c>
      <c r="C139" s="5">
        <v>6</v>
      </c>
      <c r="D139" s="5">
        <v>188</v>
      </c>
      <c r="E139" s="5">
        <v>2348</v>
      </c>
      <c r="F139" s="5" t="s">
        <v>77</v>
      </c>
      <c r="G139" s="5" t="s">
        <v>746</v>
      </c>
      <c r="H139" s="5">
        <v>6</v>
      </c>
      <c r="I139" s="5">
        <v>123.67</v>
      </c>
      <c r="J139" s="5" t="s">
        <v>839</v>
      </c>
      <c r="K139" s="5" t="s">
        <v>812</v>
      </c>
      <c r="L139" s="5"/>
      <c r="M139" s="5" t="s">
        <v>747</v>
      </c>
      <c r="N139" s="5"/>
      <c r="O139" s="20"/>
      <c r="P139" s="20" t="str">
        <f t="shared" ref="P139:P202" si="2">IF(LEN($B$4)=0,"",$B$4)</f>
        <v/>
      </c>
      <c r="Q139" s="20"/>
      <c r="R139" s="20" t="s">
        <v>81</v>
      </c>
      <c r="S139" s="20"/>
      <c r="T139" s="20"/>
      <c r="U139" s="20" t="s">
        <v>81</v>
      </c>
      <c r="V139" s="20" t="s">
        <v>81</v>
      </c>
      <c r="W139" s="20">
        <v>1</v>
      </c>
      <c r="X139" s="21" t="s">
        <v>37</v>
      </c>
      <c r="Y139" s="5"/>
      <c r="Z139" s="5" t="s">
        <v>38</v>
      </c>
      <c r="AA139" s="5"/>
      <c r="AB139" s="5" t="str">
        <f>IF(LEN('List chi tiet'!$B$3)=0,"",'List chi tiet'!$B$3)</f>
        <v>TCTN.DNS-26004</v>
      </c>
      <c r="AC139" s="5" t="s">
        <v>204</v>
      </c>
      <c r="AD139" s="5" t="s">
        <v>39</v>
      </c>
    </row>
    <row r="140" spans="1:30" hidden="1" x14ac:dyDescent="0.25">
      <c r="A140" s="5">
        <v>130</v>
      </c>
      <c r="B140" s="5" t="s">
        <v>210</v>
      </c>
      <c r="C140" s="5">
        <v>6</v>
      </c>
      <c r="D140" s="5">
        <v>188</v>
      </c>
      <c r="E140" s="5">
        <v>2348</v>
      </c>
      <c r="F140" s="5" t="s">
        <v>77</v>
      </c>
      <c r="G140" s="5" t="s">
        <v>746</v>
      </c>
      <c r="H140" s="5">
        <v>8</v>
      </c>
      <c r="I140" s="5">
        <v>164.9</v>
      </c>
      <c r="J140" s="5" t="s">
        <v>839</v>
      </c>
      <c r="K140" s="5" t="s">
        <v>812</v>
      </c>
      <c r="L140" s="5"/>
      <c r="M140" s="5" t="s">
        <v>747</v>
      </c>
      <c r="N140" s="5"/>
      <c r="O140" s="20"/>
      <c r="P140" s="20" t="str">
        <f t="shared" si="2"/>
        <v/>
      </c>
      <c r="Q140" s="20"/>
      <c r="R140" s="20" t="s">
        <v>81</v>
      </c>
      <c r="S140" s="20"/>
      <c r="T140" s="20"/>
      <c r="U140" s="20" t="s">
        <v>81</v>
      </c>
      <c r="V140" s="20" t="s">
        <v>81</v>
      </c>
      <c r="W140" s="20">
        <v>1</v>
      </c>
      <c r="X140" s="21" t="s">
        <v>37</v>
      </c>
      <c r="Y140" s="5"/>
      <c r="Z140" s="5" t="s">
        <v>38</v>
      </c>
      <c r="AA140" s="5"/>
      <c r="AB140" s="5" t="str">
        <f>IF(LEN('List chi tiet'!$B$3)=0,"",'List chi tiet'!$B$3)</f>
        <v>TCTN.DNS-26004</v>
      </c>
      <c r="AC140" s="5" t="s">
        <v>204</v>
      </c>
      <c r="AD140" s="5" t="s">
        <v>39</v>
      </c>
    </row>
    <row r="141" spans="1:30" hidden="1" x14ac:dyDescent="0.25">
      <c r="A141" s="5">
        <v>131</v>
      </c>
      <c r="B141" s="5" t="s">
        <v>211</v>
      </c>
      <c r="C141" s="5">
        <v>6</v>
      </c>
      <c r="D141" s="5">
        <v>188</v>
      </c>
      <c r="E141" s="5">
        <v>2348</v>
      </c>
      <c r="F141" s="5" t="s">
        <v>77</v>
      </c>
      <c r="G141" s="5" t="s">
        <v>746</v>
      </c>
      <c r="H141" s="5">
        <v>4</v>
      </c>
      <c r="I141" s="5">
        <v>82.45</v>
      </c>
      <c r="J141" s="5" t="s">
        <v>839</v>
      </c>
      <c r="K141" s="5" t="s">
        <v>812</v>
      </c>
      <c r="L141" s="5"/>
      <c r="M141" s="5" t="s">
        <v>747</v>
      </c>
      <c r="N141" s="5"/>
      <c r="O141" s="20"/>
      <c r="P141" s="20" t="str">
        <f t="shared" si="2"/>
        <v/>
      </c>
      <c r="Q141" s="20"/>
      <c r="R141" s="20" t="s">
        <v>81</v>
      </c>
      <c r="S141" s="20"/>
      <c r="T141" s="20"/>
      <c r="U141" s="20" t="s">
        <v>81</v>
      </c>
      <c r="V141" s="20" t="s">
        <v>81</v>
      </c>
      <c r="W141" s="20">
        <v>1</v>
      </c>
      <c r="X141" s="21" t="s">
        <v>37</v>
      </c>
      <c r="Y141" s="5"/>
      <c r="Z141" s="5" t="s">
        <v>38</v>
      </c>
      <c r="AA141" s="5"/>
      <c r="AB141" s="5" t="str">
        <f>IF(LEN('List chi tiet'!$B$3)=0,"",'List chi tiet'!$B$3)</f>
        <v>TCTN.DNS-26004</v>
      </c>
      <c r="AC141" s="5" t="s">
        <v>204</v>
      </c>
      <c r="AD141" s="5" t="s">
        <v>39</v>
      </c>
    </row>
    <row r="142" spans="1:30" hidden="1" x14ac:dyDescent="0.25">
      <c r="A142" s="5">
        <v>132</v>
      </c>
      <c r="B142" s="5" t="s">
        <v>123</v>
      </c>
      <c r="C142" s="5">
        <v>6</v>
      </c>
      <c r="D142" s="5">
        <v>298</v>
      </c>
      <c r="E142" s="5">
        <v>378</v>
      </c>
      <c r="F142" s="5" t="s">
        <v>77</v>
      </c>
      <c r="G142" s="5" t="s">
        <v>746</v>
      </c>
      <c r="H142" s="5">
        <v>2</v>
      </c>
      <c r="I142" s="5">
        <v>10.54</v>
      </c>
      <c r="J142" s="5" t="s">
        <v>839</v>
      </c>
      <c r="K142" s="5" t="s">
        <v>812</v>
      </c>
      <c r="L142" s="5"/>
      <c r="M142" s="5" t="s">
        <v>747</v>
      </c>
      <c r="N142" s="5"/>
      <c r="O142" s="20"/>
      <c r="P142" s="20" t="str">
        <f t="shared" si="2"/>
        <v/>
      </c>
      <c r="Q142" s="20" t="s">
        <v>26</v>
      </c>
      <c r="R142" s="20" t="s">
        <v>81</v>
      </c>
      <c r="S142" s="20"/>
      <c r="T142" s="20"/>
      <c r="U142" s="20"/>
      <c r="V142" s="20"/>
      <c r="W142" s="20">
        <v>1</v>
      </c>
      <c r="X142" s="21" t="s">
        <v>37</v>
      </c>
      <c r="Y142" s="5"/>
      <c r="Z142" s="5" t="s">
        <v>38</v>
      </c>
      <c r="AA142" s="5"/>
      <c r="AB142" s="5" t="str">
        <f>IF(LEN('List chi tiet'!$B$3)=0,"",'List chi tiet'!$B$3)</f>
        <v>TCTN.DNS-26004</v>
      </c>
      <c r="AC142" s="5" t="s">
        <v>204</v>
      </c>
      <c r="AD142" s="5" t="s">
        <v>39</v>
      </c>
    </row>
    <row r="143" spans="1:30" hidden="1" x14ac:dyDescent="0.25">
      <c r="A143" s="5">
        <v>133</v>
      </c>
      <c r="B143" s="5" t="s">
        <v>171</v>
      </c>
      <c r="C143" s="5">
        <v>6</v>
      </c>
      <c r="D143" s="5">
        <v>298</v>
      </c>
      <c r="E143" s="5">
        <v>378</v>
      </c>
      <c r="F143" s="5" t="s">
        <v>77</v>
      </c>
      <c r="G143" s="5" t="s">
        <v>746</v>
      </c>
      <c r="H143" s="5">
        <v>1</v>
      </c>
      <c r="I143" s="5">
        <v>5.27</v>
      </c>
      <c r="J143" s="5" t="s">
        <v>839</v>
      </c>
      <c r="K143" s="5" t="s">
        <v>812</v>
      </c>
      <c r="L143" s="5"/>
      <c r="M143" s="5" t="s">
        <v>747</v>
      </c>
      <c r="N143" s="5"/>
      <c r="O143" s="20"/>
      <c r="P143" s="20" t="str">
        <f t="shared" si="2"/>
        <v/>
      </c>
      <c r="Q143" s="20" t="s">
        <v>26</v>
      </c>
      <c r="R143" s="20" t="s">
        <v>81</v>
      </c>
      <c r="S143" s="20"/>
      <c r="T143" s="20"/>
      <c r="U143" s="20"/>
      <c r="V143" s="20"/>
      <c r="W143" s="20">
        <v>1</v>
      </c>
      <c r="X143" s="21" t="s">
        <v>37</v>
      </c>
      <c r="Y143" s="5"/>
      <c r="Z143" s="5" t="s">
        <v>38</v>
      </c>
      <c r="AA143" s="5"/>
      <c r="AB143" s="5" t="str">
        <f>IF(LEN('List chi tiet'!$B$3)=0,"",'List chi tiet'!$B$3)</f>
        <v>TCTN.DNS-26004</v>
      </c>
      <c r="AC143" s="5" t="s">
        <v>204</v>
      </c>
      <c r="AD143" s="5" t="s">
        <v>39</v>
      </c>
    </row>
    <row r="144" spans="1:30" hidden="1" x14ac:dyDescent="0.25">
      <c r="A144" s="5">
        <v>134</v>
      </c>
      <c r="B144" s="5" t="s">
        <v>212</v>
      </c>
      <c r="C144" s="5">
        <v>6</v>
      </c>
      <c r="D144" s="5">
        <v>188</v>
      </c>
      <c r="E144" s="5">
        <v>2348</v>
      </c>
      <c r="F144" s="5" t="s">
        <v>77</v>
      </c>
      <c r="G144" s="5" t="s">
        <v>746</v>
      </c>
      <c r="H144" s="5">
        <v>6</v>
      </c>
      <c r="I144" s="5">
        <v>123.67</v>
      </c>
      <c r="J144" s="5" t="s">
        <v>839</v>
      </c>
      <c r="K144" s="5" t="s">
        <v>812</v>
      </c>
      <c r="L144" s="5"/>
      <c r="M144" s="5" t="s">
        <v>747</v>
      </c>
      <c r="N144" s="5"/>
      <c r="O144" s="20"/>
      <c r="P144" s="20" t="str">
        <f t="shared" si="2"/>
        <v/>
      </c>
      <c r="Q144" s="20"/>
      <c r="R144" s="20" t="s">
        <v>81</v>
      </c>
      <c r="S144" s="20"/>
      <c r="T144" s="20"/>
      <c r="U144" s="20" t="s">
        <v>81</v>
      </c>
      <c r="V144" s="20" t="s">
        <v>81</v>
      </c>
      <c r="W144" s="20">
        <v>1</v>
      </c>
      <c r="X144" s="21" t="s">
        <v>37</v>
      </c>
      <c r="Y144" s="5"/>
      <c r="Z144" s="5" t="s">
        <v>38</v>
      </c>
      <c r="AA144" s="5"/>
      <c r="AB144" s="5" t="str">
        <f>IF(LEN('List chi tiet'!$B$3)=0,"",'List chi tiet'!$B$3)</f>
        <v>TCTN.DNS-26004</v>
      </c>
      <c r="AC144" s="5" t="s">
        <v>213</v>
      </c>
      <c r="AD144" s="5" t="s">
        <v>39</v>
      </c>
    </row>
    <row r="145" spans="1:30" hidden="1" x14ac:dyDescent="0.25">
      <c r="A145" s="5">
        <v>135</v>
      </c>
      <c r="B145" s="5" t="s">
        <v>215</v>
      </c>
      <c r="C145" s="5">
        <v>6</v>
      </c>
      <c r="D145" s="5">
        <v>188</v>
      </c>
      <c r="E145" s="5">
        <v>2348</v>
      </c>
      <c r="F145" s="5" t="s">
        <v>77</v>
      </c>
      <c r="G145" s="5" t="s">
        <v>746</v>
      </c>
      <c r="H145" s="5">
        <v>6</v>
      </c>
      <c r="I145" s="5">
        <v>123.67</v>
      </c>
      <c r="J145" s="5" t="s">
        <v>839</v>
      </c>
      <c r="K145" s="5" t="s">
        <v>812</v>
      </c>
      <c r="L145" s="5"/>
      <c r="M145" s="5" t="s">
        <v>747</v>
      </c>
      <c r="N145" s="5"/>
      <c r="O145" s="20"/>
      <c r="P145" s="20" t="str">
        <f t="shared" si="2"/>
        <v/>
      </c>
      <c r="Q145" s="20"/>
      <c r="R145" s="20" t="s">
        <v>81</v>
      </c>
      <c r="S145" s="20"/>
      <c r="T145" s="20"/>
      <c r="U145" s="20" t="s">
        <v>81</v>
      </c>
      <c r="V145" s="20" t="s">
        <v>81</v>
      </c>
      <c r="W145" s="20">
        <v>1</v>
      </c>
      <c r="X145" s="21" t="s">
        <v>37</v>
      </c>
      <c r="Y145" s="5"/>
      <c r="Z145" s="5" t="s">
        <v>38</v>
      </c>
      <c r="AA145" s="5"/>
      <c r="AB145" s="5" t="str">
        <f>IF(LEN('List chi tiet'!$B$3)=0,"",'List chi tiet'!$B$3)</f>
        <v>TCTN.DNS-26004</v>
      </c>
      <c r="AC145" s="5" t="s">
        <v>213</v>
      </c>
      <c r="AD145" s="5" t="s">
        <v>39</v>
      </c>
    </row>
    <row r="146" spans="1:30" hidden="1" x14ac:dyDescent="0.25">
      <c r="A146" s="5">
        <v>136</v>
      </c>
      <c r="B146" s="5" t="s">
        <v>216</v>
      </c>
      <c r="C146" s="5">
        <v>6</v>
      </c>
      <c r="D146" s="5">
        <v>188</v>
      </c>
      <c r="E146" s="5">
        <v>2348</v>
      </c>
      <c r="F146" s="5" t="s">
        <v>77</v>
      </c>
      <c r="G146" s="5" t="s">
        <v>746</v>
      </c>
      <c r="H146" s="5">
        <v>8</v>
      </c>
      <c r="I146" s="5">
        <v>164.9</v>
      </c>
      <c r="J146" s="5" t="s">
        <v>839</v>
      </c>
      <c r="K146" s="5" t="s">
        <v>812</v>
      </c>
      <c r="L146" s="5"/>
      <c r="M146" s="5" t="s">
        <v>747</v>
      </c>
      <c r="N146" s="5"/>
      <c r="O146" s="20"/>
      <c r="P146" s="20" t="str">
        <f t="shared" si="2"/>
        <v/>
      </c>
      <c r="Q146" s="20"/>
      <c r="R146" s="20" t="s">
        <v>81</v>
      </c>
      <c r="S146" s="20"/>
      <c r="T146" s="20"/>
      <c r="U146" s="20" t="s">
        <v>81</v>
      </c>
      <c r="V146" s="20" t="s">
        <v>81</v>
      </c>
      <c r="W146" s="20">
        <v>1</v>
      </c>
      <c r="X146" s="21" t="s">
        <v>37</v>
      </c>
      <c r="Y146" s="5"/>
      <c r="Z146" s="5" t="s">
        <v>38</v>
      </c>
      <c r="AA146" s="5"/>
      <c r="AB146" s="5" t="str">
        <f>IF(LEN('List chi tiet'!$B$3)=0,"",'List chi tiet'!$B$3)</f>
        <v>TCTN.DNS-26004</v>
      </c>
      <c r="AC146" s="5" t="s">
        <v>213</v>
      </c>
      <c r="AD146" s="5" t="s">
        <v>39</v>
      </c>
    </row>
    <row r="147" spans="1:30" hidden="1" x14ac:dyDescent="0.25">
      <c r="A147" s="5">
        <v>137</v>
      </c>
      <c r="B147" s="5" t="s">
        <v>195</v>
      </c>
      <c r="C147" s="5">
        <v>6</v>
      </c>
      <c r="D147" s="5">
        <v>328</v>
      </c>
      <c r="E147" s="5">
        <v>934</v>
      </c>
      <c r="F147" s="5" t="s">
        <v>77</v>
      </c>
      <c r="G147" s="5" t="s">
        <v>746</v>
      </c>
      <c r="H147" s="5">
        <v>7</v>
      </c>
      <c r="I147" s="5">
        <v>101</v>
      </c>
      <c r="J147" s="5" t="s">
        <v>839</v>
      </c>
      <c r="K147" s="5" t="s">
        <v>812</v>
      </c>
      <c r="L147" s="5"/>
      <c r="M147" s="5" t="s">
        <v>747</v>
      </c>
      <c r="N147" s="5"/>
      <c r="O147" s="20"/>
      <c r="P147" s="20" t="str">
        <f t="shared" si="2"/>
        <v/>
      </c>
      <c r="Q147" s="20"/>
      <c r="R147" s="20" t="s">
        <v>81</v>
      </c>
      <c r="S147" s="20"/>
      <c r="T147" s="20"/>
      <c r="U147" s="20" t="s">
        <v>81</v>
      </c>
      <c r="V147" s="20"/>
      <c r="W147" s="20">
        <v>1</v>
      </c>
      <c r="X147" s="21" t="s">
        <v>37</v>
      </c>
      <c r="Y147" s="5"/>
      <c r="Z147" s="5" t="s">
        <v>38</v>
      </c>
      <c r="AA147" s="5"/>
      <c r="AB147" s="5" t="str">
        <f>IF(LEN('List chi tiet'!$B$3)=0,"",'List chi tiet'!$B$3)</f>
        <v>TCTN.DNS-26004</v>
      </c>
      <c r="AC147" s="5" t="s">
        <v>213</v>
      </c>
      <c r="AD147" s="5" t="s">
        <v>39</v>
      </c>
    </row>
    <row r="148" spans="1:30" hidden="1" x14ac:dyDescent="0.25">
      <c r="A148" s="5">
        <v>138</v>
      </c>
      <c r="B148" s="5" t="s">
        <v>207</v>
      </c>
      <c r="C148" s="5">
        <v>6</v>
      </c>
      <c r="D148" s="5">
        <v>188</v>
      </c>
      <c r="E148" s="5">
        <v>2348</v>
      </c>
      <c r="F148" s="5" t="s">
        <v>77</v>
      </c>
      <c r="G148" s="5" t="s">
        <v>746</v>
      </c>
      <c r="H148" s="5">
        <v>3</v>
      </c>
      <c r="I148" s="5">
        <v>61.84</v>
      </c>
      <c r="J148" s="5" t="s">
        <v>839</v>
      </c>
      <c r="K148" s="5" t="s">
        <v>812</v>
      </c>
      <c r="L148" s="5"/>
      <c r="M148" s="5" t="s">
        <v>747</v>
      </c>
      <c r="N148" s="5"/>
      <c r="O148" s="20"/>
      <c r="P148" s="20" t="str">
        <f t="shared" si="2"/>
        <v/>
      </c>
      <c r="Q148" s="20"/>
      <c r="R148" s="20" t="s">
        <v>81</v>
      </c>
      <c r="S148" s="20"/>
      <c r="T148" s="20"/>
      <c r="U148" s="20" t="s">
        <v>81</v>
      </c>
      <c r="V148" s="20" t="s">
        <v>81</v>
      </c>
      <c r="W148" s="20">
        <v>1</v>
      </c>
      <c r="X148" s="21" t="s">
        <v>37</v>
      </c>
      <c r="Y148" s="5"/>
      <c r="Z148" s="5" t="s">
        <v>38</v>
      </c>
      <c r="AA148" s="5"/>
      <c r="AB148" s="5" t="str">
        <f>IF(LEN('List chi tiet'!$B$3)=0,"",'List chi tiet'!$B$3)</f>
        <v>TCTN.DNS-26004</v>
      </c>
      <c r="AC148" s="5" t="s">
        <v>213</v>
      </c>
      <c r="AD148" s="5" t="s">
        <v>39</v>
      </c>
    </row>
    <row r="149" spans="1:30" hidden="1" x14ac:dyDescent="0.25">
      <c r="A149" s="5">
        <v>139</v>
      </c>
      <c r="B149" s="5" t="s">
        <v>217</v>
      </c>
      <c r="C149" s="5">
        <v>6</v>
      </c>
      <c r="D149" s="5">
        <v>328</v>
      </c>
      <c r="E149" s="5">
        <v>934</v>
      </c>
      <c r="F149" s="5" t="s">
        <v>77</v>
      </c>
      <c r="G149" s="5" t="s">
        <v>746</v>
      </c>
      <c r="H149" s="5">
        <v>9</v>
      </c>
      <c r="I149" s="5">
        <v>129.86000000000001</v>
      </c>
      <c r="J149" s="5" t="s">
        <v>839</v>
      </c>
      <c r="K149" s="5" t="s">
        <v>812</v>
      </c>
      <c r="L149" s="5"/>
      <c r="M149" s="5" t="s">
        <v>747</v>
      </c>
      <c r="N149" s="5"/>
      <c r="O149" s="20"/>
      <c r="P149" s="20" t="str">
        <f t="shared" si="2"/>
        <v/>
      </c>
      <c r="Q149" s="20"/>
      <c r="R149" s="20" t="s">
        <v>81</v>
      </c>
      <c r="S149" s="20"/>
      <c r="T149" s="20"/>
      <c r="U149" s="20" t="s">
        <v>81</v>
      </c>
      <c r="V149" s="20"/>
      <c r="W149" s="20">
        <v>1</v>
      </c>
      <c r="X149" s="21" t="s">
        <v>37</v>
      </c>
      <c r="Y149" s="5"/>
      <c r="Z149" s="5" t="s">
        <v>38</v>
      </c>
      <c r="AA149" s="5"/>
      <c r="AB149" s="5" t="str">
        <f>IF(LEN('List chi tiet'!$B$3)=0,"",'List chi tiet'!$B$3)</f>
        <v>TCTN.DNS-26004</v>
      </c>
      <c r="AC149" s="5" t="s">
        <v>213</v>
      </c>
      <c r="AD149" s="5" t="s">
        <v>39</v>
      </c>
    </row>
    <row r="150" spans="1:30" hidden="1" x14ac:dyDescent="0.25">
      <c r="A150" s="5">
        <v>140</v>
      </c>
      <c r="B150" s="5" t="s">
        <v>148</v>
      </c>
      <c r="C150" s="5">
        <v>6</v>
      </c>
      <c r="D150" s="5">
        <v>328</v>
      </c>
      <c r="E150" s="5">
        <v>934</v>
      </c>
      <c r="F150" s="5" t="s">
        <v>77</v>
      </c>
      <c r="G150" s="5" t="s">
        <v>746</v>
      </c>
      <c r="H150" s="5">
        <v>4</v>
      </c>
      <c r="I150" s="5">
        <v>57.72</v>
      </c>
      <c r="J150" s="5" t="s">
        <v>839</v>
      </c>
      <c r="K150" s="5" t="s">
        <v>812</v>
      </c>
      <c r="L150" s="5"/>
      <c r="M150" s="5" t="s">
        <v>747</v>
      </c>
      <c r="N150" s="5"/>
      <c r="O150" s="20"/>
      <c r="P150" s="20" t="str">
        <f t="shared" si="2"/>
        <v/>
      </c>
      <c r="Q150" s="20"/>
      <c r="R150" s="20" t="s">
        <v>81</v>
      </c>
      <c r="S150" s="20"/>
      <c r="T150" s="20"/>
      <c r="U150" s="20" t="s">
        <v>81</v>
      </c>
      <c r="V150" s="20"/>
      <c r="W150" s="20">
        <v>1</v>
      </c>
      <c r="X150" s="21" t="s">
        <v>37</v>
      </c>
      <c r="Y150" s="5"/>
      <c r="Z150" s="5" t="s">
        <v>38</v>
      </c>
      <c r="AA150" s="5"/>
      <c r="AB150" s="5" t="str">
        <f>IF(LEN('List chi tiet'!$B$3)=0,"",'List chi tiet'!$B$3)</f>
        <v>TCTN.DNS-26004</v>
      </c>
      <c r="AC150" s="5" t="s">
        <v>213</v>
      </c>
      <c r="AD150" s="5" t="s">
        <v>39</v>
      </c>
    </row>
    <row r="151" spans="1:30" hidden="1" x14ac:dyDescent="0.25">
      <c r="A151" s="5">
        <v>141</v>
      </c>
      <c r="B151" s="5" t="s">
        <v>123</v>
      </c>
      <c r="C151" s="5">
        <v>6</v>
      </c>
      <c r="D151" s="5">
        <v>298</v>
      </c>
      <c r="E151" s="5">
        <v>378</v>
      </c>
      <c r="F151" s="5" t="s">
        <v>77</v>
      </c>
      <c r="G151" s="5" t="s">
        <v>746</v>
      </c>
      <c r="H151" s="5">
        <v>2</v>
      </c>
      <c r="I151" s="5">
        <v>10.54</v>
      </c>
      <c r="J151" s="5" t="s">
        <v>839</v>
      </c>
      <c r="K151" s="5" t="s">
        <v>812</v>
      </c>
      <c r="L151" s="5"/>
      <c r="M151" s="5" t="s">
        <v>747</v>
      </c>
      <c r="N151" s="5"/>
      <c r="O151" s="20"/>
      <c r="P151" s="20" t="str">
        <f t="shared" si="2"/>
        <v/>
      </c>
      <c r="Q151" s="20" t="s">
        <v>26</v>
      </c>
      <c r="R151" s="20" t="s">
        <v>81</v>
      </c>
      <c r="S151" s="20"/>
      <c r="T151" s="20"/>
      <c r="U151" s="20"/>
      <c r="V151" s="20"/>
      <c r="W151" s="20">
        <v>1</v>
      </c>
      <c r="X151" s="21" t="s">
        <v>37</v>
      </c>
      <c r="Y151" s="5"/>
      <c r="Z151" s="5" t="s">
        <v>38</v>
      </c>
      <c r="AA151" s="5"/>
      <c r="AB151" s="5" t="str">
        <f>IF(LEN('List chi tiet'!$B$3)=0,"",'List chi tiet'!$B$3)</f>
        <v>TCTN.DNS-26004</v>
      </c>
      <c r="AC151" s="5" t="s">
        <v>213</v>
      </c>
      <c r="AD151" s="5" t="s">
        <v>39</v>
      </c>
    </row>
    <row r="152" spans="1:30" hidden="1" x14ac:dyDescent="0.25">
      <c r="A152" s="5">
        <v>142</v>
      </c>
      <c r="B152" s="5" t="s">
        <v>179</v>
      </c>
      <c r="C152" s="5">
        <v>6</v>
      </c>
      <c r="D152" s="5">
        <v>328</v>
      </c>
      <c r="E152" s="5">
        <v>934</v>
      </c>
      <c r="F152" s="5" t="s">
        <v>77</v>
      </c>
      <c r="G152" s="5" t="s">
        <v>746</v>
      </c>
      <c r="H152" s="5">
        <v>1</v>
      </c>
      <c r="I152" s="5">
        <v>14.43</v>
      </c>
      <c r="J152" s="5" t="s">
        <v>839</v>
      </c>
      <c r="K152" s="5" t="s">
        <v>812</v>
      </c>
      <c r="L152" s="5"/>
      <c r="M152" s="5" t="s">
        <v>747</v>
      </c>
      <c r="N152" s="5"/>
      <c r="O152" s="20"/>
      <c r="P152" s="20" t="str">
        <f t="shared" si="2"/>
        <v/>
      </c>
      <c r="Q152" s="20"/>
      <c r="R152" s="20" t="s">
        <v>81</v>
      </c>
      <c r="S152" s="20"/>
      <c r="T152" s="20"/>
      <c r="U152" s="20" t="s">
        <v>81</v>
      </c>
      <c r="V152" s="20"/>
      <c r="W152" s="20">
        <v>1</v>
      </c>
      <c r="X152" s="21" t="s">
        <v>37</v>
      </c>
      <c r="Y152" s="5"/>
      <c r="Z152" s="5" t="s">
        <v>38</v>
      </c>
      <c r="AA152" s="5"/>
      <c r="AB152" s="5" t="str">
        <f>IF(LEN('List chi tiet'!$B$3)=0,"",'List chi tiet'!$B$3)</f>
        <v>TCTN.DNS-26004</v>
      </c>
      <c r="AC152" s="5" t="s">
        <v>218</v>
      </c>
      <c r="AD152" s="5" t="s">
        <v>39</v>
      </c>
    </row>
    <row r="153" spans="1:30" hidden="1" x14ac:dyDescent="0.25">
      <c r="A153" s="5">
        <v>143</v>
      </c>
      <c r="B153" s="5" t="s">
        <v>206</v>
      </c>
      <c r="C153" s="5">
        <v>6</v>
      </c>
      <c r="D153" s="5">
        <v>188</v>
      </c>
      <c r="E153" s="5">
        <v>2348</v>
      </c>
      <c r="F153" s="5" t="s">
        <v>77</v>
      </c>
      <c r="G153" s="5" t="s">
        <v>746</v>
      </c>
      <c r="H153" s="5">
        <v>2</v>
      </c>
      <c r="I153" s="5">
        <v>41.23</v>
      </c>
      <c r="J153" s="5" t="s">
        <v>839</v>
      </c>
      <c r="K153" s="5" t="s">
        <v>812</v>
      </c>
      <c r="L153" s="5"/>
      <c r="M153" s="5" t="s">
        <v>747</v>
      </c>
      <c r="N153" s="5"/>
      <c r="O153" s="20"/>
      <c r="P153" s="20" t="str">
        <f t="shared" si="2"/>
        <v/>
      </c>
      <c r="Q153" s="20"/>
      <c r="R153" s="20" t="s">
        <v>81</v>
      </c>
      <c r="S153" s="20"/>
      <c r="T153" s="20"/>
      <c r="U153" s="20" t="s">
        <v>81</v>
      </c>
      <c r="V153" s="20" t="s">
        <v>81</v>
      </c>
      <c r="W153" s="20">
        <v>1</v>
      </c>
      <c r="X153" s="21" t="s">
        <v>37</v>
      </c>
      <c r="Y153" s="5"/>
      <c r="Z153" s="5" t="s">
        <v>38</v>
      </c>
      <c r="AA153" s="5"/>
      <c r="AB153" s="5" t="str">
        <f>IF(LEN('List chi tiet'!$B$3)=0,"",'List chi tiet'!$B$3)</f>
        <v>TCTN.DNS-26004</v>
      </c>
      <c r="AC153" s="5" t="s">
        <v>218</v>
      </c>
      <c r="AD153" s="5" t="s">
        <v>39</v>
      </c>
    </row>
    <row r="154" spans="1:30" hidden="1" x14ac:dyDescent="0.25">
      <c r="A154" s="5">
        <v>144</v>
      </c>
      <c r="B154" s="5" t="s">
        <v>196</v>
      </c>
      <c r="C154" s="5">
        <v>6</v>
      </c>
      <c r="D154" s="5">
        <v>328</v>
      </c>
      <c r="E154" s="5">
        <v>894</v>
      </c>
      <c r="F154" s="5" t="s">
        <v>77</v>
      </c>
      <c r="G154" s="5" t="s">
        <v>746</v>
      </c>
      <c r="H154" s="5">
        <v>1</v>
      </c>
      <c r="I154" s="5">
        <v>13.81</v>
      </c>
      <c r="J154" s="5" t="s">
        <v>839</v>
      </c>
      <c r="K154" s="5" t="s">
        <v>812</v>
      </c>
      <c r="L154" s="5"/>
      <c r="M154" s="5" t="s">
        <v>747</v>
      </c>
      <c r="N154" s="5"/>
      <c r="O154" s="20"/>
      <c r="P154" s="20" t="str">
        <f t="shared" si="2"/>
        <v/>
      </c>
      <c r="Q154" s="20"/>
      <c r="R154" s="20" t="s">
        <v>81</v>
      </c>
      <c r="S154" s="20"/>
      <c r="T154" s="20"/>
      <c r="U154" s="20" t="s">
        <v>81</v>
      </c>
      <c r="V154" s="20"/>
      <c r="W154" s="20">
        <v>1</v>
      </c>
      <c r="X154" s="21" t="s">
        <v>37</v>
      </c>
      <c r="Y154" s="5"/>
      <c r="Z154" s="5" t="s">
        <v>38</v>
      </c>
      <c r="AA154" s="5"/>
      <c r="AB154" s="5" t="str">
        <f>IF(LEN('List chi tiet'!$B$3)=0,"",'List chi tiet'!$B$3)</f>
        <v>TCTN.DNS-26004</v>
      </c>
      <c r="AC154" s="5" t="s">
        <v>218</v>
      </c>
      <c r="AD154" s="5" t="s">
        <v>39</v>
      </c>
    </row>
    <row r="155" spans="1:30" hidden="1" x14ac:dyDescent="0.25">
      <c r="A155" s="5">
        <v>145</v>
      </c>
      <c r="B155" s="5" t="s">
        <v>220</v>
      </c>
      <c r="C155" s="5">
        <v>6</v>
      </c>
      <c r="D155" s="5">
        <v>188</v>
      </c>
      <c r="E155" s="5">
        <v>2348</v>
      </c>
      <c r="F155" s="5" t="s">
        <v>77</v>
      </c>
      <c r="G155" s="5" t="s">
        <v>746</v>
      </c>
      <c r="H155" s="5">
        <v>12</v>
      </c>
      <c r="I155" s="5">
        <v>247.35</v>
      </c>
      <c r="J155" s="5" t="s">
        <v>839</v>
      </c>
      <c r="K155" s="5" t="s">
        <v>812</v>
      </c>
      <c r="L155" s="5"/>
      <c r="M155" s="5" t="s">
        <v>747</v>
      </c>
      <c r="N155" s="5"/>
      <c r="O155" s="20"/>
      <c r="P155" s="20" t="str">
        <f t="shared" si="2"/>
        <v/>
      </c>
      <c r="Q155" s="20"/>
      <c r="R155" s="20" t="s">
        <v>81</v>
      </c>
      <c r="S155" s="20"/>
      <c r="T155" s="20"/>
      <c r="U155" s="20" t="s">
        <v>81</v>
      </c>
      <c r="V155" s="20" t="s">
        <v>81</v>
      </c>
      <c r="W155" s="20">
        <v>1</v>
      </c>
      <c r="X155" s="21" t="s">
        <v>37</v>
      </c>
      <c r="Y155" s="5"/>
      <c r="Z155" s="5" t="s">
        <v>38</v>
      </c>
      <c r="AA155" s="5"/>
      <c r="AB155" s="5" t="str">
        <f>IF(LEN('List chi tiet'!$B$3)=0,"",'List chi tiet'!$B$3)</f>
        <v>TCTN.DNS-26004</v>
      </c>
      <c r="AC155" s="5" t="s">
        <v>218</v>
      </c>
      <c r="AD155" s="5" t="s">
        <v>39</v>
      </c>
    </row>
    <row r="156" spans="1:30" hidden="1" x14ac:dyDescent="0.25">
      <c r="A156" s="5">
        <v>146</v>
      </c>
      <c r="B156" s="5" t="s">
        <v>116</v>
      </c>
      <c r="C156" s="5">
        <v>6</v>
      </c>
      <c r="D156" s="5">
        <v>298</v>
      </c>
      <c r="E156" s="5">
        <v>378</v>
      </c>
      <c r="F156" s="5" t="s">
        <v>77</v>
      </c>
      <c r="G156" s="5" t="s">
        <v>746</v>
      </c>
      <c r="H156" s="5">
        <v>1</v>
      </c>
      <c r="I156" s="5">
        <v>5.27</v>
      </c>
      <c r="J156" s="5" t="s">
        <v>839</v>
      </c>
      <c r="K156" s="5" t="s">
        <v>812</v>
      </c>
      <c r="L156" s="5"/>
      <c r="M156" s="5" t="s">
        <v>747</v>
      </c>
      <c r="N156" s="5"/>
      <c r="O156" s="20"/>
      <c r="P156" s="20" t="str">
        <f t="shared" si="2"/>
        <v/>
      </c>
      <c r="Q156" s="20" t="s">
        <v>26</v>
      </c>
      <c r="R156" s="20" t="s">
        <v>81</v>
      </c>
      <c r="S156" s="20"/>
      <c r="T156" s="20"/>
      <c r="U156" s="20"/>
      <c r="V156" s="20"/>
      <c r="W156" s="20">
        <v>1</v>
      </c>
      <c r="X156" s="21" t="s">
        <v>37</v>
      </c>
      <c r="Y156" s="5"/>
      <c r="Z156" s="5" t="s">
        <v>38</v>
      </c>
      <c r="AA156" s="5"/>
      <c r="AB156" s="5" t="str">
        <f>IF(LEN('List chi tiet'!$B$3)=0,"",'List chi tiet'!$B$3)</f>
        <v>TCTN.DNS-26004</v>
      </c>
      <c r="AC156" s="5" t="s">
        <v>218</v>
      </c>
      <c r="AD156" s="5" t="s">
        <v>39</v>
      </c>
    </row>
    <row r="157" spans="1:30" hidden="1" x14ac:dyDescent="0.25">
      <c r="A157" s="5">
        <v>147</v>
      </c>
      <c r="B157" s="5" t="s">
        <v>123</v>
      </c>
      <c r="C157" s="5">
        <v>6</v>
      </c>
      <c r="D157" s="5">
        <v>298</v>
      </c>
      <c r="E157" s="5">
        <v>378</v>
      </c>
      <c r="F157" s="5" t="s">
        <v>77</v>
      </c>
      <c r="G157" s="5" t="s">
        <v>746</v>
      </c>
      <c r="H157" s="5">
        <v>2</v>
      </c>
      <c r="I157" s="5">
        <v>10.54</v>
      </c>
      <c r="J157" s="5" t="s">
        <v>839</v>
      </c>
      <c r="K157" s="5" t="s">
        <v>812</v>
      </c>
      <c r="L157" s="5"/>
      <c r="M157" s="5" t="s">
        <v>747</v>
      </c>
      <c r="N157" s="5"/>
      <c r="O157" s="20"/>
      <c r="P157" s="20" t="str">
        <f t="shared" si="2"/>
        <v/>
      </c>
      <c r="Q157" s="20" t="s">
        <v>26</v>
      </c>
      <c r="R157" s="20" t="s">
        <v>81</v>
      </c>
      <c r="S157" s="20"/>
      <c r="T157" s="20"/>
      <c r="U157" s="20"/>
      <c r="V157" s="20"/>
      <c r="W157" s="20">
        <v>1</v>
      </c>
      <c r="X157" s="21" t="s">
        <v>37</v>
      </c>
      <c r="Y157" s="5"/>
      <c r="Z157" s="5" t="s">
        <v>38</v>
      </c>
      <c r="AA157" s="5"/>
      <c r="AB157" s="5" t="str">
        <f>IF(LEN('List chi tiet'!$B$3)=0,"",'List chi tiet'!$B$3)</f>
        <v>TCTN.DNS-26004</v>
      </c>
      <c r="AC157" s="5" t="s">
        <v>218</v>
      </c>
      <c r="AD157" s="5" t="s">
        <v>39</v>
      </c>
    </row>
    <row r="158" spans="1:30" hidden="1" x14ac:dyDescent="0.25">
      <c r="A158" s="5">
        <v>148</v>
      </c>
      <c r="B158" s="5" t="s">
        <v>171</v>
      </c>
      <c r="C158" s="5">
        <v>6</v>
      </c>
      <c r="D158" s="5">
        <v>298</v>
      </c>
      <c r="E158" s="5">
        <v>378</v>
      </c>
      <c r="F158" s="5" t="s">
        <v>77</v>
      </c>
      <c r="G158" s="5" t="s">
        <v>746</v>
      </c>
      <c r="H158" s="5">
        <v>2</v>
      </c>
      <c r="I158" s="5">
        <v>10.54</v>
      </c>
      <c r="J158" s="5" t="s">
        <v>839</v>
      </c>
      <c r="K158" s="5" t="s">
        <v>812</v>
      </c>
      <c r="L158" s="5"/>
      <c r="M158" s="5" t="s">
        <v>747</v>
      </c>
      <c r="N158" s="5"/>
      <c r="O158" s="20"/>
      <c r="P158" s="20" t="str">
        <f t="shared" si="2"/>
        <v/>
      </c>
      <c r="Q158" s="20" t="s">
        <v>26</v>
      </c>
      <c r="R158" s="20" t="s">
        <v>81</v>
      </c>
      <c r="S158" s="20"/>
      <c r="T158" s="20"/>
      <c r="U158" s="20"/>
      <c r="V158" s="20"/>
      <c r="W158" s="20">
        <v>1</v>
      </c>
      <c r="X158" s="21" t="s">
        <v>37</v>
      </c>
      <c r="Y158" s="5"/>
      <c r="Z158" s="5" t="s">
        <v>38</v>
      </c>
      <c r="AA158" s="5"/>
      <c r="AB158" s="5" t="str">
        <f>IF(LEN('List chi tiet'!$B$3)=0,"",'List chi tiet'!$B$3)</f>
        <v>TCTN.DNS-26004</v>
      </c>
      <c r="AC158" s="5" t="s">
        <v>218</v>
      </c>
      <c r="AD158" s="5" t="s">
        <v>39</v>
      </c>
    </row>
    <row r="159" spans="1:30" hidden="1" x14ac:dyDescent="0.25">
      <c r="A159" s="5">
        <v>149</v>
      </c>
      <c r="B159" s="5" t="s">
        <v>221</v>
      </c>
      <c r="C159" s="5">
        <v>8</v>
      </c>
      <c r="D159" s="5">
        <v>334</v>
      </c>
      <c r="E159" s="5">
        <v>11992</v>
      </c>
      <c r="F159" s="5" t="s">
        <v>77</v>
      </c>
      <c r="G159" s="5" t="s">
        <v>746</v>
      </c>
      <c r="H159" s="5">
        <v>4</v>
      </c>
      <c r="I159" s="5">
        <v>981.99</v>
      </c>
      <c r="J159" s="5" t="s">
        <v>839</v>
      </c>
      <c r="K159" s="5" t="s">
        <v>812</v>
      </c>
      <c r="L159" s="5"/>
      <c r="M159" s="5" t="s">
        <v>747</v>
      </c>
      <c r="N159" s="5"/>
      <c r="O159" s="20"/>
      <c r="P159" s="20" t="str">
        <f t="shared" si="2"/>
        <v/>
      </c>
      <c r="Q159" s="20" t="s">
        <v>28</v>
      </c>
      <c r="R159" s="20" t="s">
        <v>81</v>
      </c>
      <c r="S159" s="20"/>
      <c r="T159" s="20"/>
      <c r="U159" s="20"/>
      <c r="V159" s="20"/>
      <c r="W159" s="20">
        <v>1</v>
      </c>
      <c r="X159" s="21" t="s">
        <v>37</v>
      </c>
      <c r="Y159" s="5"/>
      <c r="Z159" s="5" t="s">
        <v>38</v>
      </c>
      <c r="AA159" s="5"/>
      <c r="AB159" s="5" t="str">
        <f>IF(LEN('List chi tiet'!$B$3)=0,"",'List chi tiet'!$B$3)</f>
        <v>TCTN.DNS-26004</v>
      </c>
      <c r="AC159" s="5" t="s">
        <v>224</v>
      </c>
      <c r="AD159" s="5" t="s">
        <v>39</v>
      </c>
    </row>
    <row r="160" spans="1:30" hidden="1" x14ac:dyDescent="0.25">
      <c r="A160" s="5">
        <v>150</v>
      </c>
      <c r="B160" s="5" t="s">
        <v>226</v>
      </c>
      <c r="C160" s="5">
        <v>8</v>
      </c>
      <c r="D160" s="5">
        <v>334</v>
      </c>
      <c r="E160" s="5">
        <v>11998</v>
      </c>
      <c r="F160" s="5" t="s">
        <v>77</v>
      </c>
      <c r="G160" s="5" t="s">
        <v>746</v>
      </c>
      <c r="H160" s="5">
        <v>1</v>
      </c>
      <c r="I160" s="5">
        <v>244.33</v>
      </c>
      <c r="J160" s="5" t="s">
        <v>839</v>
      </c>
      <c r="K160" s="5" t="s">
        <v>812</v>
      </c>
      <c r="L160" s="5"/>
      <c r="M160" s="5" t="s">
        <v>747</v>
      </c>
      <c r="N160" s="5"/>
      <c r="O160" s="20" t="s">
        <v>228</v>
      </c>
      <c r="P160" s="20" t="str">
        <f t="shared" si="2"/>
        <v/>
      </c>
      <c r="Q160" s="20" t="s">
        <v>28</v>
      </c>
      <c r="R160" s="20" t="s">
        <v>81</v>
      </c>
      <c r="S160" s="20"/>
      <c r="T160" s="20"/>
      <c r="U160" s="20"/>
      <c r="V160" s="20"/>
      <c r="W160" s="20">
        <v>1</v>
      </c>
      <c r="X160" s="21" t="s">
        <v>37</v>
      </c>
      <c r="Y160" s="5"/>
      <c r="Z160" s="5" t="s">
        <v>38</v>
      </c>
      <c r="AA160" s="5"/>
      <c r="AB160" s="5" t="str">
        <f>IF(LEN('List chi tiet'!$B$3)=0,"",'List chi tiet'!$B$3)</f>
        <v>TCTN.DNS-26004</v>
      </c>
      <c r="AC160" s="5" t="s">
        <v>224</v>
      </c>
      <c r="AD160" s="5" t="s">
        <v>39</v>
      </c>
    </row>
    <row r="161" spans="1:30" hidden="1" x14ac:dyDescent="0.25">
      <c r="A161" s="5">
        <v>151</v>
      </c>
      <c r="B161" s="5" t="s">
        <v>229</v>
      </c>
      <c r="C161" s="5">
        <v>8</v>
      </c>
      <c r="D161" s="5">
        <v>90</v>
      </c>
      <c r="E161" s="5">
        <v>150</v>
      </c>
      <c r="F161" s="5" t="s">
        <v>77</v>
      </c>
      <c r="G161" s="5" t="s">
        <v>746</v>
      </c>
      <c r="H161" s="5">
        <v>1</v>
      </c>
      <c r="I161" s="5">
        <v>0.62</v>
      </c>
      <c r="J161" s="5" t="s">
        <v>839</v>
      </c>
      <c r="K161" s="5" t="s">
        <v>812</v>
      </c>
      <c r="L161" s="5"/>
      <c r="M161" s="5" t="s">
        <v>747</v>
      </c>
      <c r="N161" s="5"/>
      <c r="O161" s="20"/>
      <c r="P161" s="20" t="str">
        <f t="shared" si="2"/>
        <v/>
      </c>
      <c r="Q161" s="20" t="s">
        <v>26</v>
      </c>
      <c r="R161" s="20" t="s">
        <v>81</v>
      </c>
      <c r="S161" s="20"/>
      <c r="T161" s="20"/>
      <c r="U161" s="20"/>
      <c r="V161" s="20"/>
      <c r="W161" s="20">
        <v>1</v>
      </c>
      <c r="X161" s="21" t="s">
        <v>37</v>
      </c>
      <c r="Y161" s="5"/>
      <c r="Z161" s="5" t="s">
        <v>38</v>
      </c>
      <c r="AA161" s="5"/>
      <c r="AB161" s="5" t="str">
        <f>IF(LEN('List chi tiet'!$B$3)=0,"",'List chi tiet'!$B$3)</f>
        <v>TCTN.DNS-26004</v>
      </c>
      <c r="AC161" s="5" t="s">
        <v>224</v>
      </c>
      <c r="AD161" s="5" t="s">
        <v>39</v>
      </c>
    </row>
    <row r="162" spans="1:30" hidden="1" x14ac:dyDescent="0.25">
      <c r="A162" s="5">
        <v>152</v>
      </c>
      <c r="B162" s="5" t="s">
        <v>231</v>
      </c>
      <c r="C162" s="5">
        <v>8</v>
      </c>
      <c r="D162" s="5">
        <v>150</v>
      </c>
      <c r="E162" s="5">
        <v>4252</v>
      </c>
      <c r="F162" s="5" t="s">
        <v>77</v>
      </c>
      <c r="G162" s="5" t="s">
        <v>746</v>
      </c>
      <c r="H162" s="5">
        <v>2</v>
      </c>
      <c r="I162" s="5">
        <v>80.11</v>
      </c>
      <c r="J162" s="5" t="s">
        <v>839</v>
      </c>
      <c r="K162" s="5" t="s">
        <v>812</v>
      </c>
      <c r="L162" s="5"/>
      <c r="M162" s="5" t="s">
        <v>747</v>
      </c>
      <c r="N162" s="5"/>
      <c r="O162" s="20"/>
      <c r="P162" s="20" t="str">
        <f t="shared" si="2"/>
        <v/>
      </c>
      <c r="Q162" s="20" t="s">
        <v>28</v>
      </c>
      <c r="R162" s="20" t="s">
        <v>81</v>
      </c>
      <c r="S162" s="20"/>
      <c r="T162" s="20"/>
      <c r="U162" s="20"/>
      <c r="V162" s="20"/>
      <c r="W162" s="20">
        <v>1</v>
      </c>
      <c r="X162" s="21" t="s">
        <v>37</v>
      </c>
      <c r="Y162" s="5"/>
      <c r="Z162" s="5" t="s">
        <v>38</v>
      </c>
      <c r="AA162" s="5"/>
      <c r="AB162" s="5" t="str">
        <f>IF(LEN('List chi tiet'!$B$3)=0,"",'List chi tiet'!$B$3)</f>
        <v>TCTN.DNS-26004</v>
      </c>
      <c r="AC162" s="5" t="s">
        <v>224</v>
      </c>
      <c r="AD162" s="5" t="s">
        <v>39</v>
      </c>
    </row>
    <row r="163" spans="1:30" hidden="1" x14ac:dyDescent="0.25">
      <c r="A163" s="5">
        <v>153</v>
      </c>
      <c r="B163" s="5" t="s">
        <v>233</v>
      </c>
      <c r="C163" s="5">
        <v>8</v>
      </c>
      <c r="D163" s="5">
        <v>150</v>
      </c>
      <c r="E163" s="5">
        <v>6824</v>
      </c>
      <c r="F163" s="5" t="s">
        <v>77</v>
      </c>
      <c r="G163" s="5" t="s">
        <v>746</v>
      </c>
      <c r="H163" s="5">
        <v>2</v>
      </c>
      <c r="I163" s="5">
        <v>128.56</v>
      </c>
      <c r="J163" s="5" t="s">
        <v>839</v>
      </c>
      <c r="K163" s="5" t="s">
        <v>812</v>
      </c>
      <c r="L163" s="5"/>
      <c r="M163" s="5" t="s">
        <v>747</v>
      </c>
      <c r="N163" s="5"/>
      <c r="O163" s="20"/>
      <c r="P163" s="20" t="str">
        <f t="shared" si="2"/>
        <v/>
      </c>
      <c r="Q163" s="20" t="s">
        <v>28</v>
      </c>
      <c r="R163" s="20" t="s">
        <v>81</v>
      </c>
      <c r="S163" s="20"/>
      <c r="T163" s="20"/>
      <c r="U163" s="20"/>
      <c r="V163" s="20"/>
      <c r="W163" s="20">
        <v>1</v>
      </c>
      <c r="X163" s="21" t="s">
        <v>37</v>
      </c>
      <c r="Y163" s="5"/>
      <c r="Z163" s="5" t="s">
        <v>38</v>
      </c>
      <c r="AA163" s="5"/>
      <c r="AB163" s="5" t="str">
        <f>IF(LEN('List chi tiet'!$B$3)=0,"",'List chi tiet'!$B$3)</f>
        <v>TCTN.DNS-26004</v>
      </c>
      <c r="AC163" s="5" t="s">
        <v>224</v>
      </c>
      <c r="AD163" s="5" t="s">
        <v>39</v>
      </c>
    </row>
    <row r="164" spans="1:30" hidden="1" x14ac:dyDescent="0.25">
      <c r="A164" s="5">
        <v>154</v>
      </c>
      <c r="B164" s="5" t="s">
        <v>235</v>
      </c>
      <c r="C164" s="5">
        <v>8</v>
      </c>
      <c r="D164" s="5">
        <v>150</v>
      </c>
      <c r="E164" s="5">
        <v>792</v>
      </c>
      <c r="F164" s="5" t="s">
        <v>77</v>
      </c>
      <c r="G164" s="5" t="s">
        <v>746</v>
      </c>
      <c r="H164" s="5">
        <v>2</v>
      </c>
      <c r="I164" s="5">
        <v>14.92</v>
      </c>
      <c r="J164" s="5" t="s">
        <v>839</v>
      </c>
      <c r="K164" s="5" t="s">
        <v>812</v>
      </c>
      <c r="L164" s="5"/>
      <c r="M164" s="5" t="s">
        <v>747</v>
      </c>
      <c r="N164" s="5"/>
      <c r="O164" s="20"/>
      <c r="P164" s="20" t="str">
        <f t="shared" si="2"/>
        <v/>
      </c>
      <c r="Q164" s="20" t="s">
        <v>28</v>
      </c>
      <c r="R164" s="20" t="s">
        <v>81</v>
      </c>
      <c r="S164" s="20"/>
      <c r="T164" s="20"/>
      <c r="U164" s="20"/>
      <c r="V164" s="20"/>
      <c r="W164" s="20">
        <v>1</v>
      </c>
      <c r="X164" s="21" t="s">
        <v>37</v>
      </c>
      <c r="Y164" s="5"/>
      <c r="Z164" s="5" t="s">
        <v>38</v>
      </c>
      <c r="AA164" s="5"/>
      <c r="AB164" s="5" t="str">
        <f>IF(LEN('List chi tiet'!$B$3)=0,"",'List chi tiet'!$B$3)</f>
        <v>TCTN.DNS-26004</v>
      </c>
      <c r="AC164" s="5" t="s">
        <v>224</v>
      </c>
      <c r="AD164" s="5" t="s">
        <v>39</v>
      </c>
    </row>
    <row r="165" spans="1:30" hidden="1" x14ac:dyDescent="0.25">
      <c r="A165" s="5">
        <v>155</v>
      </c>
      <c r="B165" s="5" t="s">
        <v>237</v>
      </c>
      <c r="C165" s="5">
        <v>8</v>
      </c>
      <c r="D165" s="5">
        <v>148</v>
      </c>
      <c r="E165" s="5">
        <v>441</v>
      </c>
      <c r="F165" s="5" t="s">
        <v>77</v>
      </c>
      <c r="G165" s="5" t="s">
        <v>746</v>
      </c>
      <c r="H165" s="5">
        <v>1</v>
      </c>
      <c r="I165" s="5">
        <v>4.0999999999999996</v>
      </c>
      <c r="J165" s="5" t="s">
        <v>839</v>
      </c>
      <c r="K165" s="5" t="s">
        <v>812</v>
      </c>
      <c r="L165" s="5"/>
      <c r="M165" s="5" t="s">
        <v>747</v>
      </c>
      <c r="N165" s="5"/>
      <c r="O165" s="20"/>
      <c r="P165" s="20" t="str">
        <f t="shared" si="2"/>
        <v/>
      </c>
      <c r="Q165" s="20" t="s">
        <v>26</v>
      </c>
      <c r="R165" s="20" t="s">
        <v>81</v>
      </c>
      <c r="S165" s="20"/>
      <c r="T165" s="20"/>
      <c r="U165" s="20"/>
      <c r="V165" s="20"/>
      <c r="W165" s="20">
        <v>1</v>
      </c>
      <c r="X165" s="21" t="s">
        <v>37</v>
      </c>
      <c r="Y165" s="5"/>
      <c r="Z165" s="5" t="s">
        <v>38</v>
      </c>
      <c r="AA165" s="5"/>
      <c r="AB165" s="5" t="str">
        <f>IF(LEN('List chi tiet'!$B$3)=0,"",'List chi tiet'!$B$3)</f>
        <v>TCTN.DNS-26004</v>
      </c>
      <c r="AC165" s="5" t="s">
        <v>239</v>
      </c>
      <c r="AD165" s="5" t="s">
        <v>39</v>
      </c>
    </row>
    <row r="166" spans="1:30" hidden="1" x14ac:dyDescent="0.25">
      <c r="A166" s="5">
        <v>156</v>
      </c>
      <c r="B166" s="5" t="s">
        <v>241</v>
      </c>
      <c r="C166" s="5">
        <v>8</v>
      </c>
      <c r="D166" s="5">
        <v>156</v>
      </c>
      <c r="E166" s="5">
        <v>465</v>
      </c>
      <c r="F166" s="5" t="s">
        <v>77</v>
      </c>
      <c r="G166" s="5" t="s">
        <v>746</v>
      </c>
      <c r="H166" s="5">
        <v>1</v>
      </c>
      <c r="I166" s="5">
        <v>4.55</v>
      </c>
      <c r="J166" s="5" t="s">
        <v>839</v>
      </c>
      <c r="K166" s="5" t="s">
        <v>812</v>
      </c>
      <c r="L166" s="5"/>
      <c r="M166" s="5" t="s">
        <v>747</v>
      </c>
      <c r="N166" s="5"/>
      <c r="O166" s="20"/>
      <c r="P166" s="20" t="str">
        <f t="shared" si="2"/>
        <v/>
      </c>
      <c r="Q166" s="20" t="s">
        <v>26</v>
      </c>
      <c r="R166" s="20" t="s">
        <v>81</v>
      </c>
      <c r="S166" s="20"/>
      <c r="T166" s="20"/>
      <c r="U166" s="20"/>
      <c r="V166" s="20"/>
      <c r="W166" s="20">
        <v>1</v>
      </c>
      <c r="X166" s="21" t="s">
        <v>37</v>
      </c>
      <c r="Y166" s="5"/>
      <c r="Z166" s="5" t="s">
        <v>38</v>
      </c>
      <c r="AA166" s="5"/>
      <c r="AB166" s="5" t="str">
        <f>IF(LEN('List chi tiet'!$B$3)=0,"",'List chi tiet'!$B$3)</f>
        <v>TCTN.DNS-26004</v>
      </c>
      <c r="AC166" s="5" t="s">
        <v>239</v>
      </c>
      <c r="AD166" s="5" t="s">
        <v>39</v>
      </c>
    </row>
    <row r="167" spans="1:30" hidden="1" x14ac:dyDescent="0.25">
      <c r="A167" s="5">
        <v>157</v>
      </c>
      <c r="B167" s="5" t="s">
        <v>243</v>
      </c>
      <c r="C167" s="5">
        <v>8</v>
      </c>
      <c r="D167" s="5">
        <v>464</v>
      </c>
      <c r="E167" s="5">
        <v>12000</v>
      </c>
      <c r="F167" s="5" t="s">
        <v>77</v>
      </c>
      <c r="G167" s="5" t="s">
        <v>746</v>
      </c>
      <c r="H167" s="5">
        <v>1</v>
      </c>
      <c r="I167" s="5">
        <v>332.54</v>
      </c>
      <c r="J167" s="5" t="s">
        <v>839</v>
      </c>
      <c r="K167" s="5" t="s">
        <v>812</v>
      </c>
      <c r="L167" s="5"/>
      <c r="M167" s="5" t="s">
        <v>747</v>
      </c>
      <c r="N167" s="5"/>
      <c r="O167" s="20" t="s">
        <v>228</v>
      </c>
      <c r="P167" s="20" t="str">
        <f t="shared" si="2"/>
        <v/>
      </c>
      <c r="Q167" s="20" t="s">
        <v>28</v>
      </c>
      <c r="R167" s="20" t="s">
        <v>81</v>
      </c>
      <c r="S167" s="20"/>
      <c r="T167" s="20"/>
      <c r="U167" s="20"/>
      <c r="V167" s="20"/>
      <c r="W167" s="20">
        <v>1</v>
      </c>
      <c r="X167" s="21" t="s">
        <v>37</v>
      </c>
      <c r="Y167" s="5"/>
      <c r="Z167" s="5" t="s">
        <v>38</v>
      </c>
      <c r="AA167" s="5"/>
      <c r="AB167" s="5" t="str">
        <f>IF(LEN('List chi tiet'!$B$3)=0,"",'List chi tiet'!$B$3)</f>
        <v>TCTN.DNS-26004</v>
      </c>
      <c r="AC167" s="5" t="s">
        <v>239</v>
      </c>
      <c r="AD167" s="5" t="s">
        <v>39</v>
      </c>
    </row>
    <row r="168" spans="1:30" hidden="1" x14ac:dyDescent="0.25">
      <c r="A168" s="5">
        <v>158</v>
      </c>
      <c r="B168" s="5" t="s">
        <v>245</v>
      </c>
      <c r="C168" s="5">
        <v>8</v>
      </c>
      <c r="D168" s="5">
        <v>342</v>
      </c>
      <c r="E168" s="5">
        <v>11990</v>
      </c>
      <c r="F168" s="5" t="s">
        <v>77</v>
      </c>
      <c r="G168" s="5" t="s">
        <v>746</v>
      </c>
      <c r="H168" s="5">
        <v>1</v>
      </c>
      <c r="I168" s="5">
        <v>244.16</v>
      </c>
      <c r="J168" s="5" t="s">
        <v>839</v>
      </c>
      <c r="K168" s="5" t="s">
        <v>812</v>
      </c>
      <c r="L168" s="5"/>
      <c r="M168" s="5" t="s">
        <v>747</v>
      </c>
      <c r="N168" s="5"/>
      <c r="O168" s="20" t="s">
        <v>228</v>
      </c>
      <c r="P168" s="20" t="str">
        <f t="shared" si="2"/>
        <v/>
      </c>
      <c r="Q168" s="20" t="s">
        <v>28</v>
      </c>
      <c r="R168" s="20" t="s">
        <v>81</v>
      </c>
      <c r="S168" s="20"/>
      <c r="T168" s="20"/>
      <c r="U168" s="20"/>
      <c r="V168" s="20"/>
      <c r="W168" s="20">
        <v>1</v>
      </c>
      <c r="X168" s="21" t="s">
        <v>37</v>
      </c>
      <c r="Y168" s="5"/>
      <c r="Z168" s="5" t="s">
        <v>38</v>
      </c>
      <c r="AA168" s="5"/>
      <c r="AB168" s="5" t="str">
        <f>IF(LEN('List chi tiet'!$B$3)=0,"",'List chi tiet'!$B$3)</f>
        <v>TCTN.DNS-26004</v>
      </c>
      <c r="AC168" s="5" t="s">
        <v>239</v>
      </c>
      <c r="AD168" s="5" t="s">
        <v>39</v>
      </c>
    </row>
    <row r="169" spans="1:30" hidden="1" x14ac:dyDescent="0.25">
      <c r="A169" s="5">
        <v>159</v>
      </c>
      <c r="B169" s="5" t="s">
        <v>226</v>
      </c>
      <c r="C169" s="5">
        <v>8</v>
      </c>
      <c r="D169" s="5">
        <v>334</v>
      </c>
      <c r="E169" s="5">
        <v>11998</v>
      </c>
      <c r="F169" s="5" t="s">
        <v>77</v>
      </c>
      <c r="G169" s="5" t="s">
        <v>746</v>
      </c>
      <c r="H169" s="5">
        <v>3</v>
      </c>
      <c r="I169" s="5">
        <v>732.99</v>
      </c>
      <c r="J169" s="5" t="s">
        <v>839</v>
      </c>
      <c r="K169" s="5" t="s">
        <v>812</v>
      </c>
      <c r="L169" s="5"/>
      <c r="M169" s="5" t="s">
        <v>747</v>
      </c>
      <c r="N169" s="5"/>
      <c r="O169" s="20" t="s">
        <v>228</v>
      </c>
      <c r="P169" s="20" t="str">
        <f t="shared" si="2"/>
        <v/>
      </c>
      <c r="Q169" s="20" t="s">
        <v>28</v>
      </c>
      <c r="R169" s="20" t="s">
        <v>81</v>
      </c>
      <c r="S169" s="20"/>
      <c r="T169" s="20"/>
      <c r="U169" s="20"/>
      <c r="V169" s="20"/>
      <c r="W169" s="20">
        <v>1</v>
      </c>
      <c r="X169" s="21" t="s">
        <v>37</v>
      </c>
      <c r="Y169" s="5"/>
      <c r="Z169" s="5" t="s">
        <v>38</v>
      </c>
      <c r="AA169" s="5"/>
      <c r="AB169" s="5" t="str">
        <f>IF(LEN('List chi tiet'!$B$3)=0,"",'List chi tiet'!$B$3)</f>
        <v>TCTN.DNS-26004</v>
      </c>
      <c r="AC169" s="5" t="s">
        <v>239</v>
      </c>
      <c r="AD169" s="5" t="s">
        <v>39</v>
      </c>
    </row>
    <row r="170" spans="1:30" hidden="1" x14ac:dyDescent="0.25">
      <c r="A170" s="5">
        <v>160</v>
      </c>
      <c r="B170" s="5" t="s">
        <v>231</v>
      </c>
      <c r="C170" s="5">
        <v>8</v>
      </c>
      <c r="D170" s="5">
        <v>150</v>
      </c>
      <c r="E170" s="5">
        <v>4252</v>
      </c>
      <c r="F170" s="5" t="s">
        <v>77</v>
      </c>
      <c r="G170" s="5" t="s">
        <v>746</v>
      </c>
      <c r="H170" s="5">
        <v>1</v>
      </c>
      <c r="I170" s="5">
        <v>40.049999999999997</v>
      </c>
      <c r="J170" s="5" t="s">
        <v>839</v>
      </c>
      <c r="K170" s="5" t="s">
        <v>812</v>
      </c>
      <c r="L170" s="5"/>
      <c r="M170" s="5" t="s">
        <v>747</v>
      </c>
      <c r="N170" s="5"/>
      <c r="O170" s="20"/>
      <c r="P170" s="20" t="str">
        <f t="shared" si="2"/>
        <v/>
      </c>
      <c r="Q170" s="20" t="s">
        <v>28</v>
      </c>
      <c r="R170" s="20" t="s">
        <v>81</v>
      </c>
      <c r="S170" s="20"/>
      <c r="T170" s="20"/>
      <c r="U170" s="20"/>
      <c r="V170" s="20"/>
      <c r="W170" s="20">
        <v>1</v>
      </c>
      <c r="X170" s="21" t="s">
        <v>37</v>
      </c>
      <c r="Y170" s="5"/>
      <c r="Z170" s="5" t="s">
        <v>38</v>
      </c>
      <c r="AA170" s="5"/>
      <c r="AB170" s="5" t="str">
        <f>IF(LEN('List chi tiet'!$B$3)=0,"",'List chi tiet'!$B$3)</f>
        <v>TCTN.DNS-26004</v>
      </c>
      <c r="AC170" s="5" t="s">
        <v>239</v>
      </c>
      <c r="AD170" s="5" t="s">
        <v>39</v>
      </c>
    </row>
    <row r="171" spans="1:30" hidden="1" x14ac:dyDescent="0.25">
      <c r="A171" s="5">
        <v>161</v>
      </c>
      <c r="B171" s="5" t="s">
        <v>233</v>
      </c>
      <c r="C171" s="5">
        <v>8</v>
      </c>
      <c r="D171" s="5">
        <v>150</v>
      </c>
      <c r="E171" s="5">
        <v>6824</v>
      </c>
      <c r="F171" s="5" t="s">
        <v>77</v>
      </c>
      <c r="G171" s="5" t="s">
        <v>746</v>
      </c>
      <c r="H171" s="5">
        <v>1</v>
      </c>
      <c r="I171" s="5">
        <v>64.28</v>
      </c>
      <c r="J171" s="5" t="s">
        <v>839</v>
      </c>
      <c r="K171" s="5" t="s">
        <v>812</v>
      </c>
      <c r="L171" s="5"/>
      <c r="M171" s="5" t="s">
        <v>747</v>
      </c>
      <c r="N171" s="5"/>
      <c r="O171" s="20"/>
      <c r="P171" s="20" t="str">
        <f t="shared" si="2"/>
        <v/>
      </c>
      <c r="Q171" s="20" t="s">
        <v>28</v>
      </c>
      <c r="R171" s="20" t="s">
        <v>81</v>
      </c>
      <c r="S171" s="20"/>
      <c r="T171" s="20"/>
      <c r="U171" s="20"/>
      <c r="V171" s="20"/>
      <c r="W171" s="20">
        <v>1</v>
      </c>
      <c r="X171" s="21" t="s">
        <v>37</v>
      </c>
      <c r="Y171" s="5"/>
      <c r="Z171" s="5" t="s">
        <v>38</v>
      </c>
      <c r="AA171" s="5"/>
      <c r="AB171" s="5" t="str">
        <f>IF(LEN('List chi tiet'!$B$3)=0,"",'List chi tiet'!$B$3)</f>
        <v>TCTN.DNS-26004</v>
      </c>
      <c r="AC171" s="5" t="s">
        <v>239</v>
      </c>
      <c r="AD171" s="5" t="s">
        <v>39</v>
      </c>
    </row>
    <row r="172" spans="1:30" hidden="1" x14ac:dyDescent="0.25">
      <c r="A172" s="5">
        <v>162</v>
      </c>
      <c r="B172" s="5" t="s">
        <v>243</v>
      </c>
      <c r="C172" s="5">
        <v>8</v>
      </c>
      <c r="D172" s="5">
        <v>464</v>
      </c>
      <c r="E172" s="5">
        <v>12000</v>
      </c>
      <c r="F172" s="5" t="s">
        <v>77</v>
      </c>
      <c r="G172" s="5" t="s">
        <v>746</v>
      </c>
      <c r="H172" s="5">
        <v>1</v>
      </c>
      <c r="I172" s="5">
        <v>332.54</v>
      </c>
      <c r="J172" s="5" t="s">
        <v>839</v>
      </c>
      <c r="K172" s="5" t="s">
        <v>812</v>
      </c>
      <c r="L172" s="5"/>
      <c r="M172" s="5" t="s">
        <v>747</v>
      </c>
      <c r="N172" s="5"/>
      <c r="O172" s="20" t="s">
        <v>228</v>
      </c>
      <c r="P172" s="20" t="str">
        <f t="shared" si="2"/>
        <v/>
      </c>
      <c r="Q172" s="20" t="s">
        <v>28</v>
      </c>
      <c r="R172" s="20" t="s">
        <v>81</v>
      </c>
      <c r="S172" s="20"/>
      <c r="T172" s="20"/>
      <c r="U172" s="20"/>
      <c r="V172" s="20"/>
      <c r="W172" s="20">
        <v>1</v>
      </c>
      <c r="X172" s="21" t="s">
        <v>37</v>
      </c>
      <c r="Y172" s="5"/>
      <c r="Z172" s="5" t="s">
        <v>38</v>
      </c>
      <c r="AA172" s="5"/>
      <c r="AB172" s="5" t="str">
        <f>IF(LEN('List chi tiet'!$B$3)=0,"",'List chi tiet'!$B$3)</f>
        <v>TCTN.DNS-26004</v>
      </c>
      <c r="AC172" s="5" t="s">
        <v>247</v>
      </c>
      <c r="AD172" s="5" t="s">
        <v>39</v>
      </c>
    </row>
    <row r="173" spans="1:30" hidden="1" x14ac:dyDescent="0.25">
      <c r="A173" s="5">
        <v>163</v>
      </c>
      <c r="B173" s="5" t="s">
        <v>249</v>
      </c>
      <c r="C173" s="5">
        <v>8</v>
      </c>
      <c r="D173" s="5">
        <v>347</v>
      </c>
      <c r="E173" s="5">
        <v>12000</v>
      </c>
      <c r="F173" s="5" t="s">
        <v>77</v>
      </c>
      <c r="G173" s="5" t="s">
        <v>746</v>
      </c>
      <c r="H173" s="5">
        <v>4</v>
      </c>
      <c r="I173" s="5">
        <v>977.5</v>
      </c>
      <c r="J173" s="5" t="s">
        <v>839</v>
      </c>
      <c r="K173" s="5" t="s">
        <v>812</v>
      </c>
      <c r="L173" s="5"/>
      <c r="M173" s="5" t="s">
        <v>747</v>
      </c>
      <c r="N173" s="5"/>
      <c r="O173" s="20" t="s">
        <v>228</v>
      </c>
      <c r="P173" s="20" t="str">
        <f t="shared" si="2"/>
        <v/>
      </c>
      <c r="Q173" s="20" t="s">
        <v>28</v>
      </c>
      <c r="R173" s="20" t="s">
        <v>81</v>
      </c>
      <c r="S173" s="20"/>
      <c r="T173" s="20"/>
      <c r="U173" s="20"/>
      <c r="V173" s="20"/>
      <c r="W173" s="20">
        <v>1</v>
      </c>
      <c r="X173" s="21" t="s">
        <v>37</v>
      </c>
      <c r="Y173" s="5"/>
      <c r="Z173" s="5" t="s">
        <v>38</v>
      </c>
      <c r="AA173" s="5"/>
      <c r="AB173" s="5" t="str">
        <f>IF(LEN('List chi tiet'!$B$3)=0,"",'List chi tiet'!$B$3)</f>
        <v>TCTN.DNS-26004</v>
      </c>
      <c r="AC173" s="5" t="s">
        <v>247</v>
      </c>
      <c r="AD173" s="5" t="s">
        <v>39</v>
      </c>
    </row>
    <row r="174" spans="1:30" hidden="1" x14ac:dyDescent="0.25">
      <c r="A174" s="5">
        <v>164</v>
      </c>
      <c r="B174" s="5" t="s">
        <v>229</v>
      </c>
      <c r="C174" s="5">
        <v>8</v>
      </c>
      <c r="D174" s="5">
        <v>90</v>
      </c>
      <c r="E174" s="5">
        <v>150</v>
      </c>
      <c r="F174" s="5" t="s">
        <v>77</v>
      </c>
      <c r="G174" s="5" t="s">
        <v>746</v>
      </c>
      <c r="H174" s="5">
        <v>1</v>
      </c>
      <c r="I174" s="5">
        <v>0.62</v>
      </c>
      <c r="J174" s="5" t="s">
        <v>839</v>
      </c>
      <c r="K174" s="5" t="s">
        <v>812</v>
      </c>
      <c r="L174" s="5"/>
      <c r="M174" s="5" t="s">
        <v>747</v>
      </c>
      <c r="N174" s="5"/>
      <c r="O174" s="20"/>
      <c r="P174" s="20" t="str">
        <f t="shared" si="2"/>
        <v/>
      </c>
      <c r="Q174" s="20" t="s">
        <v>26</v>
      </c>
      <c r="R174" s="20" t="s">
        <v>81</v>
      </c>
      <c r="S174" s="20"/>
      <c r="T174" s="20"/>
      <c r="U174" s="20"/>
      <c r="V174" s="20"/>
      <c r="W174" s="20">
        <v>1</v>
      </c>
      <c r="X174" s="21" t="s">
        <v>37</v>
      </c>
      <c r="Y174" s="5"/>
      <c r="Z174" s="5" t="s">
        <v>38</v>
      </c>
      <c r="AA174" s="5"/>
      <c r="AB174" s="5" t="str">
        <f>IF(LEN('List chi tiet'!$B$3)=0,"",'List chi tiet'!$B$3)</f>
        <v>TCTN.DNS-26004</v>
      </c>
      <c r="AC174" s="5" t="s">
        <v>247</v>
      </c>
      <c r="AD174" s="5" t="s">
        <v>39</v>
      </c>
    </row>
    <row r="175" spans="1:30" hidden="1" x14ac:dyDescent="0.25">
      <c r="A175" s="5">
        <v>165</v>
      </c>
      <c r="B175" s="5" t="s">
        <v>231</v>
      </c>
      <c r="C175" s="5">
        <v>8</v>
      </c>
      <c r="D175" s="5">
        <v>150</v>
      </c>
      <c r="E175" s="5">
        <v>4252</v>
      </c>
      <c r="F175" s="5" t="s">
        <v>77</v>
      </c>
      <c r="G175" s="5" t="s">
        <v>746</v>
      </c>
      <c r="H175" s="5">
        <v>1</v>
      </c>
      <c r="I175" s="5">
        <v>40.049999999999997</v>
      </c>
      <c r="J175" s="5" t="s">
        <v>839</v>
      </c>
      <c r="K175" s="5" t="s">
        <v>812</v>
      </c>
      <c r="L175" s="5"/>
      <c r="M175" s="5" t="s">
        <v>747</v>
      </c>
      <c r="N175" s="5"/>
      <c r="O175" s="20"/>
      <c r="P175" s="20" t="str">
        <f t="shared" si="2"/>
        <v/>
      </c>
      <c r="Q175" s="20" t="s">
        <v>28</v>
      </c>
      <c r="R175" s="20" t="s">
        <v>81</v>
      </c>
      <c r="S175" s="20"/>
      <c r="T175" s="20"/>
      <c r="U175" s="20"/>
      <c r="V175" s="20"/>
      <c r="W175" s="20">
        <v>1</v>
      </c>
      <c r="X175" s="21" t="s">
        <v>37</v>
      </c>
      <c r="Y175" s="5"/>
      <c r="Z175" s="5" t="s">
        <v>38</v>
      </c>
      <c r="AA175" s="5"/>
      <c r="AB175" s="5" t="str">
        <f>IF(LEN('List chi tiet'!$B$3)=0,"",'List chi tiet'!$B$3)</f>
        <v>TCTN.DNS-26004</v>
      </c>
      <c r="AC175" s="5" t="s">
        <v>247</v>
      </c>
      <c r="AD175" s="5" t="s">
        <v>39</v>
      </c>
    </row>
    <row r="176" spans="1:30" hidden="1" x14ac:dyDescent="0.25">
      <c r="A176" s="5">
        <v>166</v>
      </c>
      <c r="B176" s="5" t="s">
        <v>233</v>
      </c>
      <c r="C176" s="5">
        <v>8</v>
      </c>
      <c r="D176" s="5">
        <v>150</v>
      </c>
      <c r="E176" s="5">
        <v>6824</v>
      </c>
      <c r="F176" s="5" t="s">
        <v>77</v>
      </c>
      <c r="G176" s="5" t="s">
        <v>746</v>
      </c>
      <c r="H176" s="5">
        <v>1</v>
      </c>
      <c r="I176" s="5">
        <v>64.28</v>
      </c>
      <c r="J176" s="5" t="s">
        <v>839</v>
      </c>
      <c r="K176" s="5" t="s">
        <v>812</v>
      </c>
      <c r="L176" s="5"/>
      <c r="M176" s="5" t="s">
        <v>747</v>
      </c>
      <c r="N176" s="5"/>
      <c r="O176" s="20"/>
      <c r="P176" s="20" t="str">
        <f t="shared" si="2"/>
        <v/>
      </c>
      <c r="Q176" s="20" t="s">
        <v>28</v>
      </c>
      <c r="R176" s="20" t="s">
        <v>81</v>
      </c>
      <c r="S176" s="20"/>
      <c r="T176" s="20"/>
      <c r="U176" s="20"/>
      <c r="V176" s="20"/>
      <c r="W176" s="20">
        <v>1</v>
      </c>
      <c r="X176" s="21" t="s">
        <v>37</v>
      </c>
      <c r="Y176" s="5"/>
      <c r="Z176" s="5" t="s">
        <v>38</v>
      </c>
      <c r="AA176" s="5"/>
      <c r="AB176" s="5" t="str">
        <f>IF(LEN('List chi tiet'!$B$3)=0,"",'List chi tiet'!$B$3)</f>
        <v>TCTN.DNS-26004</v>
      </c>
      <c r="AC176" s="5" t="s">
        <v>247</v>
      </c>
      <c r="AD176" s="5" t="s">
        <v>39</v>
      </c>
    </row>
    <row r="177" spans="1:30" hidden="1" x14ac:dyDescent="0.25">
      <c r="A177" s="5">
        <v>167</v>
      </c>
      <c r="B177" s="5" t="s">
        <v>235</v>
      </c>
      <c r="C177" s="5">
        <v>8</v>
      </c>
      <c r="D177" s="5">
        <v>150</v>
      </c>
      <c r="E177" s="5">
        <v>792</v>
      </c>
      <c r="F177" s="5" t="s">
        <v>77</v>
      </c>
      <c r="G177" s="5" t="s">
        <v>746</v>
      </c>
      <c r="H177" s="5">
        <v>1</v>
      </c>
      <c r="I177" s="5">
        <v>7.46</v>
      </c>
      <c r="J177" s="5" t="s">
        <v>839</v>
      </c>
      <c r="K177" s="5" t="s">
        <v>812</v>
      </c>
      <c r="L177" s="5"/>
      <c r="M177" s="5" t="s">
        <v>747</v>
      </c>
      <c r="N177" s="5"/>
      <c r="O177" s="20"/>
      <c r="P177" s="20" t="str">
        <f t="shared" si="2"/>
        <v/>
      </c>
      <c r="Q177" s="20" t="s">
        <v>28</v>
      </c>
      <c r="R177" s="20" t="s">
        <v>81</v>
      </c>
      <c r="S177" s="20"/>
      <c r="T177" s="20"/>
      <c r="U177" s="20"/>
      <c r="V177" s="20"/>
      <c r="W177" s="20">
        <v>1</v>
      </c>
      <c r="X177" s="21" t="s">
        <v>37</v>
      </c>
      <c r="Y177" s="5"/>
      <c r="Z177" s="5" t="s">
        <v>38</v>
      </c>
      <c r="AA177" s="5"/>
      <c r="AB177" s="5" t="str">
        <f>IF(LEN('List chi tiet'!$B$3)=0,"",'List chi tiet'!$B$3)</f>
        <v>TCTN.DNS-26004</v>
      </c>
      <c r="AC177" s="5" t="s">
        <v>247</v>
      </c>
      <c r="AD177" s="5" t="s">
        <v>39</v>
      </c>
    </row>
    <row r="178" spans="1:30" hidden="1" x14ac:dyDescent="0.25">
      <c r="A178" s="5">
        <v>168</v>
      </c>
      <c r="B178" s="5" t="s">
        <v>251</v>
      </c>
      <c r="C178" s="5">
        <v>8</v>
      </c>
      <c r="D178" s="5">
        <v>459</v>
      </c>
      <c r="E178" s="5">
        <v>11977</v>
      </c>
      <c r="F178" s="5" t="s">
        <v>77</v>
      </c>
      <c r="G178" s="5" t="s">
        <v>746</v>
      </c>
      <c r="H178" s="5">
        <v>1</v>
      </c>
      <c r="I178" s="5">
        <v>331.9</v>
      </c>
      <c r="J178" s="5" t="s">
        <v>839</v>
      </c>
      <c r="K178" s="5" t="s">
        <v>812</v>
      </c>
      <c r="L178" s="5"/>
      <c r="M178" s="5" t="s">
        <v>747</v>
      </c>
      <c r="N178" s="5"/>
      <c r="O178" s="20" t="s">
        <v>228</v>
      </c>
      <c r="P178" s="20" t="str">
        <f t="shared" si="2"/>
        <v/>
      </c>
      <c r="Q178" s="20" t="s">
        <v>28</v>
      </c>
      <c r="R178" s="20" t="s">
        <v>81</v>
      </c>
      <c r="S178" s="20"/>
      <c r="T178" s="20"/>
      <c r="U178" s="20"/>
      <c r="V178" s="20"/>
      <c r="W178" s="20">
        <v>1</v>
      </c>
      <c r="X178" s="21" t="s">
        <v>37</v>
      </c>
      <c r="Y178" s="5"/>
      <c r="Z178" s="5" t="s">
        <v>38</v>
      </c>
      <c r="AA178" s="5"/>
      <c r="AB178" s="5" t="str">
        <f>IF(LEN('List chi tiet'!$B$3)=0,"",'List chi tiet'!$B$3)</f>
        <v>TCTN.DNS-26004</v>
      </c>
      <c r="AC178" s="5" t="s">
        <v>253</v>
      </c>
      <c r="AD178" s="5" t="s">
        <v>39</v>
      </c>
    </row>
    <row r="179" spans="1:30" hidden="1" x14ac:dyDescent="0.25">
      <c r="A179" s="5">
        <v>169</v>
      </c>
      <c r="B179" s="5" t="s">
        <v>255</v>
      </c>
      <c r="C179" s="5">
        <v>8</v>
      </c>
      <c r="D179" s="5">
        <v>342</v>
      </c>
      <c r="E179" s="5">
        <v>11990</v>
      </c>
      <c r="F179" s="5" t="s">
        <v>77</v>
      </c>
      <c r="G179" s="5" t="s">
        <v>746</v>
      </c>
      <c r="H179" s="5">
        <v>3</v>
      </c>
      <c r="I179" s="5">
        <v>732.47</v>
      </c>
      <c r="J179" s="5" t="s">
        <v>839</v>
      </c>
      <c r="K179" s="5" t="s">
        <v>812</v>
      </c>
      <c r="L179" s="5"/>
      <c r="M179" s="5" t="s">
        <v>747</v>
      </c>
      <c r="N179" s="5"/>
      <c r="O179" s="20" t="s">
        <v>228</v>
      </c>
      <c r="P179" s="20" t="str">
        <f t="shared" si="2"/>
        <v/>
      </c>
      <c r="Q179" s="20" t="s">
        <v>28</v>
      </c>
      <c r="R179" s="20" t="s">
        <v>81</v>
      </c>
      <c r="S179" s="20"/>
      <c r="T179" s="20"/>
      <c r="U179" s="20"/>
      <c r="V179" s="20"/>
      <c r="W179" s="20">
        <v>1</v>
      </c>
      <c r="X179" s="21" t="s">
        <v>37</v>
      </c>
      <c r="Y179" s="5"/>
      <c r="Z179" s="5" t="s">
        <v>38</v>
      </c>
      <c r="AA179" s="5"/>
      <c r="AB179" s="5" t="str">
        <f>IF(LEN('List chi tiet'!$B$3)=0,"",'List chi tiet'!$B$3)</f>
        <v>TCTN.DNS-26004</v>
      </c>
      <c r="AC179" s="5" t="s">
        <v>253</v>
      </c>
      <c r="AD179" s="5" t="s">
        <v>39</v>
      </c>
    </row>
    <row r="180" spans="1:30" hidden="1" x14ac:dyDescent="0.25">
      <c r="A180" s="5">
        <v>170</v>
      </c>
      <c r="B180" s="5" t="s">
        <v>256</v>
      </c>
      <c r="C180" s="5">
        <v>8</v>
      </c>
      <c r="D180" s="5">
        <v>458</v>
      </c>
      <c r="E180" s="5">
        <v>11977</v>
      </c>
      <c r="F180" s="5" t="s">
        <v>77</v>
      </c>
      <c r="G180" s="5" t="s">
        <v>746</v>
      </c>
      <c r="H180" s="5">
        <v>1</v>
      </c>
      <c r="I180" s="5">
        <v>331.9</v>
      </c>
      <c r="J180" s="5" t="s">
        <v>839</v>
      </c>
      <c r="K180" s="5" t="s">
        <v>812</v>
      </c>
      <c r="L180" s="5"/>
      <c r="M180" s="5" t="s">
        <v>747</v>
      </c>
      <c r="N180" s="5"/>
      <c r="O180" s="20" t="s">
        <v>228</v>
      </c>
      <c r="P180" s="20" t="str">
        <f t="shared" si="2"/>
        <v/>
      </c>
      <c r="Q180" s="20" t="s">
        <v>28</v>
      </c>
      <c r="R180" s="20" t="s">
        <v>81</v>
      </c>
      <c r="S180" s="20"/>
      <c r="T180" s="20"/>
      <c r="U180" s="20"/>
      <c r="V180" s="20"/>
      <c r="W180" s="20">
        <v>1</v>
      </c>
      <c r="X180" s="21" t="s">
        <v>37</v>
      </c>
      <c r="Y180" s="5"/>
      <c r="Z180" s="5" t="s">
        <v>38</v>
      </c>
      <c r="AA180" s="5"/>
      <c r="AB180" s="5" t="str">
        <f>IF(LEN('List chi tiet'!$B$3)=0,"",'List chi tiet'!$B$3)</f>
        <v>TCTN.DNS-26004</v>
      </c>
      <c r="AC180" s="5" t="s">
        <v>253</v>
      </c>
      <c r="AD180" s="5" t="s">
        <v>39</v>
      </c>
    </row>
    <row r="181" spans="1:30" hidden="1" x14ac:dyDescent="0.25">
      <c r="A181" s="5">
        <v>171</v>
      </c>
      <c r="B181" s="5" t="s">
        <v>255</v>
      </c>
      <c r="C181" s="5">
        <v>8</v>
      </c>
      <c r="D181" s="5">
        <v>342</v>
      </c>
      <c r="E181" s="5">
        <v>11990</v>
      </c>
      <c r="F181" s="5" t="s">
        <v>77</v>
      </c>
      <c r="G181" s="5" t="s">
        <v>746</v>
      </c>
      <c r="H181" s="5">
        <v>1</v>
      </c>
      <c r="I181" s="5">
        <v>244.16</v>
      </c>
      <c r="J181" s="5" t="s">
        <v>839</v>
      </c>
      <c r="K181" s="5" t="s">
        <v>812</v>
      </c>
      <c r="L181" s="5"/>
      <c r="M181" s="5" t="s">
        <v>747</v>
      </c>
      <c r="N181" s="5"/>
      <c r="O181" s="20" t="s">
        <v>228</v>
      </c>
      <c r="P181" s="20" t="str">
        <f t="shared" si="2"/>
        <v/>
      </c>
      <c r="Q181" s="20" t="s">
        <v>28</v>
      </c>
      <c r="R181" s="20" t="s">
        <v>81</v>
      </c>
      <c r="S181" s="20"/>
      <c r="T181" s="20"/>
      <c r="U181" s="20"/>
      <c r="V181" s="20"/>
      <c r="W181" s="20">
        <v>1</v>
      </c>
      <c r="X181" s="21" t="s">
        <v>37</v>
      </c>
      <c r="Y181" s="5"/>
      <c r="Z181" s="5" t="s">
        <v>38</v>
      </c>
      <c r="AA181" s="5"/>
      <c r="AB181" s="5" t="str">
        <f>IF(LEN('List chi tiet'!$B$3)=0,"",'List chi tiet'!$B$3)</f>
        <v>TCTN.DNS-26004</v>
      </c>
      <c r="AC181" s="5" t="s">
        <v>258</v>
      </c>
      <c r="AD181" s="5" t="s">
        <v>39</v>
      </c>
    </row>
    <row r="182" spans="1:30" hidden="1" x14ac:dyDescent="0.25">
      <c r="A182" s="5">
        <v>172</v>
      </c>
      <c r="B182" s="5" t="s">
        <v>245</v>
      </c>
      <c r="C182" s="5">
        <v>8</v>
      </c>
      <c r="D182" s="5">
        <v>342</v>
      </c>
      <c r="E182" s="5">
        <v>11990</v>
      </c>
      <c r="F182" s="5" t="s">
        <v>77</v>
      </c>
      <c r="G182" s="5" t="s">
        <v>746</v>
      </c>
      <c r="H182" s="5">
        <v>2</v>
      </c>
      <c r="I182" s="5">
        <v>488.31</v>
      </c>
      <c r="J182" s="5" t="s">
        <v>839</v>
      </c>
      <c r="K182" s="5" t="s">
        <v>812</v>
      </c>
      <c r="L182" s="5"/>
      <c r="M182" s="5" t="s">
        <v>747</v>
      </c>
      <c r="N182" s="5"/>
      <c r="O182" s="20" t="s">
        <v>228</v>
      </c>
      <c r="P182" s="20" t="str">
        <f t="shared" si="2"/>
        <v/>
      </c>
      <c r="Q182" s="20" t="s">
        <v>28</v>
      </c>
      <c r="R182" s="20" t="s">
        <v>81</v>
      </c>
      <c r="S182" s="20"/>
      <c r="T182" s="20"/>
      <c r="U182" s="20"/>
      <c r="V182" s="20"/>
      <c r="W182" s="20">
        <v>1</v>
      </c>
      <c r="X182" s="21" t="s">
        <v>37</v>
      </c>
      <c r="Y182" s="5"/>
      <c r="Z182" s="5" t="s">
        <v>38</v>
      </c>
      <c r="AA182" s="5"/>
      <c r="AB182" s="5" t="str">
        <f>IF(LEN('List chi tiet'!$B$3)=0,"",'List chi tiet'!$B$3)</f>
        <v>TCTN.DNS-26004</v>
      </c>
      <c r="AC182" s="5" t="s">
        <v>258</v>
      </c>
      <c r="AD182" s="5" t="s">
        <v>39</v>
      </c>
    </row>
    <row r="183" spans="1:30" hidden="1" x14ac:dyDescent="0.25">
      <c r="A183" s="5">
        <v>173</v>
      </c>
      <c r="B183" s="5" t="s">
        <v>260</v>
      </c>
      <c r="C183" s="5">
        <v>8</v>
      </c>
      <c r="D183" s="5">
        <v>451</v>
      </c>
      <c r="E183" s="5">
        <v>12000</v>
      </c>
      <c r="F183" s="5" t="s">
        <v>77</v>
      </c>
      <c r="G183" s="5" t="s">
        <v>746</v>
      </c>
      <c r="H183" s="5">
        <v>2</v>
      </c>
      <c r="I183" s="5">
        <v>665.18</v>
      </c>
      <c r="J183" s="5" t="s">
        <v>839</v>
      </c>
      <c r="K183" s="5" t="s">
        <v>812</v>
      </c>
      <c r="L183" s="5"/>
      <c r="M183" s="5" t="s">
        <v>747</v>
      </c>
      <c r="N183" s="5"/>
      <c r="O183" s="20" t="s">
        <v>228</v>
      </c>
      <c r="P183" s="20" t="str">
        <f t="shared" si="2"/>
        <v/>
      </c>
      <c r="Q183" s="20" t="s">
        <v>28</v>
      </c>
      <c r="R183" s="20" t="s">
        <v>81</v>
      </c>
      <c r="S183" s="20"/>
      <c r="T183" s="20"/>
      <c r="U183" s="20"/>
      <c r="V183" s="20"/>
      <c r="W183" s="20">
        <v>1</v>
      </c>
      <c r="X183" s="21" t="s">
        <v>37</v>
      </c>
      <c r="Y183" s="5"/>
      <c r="Z183" s="5" t="s">
        <v>38</v>
      </c>
      <c r="AA183" s="5"/>
      <c r="AB183" s="5" t="str">
        <f>IF(LEN('List chi tiet'!$B$3)=0,"",'List chi tiet'!$B$3)</f>
        <v>TCTN.DNS-26004</v>
      </c>
      <c r="AC183" s="5" t="s">
        <v>258</v>
      </c>
      <c r="AD183" s="5" t="s">
        <v>39</v>
      </c>
    </row>
    <row r="184" spans="1:30" hidden="1" x14ac:dyDescent="0.25">
      <c r="A184" s="5">
        <v>174</v>
      </c>
      <c r="B184" s="5" t="s">
        <v>262</v>
      </c>
      <c r="C184" s="5">
        <v>8</v>
      </c>
      <c r="D184" s="5">
        <v>334</v>
      </c>
      <c r="E184" s="5">
        <v>11992</v>
      </c>
      <c r="F184" s="5" t="s">
        <v>77</v>
      </c>
      <c r="G184" s="5" t="s">
        <v>746</v>
      </c>
      <c r="H184" s="5">
        <v>4</v>
      </c>
      <c r="I184" s="5">
        <v>981.99</v>
      </c>
      <c r="J184" s="5" t="s">
        <v>839</v>
      </c>
      <c r="K184" s="5" t="s">
        <v>812</v>
      </c>
      <c r="L184" s="5"/>
      <c r="M184" s="5" t="s">
        <v>747</v>
      </c>
      <c r="N184" s="5"/>
      <c r="O184" s="20"/>
      <c r="P184" s="20" t="str">
        <f t="shared" si="2"/>
        <v/>
      </c>
      <c r="Q184" s="20" t="s">
        <v>28</v>
      </c>
      <c r="R184" s="20" t="s">
        <v>81</v>
      </c>
      <c r="S184" s="20"/>
      <c r="T184" s="20"/>
      <c r="U184" s="20"/>
      <c r="V184" s="20"/>
      <c r="W184" s="20">
        <v>1</v>
      </c>
      <c r="X184" s="21" t="s">
        <v>37</v>
      </c>
      <c r="Y184" s="5"/>
      <c r="Z184" s="5" t="s">
        <v>38</v>
      </c>
      <c r="AA184" s="5"/>
      <c r="AB184" s="5" t="str">
        <f>IF(LEN('List chi tiet'!$B$3)=0,"",'List chi tiet'!$B$3)</f>
        <v>TCTN.DNS-26004</v>
      </c>
      <c r="AC184" s="5" t="s">
        <v>263</v>
      </c>
      <c r="AD184" s="5" t="s">
        <v>39</v>
      </c>
    </row>
    <row r="185" spans="1:30" hidden="1" x14ac:dyDescent="0.25">
      <c r="A185" s="5">
        <v>175</v>
      </c>
      <c r="B185" s="5" t="s">
        <v>245</v>
      </c>
      <c r="C185" s="5">
        <v>8</v>
      </c>
      <c r="D185" s="5">
        <v>342</v>
      </c>
      <c r="E185" s="5">
        <v>11990</v>
      </c>
      <c r="F185" s="5" t="s">
        <v>77</v>
      </c>
      <c r="G185" s="5" t="s">
        <v>746</v>
      </c>
      <c r="H185" s="5">
        <v>1</v>
      </c>
      <c r="I185" s="5">
        <v>244.16</v>
      </c>
      <c r="J185" s="5" t="s">
        <v>839</v>
      </c>
      <c r="K185" s="5" t="s">
        <v>812</v>
      </c>
      <c r="L185" s="5"/>
      <c r="M185" s="5" t="s">
        <v>747</v>
      </c>
      <c r="N185" s="5"/>
      <c r="O185" s="20" t="s">
        <v>228</v>
      </c>
      <c r="P185" s="20" t="str">
        <f t="shared" si="2"/>
        <v/>
      </c>
      <c r="Q185" s="20" t="s">
        <v>28</v>
      </c>
      <c r="R185" s="20" t="s">
        <v>81</v>
      </c>
      <c r="S185" s="20"/>
      <c r="T185" s="20"/>
      <c r="U185" s="20"/>
      <c r="V185" s="20"/>
      <c r="W185" s="20">
        <v>1</v>
      </c>
      <c r="X185" s="21" t="s">
        <v>37</v>
      </c>
      <c r="Y185" s="5"/>
      <c r="Z185" s="5" t="s">
        <v>38</v>
      </c>
      <c r="AA185" s="5"/>
      <c r="AB185" s="5" t="str">
        <f>IF(LEN('List chi tiet'!$B$3)=0,"",'List chi tiet'!$B$3)</f>
        <v>TCTN.DNS-26004</v>
      </c>
      <c r="AC185" s="5" t="s">
        <v>263</v>
      </c>
      <c r="AD185" s="5" t="s">
        <v>39</v>
      </c>
    </row>
    <row r="186" spans="1:30" hidden="1" x14ac:dyDescent="0.25">
      <c r="A186" s="5">
        <v>176</v>
      </c>
      <c r="B186" s="5" t="s">
        <v>265</v>
      </c>
      <c r="C186" s="5">
        <v>8</v>
      </c>
      <c r="D186" s="5">
        <v>124</v>
      </c>
      <c r="E186" s="5">
        <v>4252</v>
      </c>
      <c r="F186" s="5" t="s">
        <v>77</v>
      </c>
      <c r="G186" s="5" t="s">
        <v>746</v>
      </c>
      <c r="H186" s="5">
        <v>2</v>
      </c>
      <c r="I186" s="5">
        <v>66.22</v>
      </c>
      <c r="J186" s="5" t="s">
        <v>839</v>
      </c>
      <c r="K186" s="5" t="s">
        <v>812</v>
      </c>
      <c r="L186" s="5"/>
      <c r="M186" s="5" t="s">
        <v>747</v>
      </c>
      <c r="N186" s="5"/>
      <c r="O186" s="20"/>
      <c r="P186" s="20" t="str">
        <f t="shared" si="2"/>
        <v/>
      </c>
      <c r="Q186" s="20" t="s">
        <v>28</v>
      </c>
      <c r="R186" s="20" t="s">
        <v>81</v>
      </c>
      <c r="S186" s="20"/>
      <c r="T186" s="20"/>
      <c r="U186" s="20"/>
      <c r="V186" s="20"/>
      <c r="W186" s="20">
        <v>1</v>
      </c>
      <c r="X186" s="21" t="s">
        <v>37</v>
      </c>
      <c r="Y186" s="5"/>
      <c r="Z186" s="5" t="s">
        <v>38</v>
      </c>
      <c r="AA186" s="5"/>
      <c r="AB186" s="5" t="str">
        <f>IF(LEN('List chi tiet'!$B$3)=0,"",'List chi tiet'!$B$3)</f>
        <v>TCTN.DNS-26004</v>
      </c>
      <c r="AC186" s="5" t="s">
        <v>263</v>
      </c>
      <c r="AD186" s="5" t="s">
        <v>39</v>
      </c>
    </row>
    <row r="187" spans="1:30" hidden="1" x14ac:dyDescent="0.25">
      <c r="A187" s="5">
        <v>177</v>
      </c>
      <c r="B187" s="5" t="s">
        <v>267</v>
      </c>
      <c r="C187" s="5">
        <v>8</v>
      </c>
      <c r="D187" s="5">
        <v>124</v>
      </c>
      <c r="E187" s="5">
        <v>6824</v>
      </c>
      <c r="F187" s="5" t="s">
        <v>77</v>
      </c>
      <c r="G187" s="5" t="s">
        <v>746</v>
      </c>
      <c r="H187" s="5">
        <v>2</v>
      </c>
      <c r="I187" s="5">
        <v>106.28</v>
      </c>
      <c r="J187" s="5" t="s">
        <v>839</v>
      </c>
      <c r="K187" s="5" t="s">
        <v>812</v>
      </c>
      <c r="L187" s="5"/>
      <c r="M187" s="5" t="s">
        <v>747</v>
      </c>
      <c r="N187" s="5"/>
      <c r="O187" s="20"/>
      <c r="P187" s="20" t="str">
        <f t="shared" si="2"/>
        <v/>
      </c>
      <c r="Q187" s="20" t="s">
        <v>28</v>
      </c>
      <c r="R187" s="20" t="s">
        <v>81</v>
      </c>
      <c r="S187" s="20"/>
      <c r="T187" s="20"/>
      <c r="U187" s="20"/>
      <c r="V187" s="20"/>
      <c r="W187" s="20">
        <v>1</v>
      </c>
      <c r="X187" s="21" t="s">
        <v>37</v>
      </c>
      <c r="Y187" s="5"/>
      <c r="Z187" s="5" t="s">
        <v>38</v>
      </c>
      <c r="AA187" s="5"/>
      <c r="AB187" s="5" t="str">
        <f>IF(LEN('List chi tiet'!$B$3)=0,"",'List chi tiet'!$B$3)</f>
        <v>TCTN.DNS-26004</v>
      </c>
      <c r="AC187" s="5" t="s">
        <v>263</v>
      </c>
      <c r="AD187" s="5" t="s">
        <v>39</v>
      </c>
    </row>
    <row r="188" spans="1:30" hidden="1" x14ac:dyDescent="0.25">
      <c r="A188" s="5">
        <v>178</v>
      </c>
      <c r="B188" s="5" t="s">
        <v>235</v>
      </c>
      <c r="C188" s="5">
        <v>8</v>
      </c>
      <c r="D188" s="5">
        <v>150</v>
      </c>
      <c r="E188" s="5">
        <v>792</v>
      </c>
      <c r="F188" s="5" t="s">
        <v>77</v>
      </c>
      <c r="G188" s="5" t="s">
        <v>746</v>
      </c>
      <c r="H188" s="5">
        <v>1</v>
      </c>
      <c r="I188" s="5">
        <v>7.46</v>
      </c>
      <c r="J188" s="5" t="s">
        <v>839</v>
      </c>
      <c r="K188" s="5" t="s">
        <v>812</v>
      </c>
      <c r="L188" s="5"/>
      <c r="M188" s="5" t="s">
        <v>747</v>
      </c>
      <c r="N188" s="5"/>
      <c r="O188" s="20"/>
      <c r="P188" s="20" t="str">
        <f t="shared" si="2"/>
        <v/>
      </c>
      <c r="Q188" s="20" t="s">
        <v>28</v>
      </c>
      <c r="R188" s="20" t="s">
        <v>81</v>
      </c>
      <c r="S188" s="20"/>
      <c r="T188" s="20"/>
      <c r="U188" s="20"/>
      <c r="V188" s="20"/>
      <c r="W188" s="20">
        <v>1</v>
      </c>
      <c r="X188" s="21" t="s">
        <v>37</v>
      </c>
      <c r="Y188" s="5"/>
      <c r="Z188" s="5" t="s">
        <v>38</v>
      </c>
      <c r="AA188" s="5"/>
      <c r="AB188" s="5" t="str">
        <f>IF(LEN('List chi tiet'!$B$3)=0,"",'List chi tiet'!$B$3)</f>
        <v>TCTN.DNS-26004</v>
      </c>
      <c r="AC188" s="5" t="s">
        <v>263</v>
      </c>
      <c r="AD188" s="5" t="s">
        <v>39</v>
      </c>
    </row>
    <row r="189" spans="1:30" hidden="1" x14ac:dyDescent="0.25">
      <c r="A189" s="5">
        <v>179</v>
      </c>
      <c r="B189" s="5" t="s">
        <v>269</v>
      </c>
      <c r="C189" s="5">
        <v>8</v>
      </c>
      <c r="D189" s="5">
        <v>124</v>
      </c>
      <c r="E189" s="5">
        <v>792</v>
      </c>
      <c r="F189" s="5" t="s">
        <v>77</v>
      </c>
      <c r="G189" s="5" t="s">
        <v>746</v>
      </c>
      <c r="H189" s="5">
        <v>1</v>
      </c>
      <c r="I189" s="5">
        <v>6.17</v>
      </c>
      <c r="J189" s="5" t="s">
        <v>839</v>
      </c>
      <c r="K189" s="5" t="s">
        <v>812</v>
      </c>
      <c r="L189" s="5"/>
      <c r="M189" s="5" t="s">
        <v>747</v>
      </c>
      <c r="N189" s="5"/>
      <c r="O189" s="20"/>
      <c r="P189" s="20" t="str">
        <f t="shared" si="2"/>
        <v/>
      </c>
      <c r="Q189" s="20" t="s">
        <v>28</v>
      </c>
      <c r="R189" s="20" t="s">
        <v>81</v>
      </c>
      <c r="S189" s="20"/>
      <c r="T189" s="20"/>
      <c r="U189" s="20"/>
      <c r="V189" s="20"/>
      <c r="W189" s="20">
        <v>1</v>
      </c>
      <c r="X189" s="21" t="s">
        <v>37</v>
      </c>
      <c r="Y189" s="5"/>
      <c r="Z189" s="5" t="s">
        <v>38</v>
      </c>
      <c r="AA189" s="5"/>
      <c r="AB189" s="5" t="str">
        <f>IF(LEN('List chi tiet'!$B$3)=0,"",'List chi tiet'!$B$3)</f>
        <v>TCTN.DNS-26004</v>
      </c>
      <c r="AC189" s="5" t="s">
        <v>263</v>
      </c>
      <c r="AD189" s="5" t="s">
        <v>39</v>
      </c>
    </row>
    <row r="190" spans="1:30" hidden="1" x14ac:dyDescent="0.25">
      <c r="A190" s="5">
        <v>180</v>
      </c>
      <c r="B190" s="5" t="s">
        <v>251</v>
      </c>
      <c r="C190" s="5">
        <v>8</v>
      </c>
      <c r="D190" s="5">
        <v>459</v>
      </c>
      <c r="E190" s="5">
        <v>11977</v>
      </c>
      <c r="F190" s="5" t="s">
        <v>77</v>
      </c>
      <c r="G190" s="5" t="s">
        <v>746</v>
      </c>
      <c r="H190" s="5">
        <v>1</v>
      </c>
      <c r="I190" s="5">
        <v>331.9</v>
      </c>
      <c r="J190" s="5" t="s">
        <v>839</v>
      </c>
      <c r="K190" s="5" t="s">
        <v>812</v>
      </c>
      <c r="L190" s="5"/>
      <c r="M190" s="5" t="s">
        <v>747</v>
      </c>
      <c r="N190" s="5"/>
      <c r="O190" s="20" t="s">
        <v>228</v>
      </c>
      <c r="P190" s="20" t="str">
        <f t="shared" si="2"/>
        <v/>
      </c>
      <c r="Q190" s="20" t="s">
        <v>28</v>
      </c>
      <c r="R190" s="20" t="s">
        <v>81</v>
      </c>
      <c r="S190" s="20"/>
      <c r="T190" s="20"/>
      <c r="U190" s="20"/>
      <c r="V190" s="20"/>
      <c r="W190" s="20">
        <v>1</v>
      </c>
      <c r="X190" s="21" t="s">
        <v>37</v>
      </c>
      <c r="Y190" s="5"/>
      <c r="Z190" s="5" t="s">
        <v>38</v>
      </c>
      <c r="AA190" s="5"/>
      <c r="AB190" s="5" t="str">
        <f>IF(LEN('List chi tiet'!$B$3)=0,"",'List chi tiet'!$B$3)</f>
        <v>TCTN.DNS-26004</v>
      </c>
      <c r="AC190" s="5" t="s">
        <v>271</v>
      </c>
      <c r="AD190" s="5" t="s">
        <v>39</v>
      </c>
    </row>
    <row r="191" spans="1:30" hidden="1" x14ac:dyDescent="0.25">
      <c r="A191" s="5">
        <v>181</v>
      </c>
      <c r="B191" s="5" t="s">
        <v>256</v>
      </c>
      <c r="C191" s="5">
        <v>8</v>
      </c>
      <c r="D191" s="5">
        <v>458</v>
      </c>
      <c r="E191" s="5">
        <v>11977</v>
      </c>
      <c r="F191" s="5" t="s">
        <v>77</v>
      </c>
      <c r="G191" s="5" t="s">
        <v>746</v>
      </c>
      <c r="H191" s="5">
        <v>1</v>
      </c>
      <c r="I191" s="5">
        <v>331.9</v>
      </c>
      <c r="J191" s="5" t="s">
        <v>839</v>
      </c>
      <c r="K191" s="5" t="s">
        <v>812</v>
      </c>
      <c r="L191" s="5"/>
      <c r="M191" s="5" t="s">
        <v>747</v>
      </c>
      <c r="N191" s="5"/>
      <c r="O191" s="20" t="s">
        <v>228</v>
      </c>
      <c r="P191" s="20" t="str">
        <f t="shared" si="2"/>
        <v/>
      </c>
      <c r="Q191" s="20" t="s">
        <v>28</v>
      </c>
      <c r="R191" s="20" t="s">
        <v>81</v>
      </c>
      <c r="S191" s="20"/>
      <c r="T191" s="20"/>
      <c r="U191" s="20"/>
      <c r="V191" s="20"/>
      <c r="W191" s="20">
        <v>1</v>
      </c>
      <c r="X191" s="21" t="s">
        <v>37</v>
      </c>
      <c r="Y191" s="5"/>
      <c r="Z191" s="5" t="s">
        <v>38</v>
      </c>
      <c r="AA191" s="5"/>
      <c r="AB191" s="5" t="str">
        <f>IF(LEN('List chi tiet'!$B$3)=0,"",'List chi tiet'!$B$3)</f>
        <v>TCTN.DNS-26004</v>
      </c>
      <c r="AC191" s="5" t="s">
        <v>271</v>
      </c>
      <c r="AD191" s="5" t="s">
        <v>39</v>
      </c>
    </row>
    <row r="192" spans="1:30" hidden="1" x14ac:dyDescent="0.25">
      <c r="A192" s="5">
        <v>182</v>
      </c>
      <c r="B192" s="5" t="s">
        <v>273</v>
      </c>
      <c r="C192" s="5">
        <v>8</v>
      </c>
      <c r="D192" s="5">
        <v>448</v>
      </c>
      <c r="E192" s="5">
        <v>7587</v>
      </c>
      <c r="F192" s="5" t="s">
        <v>77</v>
      </c>
      <c r="G192" s="5" t="s">
        <v>746</v>
      </c>
      <c r="H192" s="5">
        <v>2</v>
      </c>
      <c r="I192" s="5">
        <v>422.1</v>
      </c>
      <c r="J192" s="5" t="s">
        <v>839</v>
      </c>
      <c r="K192" s="5" t="s">
        <v>812</v>
      </c>
      <c r="L192" s="5"/>
      <c r="M192" s="5" t="s">
        <v>747</v>
      </c>
      <c r="N192" s="5"/>
      <c r="O192" s="20" t="s">
        <v>228</v>
      </c>
      <c r="P192" s="20" t="str">
        <f t="shared" si="2"/>
        <v/>
      </c>
      <c r="Q192" s="20" t="s">
        <v>28</v>
      </c>
      <c r="R192" s="20" t="s">
        <v>81</v>
      </c>
      <c r="S192" s="20"/>
      <c r="T192" s="20"/>
      <c r="U192" s="20"/>
      <c r="V192" s="20"/>
      <c r="W192" s="20">
        <v>1</v>
      </c>
      <c r="X192" s="21" t="s">
        <v>37</v>
      </c>
      <c r="Y192" s="5"/>
      <c r="Z192" s="5" t="s">
        <v>38</v>
      </c>
      <c r="AA192" s="5"/>
      <c r="AB192" s="5" t="str">
        <f>IF(LEN('List chi tiet'!$B$3)=0,"",'List chi tiet'!$B$3)</f>
        <v>TCTN.DNS-26004</v>
      </c>
      <c r="AC192" s="5" t="s">
        <v>271</v>
      </c>
      <c r="AD192" s="5" t="s">
        <v>39</v>
      </c>
    </row>
    <row r="193" spans="1:30" hidden="1" x14ac:dyDescent="0.25">
      <c r="A193" s="5">
        <v>183</v>
      </c>
      <c r="B193" s="5" t="s">
        <v>265</v>
      </c>
      <c r="C193" s="5">
        <v>8</v>
      </c>
      <c r="D193" s="5">
        <v>124</v>
      </c>
      <c r="E193" s="5">
        <v>4252</v>
      </c>
      <c r="F193" s="5" t="s">
        <v>77</v>
      </c>
      <c r="G193" s="5" t="s">
        <v>746</v>
      </c>
      <c r="H193" s="5">
        <v>2</v>
      </c>
      <c r="I193" s="5">
        <v>66.22</v>
      </c>
      <c r="J193" s="5" t="s">
        <v>839</v>
      </c>
      <c r="K193" s="5" t="s">
        <v>812</v>
      </c>
      <c r="L193" s="5"/>
      <c r="M193" s="5" t="s">
        <v>747</v>
      </c>
      <c r="N193" s="5"/>
      <c r="O193" s="20"/>
      <c r="P193" s="20" t="str">
        <f t="shared" si="2"/>
        <v/>
      </c>
      <c r="Q193" s="20" t="s">
        <v>28</v>
      </c>
      <c r="R193" s="20" t="s">
        <v>81</v>
      </c>
      <c r="S193" s="20"/>
      <c r="T193" s="20"/>
      <c r="U193" s="20"/>
      <c r="V193" s="20"/>
      <c r="W193" s="20">
        <v>1</v>
      </c>
      <c r="X193" s="21" t="s">
        <v>37</v>
      </c>
      <c r="Y193" s="5"/>
      <c r="Z193" s="5" t="s">
        <v>38</v>
      </c>
      <c r="AA193" s="5"/>
      <c r="AB193" s="5" t="str">
        <f>IF(LEN('List chi tiet'!$B$3)=0,"",'List chi tiet'!$B$3)</f>
        <v>TCTN.DNS-26004</v>
      </c>
      <c r="AC193" s="5" t="s">
        <v>271</v>
      </c>
      <c r="AD193" s="5" t="s">
        <v>39</v>
      </c>
    </row>
    <row r="194" spans="1:30" hidden="1" x14ac:dyDescent="0.25">
      <c r="A194" s="5">
        <v>184</v>
      </c>
      <c r="B194" s="5" t="s">
        <v>275</v>
      </c>
      <c r="C194" s="5">
        <v>8</v>
      </c>
      <c r="D194" s="5">
        <v>150</v>
      </c>
      <c r="E194" s="5">
        <v>2972</v>
      </c>
      <c r="F194" s="5" t="s">
        <v>77</v>
      </c>
      <c r="G194" s="5" t="s">
        <v>746</v>
      </c>
      <c r="H194" s="5">
        <v>1</v>
      </c>
      <c r="I194" s="5">
        <v>28</v>
      </c>
      <c r="J194" s="5" t="s">
        <v>839</v>
      </c>
      <c r="K194" s="5" t="s">
        <v>812</v>
      </c>
      <c r="L194" s="5"/>
      <c r="M194" s="5" t="s">
        <v>747</v>
      </c>
      <c r="N194" s="5"/>
      <c r="O194" s="20"/>
      <c r="P194" s="20" t="str">
        <f t="shared" si="2"/>
        <v/>
      </c>
      <c r="Q194" s="20" t="s">
        <v>28</v>
      </c>
      <c r="R194" s="20" t="s">
        <v>81</v>
      </c>
      <c r="S194" s="20"/>
      <c r="T194" s="20"/>
      <c r="U194" s="20"/>
      <c r="V194" s="20"/>
      <c r="W194" s="20">
        <v>1</v>
      </c>
      <c r="X194" s="21" t="s">
        <v>37</v>
      </c>
      <c r="Y194" s="5"/>
      <c r="Z194" s="5" t="s">
        <v>38</v>
      </c>
      <c r="AA194" s="5"/>
      <c r="AB194" s="5" t="str">
        <f>IF(LEN('List chi tiet'!$B$3)=0,"",'List chi tiet'!$B$3)</f>
        <v>TCTN.DNS-26004</v>
      </c>
      <c r="AC194" s="5" t="s">
        <v>271</v>
      </c>
      <c r="AD194" s="5" t="s">
        <v>39</v>
      </c>
    </row>
    <row r="195" spans="1:30" hidden="1" x14ac:dyDescent="0.25">
      <c r="A195" s="5">
        <v>185</v>
      </c>
      <c r="B195" s="5" t="s">
        <v>277</v>
      </c>
      <c r="C195" s="5">
        <v>8</v>
      </c>
      <c r="D195" s="5">
        <v>124</v>
      </c>
      <c r="E195" s="5">
        <v>2972</v>
      </c>
      <c r="F195" s="5" t="s">
        <v>77</v>
      </c>
      <c r="G195" s="5" t="s">
        <v>746</v>
      </c>
      <c r="H195" s="5">
        <v>4</v>
      </c>
      <c r="I195" s="5">
        <v>92.57</v>
      </c>
      <c r="J195" s="5" t="s">
        <v>839</v>
      </c>
      <c r="K195" s="5" t="s">
        <v>812</v>
      </c>
      <c r="L195" s="5"/>
      <c r="M195" s="5" t="s">
        <v>747</v>
      </c>
      <c r="N195" s="5"/>
      <c r="O195" s="20"/>
      <c r="P195" s="20" t="str">
        <f t="shared" si="2"/>
        <v/>
      </c>
      <c r="Q195" s="20" t="s">
        <v>28</v>
      </c>
      <c r="R195" s="20" t="s">
        <v>81</v>
      </c>
      <c r="S195" s="20"/>
      <c r="T195" s="20"/>
      <c r="U195" s="20"/>
      <c r="V195" s="20"/>
      <c r="W195" s="20">
        <v>1</v>
      </c>
      <c r="X195" s="21" t="s">
        <v>37</v>
      </c>
      <c r="Y195" s="5"/>
      <c r="Z195" s="5" t="s">
        <v>38</v>
      </c>
      <c r="AA195" s="5"/>
      <c r="AB195" s="5" t="str">
        <f>IF(LEN('List chi tiet'!$B$3)=0,"",'List chi tiet'!$B$3)</f>
        <v>TCTN.DNS-26004</v>
      </c>
      <c r="AC195" s="5" t="s">
        <v>271</v>
      </c>
      <c r="AD195" s="5" t="s">
        <v>39</v>
      </c>
    </row>
    <row r="196" spans="1:30" hidden="1" x14ac:dyDescent="0.25">
      <c r="A196" s="5">
        <v>186</v>
      </c>
      <c r="B196" s="5" t="s">
        <v>279</v>
      </c>
      <c r="C196" s="5">
        <v>8</v>
      </c>
      <c r="D196" s="5">
        <v>124</v>
      </c>
      <c r="E196" s="5">
        <v>2972</v>
      </c>
      <c r="F196" s="5" t="s">
        <v>77</v>
      </c>
      <c r="G196" s="5" t="s">
        <v>746</v>
      </c>
      <c r="H196" s="5">
        <v>1</v>
      </c>
      <c r="I196" s="5">
        <v>23.14</v>
      </c>
      <c r="J196" s="5" t="s">
        <v>839</v>
      </c>
      <c r="K196" s="5" t="s">
        <v>812</v>
      </c>
      <c r="L196" s="5"/>
      <c r="M196" s="5" t="s">
        <v>747</v>
      </c>
      <c r="N196" s="5"/>
      <c r="O196" s="20"/>
      <c r="P196" s="20" t="str">
        <f t="shared" si="2"/>
        <v/>
      </c>
      <c r="Q196" s="20" t="s">
        <v>28</v>
      </c>
      <c r="R196" s="20" t="s">
        <v>81</v>
      </c>
      <c r="S196" s="20"/>
      <c r="T196" s="20"/>
      <c r="U196" s="20"/>
      <c r="V196" s="20"/>
      <c r="W196" s="20">
        <v>1</v>
      </c>
      <c r="X196" s="21" t="s">
        <v>37</v>
      </c>
      <c r="Y196" s="5"/>
      <c r="Z196" s="5" t="s">
        <v>38</v>
      </c>
      <c r="AA196" s="5"/>
      <c r="AB196" s="5" t="str">
        <f>IF(LEN('List chi tiet'!$B$3)=0,"",'List chi tiet'!$B$3)</f>
        <v>TCTN.DNS-26004</v>
      </c>
      <c r="AC196" s="5" t="s">
        <v>271</v>
      </c>
      <c r="AD196" s="5" t="s">
        <v>39</v>
      </c>
    </row>
    <row r="197" spans="1:30" hidden="1" x14ac:dyDescent="0.25">
      <c r="A197" s="5">
        <v>187</v>
      </c>
      <c r="B197" s="5" t="s">
        <v>280</v>
      </c>
      <c r="C197" s="5">
        <v>8</v>
      </c>
      <c r="D197" s="5">
        <v>124</v>
      </c>
      <c r="E197" s="5">
        <v>601</v>
      </c>
      <c r="F197" s="5" t="s">
        <v>77</v>
      </c>
      <c r="G197" s="5" t="s">
        <v>746</v>
      </c>
      <c r="H197" s="5">
        <v>1</v>
      </c>
      <c r="I197" s="5">
        <v>4.68</v>
      </c>
      <c r="J197" s="5" t="s">
        <v>839</v>
      </c>
      <c r="K197" s="5" t="s">
        <v>812</v>
      </c>
      <c r="L197" s="5"/>
      <c r="M197" s="5" t="s">
        <v>747</v>
      </c>
      <c r="N197" s="5"/>
      <c r="O197" s="20"/>
      <c r="P197" s="20" t="str">
        <f t="shared" si="2"/>
        <v/>
      </c>
      <c r="Q197" s="20" t="s">
        <v>28</v>
      </c>
      <c r="R197" s="20" t="s">
        <v>81</v>
      </c>
      <c r="S197" s="20"/>
      <c r="T197" s="20"/>
      <c r="U197" s="20"/>
      <c r="V197" s="20"/>
      <c r="W197" s="20">
        <v>1</v>
      </c>
      <c r="X197" s="21" t="s">
        <v>37</v>
      </c>
      <c r="Y197" s="5"/>
      <c r="Z197" s="5" t="s">
        <v>38</v>
      </c>
      <c r="AA197" s="5"/>
      <c r="AB197" s="5" t="str">
        <f>IF(LEN('List chi tiet'!$B$3)=0,"",'List chi tiet'!$B$3)</f>
        <v>TCTN.DNS-26004</v>
      </c>
      <c r="AC197" s="5" t="s">
        <v>271</v>
      </c>
      <c r="AD197" s="5" t="s">
        <v>39</v>
      </c>
    </row>
    <row r="198" spans="1:30" hidden="1" x14ac:dyDescent="0.25">
      <c r="A198" s="5">
        <v>188</v>
      </c>
      <c r="B198" s="5" t="s">
        <v>282</v>
      </c>
      <c r="C198" s="5">
        <v>8</v>
      </c>
      <c r="D198" s="5">
        <v>150</v>
      </c>
      <c r="E198" s="5">
        <v>1381</v>
      </c>
      <c r="F198" s="5" t="s">
        <v>77</v>
      </c>
      <c r="G198" s="5" t="s">
        <v>746</v>
      </c>
      <c r="H198" s="5">
        <v>1</v>
      </c>
      <c r="I198" s="5">
        <v>13.01</v>
      </c>
      <c r="J198" s="5" t="s">
        <v>839</v>
      </c>
      <c r="K198" s="5" t="s">
        <v>812</v>
      </c>
      <c r="L198" s="5"/>
      <c r="M198" s="5" t="s">
        <v>747</v>
      </c>
      <c r="N198" s="5"/>
      <c r="O198" s="20"/>
      <c r="P198" s="20" t="str">
        <f t="shared" si="2"/>
        <v/>
      </c>
      <c r="Q198" s="20" t="s">
        <v>28</v>
      </c>
      <c r="R198" s="20" t="s">
        <v>81</v>
      </c>
      <c r="S198" s="20"/>
      <c r="T198" s="20"/>
      <c r="U198" s="20"/>
      <c r="V198" s="20"/>
      <c r="W198" s="20">
        <v>1</v>
      </c>
      <c r="X198" s="21" t="s">
        <v>37</v>
      </c>
      <c r="Y198" s="5"/>
      <c r="Z198" s="5" t="s">
        <v>38</v>
      </c>
      <c r="AA198" s="5"/>
      <c r="AB198" s="5" t="str">
        <f>IF(LEN('List chi tiet'!$B$3)=0,"",'List chi tiet'!$B$3)</f>
        <v>TCTN.DNS-26004</v>
      </c>
      <c r="AC198" s="5" t="s">
        <v>271</v>
      </c>
      <c r="AD198" s="5" t="s">
        <v>39</v>
      </c>
    </row>
    <row r="199" spans="1:30" hidden="1" x14ac:dyDescent="0.25">
      <c r="A199" s="5">
        <v>189</v>
      </c>
      <c r="B199" s="5" t="s">
        <v>284</v>
      </c>
      <c r="C199" s="5">
        <v>8</v>
      </c>
      <c r="D199" s="5">
        <v>124</v>
      </c>
      <c r="E199" s="5">
        <v>1381</v>
      </c>
      <c r="F199" s="5" t="s">
        <v>77</v>
      </c>
      <c r="G199" s="5" t="s">
        <v>746</v>
      </c>
      <c r="H199" s="5">
        <v>4</v>
      </c>
      <c r="I199" s="5">
        <v>43.02</v>
      </c>
      <c r="J199" s="5" t="s">
        <v>839</v>
      </c>
      <c r="K199" s="5" t="s">
        <v>812</v>
      </c>
      <c r="L199" s="5"/>
      <c r="M199" s="5" t="s">
        <v>747</v>
      </c>
      <c r="N199" s="5"/>
      <c r="O199" s="20"/>
      <c r="P199" s="20" t="str">
        <f t="shared" si="2"/>
        <v/>
      </c>
      <c r="Q199" s="20" t="s">
        <v>28</v>
      </c>
      <c r="R199" s="20" t="s">
        <v>81</v>
      </c>
      <c r="S199" s="20"/>
      <c r="T199" s="20"/>
      <c r="U199" s="20"/>
      <c r="V199" s="20"/>
      <c r="W199" s="20">
        <v>1</v>
      </c>
      <c r="X199" s="21" t="s">
        <v>37</v>
      </c>
      <c r="Y199" s="5"/>
      <c r="Z199" s="5" t="s">
        <v>38</v>
      </c>
      <c r="AA199" s="5"/>
      <c r="AB199" s="5" t="str">
        <f>IF(LEN('List chi tiet'!$B$3)=0,"",'List chi tiet'!$B$3)</f>
        <v>TCTN.DNS-26004</v>
      </c>
      <c r="AC199" s="5" t="s">
        <v>271</v>
      </c>
      <c r="AD199" s="5" t="s">
        <v>39</v>
      </c>
    </row>
    <row r="200" spans="1:30" hidden="1" x14ac:dyDescent="0.25">
      <c r="A200" s="5">
        <v>190</v>
      </c>
      <c r="B200" s="5" t="s">
        <v>267</v>
      </c>
      <c r="C200" s="5">
        <v>8</v>
      </c>
      <c r="D200" s="5">
        <v>124</v>
      </c>
      <c r="E200" s="5">
        <v>6824</v>
      </c>
      <c r="F200" s="5" t="s">
        <v>77</v>
      </c>
      <c r="G200" s="5" t="s">
        <v>746</v>
      </c>
      <c r="H200" s="5">
        <v>1</v>
      </c>
      <c r="I200" s="5">
        <v>53.14</v>
      </c>
      <c r="J200" s="5" t="s">
        <v>839</v>
      </c>
      <c r="K200" s="5" t="s">
        <v>812</v>
      </c>
      <c r="L200" s="5"/>
      <c r="M200" s="5" t="s">
        <v>747</v>
      </c>
      <c r="N200" s="5"/>
      <c r="O200" s="20"/>
      <c r="P200" s="20" t="str">
        <f t="shared" si="2"/>
        <v/>
      </c>
      <c r="Q200" s="20" t="s">
        <v>28</v>
      </c>
      <c r="R200" s="20" t="s">
        <v>81</v>
      </c>
      <c r="S200" s="20"/>
      <c r="T200" s="20"/>
      <c r="U200" s="20"/>
      <c r="V200" s="20"/>
      <c r="W200" s="20">
        <v>1</v>
      </c>
      <c r="X200" s="21" t="s">
        <v>37</v>
      </c>
      <c r="Y200" s="5"/>
      <c r="Z200" s="5" t="s">
        <v>38</v>
      </c>
      <c r="AA200" s="5"/>
      <c r="AB200" s="5" t="str">
        <f>IF(LEN('List chi tiet'!$B$3)=0,"",'List chi tiet'!$B$3)</f>
        <v>TCTN.DNS-26004</v>
      </c>
      <c r="AC200" s="5" t="s">
        <v>271</v>
      </c>
      <c r="AD200" s="5" t="s">
        <v>39</v>
      </c>
    </row>
    <row r="201" spans="1:30" hidden="1" x14ac:dyDescent="0.25">
      <c r="A201" s="5">
        <v>191</v>
      </c>
      <c r="B201" s="5" t="s">
        <v>269</v>
      </c>
      <c r="C201" s="5">
        <v>8</v>
      </c>
      <c r="D201" s="5">
        <v>124</v>
      </c>
      <c r="E201" s="5">
        <v>792</v>
      </c>
      <c r="F201" s="5" t="s">
        <v>77</v>
      </c>
      <c r="G201" s="5" t="s">
        <v>746</v>
      </c>
      <c r="H201" s="5">
        <v>2</v>
      </c>
      <c r="I201" s="5">
        <v>12.33</v>
      </c>
      <c r="J201" s="5" t="s">
        <v>839</v>
      </c>
      <c r="K201" s="5" t="s">
        <v>812</v>
      </c>
      <c r="L201" s="5"/>
      <c r="M201" s="5" t="s">
        <v>747</v>
      </c>
      <c r="N201" s="5"/>
      <c r="O201" s="20"/>
      <c r="P201" s="20" t="str">
        <f t="shared" si="2"/>
        <v/>
      </c>
      <c r="Q201" s="20" t="s">
        <v>28</v>
      </c>
      <c r="R201" s="20" t="s">
        <v>81</v>
      </c>
      <c r="S201" s="20"/>
      <c r="T201" s="20"/>
      <c r="U201" s="20"/>
      <c r="V201" s="20"/>
      <c r="W201" s="20">
        <v>1</v>
      </c>
      <c r="X201" s="21" t="s">
        <v>37</v>
      </c>
      <c r="Y201" s="5"/>
      <c r="Z201" s="5" t="s">
        <v>38</v>
      </c>
      <c r="AA201" s="5"/>
      <c r="AB201" s="5" t="str">
        <f>IF(LEN('List chi tiet'!$B$3)=0,"",'List chi tiet'!$B$3)</f>
        <v>TCTN.DNS-26004</v>
      </c>
      <c r="AC201" s="5" t="s">
        <v>271</v>
      </c>
      <c r="AD201" s="5" t="s">
        <v>39</v>
      </c>
    </row>
    <row r="202" spans="1:30" hidden="1" x14ac:dyDescent="0.25">
      <c r="A202" s="5">
        <v>192</v>
      </c>
      <c r="B202" s="5" t="s">
        <v>286</v>
      </c>
      <c r="C202" s="5">
        <v>8</v>
      </c>
      <c r="D202" s="5">
        <v>450</v>
      </c>
      <c r="E202" s="5">
        <v>12007</v>
      </c>
      <c r="F202" s="5" t="s">
        <v>77</v>
      </c>
      <c r="G202" s="5" t="s">
        <v>746</v>
      </c>
      <c r="H202" s="5">
        <v>2</v>
      </c>
      <c r="I202" s="5">
        <v>668.05</v>
      </c>
      <c r="J202" s="5" t="s">
        <v>839</v>
      </c>
      <c r="K202" s="5" t="s">
        <v>812</v>
      </c>
      <c r="L202" s="5"/>
      <c r="M202" s="5" t="s">
        <v>747</v>
      </c>
      <c r="N202" s="5"/>
      <c r="O202" s="20"/>
      <c r="P202" s="20" t="str">
        <f t="shared" si="2"/>
        <v/>
      </c>
      <c r="Q202" s="20" t="s">
        <v>28</v>
      </c>
      <c r="R202" s="20" t="s">
        <v>81</v>
      </c>
      <c r="S202" s="20"/>
      <c r="T202" s="20"/>
      <c r="U202" s="20"/>
      <c r="V202" s="20"/>
      <c r="W202" s="20">
        <v>1</v>
      </c>
      <c r="X202" s="21" t="s">
        <v>37</v>
      </c>
      <c r="Y202" s="5"/>
      <c r="Z202" s="5" t="s">
        <v>38</v>
      </c>
      <c r="AA202" s="5"/>
      <c r="AB202" s="5" t="str">
        <f>IF(LEN('List chi tiet'!$B$3)=0,"",'List chi tiet'!$B$3)</f>
        <v>TCTN.DNS-26004</v>
      </c>
      <c r="AC202" s="5" t="s">
        <v>288</v>
      </c>
      <c r="AD202" s="5" t="s">
        <v>39</v>
      </c>
    </row>
    <row r="203" spans="1:30" hidden="1" x14ac:dyDescent="0.25">
      <c r="A203" s="5">
        <v>193</v>
      </c>
      <c r="B203" s="5" t="s">
        <v>290</v>
      </c>
      <c r="C203" s="5">
        <v>8</v>
      </c>
      <c r="D203" s="5">
        <v>450</v>
      </c>
      <c r="E203" s="5">
        <v>12007</v>
      </c>
      <c r="F203" s="5" t="s">
        <v>77</v>
      </c>
      <c r="G203" s="5" t="s">
        <v>746</v>
      </c>
      <c r="H203" s="5">
        <v>2</v>
      </c>
      <c r="I203" s="5">
        <v>668.05</v>
      </c>
      <c r="J203" s="5" t="s">
        <v>839</v>
      </c>
      <c r="K203" s="5" t="s">
        <v>812</v>
      </c>
      <c r="L203" s="5"/>
      <c r="M203" s="5" t="s">
        <v>747</v>
      </c>
      <c r="N203" s="5"/>
      <c r="O203" s="20"/>
      <c r="P203" s="20" t="str">
        <f t="shared" ref="P203:P266" si="3">IF(LEN($B$4)=0,"",$B$4)</f>
        <v/>
      </c>
      <c r="Q203" s="20" t="s">
        <v>28</v>
      </c>
      <c r="R203" s="20" t="s">
        <v>81</v>
      </c>
      <c r="S203" s="20"/>
      <c r="T203" s="20"/>
      <c r="U203" s="20"/>
      <c r="V203" s="20"/>
      <c r="W203" s="20">
        <v>1</v>
      </c>
      <c r="X203" s="21" t="s">
        <v>37</v>
      </c>
      <c r="Y203" s="5"/>
      <c r="Z203" s="5" t="s">
        <v>38</v>
      </c>
      <c r="AA203" s="5"/>
      <c r="AB203" s="5" t="str">
        <f>IF(LEN('List chi tiet'!$B$3)=0,"",'List chi tiet'!$B$3)</f>
        <v>TCTN.DNS-26004</v>
      </c>
      <c r="AC203" s="5" t="s">
        <v>288</v>
      </c>
      <c r="AD203" s="5" t="s">
        <v>39</v>
      </c>
    </row>
    <row r="204" spans="1:30" hidden="1" x14ac:dyDescent="0.25">
      <c r="A204" s="5">
        <v>194</v>
      </c>
      <c r="B204" s="5" t="s">
        <v>229</v>
      </c>
      <c r="C204" s="5">
        <v>8</v>
      </c>
      <c r="D204" s="5">
        <v>90</v>
      </c>
      <c r="E204" s="5">
        <v>150</v>
      </c>
      <c r="F204" s="5" t="s">
        <v>77</v>
      </c>
      <c r="G204" s="5" t="s">
        <v>746</v>
      </c>
      <c r="H204" s="5">
        <v>1</v>
      </c>
      <c r="I204" s="5">
        <v>0.62</v>
      </c>
      <c r="J204" s="5" t="s">
        <v>839</v>
      </c>
      <c r="K204" s="5" t="s">
        <v>812</v>
      </c>
      <c r="L204" s="5"/>
      <c r="M204" s="5" t="s">
        <v>747</v>
      </c>
      <c r="N204" s="5"/>
      <c r="O204" s="20"/>
      <c r="P204" s="20" t="str">
        <f t="shared" si="3"/>
        <v/>
      </c>
      <c r="Q204" s="20" t="s">
        <v>26</v>
      </c>
      <c r="R204" s="20" t="s">
        <v>81</v>
      </c>
      <c r="S204" s="20"/>
      <c r="T204" s="20"/>
      <c r="U204" s="20"/>
      <c r="V204" s="20"/>
      <c r="W204" s="20">
        <v>1</v>
      </c>
      <c r="X204" s="21" t="s">
        <v>37</v>
      </c>
      <c r="Y204" s="5"/>
      <c r="Z204" s="5" t="s">
        <v>38</v>
      </c>
      <c r="AA204" s="5"/>
      <c r="AB204" s="5" t="str">
        <f>IF(LEN('List chi tiet'!$B$3)=0,"",'List chi tiet'!$B$3)</f>
        <v>TCTN.DNS-26004</v>
      </c>
      <c r="AC204" s="5" t="s">
        <v>288</v>
      </c>
      <c r="AD204" s="5" t="s">
        <v>39</v>
      </c>
    </row>
    <row r="205" spans="1:30" hidden="1" x14ac:dyDescent="0.25">
      <c r="A205" s="5">
        <v>195</v>
      </c>
      <c r="B205" s="5" t="s">
        <v>275</v>
      </c>
      <c r="C205" s="5">
        <v>8</v>
      </c>
      <c r="D205" s="5">
        <v>150</v>
      </c>
      <c r="E205" s="5">
        <v>2972</v>
      </c>
      <c r="F205" s="5" t="s">
        <v>77</v>
      </c>
      <c r="G205" s="5" t="s">
        <v>746</v>
      </c>
      <c r="H205" s="5">
        <v>3</v>
      </c>
      <c r="I205" s="5">
        <v>83.99</v>
      </c>
      <c r="J205" s="5" t="s">
        <v>839</v>
      </c>
      <c r="K205" s="5" t="s">
        <v>812</v>
      </c>
      <c r="L205" s="5"/>
      <c r="M205" s="5" t="s">
        <v>747</v>
      </c>
      <c r="N205" s="5"/>
      <c r="O205" s="20"/>
      <c r="P205" s="20" t="str">
        <f t="shared" si="3"/>
        <v/>
      </c>
      <c r="Q205" s="20" t="s">
        <v>28</v>
      </c>
      <c r="R205" s="20" t="s">
        <v>81</v>
      </c>
      <c r="S205" s="20"/>
      <c r="T205" s="20"/>
      <c r="U205" s="20"/>
      <c r="V205" s="20"/>
      <c r="W205" s="20">
        <v>1</v>
      </c>
      <c r="X205" s="21" t="s">
        <v>37</v>
      </c>
      <c r="Y205" s="5"/>
      <c r="Z205" s="5" t="s">
        <v>38</v>
      </c>
      <c r="AA205" s="5"/>
      <c r="AB205" s="5" t="str">
        <f>IF(LEN('List chi tiet'!$B$3)=0,"",'List chi tiet'!$B$3)</f>
        <v>TCTN.DNS-26004</v>
      </c>
      <c r="AC205" s="5" t="s">
        <v>288</v>
      </c>
      <c r="AD205" s="5" t="s">
        <v>39</v>
      </c>
    </row>
    <row r="206" spans="1:30" hidden="1" x14ac:dyDescent="0.25">
      <c r="A206" s="5">
        <v>196</v>
      </c>
      <c r="B206" s="5" t="s">
        <v>291</v>
      </c>
      <c r="C206" s="5">
        <v>8</v>
      </c>
      <c r="D206" s="5">
        <v>150</v>
      </c>
      <c r="E206" s="5">
        <v>2972</v>
      </c>
      <c r="F206" s="5" t="s">
        <v>77</v>
      </c>
      <c r="G206" s="5" t="s">
        <v>746</v>
      </c>
      <c r="H206" s="5">
        <v>1</v>
      </c>
      <c r="I206" s="5">
        <v>28</v>
      </c>
      <c r="J206" s="5" t="s">
        <v>839</v>
      </c>
      <c r="K206" s="5" t="s">
        <v>812</v>
      </c>
      <c r="L206" s="5"/>
      <c r="M206" s="5" t="s">
        <v>747</v>
      </c>
      <c r="N206" s="5"/>
      <c r="O206" s="20"/>
      <c r="P206" s="20" t="str">
        <f t="shared" si="3"/>
        <v/>
      </c>
      <c r="Q206" s="20" t="s">
        <v>28</v>
      </c>
      <c r="R206" s="20" t="s">
        <v>81</v>
      </c>
      <c r="S206" s="20"/>
      <c r="T206" s="20"/>
      <c r="U206" s="20"/>
      <c r="V206" s="20"/>
      <c r="W206" s="20">
        <v>1</v>
      </c>
      <c r="X206" s="21" t="s">
        <v>37</v>
      </c>
      <c r="Y206" s="5"/>
      <c r="Z206" s="5" t="s">
        <v>38</v>
      </c>
      <c r="AA206" s="5"/>
      <c r="AB206" s="5" t="str">
        <f>IF(LEN('List chi tiet'!$B$3)=0,"",'List chi tiet'!$B$3)</f>
        <v>TCTN.DNS-26004</v>
      </c>
      <c r="AC206" s="5" t="s">
        <v>288</v>
      </c>
      <c r="AD206" s="5" t="s">
        <v>39</v>
      </c>
    </row>
    <row r="207" spans="1:30" hidden="1" x14ac:dyDescent="0.25">
      <c r="A207" s="5">
        <v>197</v>
      </c>
      <c r="B207" s="5" t="s">
        <v>292</v>
      </c>
      <c r="C207" s="5">
        <v>8</v>
      </c>
      <c r="D207" s="5">
        <v>446</v>
      </c>
      <c r="E207" s="5">
        <v>7588</v>
      </c>
      <c r="F207" s="5" t="s">
        <v>77</v>
      </c>
      <c r="G207" s="5" t="s">
        <v>746</v>
      </c>
      <c r="H207" s="5">
        <v>2</v>
      </c>
      <c r="I207" s="5">
        <v>422.16</v>
      </c>
      <c r="J207" s="5" t="s">
        <v>839</v>
      </c>
      <c r="K207" s="5" t="s">
        <v>812</v>
      </c>
      <c r="L207" s="5"/>
      <c r="M207" s="5" t="s">
        <v>747</v>
      </c>
      <c r="N207" s="5"/>
      <c r="O207" s="20" t="s">
        <v>228</v>
      </c>
      <c r="P207" s="20" t="str">
        <f t="shared" si="3"/>
        <v/>
      </c>
      <c r="Q207" s="20" t="s">
        <v>28</v>
      </c>
      <c r="R207" s="20" t="s">
        <v>81</v>
      </c>
      <c r="S207" s="20"/>
      <c r="T207" s="20"/>
      <c r="U207" s="20"/>
      <c r="V207" s="20"/>
      <c r="W207" s="20">
        <v>1</v>
      </c>
      <c r="X207" s="21" t="s">
        <v>37</v>
      </c>
      <c r="Y207" s="5"/>
      <c r="Z207" s="5" t="s">
        <v>38</v>
      </c>
      <c r="AA207" s="5"/>
      <c r="AB207" s="5" t="str">
        <f>IF(LEN('List chi tiet'!$B$3)=0,"",'List chi tiet'!$B$3)</f>
        <v>TCTN.DNS-26004</v>
      </c>
      <c r="AC207" s="5" t="s">
        <v>294</v>
      </c>
      <c r="AD207" s="5" t="s">
        <v>39</v>
      </c>
    </row>
    <row r="208" spans="1:30" hidden="1" x14ac:dyDescent="0.25">
      <c r="A208" s="5">
        <v>198</v>
      </c>
      <c r="B208" s="5" t="s">
        <v>296</v>
      </c>
      <c r="C208" s="5">
        <v>8</v>
      </c>
      <c r="D208" s="5">
        <v>329</v>
      </c>
      <c r="E208" s="5">
        <v>7565</v>
      </c>
      <c r="F208" s="5" t="s">
        <v>77</v>
      </c>
      <c r="G208" s="5" t="s">
        <v>746</v>
      </c>
      <c r="H208" s="5">
        <v>2</v>
      </c>
      <c r="I208" s="5">
        <v>309.73</v>
      </c>
      <c r="J208" s="5" t="s">
        <v>839</v>
      </c>
      <c r="K208" s="5" t="s">
        <v>812</v>
      </c>
      <c r="L208" s="5"/>
      <c r="M208" s="5" t="s">
        <v>747</v>
      </c>
      <c r="N208" s="5"/>
      <c r="O208" s="20" t="s">
        <v>228</v>
      </c>
      <c r="P208" s="20" t="str">
        <f t="shared" si="3"/>
        <v/>
      </c>
      <c r="Q208" s="20" t="s">
        <v>28</v>
      </c>
      <c r="R208" s="20" t="s">
        <v>81</v>
      </c>
      <c r="S208" s="20"/>
      <c r="T208" s="20"/>
      <c r="U208" s="20"/>
      <c r="V208" s="20"/>
      <c r="W208" s="20">
        <v>1</v>
      </c>
      <c r="X208" s="21" t="s">
        <v>37</v>
      </c>
      <c r="Y208" s="5"/>
      <c r="Z208" s="5" t="s">
        <v>38</v>
      </c>
      <c r="AA208" s="5"/>
      <c r="AB208" s="5" t="str">
        <f>IF(LEN('List chi tiet'!$B$3)=0,"",'List chi tiet'!$B$3)</f>
        <v>TCTN.DNS-26004</v>
      </c>
      <c r="AC208" s="5" t="s">
        <v>294</v>
      </c>
      <c r="AD208" s="5" t="s">
        <v>39</v>
      </c>
    </row>
    <row r="209" spans="1:30" hidden="1" x14ac:dyDescent="0.25">
      <c r="A209" s="5">
        <v>199</v>
      </c>
      <c r="B209" s="5" t="s">
        <v>298</v>
      </c>
      <c r="C209" s="5">
        <v>8</v>
      </c>
      <c r="D209" s="5">
        <v>329</v>
      </c>
      <c r="E209" s="5">
        <v>7566</v>
      </c>
      <c r="F209" s="5" t="s">
        <v>77</v>
      </c>
      <c r="G209" s="5" t="s">
        <v>746</v>
      </c>
      <c r="H209" s="5">
        <v>1</v>
      </c>
      <c r="I209" s="5">
        <v>154.88</v>
      </c>
      <c r="J209" s="5" t="s">
        <v>839</v>
      </c>
      <c r="K209" s="5" t="s">
        <v>812</v>
      </c>
      <c r="L209" s="5"/>
      <c r="M209" s="5" t="s">
        <v>747</v>
      </c>
      <c r="N209" s="5"/>
      <c r="O209" s="20" t="s">
        <v>228</v>
      </c>
      <c r="P209" s="20" t="str">
        <f t="shared" si="3"/>
        <v/>
      </c>
      <c r="Q209" s="20" t="s">
        <v>28</v>
      </c>
      <c r="R209" s="20" t="s">
        <v>81</v>
      </c>
      <c r="S209" s="20"/>
      <c r="T209" s="20"/>
      <c r="U209" s="20"/>
      <c r="V209" s="20"/>
      <c r="W209" s="20">
        <v>1</v>
      </c>
      <c r="X209" s="21" t="s">
        <v>37</v>
      </c>
      <c r="Y209" s="5"/>
      <c r="Z209" s="5" t="s">
        <v>38</v>
      </c>
      <c r="AA209" s="5"/>
      <c r="AB209" s="5" t="str">
        <f>IF(LEN('List chi tiet'!$B$3)=0,"",'List chi tiet'!$B$3)</f>
        <v>TCTN.DNS-26004</v>
      </c>
      <c r="AC209" s="5" t="s">
        <v>294</v>
      </c>
      <c r="AD209" s="5" t="s">
        <v>39</v>
      </c>
    </row>
    <row r="210" spans="1:30" hidden="1" x14ac:dyDescent="0.25">
      <c r="A210" s="5">
        <v>200</v>
      </c>
      <c r="B210" s="5" t="s">
        <v>300</v>
      </c>
      <c r="C210" s="5">
        <v>8</v>
      </c>
      <c r="D210" s="5">
        <v>66</v>
      </c>
      <c r="E210" s="5">
        <v>150</v>
      </c>
      <c r="F210" s="5" t="s">
        <v>77</v>
      </c>
      <c r="G210" s="5" t="s">
        <v>746</v>
      </c>
      <c r="H210" s="5">
        <v>3</v>
      </c>
      <c r="I210" s="5">
        <v>1.38</v>
      </c>
      <c r="J210" s="5" t="s">
        <v>839</v>
      </c>
      <c r="K210" s="5" t="s">
        <v>812</v>
      </c>
      <c r="L210" s="5"/>
      <c r="M210" s="5" t="s">
        <v>747</v>
      </c>
      <c r="N210" s="5"/>
      <c r="O210" s="20"/>
      <c r="P210" s="20" t="str">
        <f t="shared" si="3"/>
        <v/>
      </c>
      <c r="Q210" s="20" t="s">
        <v>26</v>
      </c>
      <c r="R210" s="20" t="s">
        <v>81</v>
      </c>
      <c r="S210" s="20"/>
      <c r="T210" s="20"/>
      <c r="U210" s="20"/>
      <c r="V210" s="20"/>
      <c r="W210" s="20">
        <v>1</v>
      </c>
      <c r="X210" s="21" t="s">
        <v>37</v>
      </c>
      <c r="Y210" s="5"/>
      <c r="Z210" s="5" t="s">
        <v>38</v>
      </c>
      <c r="AA210" s="5"/>
      <c r="AB210" s="5" t="str">
        <f>IF(LEN('List chi tiet'!$B$3)=0,"",'List chi tiet'!$B$3)</f>
        <v>TCTN.DNS-26004</v>
      </c>
      <c r="AC210" s="5" t="s">
        <v>294</v>
      </c>
      <c r="AD210" s="5" t="s">
        <v>39</v>
      </c>
    </row>
    <row r="211" spans="1:30" hidden="1" x14ac:dyDescent="0.25">
      <c r="A211" s="5">
        <v>201</v>
      </c>
      <c r="B211" s="5" t="s">
        <v>302</v>
      </c>
      <c r="C211" s="5">
        <v>8</v>
      </c>
      <c r="D211" s="5">
        <v>66</v>
      </c>
      <c r="E211" s="5">
        <v>150</v>
      </c>
      <c r="F211" s="5" t="s">
        <v>77</v>
      </c>
      <c r="G211" s="5" t="s">
        <v>746</v>
      </c>
      <c r="H211" s="5">
        <v>6</v>
      </c>
      <c r="I211" s="5">
        <v>2.77</v>
      </c>
      <c r="J211" s="5" t="s">
        <v>839</v>
      </c>
      <c r="K211" s="5" t="s">
        <v>812</v>
      </c>
      <c r="L211" s="5"/>
      <c r="M211" s="5" t="s">
        <v>747</v>
      </c>
      <c r="N211" s="5"/>
      <c r="O211" s="20"/>
      <c r="P211" s="20" t="str">
        <f t="shared" si="3"/>
        <v/>
      </c>
      <c r="Q211" s="20" t="s">
        <v>26</v>
      </c>
      <c r="R211" s="20" t="s">
        <v>81</v>
      </c>
      <c r="S211" s="20"/>
      <c r="T211" s="20"/>
      <c r="U211" s="20"/>
      <c r="V211" s="20"/>
      <c r="W211" s="20">
        <v>1</v>
      </c>
      <c r="X211" s="21" t="s">
        <v>37</v>
      </c>
      <c r="Y211" s="5"/>
      <c r="Z211" s="5" t="s">
        <v>38</v>
      </c>
      <c r="AA211" s="5"/>
      <c r="AB211" s="5" t="str">
        <f>IF(LEN('List chi tiet'!$B$3)=0,"",'List chi tiet'!$B$3)</f>
        <v>TCTN.DNS-26004</v>
      </c>
      <c r="AC211" s="5" t="s">
        <v>294</v>
      </c>
      <c r="AD211" s="5" t="s">
        <v>39</v>
      </c>
    </row>
    <row r="212" spans="1:30" hidden="1" x14ac:dyDescent="0.25">
      <c r="A212" s="5">
        <v>202</v>
      </c>
      <c r="B212" s="5" t="s">
        <v>303</v>
      </c>
      <c r="C212" s="5">
        <v>8</v>
      </c>
      <c r="D212" s="5">
        <v>66</v>
      </c>
      <c r="E212" s="5">
        <v>150</v>
      </c>
      <c r="F212" s="5" t="s">
        <v>77</v>
      </c>
      <c r="G212" s="5" t="s">
        <v>746</v>
      </c>
      <c r="H212" s="5">
        <v>3</v>
      </c>
      <c r="I212" s="5">
        <v>1.38</v>
      </c>
      <c r="J212" s="5" t="s">
        <v>839</v>
      </c>
      <c r="K212" s="5" t="s">
        <v>812</v>
      </c>
      <c r="L212" s="5"/>
      <c r="M212" s="5" t="s">
        <v>747</v>
      </c>
      <c r="N212" s="5"/>
      <c r="O212" s="20"/>
      <c r="P212" s="20" t="str">
        <f t="shared" si="3"/>
        <v/>
      </c>
      <c r="Q212" s="20" t="s">
        <v>26</v>
      </c>
      <c r="R212" s="20" t="s">
        <v>81</v>
      </c>
      <c r="S212" s="20"/>
      <c r="T212" s="20"/>
      <c r="U212" s="20"/>
      <c r="V212" s="20"/>
      <c r="W212" s="20">
        <v>1</v>
      </c>
      <c r="X212" s="21" t="s">
        <v>37</v>
      </c>
      <c r="Y212" s="5"/>
      <c r="Z212" s="5" t="s">
        <v>38</v>
      </c>
      <c r="AA212" s="5"/>
      <c r="AB212" s="5" t="str">
        <f>IF(LEN('List chi tiet'!$B$3)=0,"",'List chi tiet'!$B$3)</f>
        <v>TCTN.DNS-26004</v>
      </c>
      <c r="AC212" s="5" t="s">
        <v>294</v>
      </c>
      <c r="AD212" s="5" t="s">
        <v>39</v>
      </c>
    </row>
    <row r="213" spans="1:30" hidden="1" x14ac:dyDescent="0.25">
      <c r="A213" s="5">
        <v>203</v>
      </c>
      <c r="B213" s="5" t="s">
        <v>304</v>
      </c>
      <c r="C213" s="5">
        <v>8</v>
      </c>
      <c r="D213" s="5">
        <v>150</v>
      </c>
      <c r="E213" s="5">
        <v>1882</v>
      </c>
      <c r="F213" s="5" t="s">
        <v>77</v>
      </c>
      <c r="G213" s="5" t="s">
        <v>746</v>
      </c>
      <c r="H213" s="5">
        <v>6</v>
      </c>
      <c r="I213" s="5">
        <v>106.37</v>
      </c>
      <c r="J213" s="5" t="s">
        <v>839</v>
      </c>
      <c r="K213" s="5" t="s">
        <v>812</v>
      </c>
      <c r="L213" s="5"/>
      <c r="M213" s="5" t="s">
        <v>747</v>
      </c>
      <c r="N213" s="5"/>
      <c r="O213" s="20"/>
      <c r="P213" s="20" t="str">
        <f t="shared" si="3"/>
        <v/>
      </c>
      <c r="Q213" s="20" t="s">
        <v>28</v>
      </c>
      <c r="R213" s="20" t="s">
        <v>81</v>
      </c>
      <c r="S213" s="20"/>
      <c r="T213" s="20"/>
      <c r="U213" s="20"/>
      <c r="V213" s="20"/>
      <c r="W213" s="20">
        <v>1</v>
      </c>
      <c r="X213" s="21" t="s">
        <v>37</v>
      </c>
      <c r="Y213" s="5"/>
      <c r="Z213" s="5" t="s">
        <v>38</v>
      </c>
      <c r="AA213" s="5"/>
      <c r="AB213" s="5" t="str">
        <f>IF(LEN('List chi tiet'!$B$3)=0,"",'List chi tiet'!$B$3)</f>
        <v>TCTN.DNS-26004</v>
      </c>
      <c r="AC213" s="5" t="s">
        <v>294</v>
      </c>
      <c r="AD213" s="5" t="s">
        <v>39</v>
      </c>
    </row>
    <row r="214" spans="1:30" hidden="1" x14ac:dyDescent="0.25">
      <c r="A214" s="5">
        <v>204</v>
      </c>
      <c r="B214" s="5" t="s">
        <v>306</v>
      </c>
      <c r="C214" s="5">
        <v>8</v>
      </c>
      <c r="D214" s="5">
        <v>124</v>
      </c>
      <c r="E214" s="5">
        <v>1882</v>
      </c>
      <c r="F214" s="5" t="s">
        <v>77</v>
      </c>
      <c r="G214" s="5" t="s">
        <v>746</v>
      </c>
      <c r="H214" s="5">
        <v>2</v>
      </c>
      <c r="I214" s="5">
        <v>29.31</v>
      </c>
      <c r="J214" s="5" t="s">
        <v>839</v>
      </c>
      <c r="K214" s="5" t="s">
        <v>812</v>
      </c>
      <c r="L214" s="5"/>
      <c r="M214" s="5" t="s">
        <v>747</v>
      </c>
      <c r="N214" s="5"/>
      <c r="O214" s="20"/>
      <c r="P214" s="20" t="str">
        <f t="shared" si="3"/>
        <v/>
      </c>
      <c r="Q214" s="20" t="s">
        <v>28</v>
      </c>
      <c r="R214" s="20" t="s">
        <v>81</v>
      </c>
      <c r="S214" s="20"/>
      <c r="T214" s="20"/>
      <c r="U214" s="20"/>
      <c r="V214" s="20"/>
      <c r="W214" s="20">
        <v>1</v>
      </c>
      <c r="X214" s="21" t="s">
        <v>37</v>
      </c>
      <c r="Y214" s="5"/>
      <c r="Z214" s="5" t="s">
        <v>38</v>
      </c>
      <c r="AA214" s="5"/>
      <c r="AB214" s="5" t="str">
        <f>IF(LEN('List chi tiet'!$B$3)=0,"",'List chi tiet'!$B$3)</f>
        <v>TCTN.DNS-26004</v>
      </c>
      <c r="AC214" s="5" t="s">
        <v>294</v>
      </c>
      <c r="AD214" s="5" t="s">
        <v>39</v>
      </c>
    </row>
    <row r="215" spans="1:30" hidden="1" x14ac:dyDescent="0.25">
      <c r="A215" s="5">
        <v>205</v>
      </c>
      <c r="B215" s="5" t="s">
        <v>291</v>
      </c>
      <c r="C215" s="5">
        <v>8</v>
      </c>
      <c r="D215" s="5">
        <v>150</v>
      </c>
      <c r="E215" s="5">
        <v>2972</v>
      </c>
      <c r="F215" s="5" t="s">
        <v>77</v>
      </c>
      <c r="G215" s="5" t="s">
        <v>746</v>
      </c>
      <c r="H215" s="5">
        <v>3</v>
      </c>
      <c r="I215" s="5">
        <v>83.99</v>
      </c>
      <c r="J215" s="5" t="s">
        <v>839</v>
      </c>
      <c r="K215" s="5" t="s">
        <v>812</v>
      </c>
      <c r="L215" s="5"/>
      <c r="M215" s="5" t="s">
        <v>747</v>
      </c>
      <c r="N215" s="5"/>
      <c r="O215" s="20"/>
      <c r="P215" s="20" t="str">
        <f t="shared" si="3"/>
        <v/>
      </c>
      <c r="Q215" s="20" t="s">
        <v>28</v>
      </c>
      <c r="R215" s="20" t="s">
        <v>81</v>
      </c>
      <c r="S215" s="20"/>
      <c r="T215" s="20"/>
      <c r="U215" s="20"/>
      <c r="V215" s="20"/>
      <c r="W215" s="20">
        <v>1</v>
      </c>
      <c r="X215" s="21" t="s">
        <v>37</v>
      </c>
      <c r="Y215" s="5"/>
      <c r="Z215" s="5" t="s">
        <v>38</v>
      </c>
      <c r="AA215" s="5"/>
      <c r="AB215" s="5" t="str">
        <f>IF(LEN('List chi tiet'!$B$3)=0,"",'List chi tiet'!$B$3)</f>
        <v>TCTN.DNS-26004</v>
      </c>
      <c r="AC215" s="5" t="s">
        <v>294</v>
      </c>
      <c r="AD215" s="5" t="s">
        <v>39</v>
      </c>
    </row>
    <row r="216" spans="1:30" hidden="1" x14ac:dyDescent="0.25">
      <c r="A216" s="5">
        <v>206</v>
      </c>
      <c r="B216" s="5" t="s">
        <v>279</v>
      </c>
      <c r="C216" s="5">
        <v>8</v>
      </c>
      <c r="D216" s="5">
        <v>124</v>
      </c>
      <c r="E216" s="5">
        <v>2972</v>
      </c>
      <c r="F216" s="5" t="s">
        <v>77</v>
      </c>
      <c r="G216" s="5" t="s">
        <v>746</v>
      </c>
      <c r="H216" s="5">
        <v>3</v>
      </c>
      <c r="I216" s="5">
        <v>69.430000000000007</v>
      </c>
      <c r="J216" s="5" t="s">
        <v>839</v>
      </c>
      <c r="K216" s="5" t="s">
        <v>812</v>
      </c>
      <c r="L216" s="5"/>
      <c r="M216" s="5" t="s">
        <v>747</v>
      </c>
      <c r="N216" s="5"/>
      <c r="O216" s="20"/>
      <c r="P216" s="20" t="str">
        <f t="shared" si="3"/>
        <v/>
      </c>
      <c r="Q216" s="20" t="s">
        <v>28</v>
      </c>
      <c r="R216" s="20" t="s">
        <v>81</v>
      </c>
      <c r="S216" s="20"/>
      <c r="T216" s="20"/>
      <c r="U216" s="20"/>
      <c r="V216" s="20"/>
      <c r="W216" s="20">
        <v>1</v>
      </c>
      <c r="X216" s="21" t="s">
        <v>37</v>
      </c>
      <c r="Y216" s="5"/>
      <c r="Z216" s="5" t="s">
        <v>38</v>
      </c>
      <c r="AA216" s="5"/>
      <c r="AB216" s="5" t="str">
        <f>IF(LEN('List chi tiet'!$B$3)=0,"",'List chi tiet'!$B$3)</f>
        <v>TCTN.DNS-26004</v>
      </c>
      <c r="AC216" s="5" t="s">
        <v>294</v>
      </c>
      <c r="AD216" s="5" t="s">
        <v>39</v>
      </c>
    </row>
    <row r="217" spans="1:30" hidden="1" x14ac:dyDescent="0.25">
      <c r="A217" s="5">
        <v>207</v>
      </c>
      <c r="B217" s="5" t="s">
        <v>308</v>
      </c>
      <c r="C217" s="5">
        <v>8</v>
      </c>
      <c r="D217" s="5">
        <v>150</v>
      </c>
      <c r="E217" s="5">
        <v>2523</v>
      </c>
      <c r="F217" s="5" t="s">
        <v>77</v>
      </c>
      <c r="G217" s="5" t="s">
        <v>746</v>
      </c>
      <c r="H217" s="5">
        <v>2</v>
      </c>
      <c r="I217" s="5">
        <v>47.53</v>
      </c>
      <c r="J217" s="5" t="s">
        <v>839</v>
      </c>
      <c r="K217" s="5" t="s">
        <v>812</v>
      </c>
      <c r="L217" s="5"/>
      <c r="M217" s="5" t="s">
        <v>747</v>
      </c>
      <c r="N217" s="5"/>
      <c r="O217" s="20"/>
      <c r="P217" s="20" t="str">
        <f t="shared" si="3"/>
        <v/>
      </c>
      <c r="Q217" s="20" t="s">
        <v>28</v>
      </c>
      <c r="R217" s="20" t="s">
        <v>81</v>
      </c>
      <c r="S217" s="20"/>
      <c r="T217" s="20"/>
      <c r="U217" s="20"/>
      <c r="V217" s="20"/>
      <c r="W217" s="20">
        <v>1</v>
      </c>
      <c r="X217" s="21" t="s">
        <v>37</v>
      </c>
      <c r="Y217" s="5"/>
      <c r="Z217" s="5" t="s">
        <v>38</v>
      </c>
      <c r="AA217" s="5"/>
      <c r="AB217" s="5" t="str">
        <f>IF(LEN('List chi tiet'!$B$3)=0,"",'List chi tiet'!$B$3)</f>
        <v>TCTN.DNS-26004</v>
      </c>
      <c r="AC217" s="5" t="s">
        <v>294</v>
      </c>
      <c r="AD217" s="5" t="s">
        <v>39</v>
      </c>
    </row>
    <row r="218" spans="1:30" hidden="1" x14ac:dyDescent="0.25">
      <c r="A218" s="5">
        <v>208</v>
      </c>
      <c r="B218" s="5" t="s">
        <v>310</v>
      </c>
      <c r="C218" s="5">
        <v>8</v>
      </c>
      <c r="D218" s="5">
        <v>124</v>
      </c>
      <c r="E218" s="5">
        <v>2523</v>
      </c>
      <c r="F218" s="5" t="s">
        <v>77</v>
      </c>
      <c r="G218" s="5" t="s">
        <v>746</v>
      </c>
      <c r="H218" s="5">
        <v>2</v>
      </c>
      <c r="I218" s="5">
        <v>39.29</v>
      </c>
      <c r="J218" s="5" t="s">
        <v>839</v>
      </c>
      <c r="K218" s="5" t="s">
        <v>812</v>
      </c>
      <c r="L218" s="5"/>
      <c r="M218" s="5" t="s">
        <v>747</v>
      </c>
      <c r="N218" s="5"/>
      <c r="O218" s="20"/>
      <c r="P218" s="20" t="str">
        <f t="shared" si="3"/>
        <v/>
      </c>
      <c r="Q218" s="20" t="s">
        <v>28</v>
      </c>
      <c r="R218" s="20" t="s">
        <v>81</v>
      </c>
      <c r="S218" s="20"/>
      <c r="T218" s="20"/>
      <c r="U218" s="20"/>
      <c r="V218" s="20"/>
      <c r="W218" s="20">
        <v>1</v>
      </c>
      <c r="X218" s="21" t="s">
        <v>37</v>
      </c>
      <c r="Y218" s="5"/>
      <c r="Z218" s="5" t="s">
        <v>38</v>
      </c>
      <c r="AA218" s="5"/>
      <c r="AB218" s="5" t="str">
        <f>IF(LEN('List chi tiet'!$B$3)=0,"",'List chi tiet'!$B$3)</f>
        <v>TCTN.DNS-26004</v>
      </c>
      <c r="AC218" s="5" t="s">
        <v>294</v>
      </c>
      <c r="AD218" s="5" t="s">
        <v>39</v>
      </c>
    </row>
    <row r="219" spans="1:30" hidden="1" x14ac:dyDescent="0.25">
      <c r="A219" s="5">
        <v>209</v>
      </c>
      <c r="B219" s="5" t="s">
        <v>312</v>
      </c>
      <c r="C219" s="5">
        <v>8</v>
      </c>
      <c r="D219" s="5">
        <v>150</v>
      </c>
      <c r="E219" s="5">
        <v>2523</v>
      </c>
      <c r="F219" s="5" t="s">
        <v>77</v>
      </c>
      <c r="G219" s="5" t="s">
        <v>746</v>
      </c>
      <c r="H219" s="5">
        <v>4</v>
      </c>
      <c r="I219" s="5">
        <v>95.07</v>
      </c>
      <c r="J219" s="5" t="s">
        <v>839</v>
      </c>
      <c r="K219" s="5" t="s">
        <v>812</v>
      </c>
      <c r="L219" s="5"/>
      <c r="M219" s="5" t="s">
        <v>747</v>
      </c>
      <c r="N219" s="5"/>
      <c r="O219" s="20"/>
      <c r="P219" s="20" t="str">
        <f t="shared" si="3"/>
        <v/>
      </c>
      <c r="Q219" s="20" t="s">
        <v>28</v>
      </c>
      <c r="R219" s="20" t="s">
        <v>81</v>
      </c>
      <c r="S219" s="20"/>
      <c r="T219" s="20"/>
      <c r="U219" s="20"/>
      <c r="V219" s="20"/>
      <c r="W219" s="20">
        <v>1</v>
      </c>
      <c r="X219" s="21" t="s">
        <v>37</v>
      </c>
      <c r="Y219" s="5"/>
      <c r="Z219" s="5" t="s">
        <v>38</v>
      </c>
      <c r="AA219" s="5"/>
      <c r="AB219" s="5" t="str">
        <f>IF(LEN('List chi tiet'!$B$3)=0,"",'List chi tiet'!$B$3)</f>
        <v>TCTN.DNS-26004</v>
      </c>
      <c r="AC219" s="5" t="s">
        <v>294</v>
      </c>
      <c r="AD219" s="5" t="s">
        <v>39</v>
      </c>
    </row>
    <row r="220" spans="1:30" hidden="1" x14ac:dyDescent="0.25">
      <c r="A220" s="5">
        <v>210</v>
      </c>
      <c r="B220" s="5" t="s">
        <v>280</v>
      </c>
      <c r="C220" s="5">
        <v>8</v>
      </c>
      <c r="D220" s="5">
        <v>124</v>
      </c>
      <c r="E220" s="5">
        <v>601</v>
      </c>
      <c r="F220" s="5" t="s">
        <v>77</v>
      </c>
      <c r="G220" s="5" t="s">
        <v>746</v>
      </c>
      <c r="H220" s="5">
        <v>3</v>
      </c>
      <c r="I220" s="5">
        <v>14.04</v>
      </c>
      <c r="J220" s="5" t="s">
        <v>839</v>
      </c>
      <c r="K220" s="5" t="s">
        <v>812</v>
      </c>
      <c r="L220" s="5"/>
      <c r="M220" s="5" t="s">
        <v>747</v>
      </c>
      <c r="N220" s="5"/>
      <c r="O220" s="20"/>
      <c r="P220" s="20" t="str">
        <f t="shared" si="3"/>
        <v/>
      </c>
      <c r="Q220" s="20" t="s">
        <v>28</v>
      </c>
      <c r="R220" s="20" t="s">
        <v>81</v>
      </c>
      <c r="S220" s="20"/>
      <c r="T220" s="20"/>
      <c r="U220" s="20"/>
      <c r="V220" s="20"/>
      <c r="W220" s="20">
        <v>1</v>
      </c>
      <c r="X220" s="21" t="s">
        <v>37</v>
      </c>
      <c r="Y220" s="5"/>
      <c r="Z220" s="5" t="s">
        <v>38</v>
      </c>
      <c r="AA220" s="5"/>
      <c r="AB220" s="5" t="str">
        <f>IF(LEN('List chi tiet'!$B$3)=0,"",'List chi tiet'!$B$3)</f>
        <v>TCTN.DNS-26004</v>
      </c>
      <c r="AC220" s="5" t="s">
        <v>294</v>
      </c>
      <c r="AD220" s="5" t="s">
        <v>39</v>
      </c>
    </row>
    <row r="221" spans="1:30" hidden="1" x14ac:dyDescent="0.25">
      <c r="A221" s="5">
        <v>211</v>
      </c>
      <c r="B221" s="5" t="s">
        <v>282</v>
      </c>
      <c r="C221" s="5">
        <v>8</v>
      </c>
      <c r="D221" s="5">
        <v>150</v>
      </c>
      <c r="E221" s="5">
        <v>1381</v>
      </c>
      <c r="F221" s="5" t="s">
        <v>77</v>
      </c>
      <c r="G221" s="5" t="s">
        <v>746</v>
      </c>
      <c r="H221" s="5">
        <v>3</v>
      </c>
      <c r="I221" s="5">
        <v>39.03</v>
      </c>
      <c r="J221" s="5" t="s">
        <v>839</v>
      </c>
      <c r="K221" s="5" t="s">
        <v>812</v>
      </c>
      <c r="L221" s="5"/>
      <c r="M221" s="5" t="s">
        <v>747</v>
      </c>
      <c r="N221" s="5"/>
      <c r="O221" s="20"/>
      <c r="P221" s="20" t="str">
        <f t="shared" si="3"/>
        <v/>
      </c>
      <c r="Q221" s="20" t="s">
        <v>28</v>
      </c>
      <c r="R221" s="20" t="s">
        <v>81</v>
      </c>
      <c r="S221" s="20"/>
      <c r="T221" s="20"/>
      <c r="U221" s="20"/>
      <c r="V221" s="20"/>
      <c r="W221" s="20">
        <v>1</v>
      </c>
      <c r="X221" s="21" t="s">
        <v>37</v>
      </c>
      <c r="Y221" s="5"/>
      <c r="Z221" s="5" t="s">
        <v>38</v>
      </c>
      <c r="AA221" s="5"/>
      <c r="AB221" s="5" t="str">
        <f>IF(LEN('List chi tiet'!$B$3)=0,"",'List chi tiet'!$B$3)</f>
        <v>TCTN.DNS-26004</v>
      </c>
      <c r="AC221" s="5" t="s">
        <v>294</v>
      </c>
      <c r="AD221" s="5" t="s">
        <v>39</v>
      </c>
    </row>
    <row r="222" spans="1:30" hidden="1" x14ac:dyDescent="0.25">
      <c r="A222" s="5">
        <v>212</v>
      </c>
      <c r="B222" s="5" t="s">
        <v>269</v>
      </c>
      <c r="C222" s="5">
        <v>8</v>
      </c>
      <c r="D222" s="5">
        <v>124</v>
      </c>
      <c r="E222" s="5">
        <v>792</v>
      </c>
      <c r="F222" s="5" t="s">
        <v>77</v>
      </c>
      <c r="G222" s="5" t="s">
        <v>746</v>
      </c>
      <c r="H222" s="5">
        <v>3</v>
      </c>
      <c r="I222" s="5">
        <v>18.5</v>
      </c>
      <c r="J222" s="5" t="s">
        <v>839</v>
      </c>
      <c r="K222" s="5" t="s">
        <v>812</v>
      </c>
      <c r="L222" s="5"/>
      <c r="M222" s="5" t="s">
        <v>747</v>
      </c>
      <c r="N222" s="5"/>
      <c r="O222" s="20"/>
      <c r="P222" s="20" t="str">
        <f t="shared" si="3"/>
        <v/>
      </c>
      <c r="Q222" s="20" t="s">
        <v>28</v>
      </c>
      <c r="R222" s="20" t="s">
        <v>81</v>
      </c>
      <c r="S222" s="20"/>
      <c r="T222" s="20"/>
      <c r="U222" s="20"/>
      <c r="V222" s="20"/>
      <c r="W222" s="20">
        <v>1</v>
      </c>
      <c r="X222" s="21" t="s">
        <v>37</v>
      </c>
      <c r="Y222" s="5"/>
      <c r="Z222" s="5" t="s">
        <v>38</v>
      </c>
      <c r="AA222" s="5"/>
      <c r="AB222" s="5" t="str">
        <f>IF(LEN('List chi tiet'!$B$3)=0,"",'List chi tiet'!$B$3)</f>
        <v>TCTN.DNS-26004</v>
      </c>
      <c r="AC222" s="5" t="s">
        <v>294</v>
      </c>
      <c r="AD222" s="5" t="s">
        <v>39</v>
      </c>
    </row>
    <row r="223" spans="1:30" hidden="1" x14ac:dyDescent="0.25">
      <c r="A223" s="5">
        <v>213</v>
      </c>
      <c r="B223" s="5" t="s">
        <v>313</v>
      </c>
      <c r="C223" s="5">
        <v>8</v>
      </c>
      <c r="D223" s="5">
        <v>158</v>
      </c>
      <c r="E223" s="5">
        <v>228</v>
      </c>
      <c r="F223" s="5" t="s">
        <v>77</v>
      </c>
      <c r="G223" s="5" t="s">
        <v>746</v>
      </c>
      <c r="H223" s="5">
        <v>18</v>
      </c>
      <c r="I223" s="5">
        <v>40.5</v>
      </c>
      <c r="J223" s="5" t="s">
        <v>839</v>
      </c>
      <c r="K223" s="5" t="s">
        <v>812</v>
      </c>
      <c r="L223" s="5"/>
      <c r="M223" s="5" t="s">
        <v>747</v>
      </c>
      <c r="N223" s="5"/>
      <c r="O223" s="20"/>
      <c r="P223" s="20" t="str">
        <f t="shared" si="3"/>
        <v/>
      </c>
      <c r="Q223" s="20" t="s">
        <v>26</v>
      </c>
      <c r="R223" s="20" t="s">
        <v>81</v>
      </c>
      <c r="S223" s="20"/>
      <c r="T223" s="20"/>
      <c r="U223" s="20"/>
      <c r="V223" s="20"/>
      <c r="W223" s="20">
        <v>1</v>
      </c>
      <c r="X223" s="21" t="s">
        <v>37</v>
      </c>
      <c r="Y223" s="5"/>
      <c r="Z223" s="5" t="s">
        <v>38</v>
      </c>
      <c r="AA223" s="5"/>
      <c r="AB223" s="5" t="str">
        <f>IF(LEN('List chi tiet'!$B$3)=0,"",'List chi tiet'!$B$3)</f>
        <v>TCTN.DNS-26004</v>
      </c>
      <c r="AC223" s="5" t="s">
        <v>315</v>
      </c>
      <c r="AD223" s="5" t="s">
        <v>39</v>
      </c>
    </row>
    <row r="224" spans="1:30" hidden="1" x14ac:dyDescent="0.25">
      <c r="A224" s="5">
        <v>214</v>
      </c>
      <c r="B224" s="5" t="s">
        <v>317</v>
      </c>
      <c r="C224" s="5">
        <v>8</v>
      </c>
      <c r="D224" s="5">
        <v>206</v>
      </c>
      <c r="E224" s="5">
        <v>465</v>
      </c>
      <c r="F224" s="5" t="s">
        <v>77</v>
      </c>
      <c r="G224" s="5" t="s">
        <v>746</v>
      </c>
      <c r="H224" s="5">
        <v>1</v>
      </c>
      <c r="I224" s="5">
        <v>6.01</v>
      </c>
      <c r="J224" s="5" t="s">
        <v>839</v>
      </c>
      <c r="K224" s="5" t="s">
        <v>812</v>
      </c>
      <c r="L224" s="5"/>
      <c r="M224" s="5" t="s">
        <v>747</v>
      </c>
      <c r="N224" s="5"/>
      <c r="O224" s="20"/>
      <c r="P224" s="20" t="str">
        <f t="shared" si="3"/>
        <v/>
      </c>
      <c r="Q224" s="20" t="s">
        <v>26</v>
      </c>
      <c r="R224" s="20" t="s">
        <v>81</v>
      </c>
      <c r="S224" s="20"/>
      <c r="T224" s="20"/>
      <c r="U224" s="20"/>
      <c r="V224" s="20"/>
      <c r="W224" s="20">
        <v>1</v>
      </c>
      <c r="X224" s="21" t="s">
        <v>37</v>
      </c>
      <c r="Y224" s="5"/>
      <c r="Z224" s="5" t="s">
        <v>38</v>
      </c>
      <c r="AA224" s="5"/>
      <c r="AB224" s="5" t="str">
        <f>IF(LEN('List chi tiet'!$B$3)=0,"",'List chi tiet'!$B$3)</f>
        <v>TCTN.DNS-26004</v>
      </c>
      <c r="AC224" s="5" t="s">
        <v>315</v>
      </c>
      <c r="AD224" s="5" t="s">
        <v>39</v>
      </c>
    </row>
    <row r="225" spans="1:30" hidden="1" x14ac:dyDescent="0.25">
      <c r="A225" s="5">
        <v>215</v>
      </c>
      <c r="B225" s="5" t="s">
        <v>319</v>
      </c>
      <c r="C225" s="5">
        <v>8</v>
      </c>
      <c r="D225" s="5">
        <v>196</v>
      </c>
      <c r="E225" s="5">
        <v>340</v>
      </c>
      <c r="F225" s="5" t="s">
        <v>77</v>
      </c>
      <c r="G225" s="5" t="s">
        <v>746</v>
      </c>
      <c r="H225" s="5">
        <v>2</v>
      </c>
      <c r="I225" s="5">
        <v>8.36</v>
      </c>
      <c r="J225" s="5" t="s">
        <v>839</v>
      </c>
      <c r="K225" s="5" t="s">
        <v>812</v>
      </c>
      <c r="L225" s="5"/>
      <c r="M225" s="5" t="s">
        <v>747</v>
      </c>
      <c r="N225" s="5"/>
      <c r="O225" s="20"/>
      <c r="P225" s="20" t="str">
        <f t="shared" si="3"/>
        <v/>
      </c>
      <c r="Q225" s="20" t="s">
        <v>26</v>
      </c>
      <c r="R225" s="20" t="s">
        <v>81</v>
      </c>
      <c r="S225" s="20"/>
      <c r="T225" s="20"/>
      <c r="U225" s="20"/>
      <c r="V225" s="20"/>
      <c r="W225" s="20">
        <v>1</v>
      </c>
      <c r="X225" s="21" t="s">
        <v>37</v>
      </c>
      <c r="Y225" s="5"/>
      <c r="Z225" s="5" t="s">
        <v>38</v>
      </c>
      <c r="AA225" s="5"/>
      <c r="AB225" s="5" t="str">
        <f>IF(LEN('List chi tiet'!$B$3)=0,"",'List chi tiet'!$B$3)</f>
        <v>TCTN.DNS-26004</v>
      </c>
      <c r="AC225" s="5" t="s">
        <v>315</v>
      </c>
      <c r="AD225" s="5" t="s">
        <v>39</v>
      </c>
    </row>
    <row r="226" spans="1:30" hidden="1" x14ac:dyDescent="0.25">
      <c r="A226" s="5">
        <v>216</v>
      </c>
      <c r="B226" s="5" t="s">
        <v>321</v>
      </c>
      <c r="C226" s="5">
        <v>8</v>
      </c>
      <c r="D226" s="5">
        <v>148</v>
      </c>
      <c r="E226" s="5">
        <v>324</v>
      </c>
      <c r="F226" s="5" t="s">
        <v>77</v>
      </c>
      <c r="G226" s="5" t="s">
        <v>746</v>
      </c>
      <c r="H226" s="5">
        <v>2</v>
      </c>
      <c r="I226" s="5">
        <v>6.02</v>
      </c>
      <c r="J226" s="5" t="s">
        <v>839</v>
      </c>
      <c r="K226" s="5" t="s">
        <v>812</v>
      </c>
      <c r="L226" s="5"/>
      <c r="M226" s="5" t="s">
        <v>747</v>
      </c>
      <c r="N226" s="5"/>
      <c r="O226" s="20"/>
      <c r="P226" s="20" t="str">
        <f t="shared" si="3"/>
        <v/>
      </c>
      <c r="Q226" s="20" t="s">
        <v>26</v>
      </c>
      <c r="R226" s="20" t="s">
        <v>81</v>
      </c>
      <c r="S226" s="20"/>
      <c r="T226" s="20"/>
      <c r="U226" s="20"/>
      <c r="V226" s="20"/>
      <c r="W226" s="20">
        <v>1</v>
      </c>
      <c r="X226" s="21" t="s">
        <v>37</v>
      </c>
      <c r="Y226" s="5"/>
      <c r="Z226" s="5" t="s">
        <v>38</v>
      </c>
      <c r="AA226" s="5"/>
      <c r="AB226" s="5" t="str">
        <f>IF(LEN('List chi tiet'!$B$3)=0,"",'List chi tiet'!$B$3)</f>
        <v>TCTN.DNS-26004</v>
      </c>
      <c r="AC226" s="5" t="s">
        <v>315</v>
      </c>
      <c r="AD226" s="5" t="s">
        <v>39</v>
      </c>
    </row>
    <row r="227" spans="1:30" hidden="1" x14ac:dyDescent="0.25">
      <c r="A227" s="5">
        <v>217</v>
      </c>
      <c r="B227" s="5" t="s">
        <v>323</v>
      </c>
      <c r="C227" s="5">
        <v>8</v>
      </c>
      <c r="D227" s="5">
        <v>160</v>
      </c>
      <c r="E227" s="5">
        <v>340</v>
      </c>
      <c r="F227" s="5" t="s">
        <v>77</v>
      </c>
      <c r="G227" s="5" t="s">
        <v>746</v>
      </c>
      <c r="H227" s="5">
        <v>2</v>
      </c>
      <c r="I227" s="5">
        <v>6.83</v>
      </c>
      <c r="J227" s="5" t="s">
        <v>839</v>
      </c>
      <c r="K227" s="5" t="s">
        <v>812</v>
      </c>
      <c r="L227" s="5"/>
      <c r="M227" s="5" t="s">
        <v>747</v>
      </c>
      <c r="N227" s="5"/>
      <c r="O227" s="20"/>
      <c r="P227" s="20" t="str">
        <f t="shared" si="3"/>
        <v/>
      </c>
      <c r="Q227" s="20" t="s">
        <v>26</v>
      </c>
      <c r="R227" s="20" t="s">
        <v>81</v>
      </c>
      <c r="S227" s="20"/>
      <c r="T227" s="20"/>
      <c r="U227" s="20"/>
      <c r="V227" s="20"/>
      <c r="W227" s="20">
        <v>1</v>
      </c>
      <c r="X227" s="21" t="s">
        <v>37</v>
      </c>
      <c r="Y227" s="5"/>
      <c r="Z227" s="5" t="s">
        <v>38</v>
      </c>
      <c r="AA227" s="5"/>
      <c r="AB227" s="5" t="str">
        <f>IF(LEN('List chi tiet'!$B$3)=0,"",'List chi tiet'!$B$3)</f>
        <v>TCTN.DNS-26004</v>
      </c>
      <c r="AC227" s="5" t="s">
        <v>315</v>
      </c>
      <c r="AD227" s="5" t="s">
        <v>39</v>
      </c>
    </row>
    <row r="228" spans="1:30" hidden="1" x14ac:dyDescent="0.25">
      <c r="A228" s="5">
        <v>218</v>
      </c>
      <c r="B228" s="5" t="s">
        <v>325</v>
      </c>
      <c r="C228" s="5">
        <v>8</v>
      </c>
      <c r="D228" s="5">
        <v>148</v>
      </c>
      <c r="E228" s="5">
        <v>441</v>
      </c>
      <c r="F228" s="5" t="s">
        <v>77</v>
      </c>
      <c r="G228" s="5" t="s">
        <v>746</v>
      </c>
      <c r="H228" s="5">
        <v>1</v>
      </c>
      <c r="I228" s="5">
        <v>4.0999999999999996</v>
      </c>
      <c r="J228" s="5" t="s">
        <v>839</v>
      </c>
      <c r="K228" s="5" t="s">
        <v>812</v>
      </c>
      <c r="L228" s="5"/>
      <c r="M228" s="5" t="s">
        <v>747</v>
      </c>
      <c r="N228" s="5"/>
      <c r="O228" s="20"/>
      <c r="P228" s="20" t="str">
        <f t="shared" si="3"/>
        <v/>
      </c>
      <c r="Q228" s="20" t="s">
        <v>26</v>
      </c>
      <c r="R228" s="20" t="s">
        <v>81</v>
      </c>
      <c r="S228" s="20"/>
      <c r="T228" s="20"/>
      <c r="U228" s="20"/>
      <c r="V228" s="20"/>
      <c r="W228" s="20">
        <v>1</v>
      </c>
      <c r="X228" s="21" t="s">
        <v>37</v>
      </c>
      <c r="Y228" s="5"/>
      <c r="Z228" s="5" t="s">
        <v>38</v>
      </c>
      <c r="AA228" s="5"/>
      <c r="AB228" s="5" t="str">
        <f>IF(LEN('List chi tiet'!$B$3)=0,"",'List chi tiet'!$B$3)</f>
        <v>TCTN.DNS-26004</v>
      </c>
      <c r="AC228" s="5" t="s">
        <v>315</v>
      </c>
      <c r="AD228" s="5" t="s">
        <v>39</v>
      </c>
    </row>
    <row r="229" spans="1:30" hidden="1" x14ac:dyDescent="0.25">
      <c r="A229" s="5">
        <v>219</v>
      </c>
      <c r="B229" s="5" t="s">
        <v>326</v>
      </c>
      <c r="C229" s="5">
        <v>8</v>
      </c>
      <c r="D229" s="5">
        <v>148</v>
      </c>
      <c r="E229" s="5">
        <v>324</v>
      </c>
      <c r="F229" s="5" t="s">
        <v>77</v>
      </c>
      <c r="G229" s="5" t="s">
        <v>746</v>
      </c>
      <c r="H229" s="5">
        <v>2</v>
      </c>
      <c r="I229" s="5">
        <v>6.02</v>
      </c>
      <c r="J229" s="5" t="s">
        <v>839</v>
      </c>
      <c r="K229" s="5" t="s">
        <v>812</v>
      </c>
      <c r="L229" s="5"/>
      <c r="M229" s="5" t="s">
        <v>747</v>
      </c>
      <c r="N229" s="5"/>
      <c r="O229" s="20"/>
      <c r="P229" s="20" t="str">
        <f t="shared" si="3"/>
        <v/>
      </c>
      <c r="Q229" s="20" t="s">
        <v>26</v>
      </c>
      <c r="R229" s="20" t="s">
        <v>81</v>
      </c>
      <c r="S229" s="20"/>
      <c r="T229" s="20"/>
      <c r="U229" s="20"/>
      <c r="V229" s="20"/>
      <c r="W229" s="20">
        <v>1</v>
      </c>
      <c r="X229" s="21" t="s">
        <v>37</v>
      </c>
      <c r="Y229" s="5"/>
      <c r="Z229" s="5" t="s">
        <v>38</v>
      </c>
      <c r="AA229" s="5"/>
      <c r="AB229" s="5" t="str">
        <f>IF(LEN('List chi tiet'!$B$3)=0,"",'List chi tiet'!$B$3)</f>
        <v>TCTN.DNS-26004</v>
      </c>
      <c r="AC229" s="5" t="s">
        <v>315</v>
      </c>
      <c r="AD229" s="5" t="s">
        <v>39</v>
      </c>
    </row>
    <row r="230" spans="1:30" hidden="1" x14ac:dyDescent="0.25">
      <c r="A230" s="5">
        <v>220</v>
      </c>
      <c r="B230" s="5" t="s">
        <v>327</v>
      </c>
      <c r="C230" s="5">
        <v>8</v>
      </c>
      <c r="D230" s="5">
        <v>148</v>
      </c>
      <c r="E230" s="5">
        <v>441</v>
      </c>
      <c r="F230" s="5" t="s">
        <v>77</v>
      </c>
      <c r="G230" s="5" t="s">
        <v>746</v>
      </c>
      <c r="H230" s="5">
        <v>2</v>
      </c>
      <c r="I230" s="5">
        <v>8.19</v>
      </c>
      <c r="J230" s="5" t="s">
        <v>839</v>
      </c>
      <c r="K230" s="5" t="s">
        <v>812</v>
      </c>
      <c r="L230" s="5"/>
      <c r="M230" s="5" t="s">
        <v>747</v>
      </c>
      <c r="N230" s="5"/>
      <c r="O230" s="20"/>
      <c r="P230" s="20" t="str">
        <f t="shared" si="3"/>
        <v/>
      </c>
      <c r="Q230" s="20" t="s">
        <v>26</v>
      </c>
      <c r="R230" s="20" t="s">
        <v>81</v>
      </c>
      <c r="S230" s="20"/>
      <c r="T230" s="20"/>
      <c r="U230" s="20"/>
      <c r="V230" s="20"/>
      <c r="W230" s="20">
        <v>1</v>
      </c>
      <c r="X230" s="21" t="s">
        <v>37</v>
      </c>
      <c r="Y230" s="5"/>
      <c r="Z230" s="5" t="s">
        <v>38</v>
      </c>
      <c r="AA230" s="5"/>
      <c r="AB230" s="5" t="str">
        <f>IF(LEN('List chi tiet'!$B$3)=0,"",'List chi tiet'!$B$3)</f>
        <v>TCTN.DNS-26004</v>
      </c>
      <c r="AC230" s="5" t="s">
        <v>315</v>
      </c>
      <c r="AD230" s="5" t="s">
        <v>39</v>
      </c>
    </row>
    <row r="231" spans="1:30" hidden="1" x14ac:dyDescent="0.25">
      <c r="A231" s="5">
        <v>221</v>
      </c>
      <c r="B231" s="5" t="s">
        <v>328</v>
      </c>
      <c r="C231" s="5">
        <v>8</v>
      </c>
      <c r="D231" s="5">
        <v>148</v>
      </c>
      <c r="E231" s="5">
        <v>324</v>
      </c>
      <c r="F231" s="5" t="s">
        <v>77</v>
      </c>
      <c r="G231" s="5" t="s">
        <v>746</v>
      </c>
      <c r="H231" s="5">
        <v>4</v>
      </c>
      <c r="I231" s="5">
        <v>12.03</v>
      </c>
      <c r="J231" s="5" t="s">
        <v>839</v>
      </c>
      <c r="K231" s="5" t="s">
        <v>812</v>
      </c>
      <c r="L231" s="5"/>
      <c r="M231" s="5" t="s">
        <v>747</v>
      </c>
      <c r="N231" s="5"/>
      <c r="O231" s="20"/>
      <c r="P231" s="20" t="str">
        <f t="shared" si="3"/>
        <v/>
      </c>
      <c r="Q231" s="20" t="s">
        <v>26</v>
      </c>
      <c r="R231" s="20" t="s">
        <v>81</v>
      </c>
      <c r="S231" s="20"/>
      <c r="T231" s="20"/>
      <c r="U231" s="20"/>
      <c r="V231" s="20"/>
      <c r="W231" s="20">
        <v>1</v>
      </c>
      <c r="X231" s="21" t="s">
        <v>37</v>
      </c>
      <c r="Y231" s="5"/>
      <c r="Z231" s="5" t="s">
        <v>38</v>
      </c>
      <c r="AA231" s="5"/>
      <c r="AB231" s="5" t="str">
        <f>IF(LEN('List chi tiet'!$B$3)=0,"",'List chi tiet'!$B$3)</f>
        <v>TCTN.DNS-26004</v>
      </c>
      <c r="AC231" s="5" t="s">
        <v>315</v>
      </c>
      <c r="AD231" s="5" t="s">
        <v>39</v>
      </c>
    </row>
    <row r="232" spans="1:30" hidden="1" x14ac:dyDescent="0.25">
      <c r="A232" s="5">
        <v>222</v>
      </c>
      <c r="B232" s="5" t="s">
        <v>296</v>
      </c>
      <c r="C232" s="5">
        <v>8</v>
      </c>
      <c r="D232" s="5">
        <v>329</v>
      </c>
      <c r="E232" s="5">
        <v>7565</v>
      </c>
      <c r="F232" s="5" t="s">
        <v>77</v>
      </c>
      <c r="G232" s="5" t="s">
        <v>746</v>
      </c>
      <c r="H232" s="5">
        <v>2</v>
      </c>
      <c r="I232" s="5">
        <v>309.73</v>
      </c>
      <c r="J232" s="5" t="s">
        <v>839</v>
      </c>
      <c r="K232" s="5" t="s">
        <v>812</v>
      </c>
      <c r="L232" s="5"/>
      <c r="M232" s="5" t="s">
        <v>747</v>
      </c>
      <c r="N232" s="5"/>
      <c r="O232" s="20" t="s">
        <v>228</v>
      </c>
      <c r="P232" s="20" t="str">
        <f t="shared" si="3"/>
        <v/>
      </c>
      <c r="Q232" s="20" t="s">
        <v>28</v>
      </c>
      <c r="R232" s="20" t="s">
        <v>81</v>
      </c>
      <c r="S232" s="20"/>
      <c r="T232" s="20"/>
      <c r="U232" s="20"/>
      <c r="V232" s="20"/>
      <c r="W232" s="20">
        <v>1</v>
      </c>
      <c r="X232" s="21" t="s">
        <v>37</v>
      </c>
      <c r="Y232" s="5"/>
      <c r="Z232" s="5" t="s">
        <v>38</v>
      </c>
      <c r="AA232" s="5"/>
      <c r="AB232" s="5" t="str">
        <f>IF(LEN('List chi tiet'!$B$3)=0,"",'List chi tiet'!$B$3)</f>
        <v>TCTN.DNS-26004</v>
      </c>
      <c r="AC232" s="5" t="s">
        <v>315</v>
      </c>
      <c r="AD232" s="5" t="s">
        <v>39</v>
      </c>
    </row>
    <row r="233" spans="1:30" hidden="1" x14ac:dyDescent="0.25">
      <c r="A233" s="5">
        <v>223</v>
      </c>
      <c r="B233" s="5" t="s">
        <v>329</v>
      </c>
      <c r="C233" s="5">
        <v>8</v>
      </c>
      <c r="D233" s="5">
        <v>206</v>
      </c>
      <c r="E233" s="5">
        <v>465</v>
      </c>
      <c r="F233" s="5" t="s">
        <v>77</v>
      </c>
      <c r="G233" s="5" t="s">
        <v>746</v>
      </c>
      <c r="H233" s="5">
        <v>1</v>
      </c>
      <c r="I233" s="5">
        <v>6.01</v>
      </c>
      <c r="J233" s="5" t="s">
        <v>839</v>
      </c>
      <c r="K233" s="5" t="s">
        <v>812</v>
      </c>
      <c r="L233" s="5"/>
      <c r="M233" s="5" t="s">
        <v>747</v>
      </c>
      <c r="N233" s="5"/>
      <c r="O233" s="20"/>
      <c r="P233" s="20" t="str">
        <f t="shared" si="3"/>
        <v/>
      </c>
      <c r="Q233" s="20" t="s">
        <v>26</v>
      </c>
      <c r="R233" s="20" t="s">
        <v>81</v>
      </c>
      <c r="S233" s="20"/>
      <c r="T233" s="20"/>
      <c r="U233" s="20"/>
      <c r="V233" s="20"/>
      <c r="W233" s="20">
        <v>1</v>
      </c>
      <c r="X233" s="21" t="s">
        <v>37</v>
      </c>
      <c r="Y233" s="5"/>
      <c r="Z233" s="5" t="s">
        <v>38</v>
      </c>
      <c r="AA233" s="5"/>
      <c r="AB233" s="5" t="str">
        <f>IF(LEN('List chi tiet'!$B$3)=0,"",'List chi tiet'!$B$3)</f>
        <v>TCTN.DNS-26004</v>
      </c>
      <c r="AC233" s="5" t="s">
        <v>315</v>
      </c>
      <c r="AD233" s="5" t="s">
        <v>39</v>
      </c>
    </row>
    <row r="234" spans="1:30" hidden="1" x14ac:dyDescent="0.25">
      <c r="A234" s="5">
        <v>224</v>
      </c>
      <c r="B234" s="5" t="s">
        <v>330</v>
      </c>
      <c r="C234" s="5">
        <v>8</v>
      </c>
      <c r="D234" s="5">
        <v>196</v>
      </c>
      <c r="E234" s="5">
        <v>340</v>
      </c>
      <c r="F234" s="5" t="s">
        <v>77</v>
      </c>
      <c r="G234" s="5" t="s">
        <v>746</v>
      </c>
      <c r="H234" s="5">
        <v>2</v>
      </c>
      <c r="I234" s="5">
        <v>8.36</v>
      </c>
      <c r="J234" s="5" t="s">
        <v>839</v>
      </c>
      <c r="K234" s="5" t="s">
        <v>812</v>
      </c>
      <c r="L234" s="5"/>
      <c r="M234" s="5" t="s">
        <v>747</v>
      </c>
      <c r="N234" s="5"/>
      <c r="O234" s="20"/>
      <c r="P234" s="20" t="str">
        <f t="shared" si="3"/>
        <v/>
      </c>
      <c r="Q234" s="20" t="s">
        <v>26</v>
      </c>
      <c r="R234" s="20" t="s">
        <v>81</v>
      </c>
      <c r="S234" s="20"/>
      <c r="T234" s="20"/>
      <c r="U234" s="20"/>
      <c r="V234" s="20"/>
      <c r="W234" s="20">
        <v>1</v>
      </c>
      <c r="X234" s="21" t="s">
        <v>37</v>
      </c>
      <c r="Y234" s="5"/>
      <c r="Z234" s="5" t="s">
        <v>38</v>
      </c>
      <c r="AA234" s="5"/>
      <c r="AB234" s="5" t="str">
        <f>IF(LEN('List chi tiet'!$B$3)=0,"",'List chi tiet'!$B$3)</f>
        <v>TCTN.DNS-26004</v>
      </c>
      <c r="AC234" s="5" t="s">
        <v>315</v>
      </c>
      <c r="AD234" s="5" t="s">
        <v>39</v>
      </c>
    </row>
    <row r="235" spans="1:30" hidden="1" x14ac:dyDescent="0.25">
      <c r="A235" s="5">
        <v>225</v>
      </c>
      <c r="B235" s="5" t="s">
        <v>331</v>
      </c>
      <c r="C235" s="5">
        <v>8</v>
      </c>
      <c r="D235" s="5">
        <v>148</v>
      </c>
      <c r="E235" s="5">
        <v>441</v>
      </c>
      <c r="F235" s="5" t="s">
        <v>77</v>
      </c>
      <c r="G235" s="5" t="s">
        <v>746</v>
      </c>
      <c r="H235" s="5">
        <v>1</v>
      </c>
      <c r="I235" s="5">
        <v>4.0999999999999996</v>
      </c>
      <c r="J235" s="5" t="s">
        <v>839</v>
      </c>
      <c r="K235" s="5" t="s">
        <v>812</v>
      </c>
      <c r="L235" s="5"/>
      <c r="M235" s="5" t="s">
        <v>747</v>
      </c>
      <c r="N235" s="5"/>
      <c r="O235" s="20"/>
      <c r="P235" s="20" t="str">
        <f t="shared" si="3"/>
        <v/>
      </c>
      <c r="Q235" s="20" t="s">
        <v>26</v>
      </c>
      <c r="R235" s="20" t="s">
        <v>81</v>
      </c>
      <c r="S235" s="20"/>
      <c r="T235" s="20"/>
      <c r="U235" s="20"/>
      <c r="V235" s="20"/>
      <c r="W235" s="20">
        <v>1</v>
      </c>
      <c r="X235" s="21" t="s">
        <v>37</v>
      </c>
      <c r="Y235" s="5"/>
      <c r="Z235" s="5" t="s">
        <v>38</v>
      </c>
      <c r="AA235" s="5"/>
      <c r="AB235" s="5" t="str">
        <f>IF(LEN('List chi tiet'!$B$3)=0,"",'List chi tiet'!$B$3)</f>
        <v>TCTN.DNS-26004</v>
      </c>
      <c r="AC235" s="5" t="s">
        <v>315</v>
      </c>
      <c r="AD235" s="5" t="s">
        <v>39</v>
      </c>
    </row>
    <row r="236" spans="1:30" hidden="1" x14ac:dyDescent="0.25">
      <c r="A236" s="5">
        <v>226</v>
      </c>
      <c r="B236" s="5" t="s">
        <v>332</v>
      </c>
      <c r="C236" s="5">
        <v>8</v>
      </c>
      <c r="D236" s="5">
        <v>148</v>
      </c>
      <c r="E236" s="5">
        <v>324</v>
      </c>
      <c r="F236" s="5" t="s">
        <v>77</v>
      </c>
      <c r="G236" s="5" t="s">
        <v>746</v>
      </c>
      <c r="H236" s="5">
        <v>2</v>
      </c>
      <c r="I236" s="5">
        <v>6.02</v>
      </c>
      <c r="J236" s="5" t="s">
        <v>839</v>
      </c>
      <c r="K236" s="5" t="s">
        <v>812</v>
      </c>
      <c r="L236" s="5"/>
      <c r="M236" s="5" t="s">
        <v>747</v>
      </c>
      <c r="N236" s="5"/>
      <c r="O236" s="20"/>
      <c r="P236" s="20" t="str">
        <f t="shared" si="3"/>
        <v/>
      </c>
      <c r="Q236" s="20" t="s">
        <v>26</v>
      </c>
      <c r="R236" s="20" t="s">
        <v>81</v>
      </c>
      <c r="S236" s="20"/>
      <c r="T236" s="20"/>
      <c r="U236" s="20"/>
      <c r="V236" s="20"/>
      <c r="W236" s="20">
        <v>1</v>
      </c>
      <c r="X236" s="21" t="s">
        <v>37</v>
      </c>
      <c r="Y236" s="5"/>
      <c r="Z236" s="5" t="s">
        <v>38</v>
      </c>
      <c r="AA236" s="5"/>
      <c r="AB236" s="5" t="str">
        <f>IF(LEN('List chi tiet'!$B$3)=0,"",'List chi tiet'!$B$3)</f>
        <v>TCTN.DNS-26004</v>
      </c>
      <c r="AC236" s="5" t="s">
        <v>315</v>
      </c>
      <c r="AD236" s="5" t="s">
        <v>39</v>
      </c>
    </row>
    <row r="237" spans="1:30" hidden="1" x14ac:dyDescent="0.25">
      <c r="A237" s="5">
        <v>227</v>
      </c>
      <c r="B237" s="5" t="s">
        <v>333</v>
      </c>
      <c r="C237" s="5">
        <v>8</v>
      </c>
      <c r="D237" s="5">
        <v>156</v>
      </c>
      <c r="E237" s="5">
        <v>465</v>
      </c>
      <c r="F237" s="5" t="s">
        <v>77</v>
      </c>
      <c r="G237" s="5" t="s">
        <v>746</v>
      </c>
      <c r="H237" s="5">
        <v>1</v>
      </c>
      <c r="I237" s="5">
        <v>4.55</v>
      </c>
      <c r="J237" s="5" t="s">
        <v>839</v>
      </c>
      <c r="K237" s="5" t="s">
        <v>812</v>
      </c>
      <c r="L237" s="5"/>
      <c r="M237" s="5" t="s">
        <v>747</v>
      </c>
      <c r="N237" s="5"/>
      <c r="O237" s="20"/>
      <c r="P237" s="20" t="str">
        <f t="shared" si="3"/>
        <v/>
      </c>
      <c r="Q237" s="20" t="s">
        <v>26</v>
      </c>
      <c r="R237" s="20" t="s">
        <v>81</v>
      </c>
      <c r="S237" s="20"/>
      <c r="T237" s="20"/>
      <c r="U237" s="20"/>
      <c r="V237" s="20"/>
      <c r="W237" s="20">
        <v>1</v>
      </c>
      <c r="X237" s="21" t="s">
        <v>37</v>
      </c>
      <c r="Y237" s="5"/>
      <c r="Z237" s="5" t="s">
        <v>38</v>
      </c>
      <c r="AA237" s="5"/>
      <c r="AB237" s="5" t="str">
        <f>IF(LEN('List chi tiet'!$B$3)=0,"",'List chi tiet'!$B$3)</f>
        <v>TCTN.DNS-26004</v>
      </c>
      <c r="AC237" s="5" t="s">
        <v>315</v>
      </c>
      <c r="AD237" s="5" t="s">
        <v>39</v>
      </c>
    </row>
    <row r="238" spans="1:30" hidden="1" x14ac:dyDescent="0.25">
      <c r="A238" s="5">
        <v>228</v>
      </c>
      <c r="B238" s="5" t="s">
        <v>334</v>
      </c>
      <c r="C238" s="5">
        <v>8</v>
      </c>
      <c r="D238" s="5">
        <v>160</v>
      </c>
      <c r="E238" s="5">
        <v>340</v>
      </c>
      <c r="F238" s="5" t="s">
        <v>77</v>
      </c>
      <c r="G238" s="5" t="s">
        <v>746</v>
      </c>
      <c r="H238" s="5">
        <v>2</v>
      </c>
      <c r="I238" s="5">
        <v>6.83</v>
      </c>
      <c r="J238" s="5" t="s">
        <v>839</v>
      </c>
      <c r="K238" s="5" t="s">
        <v>812</v>
      </c>
      <c r="L238" s="5"/>
      <c r="M238" s="5" t="s">
        <v>747</v>
      </c>
      <c r="N238" s="5"/>
      <c r="O238" s="20"/>
      <c r="P238" s="20" t="str">
        <f t="shared" si="3"/>
        <v/>
      </c>
      <c r="Q238" s="20" t="s">
        <v>26</v>
      </c>
      <c r="R238" s="20" t="s">
        <v>81</v>
      </c>
      <c r="S238" s="20"/>
      <c r="T238" s="20"/>
      <c r="U238" s="20"/>
      <c r="V238" s="20"/>
      <c r="W238" s="20">
        <v>1</v>
      </c>
      <c r="X238" s="21" t="s">
        <v>37</v>
      </c>
      <c r="Y238" s="5"/>
      <c r="Z238" s="5" t="s">
        <v>38</v>
      </c>
      <c r="AA238" s="5"/>
      <c r="AB238" s="5" t="str">
        <f>IF(LEN('List chi tiet'!$B$3)=0,"",'List chi tiet'!$B$3)</f>
        <v>TCTN.DNS-26004</v>
      </c>
      <c r="AC238" s="5" t="s">
        <v>315</v>
      </c>
      <c r="AD238" s="5" t="s">
        <v>39</v>
      </c>
    </row>
    <row r="239" spans="1:30" hidden="1" x14ac:dyDescent="0.25">
      <c r="A239" s="5">
        <v>229</v>
      </c>
      <c r="B239" s="5" t="s">
        <v>335</v>
      </c>
      <c r="C239" s="5">
        <v>8</v>
      </c>
      <c r="D239" s="5">
        <v>148</v>
      </c>
      <c r="E239" s="5">
        <v>441</v>
      </c>
      <c r="F239" s="5" t="s">
        <v>77</v>
      </c>
      <c r="G239" s="5" t="s">
        <v>746</v>
      </c>
      <c r="H239" s="5">
        <v>1</v>
      </c>
      <c r="I239" s="5">
        <v>4.0999999999999996</v>
      </c>
      <c r="J239" s="5" t="s">
        <v>839</v>
      </c>
      <c r="K239" s="5" t="s">
        <v>812</v>
      </c>
      <c r="L239" s="5"/>
      <c r="M239" s="5" t="s">
        <v>747</v>
      </c>
      <c r="N239" s="5"/>
      <c r="O239" s="20"/>
      <c r="P239" s="20" t="str">
        <f t="shared" si="3"/>
        <v/>
      </c>
      <c r="Q239" s="20" t="s">
        <v>26</v>
      </c>
      <c r="R239" s="20" t="s">
        <v>81</v>
      </c>
      <c r="S239" s="20"/>
      <c r="T239" s="20"/>
      <c r="U239" s="20"/>
      <c r="V239" s="20"/>
      <c r="W239" s="20">
        <v>1</v>
      </c>
      <c r="X239" s="21" t="s">
        <v>37</v>
      </c>
      <c r="Y239" s="5"/>
      <c r="Z239" s="5" t="s">
        <v>38</v>
      </c>
      <c r="AA239" s="5"/>
      <c r="AB239" s="5" t="str">
        <f>IF(LEN('List chi tiet'!$B$3)=0,"",'List chi tiet'!$B$3)</f>
        <v>TCTN.DNS-26004</v>
      </c>
      <c r="AC239" s="5" t="s">
        <v>315</v>
      </c>
      <c r="AD239" s="5" t="s">
        <v>39</v>
      </c>
    </row>
    <row r="240" spans="1:30" hidden="1" x14ac:dyDescent="0.25">
      <c r="A240" s="5">
        <v>230</v>
      </c>
      <c r="B240" s="5" t="s">
        <v>336</v>
      </c>
      <c r="C240" s="5">
        <v>8</v>
      </c>
      <c r="D240" s="5">
        <v>148</v>
      </c>
      <c r="E240" s="5">
        <v>324</v>
      </c>
      <c r="F240" s="5" t="s">
        <v>77</v>
      </c>
      <c r="G240" s="5" t="s">
        <v>746</v>
      </c>
      <c r="H240" s="5">
        <v>2</v>
      </c>
      <c r="I240" s="5">
        <v>6.02</v>
      </c>
      <c r="J240" s="5" t="s">
        <v>839</v>
      </c>
      <c r="K240" s="5" t="s">
        <v>812</v>
      </c>
      <c r="L240" s="5"/>
      <c r="M240" s="5" t="s">
        <v>747</v>
      </c>
      <c r="N240" s="5"/>
      <c r="O240" s="20"/>
      <c r="P240" s="20" t="str">
        <f t="shared" si="3"/>
        <v/>
      </c>
      <c r="Q240" s="20" t="s">
        <v>26</v>
      </c>
      <c r="R240" s="20" t="s">
        <v>81</v>
      </c>
      <c r="S240" s="20"/>
      <c r="T240" s="20"/>
      <c r="U240" s="20"/>
      <c r="V240" s="20"/>
      <c r="W240" s="20">
        <v>1</v>
      </c>
      <c r="X240" s="21" t="s">
        <v>37</v>
      </c>
      <c r="Y240" s="5"/>
      <c r="Z240" s="5" t="s">
        <v>38</v>
      </c>
      <c r="AA240" s="5"/>
      <c r="AB240" s="5" t="str">
        <f>IF(LEN('List chi tiet'!$B$3)=0,"",'List chi tiet'!$B$3)</f>
        <v>TCTN.DNS-26004</v>
      </c>
      <c r="AC240" s="5" t="s">
        <v>315</v>
      </c>
      <c r="AD240" s="5" t="s">
        <v>39</v>
      </c>
    </row>
    <row r="241" spans="1:30" hidden="1" x14ac:dyDescent="0.25">
      <c r="A241" s="5">
        <v>231</v>
      </c>
      <c r="B241" s="5" t="s">
        <v>337</v>
      </c>
      <c r="C241" s="5">
        <v>8</v>
      </c>
      <c r="D241" s="5">
        <v>148</v>
      </c>
      <c r="E241" s="5">
        <v>441</v>
      </c>
      <c r="F241" s="5" t="s">
        <v>77</v>
      </c>
      <c r="G241" s="5" t="s">
        <v>746</v>
      </c>
      <c r="H241" s="5">
        <v>2</v>
      </c>
      <c r="I241" s="5">
        <v>8.19</v>
      </c>
      <c r="J241" s="5" t="s">
        <v>839</v>
      </c>
      <c r="K241" s="5" t="s">
        <v>812</v>
      </c>
      <c r="L241" s="5"/>
      <c r="M241" s="5" t="s">
        <v>747</v>
      </c>
      <c r="N241" s="5"/>
      <c r="O241" s="20"/>
      <c r="P241" s="20" t="str">
        <f t="shared" si="3"/>
        <v/>
      </c>
      <c r="Q241" s="20" t="s">
        <v>26</v>
      </c>
      <c r="R241" s="20" t="s">
        <v>81</v>
      </c>
      <c r="S241" s="20"/>
      <c r="T241" s="20"/>
      <c r="U241" s="20"/>
      <c r="V241" s="20"/>
      <c r="W241" s="20">
        <v>1</v>
      </c>
      <c r="X241" s="21" t="s">
        <v>37</v>
      </c>
      <c r="Y241" s="5"/>
      <c r="Z241" s="5" t="s">
        <v>38</v>
      </c>
      <c r="AA241" s="5"/>
      <c r="AB241" s="5" t="str">
        <f>IF(LEN('List chi tiet'!$B$3)=0,"",'List chi tiet'!$B$3)</f>
        <v>TCTN.DNS-26004</v>
      </c>
      <c r="AC241" s="5" t="s">
        <v>315</v>
      </c>
      <c r="AD241" s="5" t="s">
        <v>39</v>
      </c>
    </row>
    <row r="242" spans="1:30" hidden="1" x14ac:dyDescent="0.25">
      <c r="A242" s="5">
        <v>232</v>
      </c>
      <c r="B242" s="5" t="s">
        <v>338</v>
      </c>
      <c r="C242" s="5">
        <v>8</v>
      </c>
      <c r="D242" s="5">
        <v>148</v>
      </c>
      <c r="E242" s="5">
        <v>324</v>
      </c>
      <c r="F242" s="5" t="s">
        <v>77</v>
      </c>
      <c r="G242" s="5" t="s">
        <v>746</v>
      </c>
      <c r="H242" s="5">
        <v>4</v>
      </c>
      <c r="I242" s="5">
        <v>12.03</v>
      </c>
      <c r="J242" s="5" t="s">
        <v>839</v>
      </c>
      <c r="K242" s="5" t="s">
        <v>812</v>
      </c>
      <c r="L242" s="5"/>
      <c r="M242" s="5" t="s">
        <v>747</v>
      </c>
      <c r="N242" s="5"/>
      <c r="O242" s="20"/>
      <c r="P242" s="20" t="str">
        <f t="shared" si="3"/>
        <v/>
      </c>
      <c r="Q242" s="20" t="s">
        <v>26</v>
      </c>
      <c r="R242" s="20" t="s">
        <v>81</v>
      </c>
      <c r="S242" s="20"/>
      <c r="T242" s="20"/>
      <c r="U242" s="20"/>
      <c r="V242" s="20"/>
      <c r="W242" s="20">
        <v>1</v>
      </c>
      <c r="X242" s="21" t="s">
        <v>37</v>
      </c>
      <c r="Y242" s="5"/>
      <c r="Z242" s="5" t="s">
        <v>38</v>
      </c>
      <c r="AA242" s="5"/>
      <c r="AB242" s="5" t="str">
        <f>IF(LEN('List chi tiet'!$B$3)=0,"",'List chi tiet'!$B$3)</f>
        <v>TCTN.DNS-26004</v>
      </c>
      <c r="AC242" s="5" t="s">
        <v>315</v>
      </c>
      <c r="AD242" s="5" t="s">
        <v>39</v>
      </c>
    </row>
    <row r="243" spans="1:30" hidden="1" x14ac:dyDescent="0.25">
      <c r="A243" s="5">
        <v>233</v>
      </c>
      <c r="B243" s="5" t="s">
        <v>298</v>
      </c>
      <c r="C243" s="5">
        <v>8</v>
      </c>
      <c r="D243" s="5">
        <v>329</v>
      </c>
      <c r="E243" s="5">
        <v>7566</v>
      </c>
      <c r="F243" s="5" t="s">
        <v>77</v>
      </c>
      <c r="G243" s="5" t="s">
        <v>746</v>
      </c>
      <c r="H243" s="5">
        <v>3</v>
      </c>
      <c r="I243" s="5">
        <v>464.63</v>
      </c>
      <c r="J243" s="5" t="s">
        <v>839</v>
      </c>
      <c r="K243" s="5" t="s">
        <v>812</v>
      </c>
      <c r="L243" s="5"/>
      <c r="M243" s="5" t="s">
        <v>747</v>
      </c>
      <c r="N243" s="5"/>
      <c r="O243" s="20" t="s">
        <v>228</v>
      </c>
      <c r="P243" s="20" t="str">
        <f t="shared" si="3"/>
        <v/>
      </c>
      <c r="Q243" s="20" t="s">
        <v>28</v>
      </c>
      <c r="R243" s="20" t="s">
        <v>81</v>
      </c>
      <c r="S243" s="20"/>
      <c r="T243" s="20"/>
      <c r="U243" s="20"/>
      <c r="V243" s="20"/>
      <c r="W243" s="20">
        <v>1</v>
      </c>
      <c r="X243" s="21" t="s">
        <v>37</v>
      </c>
      <c r="Y243" s="5"/>
      <c r="Z243" s="5" t="s">
        <v>38</v>
      </c>
      <c r="AA243" s="5"/>
      <c r="AB243" s="5" t="str">
        <f>IF(LEN('List chi tiet'!$B$3)=0,"",'List chi tiet'!$B$3)</f>
        <v>TCTN.DNS-26004</v>
      </c>
      <c r="AC243" s="5" t="s">
        <v>315</v>
      </c>
      <c r="AD243" s="5" t="s">
        <v>39</v>
      </c>
    </row>
    <row r="244" spans="1:30" hidden="1" x14ac:dyDescent="0.25">
      <c r="A244" s="5">
        <v>234</v>
      </c>
      <c r="B244" s="5" t="s">
        <v>339</v>
      </c>
      <c r="C244" s="5">
        <v>8</v>
      </c>
      <c r="D244" s="5">
        <v>142</v>
      </c>
      <c r="E244" s="5">
        <v>1799</v>
      </c>
      <c r="F244" s="5" t="s">
        <v>77</v>
      </c>
      <c r="G244" s="5" t="s">
        <v>746</v>
      </c>
      <c r="H244" s="5">
        <v>1</v>
      </c>
      <c r="I244" s="5">
        <v>16.04</v>
      </c>
      <c r="J244" s="5" t="s">
        <v>839</v>
      </c>
      <c r="K244" s="5" t="s">
        <v>812</v>
      </c>
      <c r="L244" s="5"/>
      <c r="M244" s="5" t="s">
        <v>747</v>
      </c>
      <c r="N244" s="5"/>
      <c r="O244" s="20"/>
      <c r="P244" s="20" t="str">
        <f t="shared" si="3"/>
        <v/>
      </c>
      <c r="Q244" s="20"/>
      <c r="R244" s="20" t="s">
        <v>81</v>
      </c>
      <c r="S244" s="20"/>
      <c r="T244" s="20"/>
      <c r="U244" s="20" t="s">
        <v>81</v>
      </c>
      <c r="V244" s="20"/>
      <c r="W244" s="20">
        <v>1</v>
      </c>
      <c r="X244" s="21" t="s">
        <v>37</v>
      </c>
      <c r="Y244" s="5"/>
      <c r="Z244" s="5" t="s">
        <v>38</v>
      </c>
      <c r="AA244" s="5"/>
      <c r="AB244" s="5" t="str">
        <f>IF(LEN('List chi tiet'!$B$3)=0,"",'List chi tiet'!$B$3)</f>
        <v>TCTN.DNS-26004</v>
      </c>
      <c r="AC244" s="5" t="s">
        <v>315</v>
      </c>
      <c r="AD244" s="5" t="s">
        <v>39</v>
      </c>
    </row>
    <row r="245" spans="1:30" hidden="1" x14ac:dyDescent="0.25">
      <c r="A245" s="5">
        <v>235</v>
      </c>
      <c r="B245" s="5" t="s">
        <v>341</v>
      </c>
      <c r="C245" s="5">
        <v>8</v>
      </c>
      <c r="D245" s="5">
        <v>74</v>
      </c>
      <c r="E245" s="5">
        <v>172</v>
      </c>
      <c r="F245" s="5" t="s">
        <v>77</v>
      </c>
      <c r="G245" s="5" t="s">
        <v>746</v>
      </c>
      <c r="H245" s="5">
        <v>2</v>
      </c>
      <c r="I245" s="5">
        <v>1.07</v>
      </c>
      <c r="J245" s="5" t="s">
        <v>839</v>
      </c>
      <c r="K245" s="5" t="s">
        <v>812</v>
      </c>
      <c r="L245" s="5"/>
      <c r="M245" s="5" t="s">
        <v>747</v>
      </c>
      <c r="N245" s="5"/>
      <c r="O245" s="20"/>
      <c r="P245" s="20" t="str">
        <f t="shared" si="3"/>
        <v/>
      </c>
      <c r="Q245" s="20" t="s">
        <v>26</v>
      </c>
      <c r="R245" s="20" t="s">
        <v>81</v>
      </c>
      <c r="S245" s="20"/>
      <c r="T245" s="20"/>
      <c r="U245" s="20"/>
      <c r="V245" s="20"/>
      <c r="W245" s="20">
        <v>1</v>
      </c>
      <c r="X245" s="21" t="s">
        <v>37</v>
      </c>
      <c r="Y245" s="5"/>
      <c r="Z245" s="5" t="s">
        <v>38</v>
      </c>
      <c r="AA245" s="5"/>
      <c r="AB245" s="5" t="str">
        <f>IF(LEN('List chi tiet'!$B$3)=0,"",'List chi tiet'!$B$3)</f>
        <v>TCTN.DNS-26004</v>
      </c>
      <c r="AC245" s="5" t="s">
        <v>315</v>
      </c>
      <c r="AD245" s="5" t="s">
        <v>39</v>
      </c>
    </row>
    <row r="246" spans="1:30" hidden="1" x14ac:dyDescent="0.25">
      <c r="A246" s="5">
        <v>236</v>
      </c>
      <c r="B246" s="5" t="s">
        <v>343</v>
      </c>
      <c r="C246" s="5">
        <v>8</v>
      </c>
      <c r="D246" s="5">
        <v>90</v>
      </c>
      <c r="E246" s="5">
        <v>150</v>
      </c>
      <c r="F246" s="5" t="s">
        <v>77</v>
      </c>
      <c r="G246" s="5" t="s">
        <v>746</v>
      </c>
      <c r="H246" s="5">
        <v>6</v>
      </c>
      <c r="I246" s="5">
        <v>3.71</v>
      </c>
      <c r="J246" s="5" t="s">
        <v>839</v>
      </c>
      <c r="K246" s="5" t="s">
        <v>812</v>
      </c>
      <c r="L246" s="5"/>
      <c r="M246" s="5" t="s">
        <v>747</v>
      </c>
      <c r="N246" s="5"/>
      <c r="O246" s="20"/>
      <c r="P246" s="20" t="str">
        <f t="shared" si="3"/>
        <v/>
      </c>
      <c r="Q246" s="20" t="s">
        <v>26</v>
      </c>
      <c r="R246" s="20" t="s">
        <v>81</v>
      </c>
      <c r="S246" s="20"/>
      <c r="T246" s="20"/>
      <c r="U246" s="20"/>
      <c r="V246" s="20"/>
      <c r="W246" s="20">
        <v>1</v>
      </c>
      <c r="X246" s="21" t="s">
        <v>37</v>
      </c>
      <c r="Y246" s="5"/>
      <c r="Z246" s="5" t="s">
        <v>38</v>
      </c>
      <c r="AA246" s="5"/>
      <c r="AB246" s="5" t="str">
        <f>IF(LEN('List chi tiet'!$B$3)=0,"",'List chi tiet'!$B$3)</f>
        <v>TCTN.DNS-26004</v>
      </c>
      <c r="AC246" s="5" t="s">
        <v>315</v>
      </c>
      <c r="AD246" s="5" t="s">
        <v>39</v>
      </c>
    </row>
    <row r="247" spans="1:30" hidden="1" x14ac:dyDescent="0.25">
      <c r="A247" s="5">
        <v>237</v>
      </c>
      <c r="B247" s="5" t="s">
        <v>344</v>
      </c>
      <c r="C247" s="5">
        <v>8</v>
      </c>
      <c r="D247" s="5">
        <v>142</v>
      </c>
      <c r="E247" s="5">
        <v>1799</v>
      </c>
      <c r="F247" s="5" t="s">
        <v>77</v>
      </c>
      <c r="G247" s="5" t="s">
        <v>746</v>
      </c>
      <c r="H247" s="5">
        <v>2</v>
      </c>
      <c r="I247" s="5">
        <v>32.090000000000003</v>
      </c>
      <c r="J247" s="5" t="s">
        <v>839</v>
      </c>
      <c r="K247" s="5" t="s">
        <v>812</v>
      </c>
      <c r="L247" s="5"/>
      <c r="M247" s="5" t="s">
        <v>747</v>
      </c>
      <c r="N247" s="5"/>
      <c r="O247" s="20"/>
      <c r="P247" s="20" t="str">
        <f t="shared" si="3"/>
        <v/>
      </c>
      <c r="Q247" s="20"/>
      <c r="R247" s="20" t="s">
        <v>81</v>
      </c>
      <c r="S247" s="20"/>
      <c r="T247" s="20"/>
      <c r="U247" s="20" t="s">
        <v>81</v>
      </c>
      <c r="V247" s="20"/>
      <c r="W247" s="20">
        <v>1</v>
      </c>
      <c r="X247" s="21" t="s">
        <v>37</v>
      </c>
      <c r="Y247" s="5"/>
      <c r="Z247" s="5" t="s">
        <v>38</v>
      </c>
      <c r="AA247" s="5"/>
      <c r="AB247" s="5" t="str">
        <f>IF(LEN('List chi tiet'!$B$3)=0,"",'List chi tiet'!$B$3)</f>
        <v>TCTN.DNS-26004</v>
      </c>
      <c r="AC247" s="5" t="s">
        <v>315</v>
      </c>
      <c r="AD247" s="5" t="s">
        <v>39</v>
      </c>
    </row>
    <row r="248" spans="1:30" hidden="1" x14ac:dyDescent="0.25">
      <c r="A248" s="5">
        <v>238</v>
      </c>
      <c r="B248" s="5" t="s">
        <v>229</v>
      </c>
      <c r="C248" s="5">
        <v>8</v>
      </c>
      <c r="D248" s="5">
        <v>90</v>
      </c>
      <c r="E248" s="5">
        <v>150</v>
      </c>
      <c r="F248" s="5" t="s">
        <v>77</v>
      </c>
      <c r="G248" s="5" t="s">
        <v>746</v>
      </c>
      <c r="H248" s="5">
        <v>9</v>
      </c>
      <c r="I248" s="5">
        <v>5.57</v>
      </c>
      <c r="J248" s="5" t="s">
        <v>839</v>
      </c>
      <c r="K248" s="5" t="s">
        <v>812</v>
      </c>
      <c r="L248" s="5"/>
      <c r="M248" s="5" t="s">
        <v>747</v>
      </c>
      <c r="N248" s="5"/>
      <c r="O248" s="20"/>
      <c r="P248" s="20" t="str">
        <f t="shared" si="3"/>
        <v/>
      </c>
      <c r="Q248" s="20" t="s">
        <v>26</v>
      </c>
      <c r="R248" s="20" t="s">
        <v>81</v>
      </c>
      <c r="S248" s="20"/>
      <c r="T248" s="20"/>
      <c r="U248" s="20"/>
      <c r="V248" s="20"/>
      <c r="W248" s="20">
        <v>1</v>
      </c>
      <c r="X248" s="21" t="s">
        <v>37</v>
      </c>
      <c r="Y248" s="5"/>
      <c r="Z248" s="5" t="s">
        <v>38</v>
      </c>
      <c r="AA248" s="5"/>
      <c r="AB248" s="5" t="str">
        <f>IF(LEN('List chi tiet'!$B$3)=0,"",'List chi tiet'!$B$3)</f>
        <v>TCTN.DNS-26004</v>
      </c>
      <c r="AC248" s="5" t="s">
        <v>315</v>
      </c>
      <c r="AD248" s="5" t="s">
        <v>39</v>
      </c>
    </row>
    <row r="249" spans="1:30" hidden="1" x14ac:dyDescent="0.25">
      <c r="A249" s="5">
        <v>239</v>
      </c>
      <c r="B249" s="5" t="s">
        <v>345</v>
      </c>
      <c r="C249" s="5">
        <v>8</v>
      </c>
      <c r="D249" s="5">
        <v>142</v>
      </c>
      <c r="E249" s="5">
        <v>1799</v>
      </c>
      <c r="F249" s="5" t="s">
        <v>77</v>
      </c>
      <c r="G249" s="5" t="s">
        <v>746</v>
      </c>
      <c r="H249" s="5">
        <v>1</v>
      </c>
      <c r="I249" s="5">
        <v>16.04</v>
      </c>
      <c r="J249" s="5" t="s">
        <v>839</v>
      </c>
      <c r="K249" s="5" t="s">
        <v>812</v>
      </c>
      <c r="L249" s="5"/>
      <c r="M249" s="5" t="s">
        <v>747</v>
      </c>
      <c r="N249" s="5"/>
      <c r="O249" s="20"/>
      <c r="P249" s="20" t="str">
        <f t="shared" si="3"/>
        <v/>
      </c>
      <c r="Q249" s="20"/>
      <c r="R249" s="20" t="s">
        <v>81</v>
      </c>
      <c r="S249" s="20"/>
      <c r="T249" s="20"/>
      <c r="U249" s="20" t="s">
        <v>81</v>
      </c>
      <c r="V249" s="20"/>
      <c r="W249" s="20">
        <v>1</v>
      </c>
      <c r="X249" s="21" t="s">
        <v>37</v>
      </c>
      <c r="Y249" s="5"/>
      <c r="Z249" s="5" t="s">
        <v>38</v>
      </c>
      <c r="AA249" s="5"/>
      <c r="AB249" s="5" t="str">
        <f>IF(LEN('List chi tiet'!$B$3)=0,"",'List chi tiet'!$B$3)</f>
        <v>TCTN.DNS-26004</v>
      </c>
      <c r="AC249" s="5" t="s">
        <v>315</v>
      </c>
      <c r="AD249" s="5" t="s">
        <v>39</v>
      </c>
    </row>
    <row r="250" spans="1:30" hidden="1" x14ac:dyDescent="0.25">
      <c r="A250" s="5">
        <v>240</v>
      </c>
      <c r="B250" s="5" t="s">
        <v>346</v>
      </c>
      <c r="C250" s="5">
        <v>8</v>
      </c>
      <c r="D250" s="5">
        <v>74</v>
      </c>
      <c r="E250" s="5">
        <v>172</v>
      </c>
      <c r="F250" s="5" t="s">
        <v>77</v>
      </c>
      <c r="G250" s="5" t="s">
        <v>746</v>
      </c>
      <c r="H250" s="5">
        <v>3</v>
      </c>
      <c r="I250" s="5">
        <v>1.6</v>
      </c>
      <c r="J250" s="5" t="s">
        <v>839</v>
      </c>
      <c r="K250" s="5" t="s">
        <v>812</v>
      </c>
      <c r="L250" s="5"/>
      <c r="M250" s="5" t="s">
        <v>747</v>
      </c>
      <c r="N250" s="5"/>
      <c r="O250" s="20"/>
      <c r="P250" s="20" t="str">
        <f t="shared" si="3"/>
        <v/>
      </c>
      <c r="Q250" s="20" t="s">
        <v>26</v>
      </c>
      <c r="R250" s="20" t="s">
        <v>81</v>
      </c>
      <c r="S250" s="20"/>
      <c r="T250" s="20"/>
      <c r="U250" s="20"/>
      <c r="V250" s="20"/>
      <c r="W250" s="20">
        <v>1</v>
      </c>
      <c r="X250" s="21" t="s">
        <v>37</v>
      </c>
      <c r="Y250" s="5"/>
      <c r="Z250" s="5" t="s">
        <v>38</v>
      </c>
      <c r="AA250" s="5"/>
      <c r="AB250" s="5" t="str">
        <f>IF(LEN('List chi tiet'!$B$3)=0,"",'List chi tiet'!$B$3)</f>
        <v>TCTN.DNS-26004</v>
      </c>
      <c r="AC250" s="5" t="s">
        <v>315</v>
      </c>
      <c r="AD250" s="5" t="s">
        <v>39</v>
      </c>
    </row>
    <row r="251" spans="1:30" hidden="1" x14ac:dyDescent="0.25">
      <c r="A251" s="5">
        <v>241</v>
      </c>
      <c r="B251" s="5" t="s">
        <v>347</v>
      </c>
      <c r="C251" s="5">
        <v>8</v>
      </c>
      <c r="D251" s="5">
        <v>90</v>
      </c>
      <c r="E251" s="5">
        <v>150</v>
      </c>
      <c r="F251" s="5" t="s">
        <v>77</v>
      </c>
      <c r="G251" s="5" t="s">
        <v>746</v>
      </c>
      <c r="H251" s="5">
        <v>5</v>
      </c>
      <c r="I251" s="5">
        <v>3.09</v>
      </c>
      <c r="J251" s="5" t="s">
        <v>839</v>
      </c>
      <c r="K251" s="5" t="s">
        <v>812</v>
      </c>
      <c r="L251" s="5"/>
      <c r="M251" s="5" t="s">
        <v>747</v>
      </c>
      <c r="N251" s="5"/>
      <c r="O251" s="20"/>
      <c r="P251" s="20" t="str">
        <f t="shared" si="3"/>
        <v/>
      </c>
      <c r="Q251" s="20" t="s">
        <v>26</v>
      </c>
      <c r="R251" s="20" t="s">
        <v>81</v>
      </c>
      <c r="S251" s="20"/>
      <c r="T251" s="20"/>
      <c r="U251" s="20"/>
      <c r="V251" s="20"/>
      <c r="W251" s="20">
        <v>1</v>
      </c>
      <c r="X251" s="21" t="s">
        <v>37</v>
      </c>
      <c r="Y251" s="5"/>
      <c r="Z251" s="5" t="s">
        <v>38</v>
      </c>
      <c r="AA251" s="5"/>
      <c r="AB251" s="5" t="str">
        <f>IF(LEN('List chi tiet'!$B$3)=0,"",'List chi tiet'!$B$3)</f>
        <v>TCTN.DNS-26004</v>
      </c>
      <c r="AC251" s="5" t="s">
        <v>315</v>
      </c>
      <c r="AD251" s="5" t="s">
        <v>39</v>
      </c>
    </row>
    <row r="252" spans="1:30" hidden="1" x14ac:dyDescent="0.25">
      <c r="A252" s="5">
        <v>242</v>
      </c>
      <c r="B252" s="5" t="s">
        <v>348</v>
      </c>
      <c r="C252" s="5">
        <v>8</v>
      </c>
      <c r="D252" s="5">
        <v>158</v>
      </c>
      <c r="E252" s="5">
        <v>228</v>
      </c>
      <c r="F252" s="5" t="s">
        <v>77</v>
      </c>
      <c r="G252" s="5" t="s">
        <v>746</v>
      </c>
      <c r="H252" s="5">
        <v>27</v>
      </c>
      <c r="I252" s="5">
        <v>59.73</v>
      </c>
      <c r="J252" s="5" t="s">
        <v>839</v>
      </c>
      <c r="K252" s="5" t="s">
        <v>812</v>
      </c>
      <c r="L252" s="5"/>
      <c r="M252" s="5" t="s">
        <v>747</v>
      </c>
      <c r="N252" s="5"/>
      <c r="O252" s="20"/>
      <c r="P252" s="20" t="str">
        <f t="shared" si="3"/>
        <v/>
      </c>
      <c r="Q252" s="20" t="s">
        <v>26</v>
      </c>
      <c r="R252" s="20" t="s">
        <v>81</v>
      </c>
      <c r="S252" s="20"/>
      <c r="T252" s="20"/>
      <c r="U252" s="20"/>
      <c r="V252" s="20"/>
      <c r="W252" s="20">
        <v>1</v>
      </c>
      <c r="X252" s="21" t="s">
        <v>37</v>
      </c>
      <c r="Y252" s="5"/>
      <c r="Z252" s="5" t="s">
        <v>38</v>
      </c>
      <c r="AA252" s="5"/>
      <c r="AB252" s="5" t="str">
        <f>IF(LEN('List chi tiet'!$B$3)=0,"",'List chi tiet'!$B$3)</f>
        <v>TCTN.DNS-26004</v>
      </c>
      <c r="AC252" s="5" t="s">
        <v>315</v>
      </c>
      <c r="AD252" s="5" t="s">
        <v>39</v>
      </c>
    </row>
    <row r="253" spans="1:30" hidden="1" x14ac:dyDescent="0.25">
      <c r="A253" s="5">
        <v>243</v>
      </c>
      <c r="B253" s="5" t="s">
        <v>306</v>
      </c>
      <c r="C253" s="5">
        <v>8</v>
      </c>
      <c r="D253" s="5">
        <v>124</v>
      </c>
      <c r="E253" s="5">
        <v>1882</v>
      </c>
      <c r="F253" s="5" t="s">
        <v>77</v>
      </c>
      <c r="G253" s="5" t="s">
        <v>746</v>
      </c>
      <c r="H253" s="5">
        <v>4</v>
      </c>
      <c r="I253" s="5">
        <v>58.62</v>
      </c>
      <c r="J253" s="5" t="s">
        <v>839</v>
      </c>
      <c r="K253" s="5" t="s">
        <v>812</v>
      </c>
      <c r="L253" s="5"/>
      <c r="M253" s="5" t="s">
        <v>747</v>
      </c>
      <c r="N253" s="5"/>
      <c r="O253" s="20"/>
      <c r="P253" s="20" t="str">
        <f t="shared" si="3"/>
        <v/>
      </c>
      <c r="Q253" s="20" t="s">
        <v>28</v>
      </c>
      <c r="R253" s="20" t="s">
        <v>81</v>
      </c>
      <c r="S253" s="20"/>
      <c r="T253" s="20"/>
      <c r="U253" s="20"/>
      <c r="V253" s="20"/>
      <c r="W253" s="20">
        <v>1</v>
      </c>
      <c r="X253" s="21" t="s">
        <v>37</v>
      </c>
      <c r="Y253" s="5"/>
      <c r="Z253" s="5" t="s">
        <v>38</v>
      </c>
      <c r="AA253" s="5"/>
      <c r="AB253" s="5" t="str">
        <f>IF(LEN('List chi tiet'!$B$3)=0,"",'List chi tiet'!$B$3)</f>
        <v>TCTN.DNS-26004</v>
      </c>
      <c r="AC253" s="5" t="s">
        <v>315</v>
      </c>
      <c r="AD253" s="5" t="s">
        <v>39</v>
      </c>
    </row>
    <row r="254" spans="1:30" hidden="1" x14ac:dyDescent="0.25">
      <c r="A254" s="5">
        <v>244</v>
      </c>
      <c r="B254" s="5" t="s">
        <v>308</v>
      </c>
      <c r="C254" s="5">
        <v>8</v>
      </c>
      <c r="D254" s="5">
        <v>150</v>
      </c>
      <c r="E254" s="5">
        <v>2523</v>
      </c>
      <c r="F254" s="5" t="s">
        <v>77</v>
      </c>
      <c r="G254" s="5" t="s">
        <v>746</v>
      </c>
      <c r="H254" s="5">
        <v>2</v>
      </c>
      <c r="I254" s="5">
        <v>47.53</v>
      </c>
      <c r="J254" s="5" t="s">
        <v>839</v>
      </c>
      <c r="K254" s="5" t="s">
        <v>812</v>
      </c>
      <c r="L254" s="5"/>
      <c r="M254" s="5" t="s">
        <v>747</v>
      </c>
      <c r="N254" s="5"/>
      <c r="O254" s="20"/>
      <c r="P254" s="20" t="str">
        <f t="shared" si="3"/>
        <v/>
      </c>
      <c r="Q254" s="20" t="s">
        <v>28</v>
      </c>
      <c r="R254" s="20" t="s">
        <v>81</v>
      </c>
      <c r="S254" s="20"/>
      <c r="T254" s="20"/>
      <c r="U254" s="20"/>
      <c r="V254" s="20"/>
      <c r="W254" s="20">
        <v>1</v>
      </c>
      <c r="X254" s="21" t="s">
        <v>37</v>
      </c>
      <c r="Y254" s="5"/>
      <c r="Z254" s="5" t="s">
        <v>38</v>
      </c>
      <c r="AA254" s="5"/>
      <c r="AB254" s="5" t="str">
        <f>IF(LEN('List chi tiet'!$B$3)=0,"",'List chi tiet'!$B$3)</f>
        <v>TCTN.DNS-26004</v>
      </c>
      <c r="AC254" s="5" t="s">
        <v>315</v>
      </c>
      <c r="AD254" s="5" t="s">
        <v>39</v>
      </c>
    </row>
    <row r="255" spans="1:30" hidden="1" x14ac:dyDescent="0.25">
      <c r="A255" s="5">
        <v>245</v>
      </c>
      <c r="B255" s="5" t="s">
        <v>310</v>
      </c>
      <c r="C255" s="5">
        <v>8</v>
      </c>
      <c r="D255" s="5">
        <v>124</v>
      </c>
      <c r="E255" s="5">
        <v>2523</v>
      </c>
      <c r="F255" s="5" t="s">
        <v>77</v>
      </c>
      <c r="G255" s="5" t="s">
        <v>746</v>
      </c>
      <c r="H255" s="5">
        <v>2</v>
      </c>
      <c r="I255" s="5">
        <v>39.29</v>
      </c>
      <c r="J255" s="5" t="s">
        <v>839</v>
      </c>
      <c r="K255" s="5" t="s">
        <v>812</v>
      </c>
      <c r="L255" s="5"/>
      <c r="M255" s="5" t="s">
        <v>747</v>
      </c>
      <c r="N255" s="5"/>
      <c r="O255" s="20"/>
      <c r="P255" s="20" t="str">
        <f t="shared" si="3"/>
        <v/>
      </c>
      <c r="Q255" s="20" t="s">
        <v>28</v>
      </c>
      <c r="R255" s="20" t="s">
        <v>81</v>
      </c>
      <c r="S255" s="20"/>
      <c r="T255" s="20"/>
      <c r="U255" s="20"/>
      <c r="V255" s="20"/>
      <c r="W255" s="20">
        <v>1</v>
      </c>
      <c r="X255" s="21" t="s">
        <v>37</v>
      </c>
      <c r="Y255" s="5"/>
      <c r="Z255" s="5" t="s">
        <v>38</v>
      </c>
      <c r="AA255" s="5"/>
      <c r="AB255" s="5" t="str">
        <f>IF(LEN('List chi tiet'!$B$3)=0,"",'List chi tiet'!$B$3)</f>
        <v>TCTN.DNS-26004</v>
      </c>
      <c r="AC255" s="5" t="s">
        <v>315</v>
      </c>
      <c r="AD255" s="5" t="s">
        <v>39</v>
      </c>
    </row>
    <row r="256" spans="1:30" hidden="1" x14ac:dyDescent="0.25">
      <c r="A256" s="5">
        <v>246</v>
      </c>
      <c r="B256" s="5" t="s">
        <v>349</v>
      </c>
      <c r="C256" s="5">
        <v>8</v>
      </c>
      <c r="D256" s="5">
        <v>124</v>
      </c>
      <c r="E256" s="5">
        <v>2523</v>
      </c>
      <c r="F256" s="5" t="s">
        <v>77</v>
      </c>
      <c r="G256" s="5" t="s">
        <v>746</v>
      </c>
      <c r="H256" s="5">
        <v>4</v>
      </c>
      <c r="I256" s="5">
        <v>78.59</v>
      </c>
      <c r="J256" s="5" t="s">
        <v>839</v>
      </c>
      <c r="K256" s="5" t="s">
        <v>812</v>
      </c>
      <c r="L256" s="5"/>
      <c r="M256" s="5" t="s">
        <v>747</v>
      </c>
      <c r="N256" s="5"/>
      <c r="O256" s="20"/>
      <c r="P256" s="20" t="str">
        <f t="shared" si="3"/>
        <v/>
      </c>
      <c r="Q256" s="20" t="s">
        <v>28</v>
      </c>
      <c r="R256" s="20" t="s">
        <v>81</v>
      </c>
      <c r="S256" s="20"/>
      <c r="T256" s="20"/>
      <c r="U256" s="20"/>
      <c r="V256" s="20"/>
      <c r="W256" s="20">
        <v>1</v>
      </c>
      <c r="X256" s="21" t="s">
        <v>37</v>
      </c>
      <c r="Y256" s="5"/>
      <c r="Z256" s="5" t="s">
        <v>38</v>
      </c>
      <c r="AA256" s="5"/>
      <c r="AB256" s="5" t="str">
        <f>IF(LEN('List chi tiet'!$B$3)=0,"",'List chi tiet'!$B$3)</f>
        <v>TCTN.DNS-26004</v>
      </c>
      <c r="AC256" s="5" t="s">
        <v>315</v>
      </c>
      <c r="AD256" s="5" t="s">
        <v>39</v>
      </c>
    </row>
    <row r="257" spans="1:30" hidden="1" x14ac:dyDescent="0.25">
      <c r="A257" s="5">
        <v>247</v>
      </c>
      <c r="B257" s="5" t="s">
        <v>350</v>
      </c>
      <c r="C257" s="5">
        <v>8</v>
      </c>
      <c r="D257" s="5">
        <v>150</v>
      </c>
      <c r="E257" s="5">
        <v>601</v>
      </c>
      <c r="F257" s="5" t="s">
        <v>77</v>
      </c>
      <c r="G257" s="5" t="s">
        <v>746</v>
      </c>
      <c r="H257" s="5">
        <v>4</v>
      </c>
      <c r="I257" s="5">
        <v>22.65</v>
      </c>
      <c r="J257" s="5" t="s">
        <v>839</v>
      </c>
      <c r="K257" s="5" t="s">
        <v>812</v>
      </c>
      <c r="L257" s="5"/>
      <c r="M257" s="5" t="s">
        <v>747</v>
      </c>
      <c r="N257" s="5"/>
      <c r="O257" s="20"/>
      <c r="P257" s="20" t="str">
        <f t="shared" si="3"/>
        <v/>
      </c>
      <c r="Q257" s="20" t="s">
        <v>28</v>
      </c>
      <c r="R257" s="20" t="s">
        <v>81</v>
      </c>
      <c r="S257" s="20"/>
      <c r="T257" s="20"/>
      <c r="U257" s="20"/>
      <c r="V257" s="20"/>
      <c r="W257" s="20">
        <v>1</v>
      </c>
      <c r="X257" s="21" t="s">
        <v>37</v>
      </c>
      <c r="Y257" s="5"/>
      <c r="Z257" s="5" t="s">
        <v>38</v>
      </c>
      <c r="AA257" s="5"/>
      <c r="AB257" s="5" t="str">
        <f>IF(LEN('List chi tiet'!$B$3)=0,"",'List chi tiet'!$B$3)</f>
        <v>TCTN.DNS-26004</v>
      </c>
      <c r="AC257" s="5" t="s">
        <v>315</v>
      </c>
      <c r="AD257" s="5" t="s">
        <v>39</v>
      </c>
    </row>
    <row r="258" spans="1:30" hidden="1" x14ac:dyDescent="0.25">
      <c r="A258" s="5">
        <v>248</v>
      </c>
      <c r="B258" s="5" t="s">
        <v>267</v>
      </c>
      <c r="C258" s="5">
        <v>8</v>
      </c>
      <c r="D258" s="5">
        <v>124</v>
      </c>
      <c r="E258" s="5">
        <v>6824</v>
      </c>
      <c r="F258" s="5" t="s">
        <v>77</v>
      </c>
      <c r="G258" s="5" t="s">
        <v>746</v>
      </c>
      <c r="H258" s="5">
        <v>1</v>
      </c>
      <c r="I258" s="5">
        <v>53.14</v>
      </c>
      <c r="J258" s="5" t="s">
        <v>839</v>
      </c>
      <c r="K258" s="5" t="s">
        <v>812</v>
      </c>
      <c r="L258" s="5"/>
      <c r="M258" s="5" t="s">
        <v>747</v>
      </c>
      <c r="N258" s="5"/>
      <c r="O258" s="20"/>
      <c r="P258" s="20" t="str">
        <f t="shared" si="3"/>
        <v/>
      </c>
      <c r="Q258" s="20" t="s">
        <v>28</v>
      </c>
      <c r="R258" s="20" t="s">
        <v>81</v>
      </c>
      <c r="S258" s="20"/>
      <c r="T258" s="20"/>
      <c r="U258" s="20"/>
      <c r="V258" s="20"/>
      <c r="W258" s="20">
        <v>1</v>
      </c>
      <c r="X258" s="21" t="s">
        <v>37</v>
      </c>
      <c r="Y258" s="5"/>
      <c r="Z258" s="5" t="s">
        <v>38</v>
      </c>
      <c r="AA258" s="5"/>
      <c r="AB258" s="5" t="str">
        <f>IF(LEN('List chi tiet'!$B$3)=0,"",'List chi tiet'!$B$3)</f>
        <v>TCTN.DNS-26004</v>
      </c>
      <c r="AC258" s="5" t="s">
        <v>315</v>
      </c>
      <c r="AD258" s="5" t="s">
        <v>39</v>
      </c>
    </row>
    <row r="259" spans="1:30" hidden="1" x14ac:dyDescent="0.25">
      <c r="A259" s="5">
        <v>249</v>
      </c>
      <c r="B259" s="5" t="s">
        <v>235</v>
      </c>
      <c r="C259" s="5">
        <v>8</v>
      </c>
      <c r="D259" s="5">
        <v>150</v>
      </c>
      <c r="E259" s="5">
        <v>792</v>
      </c>
      <c r="F259" s="5" t="s">
        <v>77</v>
      </c>
      <c r="G259" s="5" t="s">
        <v>746</v>
      </c>
      <c r="H259" s="5">
        <v>2</v>
      </c>
      <c r="I259" s="5">
        <v>14.92</v>
      </c>
      <c r="J259" s="5" t="s">
        <v>839</v>
      </c>
      <c r="K259" s="5" t="s">
        <v>812</v>
      </c>
      <c r="L259" s="5"/>
      <c r="M259" s="5" t="s">
        <v>747</v>
      </c>
      <c r="N259" s="5"/>
      <c r="O259" s="20"/>
      <c r="P259" s="20" t="str">
        <f t="shared" si="3"/>
        <v/>
      </c>
      <c r="Q259" s="20" t="s">
        <v>28</v>
      </c>
      <c r="R259" s="20" t="s">
        <v>81</v>
      </c>
      <c r="S259" s="20"/>
      <c r="T259" s="20"/>
      <c r="U259" s="20"/>
      <c r="V259" s="20"/>
      <c r="W259" s="20">
        <v>1</v>
      </c>
      <c r="X259" s="21" t="s">
        <v>37</v>
      </c>
      <c r="Y259" s="5"/>
      <c r="Z259" s="5" t="s">
        <v>38</v>
      </c>
      <c r="AA259" s="5"/>
      <c r="AB259" s="5" t="str">
        <f>IF(LEN('List chi tiet'!$B$3)=0,"",'List chi tiet'!$B$3)</f>
        <v>TCTN.DNS-26004</v>
      </c>
      <c r="AC259" s="5" t="s">
        <v>315</v>
      </c>
      <c r="AD259" s="5" t="s">
        <v>39</v>
      </c>
    </row>
    <row r="260" spans="1:30" hidden="1" x14ac:dyDescent="0.25">
      <c r="A260" s="5">
        <v>250</v>
      </c>
      <c r="B260" s="5" t="s">
        <v>352</v>
      </c>
      <c r="C260" s="5">
        <v>8</v>
      </c>
      <c r="D260" s="5">
        <v>142</v>
      </c>
      <c r="E260" s="5">
        <v>1799</v>
      </c>
      <c r="F260" s="5" t="s">
        <v>77</v>
      </c>
      <c r="G260" s="5" t="s">
        <v>746</v>
      </c>
      <c r="H260" s="5">
        <v>2</v>
      </c>
      <c r="I260" s="5">
        <v>32.090000000000003</v>
      </c>
      <c r="J260" s="5" t="s">
        <v>839</v>
      </c>
      <c r="K260" s="5" t="s">
        <v>812</v>
      </c>
      <c r="L260" s="5"/>
      <c r="M260" s="5" t="s">
        <v>747</v>
      </c>
      <c r="N260" s="5"/>
      <c r="O260" s="20"/>
      <c r="P260" s="20" t="str">
        <f t="shared" si="3"/>
        <v/>
      </c>
      <c r="Q260" s="20"/>
      <c r="R260" s="20" t="s">
        <v>81</v>
      </c>
      <c r="S260" s="20"/>
      <c r="T260" s="20"/>
      <c r="U260" s="20" t="s">
        <v>81</v>
      </c>
      <c r="V260" s="20"/>
      <c r="W260" s="20">
        <v>1</v>
      </c>
      <c r="X260" s="21" t="s">
        <v>37</v>
      </c>
      <c r="Y260" s="5"/>
      <c r="Z260" s="5" t="s">
        <v>38</v>
      </c>
      <c r="AA260" s="5"/>
      <c r="AB260" s="5" t="str">
        <f>IF(LEN('List chi tiet'!$B$3)=0,"",'List chi tiet'!$B$3)</f>
        <v>TCTN.DNS-26004</v>
      </c>
      <c r="AC260" s="5" t="s">
        <v>315</v>
      </c>
      <c r="AD260" s="5" t="s">
        <v>39</v>
      </c>
    </row>
    <row r="261" spans="1:30" hidden="1" x14ac:dyDescent="0.25">
      <c r="A261" s="5">
        <v>251</v>
      </c>
      <c r="B261" s="5" t="s">
        <v>341</v>
      </c>
      <c r="C261" s="5">
        <v>8</v>
      </c>
      <c r="D261" s="5">
        <v>74</v>
      </c>
      <c r="E261" s="5">
        <v>172</v>
      </c>
      <c r="F261" s="5" t="s">
        <v>77</v>
      </c>
      <c r="G261" s="5" t="s">
        <v>746</v>
      </c>
      <c r="H261" s="5">
        <v>1</v>
      </c>
      <c r="I261" s="5">
        <v>0.53</v>
      </c>
      <c r="J261" s="5" t="s">
        <v>839</v>
      </c>
      <c r="K261" s="5" t="s">
        <v>812</v>
      </c>
      <c r="L261" s="5"/>
      <c r="M261" s="5" t="s">
        <v>747</v>
      </c>
      <c r="N261" s="5"/>
      <c r="O261" s="20"/>
      <c r="P261" s="20" t="str">
        <f t="shared" si="3"/>
        <v/>
      </c>
      <c r="Q261" s="20" t="s">
        <v>26</v>
      </c>
      <c r="R261" s="20"/>
      <c r="S261" s="20" t="s">
        <v>81</v>
      </c>
      <c r="T261" s="20"/>
      <c r="U261" s="20"/>
      <c r="V261" s="20"/>
      <c r="W261" s="20">
        <v>1</v>
      </c>
      <c r="X261" s="21" t="s">
        <v>37</v>
      </c>
      <c r="Y261" s="5"/>
      <c r="Z261" s="5" t="s">
        <v>38</v>
      </c>
      <c r="AA261" s="5"/>
      <c r="AB261" s="5" t="str">
        <f>IF(LEN('List chi tiet'!$B$3)=0,"",'List chi tiet'!$B$3)</f>
        <v>TCTN.DNS-26004</v>
      </c>
      <c r="AC261" s="5" t="s">
        <v>354</v>
      </c>
      <c r="AD261" s="5" t="s">
        <v>355</v>
      </c>
    </row>
    <row r="262" spans="1:30" hidden="1" x14ac:dyDescent="0.25">
      <c r="A262" s="5">
        <v>252</v>
      </c>
      <c r="B262" s="5" t="s">
        <v>357</v>
      </c>
      <c r="C262" s="5">
        <v>8</v>
      </c>
      <c r="D262" s="5">
        <v>74</v>
      </c>
      <c r="E262" s="5">
        <v>172</v>
      </c>
      <c r="F262" s="5" t="s">
        <v>77</v>
      </c>
      <c r="G262" s="5" t="s">
        <v>746</v>
      </c>
      <c r="H262" s="5">
        <v>6</v>
      </c>
      <c r="I262" s="5">
        <v>3.2</v>
      </c>
      <c r="J262" s="5" t="s">
        <v>839</v>
      </c>
      <c r="K262" s="5" t="s">
        <v>812</v>
      </c>
      <c r="L262" s="5"/>
      <c r="M262" s="5" t="s">
        <v>747</v>
      </c>
      <c r="N262" s="5"/>
      <c r="O262" s="20"/>
      <c r="P262" s="20" t="str">
        <f t="shared" si="3"/>
        <v/>
      </c>
      <c r="Q262" s="20" t="s">
        <v>26</v>
      </c>
      <c r="R262" s="20"/>
      <c r="S262" s="20" t="s">
        <v>81</v>
      </c>
      <c r="T262" s="20"/>
      <c r="U262" s="20"/>
      <c r="V262" s="20"/>
      <c r="W262" s="20">
        <v>1</v>
      </c>
      <c r="X262" s="21" t="s">
        <v>37</v>
      </c>
      <c r="Y262" s="5"/>
      <c r="Z262" s="5" t="s">
        <v>38</v>
      </c>
      <c r="AA262" s="5"/>
      <c r="AB262" s="5" t="str">
        <f>IF(LEN('List chi tiet'!$B$3)=0,"",'List chi tiet'!$B$3)</f>
        <v>TCTN.DNS-26004</v>
      </c>
      <c r="AC262" s="5" t="s">
        <v>354</v>
      </c>
      <c r="AD262" s="5" t="s">
        <v>355</v>
      </c>
    </row>
    <row r="263" spans="1:30" hidden="1" x14ac:dyDescent="0.25">
      <c r="A263" s="5">
        <v>253</v>
      </c>
      <c r="B263" s="5" t="s">
        <v>347</v>
      </c>
      <c r="C263" s="5">
        <v>8</v>
      </c>
      <c r="D263" s="5">
        <v>90</v>
      </c>
      <c r="E263" s="5">
        <v>150</v>
      </c>
      <c r="F263" s="5" t="s">
        <v>77</v>
      </c>
      <c r="G263" s="5" t="s">
        <v>746</v>
      </c>
      <c r="H263" s="5">
        <v>1</v>
      </c>
      <c r="I263" s="5">
        <v>0.62</v>
      </c>
      <c r="J263" s="5" t="s">
        <v>839</v>
      </c>
      <c r="K263" s="5" t="s">
        <v>812</v>
      </c>
      <c r="L263" s="5"/>
      <c r="M263" s="5" t="s">
        <v>747</v>
      </c>
      <c r="N263" s="5"/>
      <c r="O263" s="20"/>
      <c r="P263" s="20" t="str">
        <f t="shared" si="3"/>
        <v/>
      </c>
      <c r="Q263" s="20" t="s">
        <v>26</v>
      </c>
      <c r="R263" s="20"/>
      <c r="S263" s="20" t="s">
        <v>81</v>
      </c>
      <c r="T263" s="20"/>
      <c r="U263" s="20"/>
      <c r="V263" s="20"/>
      <c r="W263" s="20">
        <v>1</v>
      </c>
      <c r="X263" s="21" t="s">
        <v>37</v>
      </c>
      <c r="Y263" s="5"/>
      <c r="Z263" s="5" t="s">
        <v>38</v>
      </c>
      <c r="AA263" s="5"/>
      <c r="AB263" s="5" t="str">
        <f>IF(LEN('List chi tiet'!$B$3)=0,"",'List chi tiet'!$B$3)</f>
        <v>TCTN.DNS-26004</v>
      </c>
      <c r="AC263" s="5" t="s">
        <v>354</v>
      </c>
      <c r="AD263" s="5" t="s">
        <v>355</v>
      </c>
    </row>
    <row r="264" spans="1:30" hidden="1" x14ac:dyDescent="0.25">
      <c r="A264" s="5">
        <v>254</v>
      </c>
      <c r="B264" s="5" t="s">
        <v>348</v>
      </c>
      <c r="C264" s="5">
        <v>8</v>
      </c>
      <c r="D264" s="5">
        <v>158</v>
      </c>
      <c r="E264" s="5">
        <v>228</v>
      </c>
      <c r="F264" s="5" t="s">
        <v>77</v>
      </c>
      <c r="G264" s="5" t="s">
        <v>746</v>
      </c>
      <c r="H264" s="5">
        <v>3</v>
      </c>
      <c r="I264" s="5">
        <v>6.64</v>
      </c>
      <c r="J264" s="5" t="s">
        <v>839</v>
      </c>
      <c r="K264" s="5" t="s">
        <v>812</v>
      </c>
      <c r="L264" s="5"/>
      <c r="M264" s="5" t="s">
        <v>747</v>
      </c>
      <c r="N264" s="5"/>
      <c r="O264" s="20"/>
      <c r="P264" s="20" t="str">
        <f t="shared" si="3"/>
        <v/>
      </c>
      <c r="Q264" s="20" t="s">
        <v>26</v>
      </c>
      <c r="R264" s="20"/>
      <c r="S264" s="20" t="s">
        <v>81</v>
      </c>
      <c r="T264" s="20"/>
      <c r="U264" s="20"/>
      <c r="V264" s="20"/>
      <c r="W264" s="20">
        <v>1</v>
      </c>
      <c r="X264" s="21" t="s">
        <v>37</v>
      </c>
      <c r="Y264" s="5"/>
      <c r="Z264" s="5" t="s">
        <v>38</v>
      </c>
      <c r="AA264" s="5"/>
      <c r="AB264" s="5" t="str">
        <f>IF(LEN('List chi tiet'!$B$3)=0,"",'List chi tiet'!$B$3)</f>
        <v>TCTN.DNS-26004</v>
      </c>
      <c r="AC264" s="5" t="s">
        <v>354</v>
      </c>
      <c r="AD264" s="5" t="s">
        <v>355</v>
      </c>
    </row>
    <row r="265" spans="1:30" hidden="1" x14ac:dyDescent="0.25">
      <c r="A265" s="5">
        <v>255</v>
      </c>
      <c r="B265" s="5" t="s">
        <v>358</v>
      </c>
      <c r="C265" s="5">
        <v>10</v>
      </c>
      <c r="D265" s="5">
        <v>350</v>
      </c>
      <c r="E265" s="5">
        <v>12000</v>
      </c>
      <c r="F265" s="5" t="s">
        <v>77</v>
      </c>
      <c r="G265" s="5" t="s">
        <v>746</v>
      </c>
      <c r="H265" s="5">
        <v>1</v>
      </c>
      <c r="I265" s="5">
        <v>329.7</v>
      </c>
      <c r="J265" s="5" t="s">
        <v>839</v>
      </c>
      <c r="K265" s="5" t="s">
        <v>812</v>
      </c>
      <c r="L265" s="5"/>
      <c r="M265" s="5" t="s">
        <v>747</v>
      </c>
      <c r="N265" s="5"/>
      <c r="O265" s="20"/>
      <c r="P265" s="20" t="str">
        <f t="shared" si="3"/>
        <v/>
      </c>
      <c r="Q265" s="20" t="s">
        <v>28</v>
      </c>
      <c r="R265" s="20" t="s">
        <v>81</v>
      </c>
      <c r="S265" s="20"/>
      <c r="T265" s="20"/>
      <c r="U265" s="20"/>
      <c r="V265" s="20" t="s">
        <v>81</v>
      </c>
      <c r="W265" s="20">
        <v>1</v>
      </c>
      <c r="X265" s="21" t="s">
        <v>37</v>
      </c>
      <c r="Y265" s="5"/>
      <c r="Z265" s="5" t="s">
        <v>38</v>
      </c>
      <c r="AA265" s="5"/>
      <c r="AB265" s="5" t="str">
        <f>IF(LEN('List chi tiet'!$B$3)=0,"",'List chi tiet'!$B$3)</f>
        <v>TCTN.DNS-26004</v>
      </c>
      <c r="AC265" s="5" t="s">
        <v>361</v>
      </c>
      <c r="AD265" s="5" t="s">
        <v>39</v>
      </c>
    </row>
    <row r="266" spans="1:30" hidden="1" x14ac:dyDescent="0.25">
      <c r="A266" s="5">
        <v>256</v>
      </c>
      <c r="B266" s="5" t="s">
        <v>363</v>
      </c>
      <c r="C266" s="5">
        <v>10</v>
      </c>
      <c r="D266" s="5">
        <v>350</v>
      </c>
      <c r="E266" s="5">
        <v>12000</v>
      </c>
      <c r="F266" s="5" t="s">
        <v>77</v>
      </c>
      <c r="G266" s="5" t="s">
        <v>746</v>
      </c>
      <c r="H266" s="5">
        <v>1</v>
      </c>
      <c r="I266" s="5">
        <v>329.7</v>
      </c>
      <c r="J266" s="5" t="s">
        <v>839</v>
      </c>
      <c r="K266" s="5" t="s">
        <v>812</v>
      </c>
      <c r="L266" s="5"/>
      <c r="M266" s="5" t="s">
        <v>747</v>
      </c>
      <c r="N266" s="5"/>
      <c r="O266" s="20"/>
      <c r="P266" s="20" t="str">
        <f t="shared" si="3"/>
        <v/>
      </c>
      <c r="Q266" s="20" t="s">
        <v>28</v>
      </c>
      <c r="R266" s="20" t="s">
        <v>81</v>
      </c>
      <c r="S266" s="20"/>
      <c r="T266" s="20"/>
      <c r="U266" s="20"/>
      <c r="V266" s="20" t="s">
        <v>81</v>
      </c>
      <c r="W266" s="20">
        <v>1</v>
      </c>
      <c r="X266" s="21" t="s">
        <v>37</v>
      </c>
      <c r="Y266" s="5"/>
      <c r="Z266" s="5" t="s">
        <v>38</v>
      </c>
      <c r="AA266" s="5"/>
      <c r="AB266" s="5" t="str">
        <f>IF(LEN('List chi tiet'!$B$3)=0,"",'List chi tiet'!$B$3)</f>
        <v>TCTN.DNS-26004</v>
      </c>
      <c r="AC266" s="5" t="s">
        <v>361</v>
      </c>
      <c r="AD266" s="5" t="s">
        <v>39</v>
      </c>
    </row>
    <row r="267" spans="1:30" hidden="1" x14ac:dyDescent="0.25">
      <c r="A267" s="5">
        <v>257</v>
      </c>
      <c r="B267" s="5" t="s">
        <v>364</v>
      </c>
      <c r="C267" s="5">
        <v>10</v>
      </c>
      <c r="D267" s="5">
        <v>380</v>
      </c>
      <c r="E267" s="5">
        <v>12000</v>
      </c>
      <c r="F267" s="5" t="s">
        <v>77</v>
      </c>
      <c r="G267" s="5" t="s">
        <v>746</v>
      </c>
      <c r="H267" s="5">
        <v>2</v>
      </c>
      <c r="I267" s="5">
        <v>715.91</v>
      </c>
      <c r="J267" s="5" t="s">
        <v>839</v>
      </c>
      <c r="K267" s="5" t="s">
        <v>812</v>
      </c>
      <c r="L267" s="5"/>
      <c r="M267" s="5" t="s">
        <v>747</v>
      </c>
      <c r="N267" s="5"/>
      <c r="O267" s="20"/>
      <c r="P267" s="20" t="str">
        <f t="shared" ref="P267:P330" si="4">IF(LEN($B$4)=0,"",$B$4)</f>
        <v/>
      </c>
      <c r="Q267" s="20" t="s">
        <v>28</v>
      </c>
      <c r="R267" s="20" t="s">
        <v>81</v>
      </c>
      <c r="S267" s="20"/>
      <c r="T267" s="20"/>
      <c r="U267" s="20"/>
      <c r="V267" s="20"/>
      <c r="W267" s="20">
        <v>1</v>
      </c>
      <c r="X267" s="21" t="s">
        <v>37</v>
      </c>
      <c r="Y267" s="5"/>
      <c r="Z267" s="5" t="s">
        <v>38</v>
      </c>
      <c r="AA267" s="5"/>
      <c r="AB267" s="5" t="str">
        <f>IF(LEN('List chi tiet'!$B$3)=0,"",'List chi tiet'!$B$3)</f>
        <v>TCTN.DNS-26004</v>
      </c>
      <c r="AC267" s="5" t="s">
        <v>361</v>
      </c>
      <c r="AD267" s="5" t="s">
        <v>39</v>
      </c>
    </row>
    <row r="268" spans="1:30" hidden="1" x14ac:dyDescent="0.25">
      <c r="A268" s="5">
        <v>258</v>
      </c>
      <c r="B268" s="5" t="s">
        <v>366</v>
      </c>
      <c r="C268" s="5">
        <v>10</v>
      </c>
      <c r="D268" s="5">
        <v>380</v>
      </c>
      <c r="E268" s="5">
        <v>12000</v>
      </c>
      <c r="F268" s="5" t="s">
        <v>77</v>
      </c>
      <c r="G268" s="5" t="s">
        <v>746</v>
      </c>
      <c r="H268" s="5">
        <v>2</v>
      </c>
      <c r="I268" s="5">
        <v>715.91</v>
      </c>
      <c r="J268" s="5" t="s">
        <v>839</v>
      </c>
      <c r="K268" s="5" t="s">
        <v>812</v>
      </c>
      <c r="L268" s="5"/>
      <c r="M268" s="5" t="s">
        <v>747</v>
      </c>
      <c r="N268" s="5"/>
      <c r="O268" s="20"/>
      <c r="P268" s="20" t="str">
        <f t="shared" si="4"/>
        <v/>
      </c>
      <c r="Q268" s="20" t="s">
        <v>28</v>
      </c>
      <c r="R268" s="20" t="s">
        <v>81</v>
      </c>
      <c r="S268" s="20"/>
      <c r="T268" s="20"/>
      <c r="U268" s="20"/>
      <c r="V268" s="20"/>
      <c r="W268" s="20">
        <v>1</v>
      </c>
      <c r="X268" s="21" t="s">
        <v>37</v>
      </c>
      <c r="Y268" s="5"/>
      <c r="Z268" s="5" t="s">
        <v>38</v>
      </c>
      <c r="AA268" s="5"/>
      <c r="AB268" s="5" t="str">
        <f>IF(LEN('List chi tiet'!$B$3)=0,"",'List chi tiet'!$B$3)</f>
        <v>TCTN.DNS-26004</v>
      </c>
      <c r="AC268" s="5" t="s">
        <v>367</v>
      </c>
      <c r="AD268" s="5" t="s">
        <v>39</v>
      </c>
    </row>
    <row r="269" spans="1:30" hidden="1" x14ac:dyDescent="0.25">
      <c r="A269" s="5">
        <v>259</v>
      </c>
      <c r="B269" s="5" t="s">
        <v>369</v>
      </c>
      <c r="C269" s="5">
        <v>10</v>
      </c>
      <c r="D269" s="5">
        <v>350</v>
      </c>
      <c r="E269" s="5">
        <v>12000</v>
      </c>
      <c r="F269" s="5" t="s">
        <v>77</v>
      </c>
      <c r="G269" s="5" t="s">
        <v>746</v>
      </c>
      <c r="H269" s="5">
        <v>1</v>
      </c>
      <c r="I269" s="5">
        <v>329.7</v>
      </c>
      <c r="J269" s="5" t="s">
        <v>839</v>
      </c>
      <c r="K269" s="5" t="s">
        <v>812</v>
      </c>
      <c r="L269" s="5"/>
      <c r="M269" s="5" t="s">
        <v>747</v>
      </c>
      <c r="N269" s="5"/>
      <c r="O269" s="20"/>
      <c r="P269" s="20" t="str">
        <f t="shared" si="4"/>
        <v/>
      </c>
      <c r="Q269" s="20" t="s">
        <v>28</v>
      </c>
      <c r="R269" s="20" t="s">
        <v>81</v>
      </c>
      <c r="S269" s="20"/>
      <c r="T269" s="20"/>
      <c r="U269" s="20"/>
      <c r="V269" s="20" t="s">
        <v>81</v>
      </c>
      <c r="W269" s="20">
        <v>1</v>
      </c>
      <c r="X269" s="21" t="s">
        <v>37</v>
      </c>
      <c r="Y269" s="5"/>
      <c r="Z269" s="5" t="s">
        <v>38</v>
      </c>
      <c r="AA269" s="5"/>
      <c r="AB269" s="5" t="str">
        <f>IF(LEN('List chi tiet'!$B$3)=0,"",'List chi tiet'!$B$3)</f>
        <v>TCTN.DNS-26004</v>
      </c>
      <c r="AC269" s="5" t="s">
        <v>367</v>
      </c>
      <c r="AD269" s="5" t="s">
        <v>39</v>
      </c>
    </row>
    <row r="270" spans="1:30" hidden="1" x14ac:dyDescent="0.25">
      <c r="A270" s="5">
        <v>260</v>
      </c>
      <c r="B270" s="5" t="s">
        <v>370</v>
      </c>
      <c r="C270" s="5">
        <v>10</v>
      </c>
      <c r="D270" s="5">
        <v>350</v>
      </c>
      <c r="E270" s="5">
        <v>12000</v>
      </c>
      <c r="F270" s="5" t="s">
        <v>77</v>
      </c>
      <c r="G270" s="5" t="s">
        <v>746</v>
      </c>
      <c r="H270" s="5">
        <v>1</v>
      </c>
      <c r="I270" s="5">
        <v>329.7</v>
      </c>
      <c r="J270" s="5" t="s">
        <v>839</v>
      </c>
      <c r="K270" s="5" t="s">
        <v>812</v>
      </c>
      <c r="L270" s="5"/>
      <c r="M270" s="5" t="s">
        <v>747</v>
      </c>
      <c r="N270" s="5"/>
      <c r="O270" s="20"/>
      <c r="P270" s="20" t="str">
        <f t="shared" si="4"/>
        <v/>
      </c>
      <c r="Q270" s="20" t="s">
        <v>28</v>
      </c>
      <c r="R270" s="20" t="s">
        <v>81</v>
      </c>
      <c r="S270" s="20"/>
      <c r="T270" s="20"/>
      <c r="U270" s="20"/>
      <c r="V270" s="20" t="s">
        <v>81</v>
      </c>
      <c r="W270" s="20">
        <v>1</v>
      </c>
      <c r="X270" s="21" t="s">
        <v>37</v>
      </c>
      <c r="Y270" s="5"/>
      <c r="Z270" s="5" t="s">
        <v>38</v>
      </c>
      <c r="AA270" s="5"/>
      <c r="AB270" s="5" t="str">
        <f>IF(LEN('List chi tiet'!$B$3)=0,"",'List chi tiet'!$B$3)</f>
        <v>TCTN.DNS-26004</v>
      </c>
      <c r="AC270" s="5" t="s">
        <v>367</v>
      </c>
      <c r="AD270" s="5" t="s">
        <v>39</v>
      </c>
    </row>
    <row r="271" spans="1:30" hidden="1" x14ac:dyDescent="0.25">
      <c r="A271" s="5">
        <v>261</v>
      </c>
      <c r="B271" s="5" t="s">
        <v>371</v>
      </c>
      <c r="C271" s="5">
        <v>10</v>
      </c>
      <c r="D271" s="5">
        <v>350</v>
      </c>
      <c r="E271" s="5">
        <v>12000</v>
      </c>
      <c r="F271" s="5" t="s">
        <v>77</v>
      </c>
      <c r="G271" s="5" t="s">
        <v>746</v>
      </c>
      <c r="H271" s="5">
        <v>2</v>
      </c>
      <c r="I271" s="5">
        <v>659.41</v>
      </c>
      <c r="J271" s="5" t="s">
        <v>839</v>
      </c>
      <c r="K271" s="5" t="s">
        <v>812</v>
      </c>
      <c r="L271" s="5"/>
      <c r="M271" s="5" t="s">
        <v>747</v>
      </c>
      <c r="N271" s="5"/>
      <c r="O271" s="20"/>
      <c r="P271" s="20" t="str">
        <f t="shared" si="4"/>
        <v/>
      </c>
      <c r="Q271" s="20" t="s">
        <v>28</v>
      </c>
      <c r="R271" s="20" t="s">
        <v>81</v>
      </c>
      <c r="S271" s="20"/>
      <c r="T271" s="20"/>
      <c r="U271" s="20"/>
      <c r="V271" s="20" t="s">
        <v>81</v>
      </c>
      <c r="W271" s="20">
        <v>1</v>
      </c>
      <c r="X271" s="21" t="s">
        <v>37</v>
      </c>
      <c r="Y271" s="5"/>
      <c r="Z271" s="5" t="s">
        <v>38</v>
      </c>
      <c r="AA271" s="5"/>
      <c r="AB271" s="5" t="str">
        <f>IF(LEN('List chi tiet'!$B$3)=0,"",'List chi tiet'!$B$3)</f>
        <v>TCTN.DNS-26004</v>
      </c>
      <c r="AC271" s="5" t="s">
        <v>372</v>
      </c>
      <c r="AD271" s="5" t="s">
        <v>39</v>
      </c>
    </row>
    <row r="272" spans="1:30" hidden="1" x14ac:dyDescent="0.25">
      <c r="A272" s="5">
        <v>262</v>
      </c>
      <c r="B272" s="5" t="s">
        <v>366</v>
      </c>
      <c r="C272" s="5">
        <v>10</v>
      </c>
      <c r="D272" s="5">
        <v>380</v>
      </c>
      <c r="E272" s="5">
        <v>12000</v>
      </c>
      <c r="F272" s="5" t="s">
        <v>77</v>
      </c>
      <c r="G272" s="5" t="s">
        <v>746</v>
      </c>
      <c r="H272" s="5">
        <v>2</v>
      </c>
      <c r="I272" s="5">
        <v>715.91</v>
      </c>
      <c r="J272" s="5" t="s">
        <v>839</v>
      </c>
      <c r="K272" s="5" t="s">
        <v>812</v>
      </c>
      <c r="L272" s="5"/>
      <c r="M272" s="5" t="s">
        <v>747</v>
      </c>
      <c r="N272" s="5"/>
      <c r="O272" s="20"/>
      <c r="P272" s="20" t="str">
        <f t="shared" si="4"/>
        <v/>
      </c>
      <c r="Q272" s="20" t="s">
        <v>28</v>
      </c>
      <c r="R272" s="20" t="s">
        <v>81</v>
      </c>
      <c r="S272" s="20"/>
      <c r="T272" s="20"/>
      <c r="U272" s="20"/>
      <c r="V272" s="20"/>
      <c r="W272" s="20">
        <v>1</v>
      </c>
      <c r="X272" s="21" t="s">
        <v>37</v>
      </c>
      <c r="Y272" s="5"/>
      <c r="Z272" s="5" t="s">
        <v>38</v>
      </c>
      <c r="AA272" s="5"/>
      <c r="AB272" s="5" t="str">
        <f>IF(LEN('List chi tiet'!$B$3)=0,"",'List chi tiet'!$B$3)</f>
        <v>TCTN.DNS-26004</v>
      </c>
      <c r="AC272" s="5" t="s">
        <v>372</v>
      </c>
      <c r="AD272" s="5" t="s">
        <v>39</v>
      </c>
    </row>
    <row r="273" spans="1:30" hidden="1" x14ac:dyDescent="0.25">
      <c r="A273" s="5">
        <v>263</v>
      </c>
      <c r="B273" s="5" t="s">
        <v>374</v>
      </c>
      <c r="C273" s="5">
        <v>10</v>
      </c>
      <c r="D273" s="5">
        <v>380</v>
      </c>
      <c r="E273" s="5">
        <v>12000</v>
      </c>
      <c r="F273" s="5" t="s">
        <v>77</v>
      </c>
      <c r="G273" s="5" t="s">
        <v>746</v>
      </c>
      <c r="H273" s="5">
        <v>2</v>
      </c>
      <c r="I273" s="5">
        <v>715.91</v>
      </c>
      <c r="J273" s="5" t="s">
        <v>839</v>
      </c>
      <c r="K273" s="5" t="s">
        <v>812</v>
      </c>
      <c r="L273" s="5"/>
      <c r="M273" s="5" t="s">
        <v>747</v>
      </c>
      <c r="N273" s="5"/>
      <c r="O273" s="20"/>
      <c r="P273" s="20" t="str">
        <f t="shared" si="4"/>
        <v/>
      </c>
      <c r="Q273" s="20" t="s">
        <v>28</v>
      </c>
      <c r="R273" s="20" t="s">
        <v>81</v>
      </c>
      <c r="S273" s="20"/>
      <c r="T273" s="20"/>
      <c r="U273" s="20"/>
      <c r="V273" s="20"/>
      <c r="W273" s="20">
        <v>1</v>
      </c>
      <c r="X273" s="21" t="s">
        <v>37</v>
      </c>
      <c r="Y273" s="5"/>
      <c r="Z273" s="5" t="s">
        <v>38</v>
      </c>
      <c r="AA273" s="5"/>
      <c r="AB273" s="5" t="str">
        <f>IF(LEN('List chi tiet'!$B$3)=0,"",'List chi tiet'!$B$3)</f>
        <v>TCTN.DNS-26004</v>
      </c>
      <c r="AC273" s="5" t="s">
        <v>375</v>
      </c>
      <c r="AD273" s="5" t="s">
        <v>39</v>
      </c>
    </row>
    <row r="274" spans="1:30" hidden="1" x14ac:dyDescent="0.25">
      <c r="A274" s="5">
        <v>264</v>
      </c>
      <c r="B274" s="5" t="s">
        <v>377</v>
      </c>
      <c r="C274" s="5">
        <v>10</v>
      </c>
      <c r="D274" s="5">
        <v>230</v>
      </c>
      <c r="E274" s="5">
        <v>12000</v>
      </c>
      <c r="F274" s="5" t="s">
        <v>77</v>
      </c>
      <c r="G274" s="5" t="s">
        <v>746</v>
      </c>
      <c r="H274" s="5">
        <v>3</v>
      </c>
      <c r="I274" s="5">
        <v>649.98</v>
      </c>
      <c r="J274" s="5" t="s">
        <v>839</v>
      </c>
      <c r="K274" s="5" t="s">
        <v>812</v>
      </c>
      <c r="L274" s="5"/>
      <c r="M274" s="5" t="s">
        <v>747</v>
      </c>
      <c r="N274" s="5"/>
      <c r="O274" s="20"/>
      <c r="P274" s="20" t="str">
        <f t="shared" si="4"/>
        <v/>
      </c>
      <c r="Q274" s="20" t="s">
        <v>28</v>
      </c>
      <c r="R274" s="20" t="s">
        <v>81</v>
      </c>
      <c r="S274" s="20"/>
      <c r="T274" s="20"/>
      <c r="U274" s="20"/>
      <c r="V274" s="20"/>
      <c r="W274" s="20">
        <v>1</v>
      </c>
      <c r="X274" s="21" t="s">
        <v>37</v>
      </c>
      <c r="Y274" s="5"/>
      <c r="Z274" s="5" t="s">
        <v>38</v>
      </c>
      <c r="AA274" s="5"/>
      <c r="AB274" s="5" t="str">
        <f>IF(LEN('List chi tiet'!$B$3)=0,"",'List chi tiet'!$B$3)</f>
        <v>TCTN.DNS-26004</v>
      </c>
      <c r="AC274" s="5" t="s">
        <v>375</v>
      </c>
      <c r="AD274" s="5" t="s">
        <v>39</v>
      </c>
    </row>
    <row r="275" spans="1:30" hidden="1" x14ac:dyDescent="0.25">
      <c r="A275" s="5">
        <v>265</v>
      </c>
      <c r="B275" s="5" t="s">
        <v>379</v>
      </c>
      <c r="C275" s="5">
        <v>10</v>
      </c>
      <c r="D275" s="5">
        <v>230</v>
      </c>
      <c r="E275" s="5">
        <v>9518</v>
      </c>
      <c r="F275" s="5" t="s">
        <v>77</v>
      </c>
      <c r="G275" s="5" t="s">
        <v>746</v>
      </c>
      <c r="H275" s="5">
        <v>2</v>
      </c>
      <c r="I275" s="5">
        <v>343.69</v>
      </c>
      <c r="J275" s="5" t="s">
        <v>839</v>
      </c>
      <c r="K275" s="5" t="s">
        <v>812</v>
      </c>
      <c r="L275" s="5"/>
      <c r="M275" s="5" t="s">
        <v>747</v>
      </c>
      <c r="N275" s="5"/>
      <c r="O275" s="20"/>
      <c r="P275" s="20" t="str">
        <f t="shared" si="4"/>
        <v/>
      </c>
      <c r="Q275" s="20" t="s">
        <v>28</v>
      </c>
      <c r="R275" s="20" t="s">
        <v>81</v>
      </c>
      <c r="S275" s="20"/>
      <c r="T275" s="20"/>
      <c r="U275" s="20"/>
      <c r="V275" s="20"/>
      <c r="W275" s="20">
        <v>1</v>
      </c>
      <c r="X275" s="21" t="s">
        <v>37</v>
      </c>
      <c r="Y275" s="5"/>
      <c r="Z275" s="5" t="s">
        <v>38</v>
      </c>
      <c r="AA275" s="5"/>
      <c r="AB275" s="5" t="str">
        <f>IF(LEN('List chi tiet'!$B$3)=0,"",'List chi tiet'!$B$3)</f>
        <v>TCTN.DNS-26004</v>
      </c>
      <c r="AC275" s="5" t="s">
        <v>381</v>
      </c>
      <c r="AD275" s="5" t="s">
        <v>39</v>
      </c>
    </row>
    <row r="276" spans="1:30" hidden="1" x14ac:dyDescent="0.25">
      <c r="A276" s="5">
        <v>266</v>
      </c>
      <c r="B276" s="5" t="s">
        <v>383</v>
      </c>
      <c r="C276" s="5">
        <v>10</v>
      </c>
      <c r="D276" s="5">
        <v>375</v>
      </c>
      <c r="E276" s="5">
        <v>500</v>
      </c>
      <c r="F276" s="5" t="s">
        <v>77</v>
      </c>
      <c r="G276" s="5" t="s">
        <v>746</v>
      </c>
      <c r="H276" s="5">
        <v>4</v>
      </c>
      <c r="I276" s="5">
        <v>58.88</v>
      </c>
      <c r="J276" s="5" t="s">
        <v>839</v>
      </c>
      <c r="K276" s="5" t="s">
        <v>812</v>
      </c>
      <c r="L276" s="5"/>
      <c r="M276" s="5" t="s">
        <v>747</v>
      </c>
      <c r="N276" s="5"/>
      <c r="O276" s="20"/>
      <c r="P276" s="20" t="str">
        <f t="shared" si="4"/>
        <v/>
      </c>
      <c r="Q276" s="20" t="s">
        <v>26</v>
      </c>
      <c r="R276" s="20" t="s">
        <v>81</v>
      </c>
      <c r="S276" s="20"/>
      <c r="T276" s="20"/>
      <c r="U276" s="20"/>
      <c r="V276" s="20"/>
      <c r="W276" s="20">
        <v>1</v>
      </c>
      <c r="X276" s="21" t="s">
        <v>37</v>
      </c>
      <c r="Y276" s="5"/>
      <c r="Z276" s="5" t="s">
        <v>38</v>
      </c>
      <c r="AA276" s="5"/>
      <c r="AB276" s="5" t="str">
        <f>IF(LEN('List chi tiet'!$B$3)=0,"",'List chi tiet'!$B$3)</f>
        <v>TCTN.DNS-26004</v>
      </c>
      <c r="AC276" s="5" t="s">
        <v>381</v>
      </c>
      <c r="AD276" s="5" t="s">
        <v>39</v>
      </c>
    </row>
    <row r="277" spans="1:30" hidden="1" x14ac:dyDescent="0.25">
      <c r="A277" s="5">
        <v>267</v>
      </c>
      <c r="B277" s="5" t="s">
        <v>385</v>
      </c>
      <c r="C277" s="5">
        <v>10</v>
      </c>
      <c r="D277" s="5">
        <v>375</v>
      </c>
      <c r="E277" s="5">
        <v>500</v>
      </c>
      <c r="F277" s="5" t="s">
        <v>77</v>
      </c>
      <c r="G277" s="5" t="s">
        <v>746</v>
      </c>
      <c r="H277" s="5">
        <v>2</v>
      </c>
      <c r="I277" s="5">
        <v>29.44</v>
      </c>
      <c r="J277" s="5" t="s">
        <v>839</v>
      </c>
      <c r="K277" s="5" t="s">
        <v>812</v>
      </c>
      <c r="L277" s="5"/>
      <c r="M277" s="5" t="s">
        <v>747</v>
      </c>
      <c r="N277" s="5"/>
      <c r="O277" s="20"/>
      <c r="P277" s="20" t="str">
        <f t="shared" si="4"/>
        <v/>
      </c>
      <c r="Q277" s="20" t="s">
        <v>26</v>
      </c>
      <c r="R277" s="20" t="s">
        <v>81</v>
      </c>
      <c r="S277" s="20"/>
      <c r="T277" s="20"/>
      <c r="U277" s="20"/>
      <c r="V277" s="20"/>
      <c r="W277" s="20">
        <v>1</v>
      </c>
      <c r="X277" s="21" t="s">
        <v>37</v>
      </c>
      <c r="Y277" s="5"/>
      <c r="Z277" s="5" t="s">
        <v>38</v>
      </c>
      <c r="AA277" s="5"/>
      <c r="AB277" s="5" t="str">
        <f>IF(LEN('List chi tiet'!$B$3)=0,"",'List chi tiet'!$B$3)</f>
        <v>TCTN.DNS-26004</v>
      </c>
      <c r="AC277" s="5" t="s">
        <v>381</v>
      </c>
      <c r="AD277" s="5" t="s">
        <v>39</v>
      </c>
    </row>
    <row r="278" spans="1:30" hidden="1" x14ac:dyDescent="0.25">
      <c r="A278" s="5">
        <v>268</v>
      </c>
      <c r="B278" s="5" t="s">
        <v>386</v>
      </c>
      <c r="C278" s="5">
        <v>10</v>
      </c>
      <c r="D278" s="5">
        <v>148</v>
      </c>
      <c r="E278" s="5">
        <v>441</v>
      </c>
      <c r="F278" s="5" t="s">
        <v>77</v>
      </c>
      <c r="G278" s="5" t="s">
        <v>746</v>
      </c>
      <c r="H278" s="5">
        <v>1</v>
      </c>
      <c r="I278" s="5">
        <v>5.0599999999999996</v>
      </c>
      <c r="J278" s="5" t="s">
        <v>839</v>
      </c>
      <c r="K278" s="5" t="s">
        <v>812</v>
      </c>
      <c r="L278" s="5"/>
      <c r="M278" s="5" t="s">
        <v>747</v>
      </c>
      <c r="N278" s="5"/>
      <c r="O278" s="20"/>
      <c r="P278" s="20" t="str">
        <f t="shared" si="4"/>
        <v/>
      </c>
      <c r="Q278" s="20" t="s">
        <v>26</v>
      </c>
      <c r="R278" s="20" t="s">
        <v>81</v>
      </c>
      <c r="S278" s="20"/>
      <c r="T278" s="20"/>
      <c r="U278" s="20"/>
      <c r="V278" s="20"/>
      <c r="W278" s="20">
        <v>1</v>
      </c>
      <c r="X278" s="21" t="s">
        <v>37</v>
      </c>
      <c r="Y278" s="5"/>
      <c r="Z278" s="5" t="s">
        <v>38</v>
      </c>
      <c r="AA278" s="5"/>
      <c r="AB278" s="5" t="str">
        <f>IF(LEN('List chi tiet'!$B$3)=0,"",'List chi tiet'!$B$3)</f>
        <v>TCTN.DNS-26004</v>
      </c>
      <c r="AC278" s="5" t="s">
        <v>381</v>
      </c>
      <c r="AD278" s="5" t="s">
        <v>39</v>
      </c>
    </row>
    <row r="279" spans="1:30" hidden="1" x14ac:dyDescent="0.25">
      <c r="A279" s="5">
        <v>269</v>
      </c>
      <c r="B279" s="5" t="s">
        <v>388</v>
      </c>
      <c r="C279" s="5">
        <v>10</v>
      </c>
      <c r="D279" s="5">
        <v>350</v>
      </c>
      <c r="E279" s="5">
        <v>12000</v>
      </c>
      <c r="F279" s="5" t="s">
        <v>77</v>
      </c>
      <c r="G279" s="5" t="s">
        <v>746</v>
      </c>
      <c r="H279" s="5">
        <v>2</v>
      </c>
      <c r="I279" s="5">
        <v>659.41</v>
      </c>
      <c r="J279" s="5" t="s">
        <v>839</v>
      </c>
      <c r="K279" s="5" t="s">
        <v>812</v>
      </c>
      <c r="L279" s="5"/>
      <c r="M279" s="5" t="s">
        <v>747</v>
      </c>
      <c r="N279" s="5"/>
      <c r="O279" s="20"/>
      <c r="P279" s="20" t="str">
        <f t="shared" si="4"/>
        <v/>
      </c>
      <c r="Q279" s="20" t="s">
        <v>28</v>
      </c>
      <c r="R279" s="20" t="s">
        <v>81</v>
      </c>
      <c r="S279" s="20"/>
      <c r="T279" s="20"/>
      <c r="U279" s="20"/>
      <c r="V279" s="20" t="s">
        <v>81</v>
      </c>
      <c r="W279" s="20">
        <v>1</v>
      </c>
      <c r="X279" s="21" t="s">
        <v>37</v>
      </c>
      <c r="Y279" s="5"/>
      <c r="Z279" s="5" t="s">
        <v>38</v>
      </c>
      <c r="AA279" s="5"/>
      <c r="AB279" s="5" t="str">
        <f>IF(LEN('List chi tiet'!$B$3)=0,"",'List chi tiet'!$B$3)</f>
        <v>TCTN.DNS-26004</v>
      </c>
      <c r="AC279" s="5" t="s">
        <v>381</v>
      </c>
      <c r="AD279" s="5" t="s">
        <v>39</v>
      </c>
    </row>
    <row r="280" spans="1:30" hidden="1" x14ac:dyDescent="0.25">
      <c r="A280" s="5">
        <v>270</v>
      </c>
      <c r="B280" s="5" t="s">
        <v>377</v>
      </c>
      <c r="C280" s="5">
        <v>10</v>
      </c>
      <c r="D280" s="5">
        <v>230</v>
      </c>
      <c r="E280" s="5">
        <v>12000</v>
      </c>
      <c r="F280" s="5" t="s">
        <v>77</v>
      </c>
      <c r="G280" s="5" t="s">
        <v>746</v>
      </c>
      <c r="H280" s="5">
        <v>1</v>
      </c>
      <c r="I280" s="5">
        <v>216.66</v>
      </c>
      <c r="J280" s="5" t="s">
        <v>839</v>
      </c>
      <c r="K280" s="5" t="s">
        <v>812</v>
      </c>
      <c r="L280" s="5"/>
      <c r="M280" s="5" t="s">
        <v>747</v>
      </c>
      <c r="N280" s="5"/>
      <c r="O280" s="20"/>
      <c r="P280" s="20" t="str">
        <f t="shared" si="4"/>
        <v/>
      </c>
      <c r="Q280" s="20" t="s">
        <v>28</v>
      </c>
      <c r="R280" s="20" t="s">
        <v>81</v>
      </c>
      <c r="S280" s="20"/>
      <c r="T280" s="20"/>
      <c r="U280" s="20"/>
      <c r="V280" s="20"/>
      <c r="W280" s="20">
        <v>1</v>
      </c>
      <c r="X280" s="21" t="s">
        <v>37</v>
      </c>
      <c r="Y280" s="5"/>
      <c r="Z280" s="5" t="s">
        <v>38</v>
      </c>
      <c r="AA280" s="5"/>
      <c r="AB280" s="5" t="str">
        <f>IF(LEN('List chi tiet'!$B$3)=0,"",'List chi tiet'!$B$3)</f>
        <v>TCTN.DNS-26004</v>
      </c>
      <c r="AC280" s="5" t="s">
        <v>381</v>
      </c>
      <c r="AD280" s="5" t="s">
        <v>39</v>
      </c>
    </row>
    <row r="281" spans="1:30" hidden="1" x14ac:dyDescent="0.25">
      <c r="A281" s="5">
        <v>271</v>
      </c>
      <c r="B281" s="5" t="s">
        <v>389</v>
      </c>
      <c r="C281" s="5">
        <v>10</v>
      </c>
      <c r="D281" s="5">
        <v>200</v>
      </c>
      <c r="E281" s="5">
        <v>9518</v>
      </c>
      <c r="F281" s="5" t="s">
        <v>77</v>
      </c>
      <c r="G281" s="5" t="s">
        <v>746</v>
      </c>
      <c r="H281" s="5">
        <v>3</v>
      </c>
      <c r="I281" s="5">
        <v>448.3</v>
      </c>
      <c r="J281" s="5" t="s">
        <v>839</v>
      </c>
      <c r="K281" s="5" t="s">
        <v>812</v>
      </c>
      <c r="L281" s="5"/>
      <c r="M281" s="5" t="s">
        <v>747</v>
      </c>
      <c r="N281" s="5"/>
      <c r="O281" s="20"/>
      <c r="P281" s="20" t="str">
        <f t="shared" si="4"/>
        <v/>
      </c>
      <c r="Q281" s="20" t="s">
        <v>28</v>
      </c>
      <c r="R281" s="20" t="s">
        <v>81</v>
      </c>
      <c r="S281" s="20"/>
      <c r="T281" s="20"/>
      <c r="U281" s="20"/>
      <c r="V281" s="20"/>
      <c r="W281" s="20">
        <v>1</v>
      </c>
      <c r="X281" s="21" t="s">
        <v>37</v>
      </c>
      <c r="Y281" s="5"/>
      <c r="Z281" s="5" t="s">
        <v>38</v>
      </c>
      <c r="AA281" s="5"/>
      <c r="AB281" s="5" t="str">
        <f>IF(LEN('List chi tiet'!$B$3)=0,"",'List chi tiet'!$B$3)</f>
        <v>TCTN.DNS-26004</v>
      </c>
      <c r="AC281" s="5" t="s">
        <v>391</v>
      </c>
      <c r="AD281" s="5" t="s">
        <v>39</v>
      </c>
    </row>
    <row r="282" spans="1:30" hidden="1" x14ac:dyDescent="0.25">
      <c r="A282" s="5">
        <v>272</v>
      </c>
      <c r="B282" s="5" t="s">
        <v>379</v>
      </c>
      <c r="C282" s="5">
        <v>10</v>
      </c>
      <c r="D282" s="5">
        <v>230</v>
      </c>
      <c r="E282" s="5">
        <v>9518</v>
      </c>
      <c r="F282" s="5" t="s">
        <v>77</v>
      </c>
      <c r="G282" s="5" t="s">
        <v>746</v>
      </c>
      <c r="H282" s="5">
        <v>2</v>
      </c>
      <c r="I282" s="5">
        <v>343.69</v>
      </c>
      <c r="J282" s="5" t="s">
        <v>839</v>
      </c>
      <c r="K282" s="5" t="s">
        <v>812</v>
      </c>
      <c r="L282" s="5"/>
      <c r="M282" s="5" t="s">
        <v>747</v>
      </c>
      <c r="N282" s="5"/>
      <c r="O282" s="20"/>
      <c r="P282" s="20" t="str">
        <f t="shared" si="4"/>
        <v/>
      </c>
      <c r="Q282" s="20" t="s">
        <v>28</v>
      </c>
      <c r="R282" s="20" t="s">
        <v>81</v>
      </c>
      <c r="S282" s="20"/>
      <c r="T282" s="20"/>
      <c r="U282" s="20"/>
      <c r="V282" s="20"/>
      <c r="W282" s="20">
        <v>1</v>
      </c>
      <c r="X282" s="21" t="s">
        <v>37</v>
      </c>
      <c r="Y282" s="5"/>
      <c r="Z282" s="5" t="s">
        <v>38</v>
      </c>
      <c r="AA282" s="5"/>
      <c r="AB282" s="5" t="str">
        <f>IF(LEN('List chi tiet'!$B$3)=0,"",'List chi tiet'!$B$3)</f>
        <v>TCTN.DNS-26004</v>
      </c>
      <c r="AC282" s="5" t="s">
        <v>391</v>
      </c>
      <c r="AD282" s="5" t="s">
        <v>39</v>
      </c>
    </row>
    <row r="283" spans="1:30" hidden="1" x14ac:dyDescent="0.25">
      <c r="A283" s="5">
        <v>273</v>
      </c>
      <c r="B283" s="5" t="s">
        <v>393</v>
      </c>
      <c r="C283" s="5">
        <v>10</v>
      </c>
      <c r="D283" s="5">
        <v>240</v>
      </c>
      <c r="E283" s="5">
        <v>375</v>
      </c>
      <c r="F283" s="5" t="s">
        <v>77</v>
      </c>
      <c r="G283" s="5" t="s">
        <v>746</v>
      </c>
      <c r="H283" s="5">
        <v>4</v>
      </c>
      <c r="I283" s="5">
        <v>28.26</v>
      </c>
      <c r="J283" s="5" t="s">
        <v>839</v>
      </c>
      <c r="K283" s="5" t="s">
        <v>812</v>
      </c>
      <c r="L283" s="5"/>
      <c r="M283" s="5" t="s">
        <v>747</v>
      </c>
      <c r="N283" s="5"/>
      <c r="O283" s="20"/>
      <c r="P283" s="20" t="str">
        <f t="shared" si="4"/>
        <v/>
      </c>
      <c r="Q283" s="20" t="s">
        <v>26</v>
      </c>
      <c r="R283" s="20" t="s">
        <v>81</v>
      </c>
      <c r="S283" s="20"/>
      <c r="T283" s="20"/>
      <c r="U283" s="20"/>
      <c r="V283" s="20"/>
      <c r="W283" s="20">
        <v>1</v>
      </c>
      <c r="X283" s="21" t="s">
        <v>37</v>
      </c>
      <c r="Y283" s="5"/>
      <c r="Z283" s="5" t="s">
        <v>38</v>
      </c>
      <c r="AA283" s="5"/>
      <c r="AB283" s="5" t="str">
        <f>IF(LEN('List chi tiet'!$B$3)=0,"",'List chi tiet'!$B$3)</f>
        <v>TCTN.DNS-26004</v>
      </c>
      <c r="AC283" s="5" t="s">
        <v>391</v>
      </c>
      <c r="AD283" s="5" t="s">
        <v>39</v>
      </c>
    </row>
    <row r="284" spans="1:30" hidden="1" x14ac:dyDescent="0.25">
      <c r="A284" s="5">
        <v>274</v>
      </c>
      <c r="B284" s="5" t="s">
        <v>395</v>
      </c>
      <c r="C284" s="5">
        <v>10</v>
      </c>
      <c r="D284" s="5">
        <v>240</v>
      </c>
      <c r="E284" s="5">
        <v>375</v>
      </c>
      <c r="F284" s="5" t="s">
        <v>77</v>
      </c>
      <c r="G284" s="5" t="s">
        <v>746</v>
      </c>
      <c r="H284" s="5">
        <v>2</v>
      </c>
      <c r="I284" s="5">
        <v>14.13</v>
      </c>
      <c r="J284" s="5" t="s">
        <v>839</v>
      </c>
      <c r="K284" s="5" t="s">
        <v>812</v>
      </c>
      <c r="L284" s="5"/>
      <c r="M284" s="5" t="s">
        <v>747</v>
      </c>
      <c r="N284" s="5"/>
      <c r="O284" s="20"/>
      <c r="P284" s="20" t="str">
        <f t="shared" si="4"/>
        <v/>
      </c>
      <c r="Q284" s="20" t="s">
        <v>26</v>
      </c>
      <c r="R284" s="20" t="s">
        <v>81</v>
      </c>
      <c r="S284" s="20"/>
      <c r="T284" s="20"/>
      <c r="U284" s="20"/>
      <c r="V284" s="20"/>
      <c r="W284" s="20">
        <v>1</v>
      </c>
      <c r="X284" s="21" t="s">
        <v>37</v>
      </c>
      <c r="Y284" s="5"/>
      <c r="Z284" s="5" t="s">
        <v>38</v>
      </c>
      <c r="AA284" s="5"/>
      <c r="AB284" s="5" t="str">
        <f>IF(LEN('List chi tiet'!$B$3)=0,"",'List chi tiet'!$B$3)</f>
        <v>TCTN.DNS-26004</v>
      </c>
      <c r="AC284" s="5" t="s">
        <v>391</v>
      </c>
      <c r="AD284" s="5" t="s">
        <v>39</v>
      </c>
    </row>
    <row r="285" spans="1:30" hidden="1" x14ac:dyDescent="0.25">
      <c r="A285" s="5">
        <v>275</v>
      </c>
      <c r="B285" s="5" t="s">
        <v>396</v>
      </c>
      <c r="C285" s="5">
        <v>10</v>
      </c>
      <c r="D285" s="5">
        <v>86</v>
      </c>
      <c r="E285" s="5">
        <v>338</v>
      </c>
      <c r="F285" s="5" t="s">
        <v>77</v>
      </c>
      <c r="G285" s="5" t="s">
        <v>746</v>
      </c>
      <c r="H285" s="5">
        <v>4</v>
      </c>
      <c r="I285" s="5">
        <v>9.06</v>
      </c>
      <c r="J285" s="5" t="s">
        <v>839</v>
      </c>
      <c r="K285" s="5" t="s">
        <v>812</v>
      </c>
      <c r="L285" s="5"/>
      <c r="M285" s="5" t="s">
        <v>747</v>
      </c>
      <c r="N285" s="5"/>
      <c r="O285" s="20"/>
      <c r="P285" s="20" t="str">
        <f t="shared" si="4"/>
        <v/>
      </c>
      <c r="Q285" s="20" t="s">
        <v>26</v>
      </c>
      <c r="R285" s="20" t="s">
        <v>81</v>
      </c>
      <c r="S285" s="20"/>
      <c r="T285" s="20"/>
      <c r="U285" s="20"/>
      <c r="V285" s="20"/>
      <c r="W285" s="20">
        <v>1</v>
      </c>
      <c r="X285" s="21" t="s">
        <v>37</v>
      </c>
      <c r="Y285" s="5"/>
      <c r="Z285" s="5" t="s">
        <v>38</v>
      </c>
      <c r="AA285" s="5"/>
      <c r="AB285" s="5" t="str">
        <f>IF(LEN('List chi tiet'!$B$3)=0,"",'List chi tiet'!$B$3)</f>
        <v>TCTN.DNS-26004</v>
      </c>
      <c r="AC285" s="5" t="s">
        <v>391</v>
      </c>
      <c r="AD285" s="5" t="s">
        <v>39</v>
      </c>
    </row>
    <row r="286" spans="1:30" hidden="1" x14ac:dyDescent="0.25">
      <c r="A286" s="5">
        <v>276</v>
      </c>
      <c r="B286" s="5" t="s">
        <v>386</v>
      </c>
      <c r="C286" s="5">
        <v>10</v>
      </c>
      <c r="D286" s="5">
        <v>148</v>
      </c>
      <c r="E286" s="5">
        <v>441</v>
      </c>
      <c r="F286" s="5" t="s">
        <v>77</v>
      </c>
      <c r="G286" s="5" t="s">
        <v>746</v>
      </c>
      <c r="H286" s="5">
        <v>12</v>
      </c>
      <c r="I286" s="5">
        <v>60.73</v>
      </c>
      <c r="J286" s="5" t="s">
        <v>839</v>
      </c>
      <c r="K286" s="5" t="s">
        <v>812</v>
      </c>
      <c r="L286" s="5"/>
      <c r="M286" s="5" t="s">
        <v>747</v>
      </c>
      <c r="N286" s="5"/>
      <c r="O286" s="20"/>
      <c r="P286" s="20" t="str">
        <f t="shared" si="4"/>
        <v/>
      </c>
      <c r="Q286" s="20" t="s">
        <v>26</v>
      </c>
      <c r="R286" s="20" t="s">
        <v>81</v>
      </c>
      <c r="S286" s="20"/>
      <c r="T286" s="20"/>
      <c r="U286" s="20"/>
      <c r="V286" s="20"/>
      <c r="W286" s="20">
        <v>1</v>
      </c>
      <c r="X286" s="21" t="s">
        <v>37</v>
      </c>
      <c r="Y286" s="5"/>
      <c r="Z286" s="5" t="s">
        <v>38</v>
      </c>
      <c r="AA286" s="5"/>
      <c r="AB286" s="5" t="str">
        <f>IF(LEN('List chi tiet'!$B$3)=0,"",'List chi tiet'!$B$3)</f>
        <v>TCTN.DNS-26004</v>
      </c>
      <c r="AC286" s="5" t="s">
        <v>391</v>
      </c>
      <c r="AD286" s="5" t="s">
        <v>39</v>
      </c>
    </row>
    <row r="287" spans="1:30" hidden="1" x14ac:dyDescent="0.25">
      <c r="A287" s="5">
        <v>277</v>
      </c>
      <c r="B287" s="5" t="s">
        <v>398</v>
      </c>
      <c r="C287" s="5">
        <v>10</v>
      </c>
      <c r="D287" s="5">
        <v>200</v>
      </c>
      <c r="E287" s="5">
        <v>250</v>
      </c>
      <c r="F287" s="5" t="s">
        <v>77</v>
      </c>
      <c r="G287" s="5" t="s">
        <v>746</v>
      </c>
      <c r="H287" s="5">
        <v>1</v>
      </c>
      <c r="I287" s="5">
        <v>3.93</v>
      </c>
      <c r="J287" s="5" t="s">
        <v>839</v>
      </c>
      <c r="K287" s="5" t="s">
        <v>812</v>
      </c>
      <c r="L287" s="5"/>
      <c r="M287" s="5" t="s">
        <v>747</v>
      </c>
      <c r="N287" s="5"/>
      <c r="O287" s="20"/>
      <c r="P287" s="20" t="str">
        <f t="shared" si="4"/>
        <v/>
      </c>
      <c r="Q287" s="20" t="s">
        <v>26</v>
      </c>
      <c r="R287" s="20" t="s">
        <v>81</v>
      </c>
      <c r="S287" s="20"/>
      <c r="T287" s="20"/>
      <c r="U287" s="20"/>
      <c r="V287" s="20"/>
      <c r="W287" s="20">
        <v>1</v>
      </c>
      <c r="X287" s="21" t="s">
        <v>37</v>
      </c>
      <c r="Y287" s="5"/>
      <c r="Z287" s="5" t="s">
        <v>38</v>
      </c>
      <c r="AA287" s="5"/>
      <c r="AB287" s="5" t="str">
        <f>IF(LEN('List chi tiet'!$B$3)=0,"",'List chi tiet'!$B$3)</f>
        <v>TCTN.DNS-26004</v>
      </c>
      <c r="AC287" s="5" t="s">
        <v>391</v>
      </c>
      <c r="AD287" s="5" t="s">
        <v>39</v>
      </c>
    </row>
    <row r="288" spans="1:30" hidden="1" x14ac:dyDescent="0.25">
      <c r="A288" s="5">
        <v>278</v>
      </c>
      <c r="B288" s="5" t="s">
        <v>400</v>
      </c>
      <c r="C288" s="5">
        <v>10</v>
      </c>
      <c r="D288" s="5">
        <v>148</v>
      </c>
      <c r="E288" s="5">
        <v>441</v>
      </c>
      <c r="F288" s="5" t="s">
        <v>77</v>
      </c>
      <c r="G288" s="5" t="s">
        <v>746</v>
      </c>
      <c r="H288" s="5">
        <v>10</v>
      </c>
      <c r="I288" s="5">
        <v>50.61</v>
      </c>
      <c r="J288" s="5" t="s">
        <v>839</v>
      </c>
      <c r="K288" s="5" t="s">
        <v>812</v>
      </c>
      <c r="L288" s="5"/>
      <c r="M288" s="5" t="s">
        <v>747</v>
      </c>
      <c r="N288" s="5"/>
      <c r="O288" s="20"/>
      <c r="P288" s="20" t="str">
        <f t="shared" si="4"/>
        <v/>
      </c>
      <c r="Q288" s="20" t="s">
        <v>26</v>
      </c>
      <c r="R288" s="20" t="s">
        <v>81</v>
      </c>
      <c r="S288" s="20"/>
      <c r="T288" s="20"/>
      <c r="U288" s="20"/>
      <c r="V288" s="20"/>
      <c r="W288" s="20">
        <v>1</v>
      </c>
      <c r="X288" s="21" t="s">
        <v>37</v>
      </c>
      <c r="Y288" s="5"/>
      <c r="Z288" s="5" t="s">
        <v>38</v>
      </c>
      <c r="AA288" s="5"/>
      <c r="AB288" s="5" t="str">
        <f>IF(LEN('List chi tiet'!$B$3)=0,"",'List chi tiet'!$B$3)</f>
        <v>TCTN.DNS-26004</v>
      </c>
      <c r="AC288" s="5" t="s">
        <v>391</v>
      </c>
      <c r="AD288" s="5" t="s">
        <v>39</v>
      </c>
    </row>
    <row r="289" spans="1:30" hidden="1" x14ac:dyDescent="0.25">
      <c r="A289" s="5">
        <v>279</v>
      </c>
      <c r="B289" s="5" t="s">
        <v>401</v>
      </c>
      <c r="C289" s="5">
        <v>10</v>
      </c>
      <c r="D289" s="5">
        <v>80</v>
      </c>
      <c r="E289" s="5">
        <v>120</v>
      </c>
      <c r="F289" s="5" t="s">
        <v>77</v>
      </c>
      <c r="G289" s="5" t="s">
        <v>746</v>
      </c>
      <c r="H289" s="5">
        <v>2</v>
      </c>
      <c r="I289" s="5">
        <v>1.45</v>
      </c>
      <c r="J289" s="5" t="s">
        <v>839</v>
      </c>
      <c r="K289" s="5" t="s">
        <v>812</v>
      </c>
      <c r="L289" s="5"/>
      <c r="M289" s="5" t="s">
        <v>747</v>
      </c>
      <c r="N289" s="5"/>
      <c r="O289" s="20" t="s">
        <v>228</v>
      </c>
      <c r="P289" s="20" t="str">
        <f t="shared" si="4"/>
        <v/>
      </c>
      <c r="Q289" s="20" t="s">
        <v>26</v>
      </c>
      <c r="R289" s="20" t="s">
        <v>81</v>
      </c>
      <c r="S289" s="20"/>
      <c r="T289" s="20"/>
      <c r="U289" s="20"/>
      <c r="V289" s="20"/>
      <c r="W289" s="20">
        <v>1</v>
      </c>
      <c r="X289" s="21" t="s">
        <v>37</v>
      </c>
      <c r="Y289" s="5"/>
      <c r="Z289" s="5" t="s">
        <v>38</v>
      </c>
      <c r="AA289" s="5"/>
      <c r="AB289" s="5" t="str">
        <f>IF(LEN('List chi tiet'!$B$3)=0,"",'List chi tiet'!$B$3)</f>
        <v>TCTN.DNS-26004</v>
      </c>
      <c r="AC289" s="5" t="s">
        <v>391</v>
      </c>
      <c r="AD289" s="5" t="s">
        <v>39</v>
      </c>
    </row>
    <row r="290" spans="1:30" hidden="1" x14ac:dyDescent="0.25">
      <c r="A290" s="5">
        <v>280</v>
      </c>
      <c r="B290" s="5" t="s">
        <v>403</v>
      </c>
      <c r="C290" s="5">
        <v>10</v>
      </c>
      <c r="D290" s="5">
        <v>148</v>
      </c>
      <c r="E290" s="5">
        <v>441</v>
      </c>
      <c r="F290" s="5" t="s">
        <v>77</v>
      </c>
      <c r="G290" s="5" t="s">
        <v>746</v>
      </c>
      <c r="H290" s="5">
        <v>21</v>
      </c>
      <c r="I290" s="5">
        <v>106.28</v>
      </c>
      <c r="J290" s="5" t="s">
        <v>839</v>
      </c>
      <c r="K290" s="5" t="s">
        <v>812</v>
      </c>
      <c r="L290" s="5"/>
      <c r="M290" s="5" t="s">
        <v>747</v>
      </c>
      <c r="N290" s="5"/>
      <c r="O290" s="20"/>
      <c r="P290" s="20" t="str">
        <f t="shared" si="4"/>
        <v/>
      </c>
      <c r="Q290" s="20" t="s">
        <v>26</v>
      </c>
      <c r="R290" s="20" t="s">
        <v>81</v>
      </c>
      <c r="S290" s="20"/>
      <c r="T290" s="20"/>
      <c r="U290" s="20"/>
      <c r="V290" s="20"/>
      <c r="W290" s="20">
        <v>1</v>
      </c>
      <c r="X290" s="21" t="s">
        <v>37</v>
      </c>
      <c r="Y290" s="5"/>
      <c r="Z290" s="5" t="s">
        <v>38</v>
      </c>
      <c r="AA290" s="5"/>
      <c r="AB290" s="5" t="str">
        <f>IF(LEN('List chi tiet'!$B$3)=0,"",'List chi tiet'!$B$3)</f>
        <v>TCTN.DNS-26004</v>
      </c>
      <c r="AC290" s="5" t="s">
        <v>391</v>
      </c>
      <c r="AD290" s="5" t="s">
        <v>39</v>
      </c>
    </row>
    <row r="291" spans="1:30" hidden="1" x14ac:dyDescent="0.25">
      <c r="A291" s="5">
        <v>281</v>
      </c>
      <c r="B291" s="5" t="s">
        <v>404</v>
      </c>
      <c r="C291" s="5">
        <v>10</v>
      </c>
      <c r="D291" s="5">
        <v>120</v>
      </c>
      <c r="E291" s="5">
        <v>220</v>
      </c>
      <c r="F291" s="5" t="s">
        <v>77</v>
      </c>
      <c r="G291" s="5" t="s">
        <v>746</v>
      </c>
      <c r="H291" s="5">
        <v>1</v>
      </c>
      <c r="I291" s="5">
        <v>2.0099999999999998</v>
      </c>
      <c r="J291" s="5" t="s">
        <v>839</v>
      </c>
      <c r="K291" s="5" t="s">
        <v>812</v>
      </c>
      <c r="L291" s="5"/>
      <c r="M291" s="5" t="s">
        <v>747</v>
      </c>
      <c r="N291" s="5"/>
      <c r="O291" s="20" t="s">
        <v>228</v>
      </c>
      <c r="P291" s="20" t="str">
        <f t="shared" si="4"/>
        <v/>
      </c>
      <c r="Q291" s="20" t="s">
        <v>26</v>
      </c>
      <c r="R291" s="20" t="s">
        <v>81</v>
      </c>
      <c r="S291" s="20"/>
      <c r="T291" s="20"/>
      <c r="U291" s="20"/>
      <c r="V291" s="20"/>
      <c r="W291" s="20">
        <v>1</v>
      </c>
      <c r="X291" s="21" t="s">
        <v>37</v>
      </c>
      <c r="Y291" s="5"/>
      <c r="Z291" s="5" t="s">
        <v>38</v>
      </c>
      <c r="AA291" s="5"/>
      <c r="AB291" s="5" t="str">
        <f>IF(LEN('List chi tiet'!$B$3)=0,"",'List chi tiet'!$B$3)</f>
        <v>TCTN.DNS-26004</v>
      </c>
      <c r="AC291" s="5" t="s">
        <v>391</v>
      </c>
      <c r="AD291" s="5" t="s">
        <v>39</v>
      </c>
    </row>
    <row r="292" spans="1:30" hidden="1" x14ac:dyDescent="0.25">
      <c r="A292" s="5">
        <v>282</v>
      </c>
      <c r="B292" s="5" t="s">
        <v>406</v>
      </c>
      <c r="C292" s="5">
        <v>10</v>
      </c>
      <c r="D292" s="5">
        <v>380</v>
      </c>
      <c r="E292" s="5">
        <v>4577</v>
      </c>
      <c r="F292" s="5" t="s">
        <v>77</v>
      </c>
      <c r="G292" s="5" t="s">
        <v>746</v>
      </c>
      <c r="H292" s="5">
        <v>2</v>
      </c>
      <c r="I292" s="5">
        <v>270.14999999999998</v>
      </c>
      <c r="J292" s="5" t="s">
        <v>839</v>
      </c>
      <c r="K292" s="5" t="s">
        <v>812</v>
      </c>
      <c r="L292" s="5"/>
      <c r="M292" s="5" t="s">
        <v>747</v>
      </c>
      <c r="N292" s="5"/>
      <c r="O292" s="20"/>
      <c r="P292" s="20" t="str">
        <f t="shared" si="4"/>
        <v/>
      </c>
      <c r="Q292" s="20" t="s">
        <v>28</v>
      </c>
      <c r="R292" s="20" t="s">
        <v>81</v>
      </c>
      <c r="S292" s="20"/>
      <c r="T292" s="20"/>
      <c r="U292" s="20"/>
      <c r="V292" s="20"/>
      <c r="W292" s="20">
        <v>1</v>
      </c>
      <c r="X292" s="21" t="s">
        <v>37</v>
      </c>
      <c r="Y292" s="5"/>
      <c r="Z292" s="5" t="s">
        <v>38</v>
      </c>
      <c r="AA292" s="5"/>
      <c r="AB292" s="5" t="str">
        <f>IF(LEN('List chi tiet'!$B$3)=0,"",'List chi tiet'!$B$3)</f>
        <v>TCTN.DNS-26004</v>
      </c>
      <c r="AC292" s="5" t="s">
        <v>391</v>
      </c>
      <c r="AD292" s="5" t="s">
        <v>39</v>
      </c>
    </row>
    <row r="293" spans="1:30" hidden="1" x14ac:dyDescent="0.25">
      <c r="A293" s="5">
        <v>283</v>
      </c>
      <c r="B293" s="5" t="s">
        <v>408</v>
      </c>
      <c r="C293" s="5">
        <v>10</v>
      </c>
      <c r="D293" s="5">
        <v>86</v>
      </c>
      <c r="E293" s="5">
        <v>338</v>
      </c>
      <c r="F293" s="5" t="s">
        <v>77</v>
      </c>
      <c r="G293" s="5" t="s">
        <v>746</v>
      </c>
      <c r="H293" s="5">
        <v>16</v>
      </c>
      <c r="I293" s="5">
        <v>36.229999999999997</v>
      </c>
      <c r="J293" s="5" t="s">
        <v>839</v>
      </c>
      <c r="K293" s="5" t="s">
        <v>812</v>
      </c>
      <c r="L293" s="5"/>
      <c r="M293" s="5" t="s">
        <v>747</v>
      </c>
      <c r="N293" s="5"/>
      <c r="O293" s="20"/>
      <c r="P293" s="20" t="str">
        <f t="shared" si="4"/>
        <v/>
      </c>
      <c r="Q293" s="20" t="s">
        <v>26</v>
      </c>
      <c r="R293" s="20" t="s">
        <v>81</v>
      </c>
      <c r="S293" s="20"/>
      <c r="T293" s="20"/>
      <c r="U293" s="20"/>
      <c r="V293" s="20"/>
      <c r="W293" s="20">
        <v>1</v>
      </c>
      <c r="X293" s="21" t="s">
        <v>37</v>
      </c>
      <c r="Y293" s="5"/>
      <c r="Z293" s="5" t="s">
        <v>38</v>
      </c>
      <c r="AA293" s="5"/>
      <c r="AB293" s="5" t="str">
        <f>IF(LEN('List chi tiet'!$B$3)=0,"",'List chi tiet'!$B$3)</f>
        <v>TCTN.DNS-26004</v>
      </c>
      <c r="AC293" s="5" t="s">
        <v>409</v>
      </c>
      <c r="AD293" s="5" t="s">
        <v>39</v>
      </c>
    </row>
    <row r="294" spans="1:30" hidden="1" x14ac:dyDescent="0.25">
      <c r="A294" s="5">
        <v>284</v>
      </c>
      <c r="B294" s="5" t="s">
        <v>411</v>
      </c>
      <c r="C294" s="5">
        <v>10</v>
      </c>
      <c r="D294" s="5">
        <v>532</v>
      </c>
      <c r="E294" s="5">
        <v>4080</v>
      </c>
      <c r="F294" s="5" t="s">
        <v>77</v>
      </c>
      <c r="G294" s="5" t="s">
        <v>746</v>
      </c>
      <c r="H294" s="5">
        <v>2</v>
      </c>
      <c r="I294" s="5">
        <v>336.54</v>
      </c>
      <c r="J294" s="5" t="s">
        <v>839</v>
      </c>
      <c r="K294" s="5" t="s">
        <v>812</v>
      </c>
      <c r="L294" s="5"/>
      <c r="M294" s="5" t="s">
        <v>747</v>
      </c>
      <c r="N294" s="5"/>
      <c r="O294" s="20"/>
      <c r="P294" s="20" t="str">
        <f t="shared" si="4"/>
        <v/>
      </c>
      <c r="Q294" s="20"/>
      <c r="R294" s="20" t="s">
        <v>81</v>
      </c>
      <c r="S294" s="20"/>
      <c r="T294" s="20"/>
      <c r="U294" s="20" t="s">
        <v>81</v>
      </c>
      <c r="V294" s="20" t="s">
        <v>81</v>
      </c>
      <c r="W294" s="20">
        <v>1</v>
      </c>
      <c r="X294" s="21" t="s">
        <v>37</v>
      </c>
      <c r="Y294" s="5"/>
      <c r="Z294" s="5" t="s">
        <v>38</v>
      </c>
      <c r="AA294" s="5"/>
      <c r="AB294" s="5" t="str">
        <f>IF(LEN('List chi tiet'!$B$3)=0,"",'List chi tiet'!$B$3)</f>
        <v>TCTN.DNS-26004</v>
      </c>
      <c r="AC294" s="5" t="s">
        <v>409</v>
      </c>
      <c r="AD294" s="5" t="s">
        <v>39</v>
      </c>
    </row>
    <row r="295" spans="1:30" hidden="1" x14ac:dyDescent="0.25">
      <c r="A295" s="5">
        <v>285</v>
      </c>
      <c r="B295" s="5" t="s">
        <v>396</v>
      </c>
      <c r="C295" s="5">
        <v>10</v>
      </c>
      <c r="D295" s="5">
        <v>86</v>
      </c>
      <c r="E295" s="5">
        <v>338</v>
      </c>
      <c r="F295" s="5" t="s">
        <v>77</v>
      </c>
      <c r="G295" s="5" t="s">
        <v>746</v>
      </c>
      <c r="H295" s="5">
        <v>4</v>
      </c>
      <c r="I295" s="5">
        <v>9.06</v>
      </c>
      <c r="J295" s="5" t="s">
        <v>839</v>
      </c>
      <c r="K295" s="5" t="s">
        <v>812</v>
      </c>
      <c r="L295" s="5"/>
      <c r="M295" s="5" t="s">
        <v>747</v>
      </c>
      <c r="N295" s="5"/>
      <c r="O295" s="20"/>
      <c r="P295" s="20" t="str">
        <f t="shared" si="4"/>
        <v/>
      </c>
      <c r="Q295" s="20" t="s">
        <v>26</v>
      </c>
      <c r="R295" s="20" t="s">
        <v>81</v>
      </c>
      <c r="S295" s="20"/>
      <c r="T295" s="20"/>
      <c r="U295" s="20"/>
      <c r="V295" s="20"/>
      <c r="W295" s="20">
        <v>1</v>
      </c>
      <c r="X295" s="21" t="s">
        <v>37</v>
      </c>
      <c r="Y295" s="5"/>
      <c r="Z295" s="5" t="s">
        <v>38</v>
      </c>
      <c r="AA295" s="5"/>
      <c r="AB295" s="5" t="str">
        <f>IF(LEN('List chi tiet'!$B$3)=0,"",'List chi tiet'!$B$3)</f>
        <v>TCTN.DNS-26004</v>
      </c>
      <c r="AC295" s="5" t="s">
        <v>409</v>
      </c>
      <c r="AD295" s="5" t="s">
        <v>39</v>
      </c>
    </row>
    <row r="296" spans="1:30" hidden="1" x14ac:dyDescent="0.25">
      <c r="A296" s="5">
        <v>286</v>
      </c>
      <c r="B296" s="5" t="s">
        <v>401</v>
      </c>
      <c r="C296" s="5">
        <v>10</v>
      </c>
      <c r="D296" s="5">
        <v>80</v>
      </c>
      <c r="E296" s="5">
        <v>120</v>
      </c>
      <c r="F296" s="5" t="s">
        <v>77</v>
      </c>
      <c r="G296" s="5" t="s">
        <v>746</v>
      </c>
      <c r="H296" s="5">
        <v>1</v>
      </c>
      <c r="I296" s="5">
        <v>0.72</v>
      </c>
      <c r="J296" s="5" t="s">
        <v>839</v>
      </c>
      <c r="K296" s="5" t="s">
        <v>812</v>
      </c>
      <c r="L296" s="5"/>
      <c r="M296" s="5" t="s">
        <v>747</v>
      </c>
      <c r="N296" s="5"/>
      <c r="O296" s="20" t="s">
        <v>228</v>
      </c>
      <c r="P296" s="20" t="str">
        <f t="shared" si="4"/>
        <v/>
      </c>
      <c r="Q296" s="20" t="s">
        <v>26</v>
      </c>
      <c r="R296" s="20" t="s">
        <v>81</v>
      </c>
      <c r="S296" s="20"/>
      <c r="T296" s="20"/>
      <c r="U296" s="20"/>
      <c r="V296" s="20"/>
      <c r="W296" s="20">
        <v>1</v>
      </c>
      <c r="X296" s="21" t="s">
        <v>37</v>
      </c>
      <c r="Y296" s="5"/>
      <c r="Z296" s="5" t="s">
        <v>38</v>
      </c>
      <c r="AA296" s="5"/>
      <c r="AB296" s="5" t="str">
        <f>IF(LEN('List chi tiet'!$B$3)=0,"",'List chi tiet'!$B$3)</f>
        <v>TCTN.DNS-26004</v>
      </c>
      <c r="AC296" s="5" t="s">
        <v>409</v>
      </c>
      <c r="AD296" s="5" t="s">
        <v>39</v>
      </c>
    </row>
    <row r="297" spans="1:30" hidden="1" x14ac:dyDescent="0.25">
      <c r="A297" s="5">
        <v>287</v>
      </c>
      <c r="B297" s="5" t="s">
        <v>413</v>
      </c>
      <c r="C297" s="5">
        <v>10</v>
      </c>
      <c r="D297" s="5">
        <v>100</v>
      </c>
      <c r="E297" s="5">
        <v>100</v>
      </c>
      <c r="F297" s="5" t="s">
        <v>77</v>
      </c>
      <c r="G297" s="5" t="s">
        <v>746</v>
      </c>
      <c r="H297" s="5">
        <v>2</v>
      </c>
      <c r="I297" s="5">
        <v>0.79</v>
      </c>
      <c r="J297" s="5" t="s">
        <v>839</v>
      </c>
      <c r="K297" s="5" t="s">
        <v>812</v>
      </c>
      <c r="L297" s="5"/>
      <c r="M297" s="5" t="s">
        <v>747</v>
      </c>
      <c r="N297" s="5"/>
      <c r="O297" s="20" t="s">
        <v>228</v>
      </c>
      <c r="P297" s="20" t="str">
        <f t="shared" si="4"/>
        <v/>
      </c>
      <c r="Q297" s="20" t="s">
        <v>27</v>
      </c>
      <c r="R297" s="20" t="s">
        <v>81</v>
      </c>
      <c r="S297" s="20"/>
      <c r="T297" s="20"/>
      <c r="U297" s="20"/>
      <c r="V297" s="20"/>
      <c r="W297" s="20">
        <v>1</v>
      </c>
      <c r="X297" s="21" t="s">
        <v>37</v>
      </c>
      <c r="Y297" s="5"/>
      <c r="Z297" s="5" t="s">
        <v>38</v>
      </c>
      <c r="AA297" s="5"/>
      <c r="AB297" s="5" t="str">
        <f>IF(LEN('List chi tiet'!$B$3)=0,"",'List chi tiet'!$B$3)</f>
        <v>TCTN.DNS-26004</v>
      </c>
      <c r="AC297" s="5" t="s">
        <v>409</v>
      </c>
      <c r="AD297" s="5" t="s">
        <v>39</v>
      </c>
    </row>
    <row r="298" spans="1:30" hidden="1" x14ac:dyDescent="0.25">
      <c r="A298" s="5">
        <v>288</v>
      </c>
      <c r="B298" s="5" t="s">
        <v>415</v>
      </c>
      <c r="C298" s="5">
        <v>10</v>
      </c>
      <c r="D298" s="5">
        <v>100</v>
      </c>
      <c r="E298" s="5">
        <v>100</v>
      </c>
      <c r="F298" s="5" t="s">
        <v>77</v>
      </c>
      <c r="G298" s="5" t="s">
        <v>746</v>
      </c>
      <c r="H298" s="5">
        <v>4</v>
      </c>
      <c r="I298" s="5">
        <v>1.58</v>
      </c>
      <c r="J298" s="5" t="s">
        <v>839</v>
      </c>
      <c r="K298" s="5" t="s">
        <v>812</v>
      </c>
      <c r="L298" s="5"/>
      <c r="M298" s="5" t="s">
        <v>747</v>
      </c>
      <c r="N298" s="5"/>
      <c r="O298" s="20" t="s">
        <v>228</v>
      </c>
      <c r="P298" s="20" t="str">
        <f t="shared" si="4"/>
        <v/>
      </c>
      <c r="Q298" s="20" t="s">
        <v>27</v>
      </c>
      <c r="R298" s="20" t="s">
        <v>81</v>
      </c>
      <c r="S298" s="20"/>
      <c r="T298" s="20"/>
      <c r="U298" s="20"/>
      <c r="V298" s="20"/>
      <c r="W298" s="20">
        <v>1</v>
      </c>
      <c r="X298" s="21" t="s">
        <v>37</v>
      </c>
      <c r="Y298" s="5"/>
      <c r="Z298" s="5" t="s">
        <v>38</v>
      </c>
      <c r="AA298" s="5"/>
      <c r="AB298" s="5" t="str">
        <f>IF(LEN('List chi tiet'!$B$3)=0,"",'List chi tiet'!$B$3)</f>
        <v>TCTN.DNS-26004</v>
      </c>
      <c r="AC298" s="5" t="s">
        <v>409</v>
      </c>
      <c r="AD298" s="5" t="s">
        <v>39</v>
      </c>
    </row>
    <row r="299" spans="1:30" hidden="1" x14ac:dyDescent="0.25">
      <c r="A299" s="5">
        <v>289</v>
      </c>
      <c r="B299" s="5" t="s">
        <v>404</v>
      </c>
      <c r="C299" s="5">
        <v>10</v>
      </c>
      <c r="D299" s="5">
        <v>120</v>
      </c>
      <c r="E299" s="5">
        <v>220</v>
      </c>
      <c r="F299" s="5" t="s">
        <v>77</v>
      </c>
      <c r="G299" s="5" t="s">
        <v>746</v>
      </c>
      <c r="H299" s="5">
        <v>5</v>
      </c>
      <c r="I299" s="5">
        <v>10.06</v>
      </c>
      <c r="J299" s="5" t="s">
        <v>839</v>
      </c>
      <c r="K299" s="5" t="s">
        <v>812</v>
      </c>
      <c r="L299" s="5"/>
      <c r="M299" s="5" t="s">
        <v>747</v>
      </c>
      <c r="N299" s="5"/>
      <c r="O299" s="20" t="s">
        <v>228</v>
      </c>
      <c r="P299" s="20" t="str">
        <f t="shared" si="4"/>
        <v/>
      </c>
      <c r="Q299" s="20" t="s">
        <v>26</v>
      </c>
      <c r="R299" s="20" t="s">
        <v>81</v>
      </c>
      <c r="S299" s="20"/>
      <c r="T299" s="20"/>
      <c r="U299" s="20"/>
      <c r="V299" s="20"/>
      <c r="W299" s="20">
        <v>1</v>
      </c>
      <c r="X299" s="21" t="s">
        <v>37</v>
      </c>
      <c r="Y299" s="5"/>
      <c r="Z299" s="5" t="s">
        <v>38</v>
      </c>
      <c r="AA299" s="5"/>
      <c r="AB299" s="5" t="str">
        <f>IF(LEN('List chi tiet'!$B$3)=0,"",'List chi tiet'!$B$3)</f>
        <v>TCTN.DNS-26004</v>
      </c>
      <c r="AC299" s="5" t="s">
        <v>409</v>
      </c>
      <c r="AD299" s="5" t="s">
        <v>39</v>
      </c>
    </row>
    <row r="300" spans="1:30" hidden="1" x14ac:dyDescent="0.25">
      <c r="A300" s="5">
        <v>290</v>
      </c>
      <c r="B300" s="5" t="s">
        <v>416</v>
      </c>
      <c r="C300" s="5">
        <v>10</v>
      </c>
      <c r="D300" s="5">
        <v>100</v>
      </c>
      <c r="E300" s="5">
        <v>100</v>
      </c>
      <c r="F300" s="5" t="s">
        <v>77</v>
      </c>
      <c r="G300" s="5" t="s">
        <v>746</v>
      </c>
      <c r="H300" s="5">
        <v>1</v>
      </c>
      <c r="I300" s="5">
        <v>0.39</v>
      </c>
      <c r="J300" s="5" t="s">
        <v>839</v>
      </c>
      <c r="K300" s="5" t="s">
        <v>812</v>
      </c>
      <c r="L300" s="5"/>
      <c r="M300" s="5" t="s">
        <v>747</v>
      </c>
      <c r="N300" s="5"/>
      <c r="O300" s="20" t="s">
        <v>228</v>
      </c>
      <c r="P300" s="20" t="str">
        <f t="shared" si="4"/>
        <v/>
      </c>
      <c r="Q300" s="20" t="s">
        <v>27</v>
      </c>
      <c r="R300" s="20" t="s">
        <v>81</v>
      </c>
      <c r="S300" s="20"/>
      <c r="T300" s="20"/>
      <c r="U300" s="20"/>
      <c r="V300" s="20"/>
      <c r="W300" s="20">
        <v>1</v>
      </c>
      <c r="X300" s="21" t="s">
        <v>37</v>
      </c>
      <c r="Y300" s="5"/>
      <c r="Z300" s="5" t="s">
        <v>38</v>
      </c>
      <c r="AA300" s="5"/>
      <c r="AB300" s="5" t="str">
        <f>IF(LEN('List chi tiet'!$B$3)=0,"",'List chi tiet'!$B$3)</f>
        <v>TCTN.DNS-26004</v>
      </c>
      <c r="AC300" s="5" t="s">
        <v>409</v>
      </c>
      <c r="AD300" s="5" t="s">
        <v>39</v>
      </c>
    </row>
    <row r="301" spans="1:30" hidden="1" x14ac:dyDescent="0.25">
      <c r="A301" s="5">
        <v>291</v>
      </c>
      <c r="B301" s="5" t="s">
        <v>417</v>
      </c>
      <c r="C301" s="5">
        <v>10</v>
      </c>
      <c r="D301" s="5">
        <v>200</v>
      </c>
      <c r="E301" s="5">
        <v>12000</v>
      </c>
      <c r="F301" s="5" t="s">
        <v>77</v>
      </c>
      <c r="G301" s="5" t="s">
        <v>746</v>
      </c>
      <c r="H301" s="5">
        <v>4</v>
      </c>
      <c r="I301" s="5">
        <v>753.62</v>
      </c>
      <c r="J301" s="5" t="s">
        <v>839</v>
      </c>
      <c r="K301" s="5" t="s">
        <v>812</v>
      </c>
      <c r="L301" s="5"/>
      <c r="M301" s="5" t="s">
        <v>747</v>
      </c>
      <c r="N301" s="5"/>
      <c r="O301" s="20"/>
      <c r="P301" s="20" t="str">
        <f t="shared" si="4"/>
        <v/>
      </c>
      <c r="Q301" s="20" t="s">
        <v>28</v>
      </c>
      <c r="R301" s="20" t="s">
        <v>81</v>
      </c>
      <c r="S301" s="20"/>
      <c r="T301" s="20"/>
      <c r="U301" s="20"/>
      <c r="V301" s="20"/>
      <c r="W301" s="20">
        <v>1</v>
      </c>
      <c r="X301" s="21" t="s">
        <v>37</v>
      </c>
      <c r="Y301" s="5"/>
      <c r="Z301" s="5" t="s">
        <v>38</v>
      </c>
      <c r="AA301" s="5"/>
      <c r="AB301" s="5" t="str">
        <f>IF(LEN('List chi tiet'!$B$3)=0,"",'List chi tiet'!$B$3)</f>
        <v>TCTN.DNS-26004</v>
      </c>
      <c r="AC301" s="5" t="s">
        <v>409</v>
      </c>
      <c r="AD301" s="5" t="s">
        <v>39</v>
      </c>
    </row>
    <row r="302" spans="1:30" hidden="1" x14ac:dyDescent="0.25">
      <c r="A302" s="5">
        <v>292</v>
      </c>
      <c r="B302" s="5" t="s">
        <v>419</v>
      </c>
      <c r="C302" s="5">
        <v>10</v>
      </c>
      <c r="D302" s="5">
        <v>200</v>
      </c>
      <c r="E302" s="5">
        <v>3586</v>
      </c>
      <c r="F302" s="5" t="s">
        <v>77</v>
      </c>
      <c r="G302" s="5" t="s">
        <v>746</v>
      </c>
      <c r="H302" s="5">
        <v>2</v>
      </c>
      <c r="I302" s="5">
        <v>112.6</v>
      </c>
      <c r="J302" s="5" t="s">
        <v>839</v>
      </c>
      <c r="K302" s="5" t="s">
        <v>812</v>
      </c>
      <c r="L302" s="5"/>
      <c r="M302" s="5" t="s">
        <v>747</v>
      </c>
      <c r="N302" s="5"/>
      <c r="O302" s="20"/>
      <c r="P302" s="20" t="str">
        <f t="shared" si="4"/>
        <v/>
      </c>
      <c r="Q302" s="20" t="s">
        <v>28</v>
      </c>
      <c r="R302" s="20" t="s">
        <v>81</v>
      </c>
      <c r="S302" s="20"/>
      <c r="T302" s="20"/>
      <c r="U302" s="20"/>
      <c r="V302" s="20"/>
      <c r="W302" s="20">
        <v>1</v>
      </c>
      <c r="X302" s="21" t="s">
        <v>37</v>
      </c>
      <c r="Y302" s="5"/>
      <c r="Z302" s="5" t="s">
        <v>38</v>
      </c>
      <c r="AA302" s="5"/>
      <c r="AB302" s="5" t="str">
        <f>IF(LEN('List chi tiet'!$B$3)=0,"",'List chi tiet'!$B$3)</f>
        <v>TCTN.DNS-26004</v>
      </c>
      <c r="AC302" s="5" t="s">
        <v>409</v>
      </c>
      <c r="AD302" s="5" t="s">
        <v>39</v>
      </c>
    </row>
    <row r="303" spans="1:30" hidden="1" x14ac:dyDescent="0.25">
      <c r="A303" s="5">
        <v>293</v>
      </c>
      <c r="B303" s="5" t="s">
        <v>421</v>
      </c>
      <c r="C303" s="5">
        <v>10</v>
      </c>
      <c r="D303" s="5">
        <v>230</v>
      </c>
      <c r="E303" s="5">
        <v>3586</v>
      </c>
      <c r="F303" s="5" t="s">
        <v>77</v>
      </c>
      <c r="G303" s="5" t="s">
        <v>746</v>
      </c>
      <c r="H303" s="5">
        <v>1</v>
      </c>
      <c r="I303" s="5">
        <v>64.75</v>
      </c>
      <c r="J303" s="5" t="s">
        <v>839</v>
      </c>
      <c r="K303" s="5" t="s">
        <v>812</v>
      </c>
      <c r="L303" s="5"/>
      <c r="M303" s="5" t="s">
        <v>747</v>
      </c>
      <c r="N303" s="5"/>
      <c r="O303" s="20"/>
      <c r="P303" s="20" t="str">
        <f t="shared" si="4"/>
        <v/>
      </c>
      <c r="Q303" s="20" t="s">
        <v>28</v>
      </c>
      <c r="R303" s="20" t="s">
        <v>81</v>
      </c>
      <c r="S303" s="20"/>
      <c r="T303" s="20"/>
      <c r="U303" s="20"/>
      <c r="V303" s="20"/>
      <c r="W303" s="20">
        <v>1</v>
      </c>
      <c r="X303" s="21" t="s">
        <v>37</v>
      </c>
      <c r="Y303" s="5"/>
      <c r="Z303" s="5" t="s">
        <v>38</v>
      </c>
      <c r="AA303" s="5"/>
      <c r="AB303" s="5" t="str">
        <f>IF(LEN('List chi tiet'!$B$3)=0,"",'List chi tiet'!$B$3)</f>
        <v>TCTN.DNS-26004</v>
      </c>
      <c r="AC303" s="5" t="s">
        <v>409</v>
      </c>
      <c r="AD303" s="5" t="s">
        <v>39</v>
      </c>
    </row>
    <row r="304" spans="1:30" hidden="1" x14ac:dyDescent="0.25">
      <c r="A304" s="5">
        <v>294</v>
      </c>
      <c r="B304" s="5" t="s">
        <v>423</v>
      </c>
      <c r="C304" s="5">
        <v>10</v>
      </c>
      <c r="D304" s="5">
        <v>100</v>
      </c>
      <c r="E304" s="5">
        <v>100</v>
      </c>
      <c r="F304" s="5" t="s">
        <v>77</v>
      </c>
      <c r="G304" s="5" t="s">
        <v>746</v>
      </c>
      <c r="H304" s="5">
        <v>4</v>
      </c>
      <c r="I304" s="5">
        <v>1.58</v>
      </c>
      <c r="J304" s="5" t="s">
        <v>839</v>
      </c>
      <c r="K304" s="5" t="s">
        <v>812</v>
      </c>
      <c r="L304" s="5"/>
      <c r="M304" s="5" t="s">
        <v>747</v>
      </c>
      <c r="N304" s="5"/>
      <c r="O304" s="20" t="s">
        <v>228</v>
      </c>
      <c r="P304" s="20" t="str">
        <f t="shared" si="4"/>
        <v/>
      </c>
      <c r="Q304" s="20" t="s">
        <v>27</v>
      </c>
      <c r="R304" s="20" t="s">
        <v>81</v>
      </c>
      <c r="S304" s="20"/>
      <c r="T304" s="20"/>
      <c r="U304" s="20"/>
      <c r="V304" s="20"/>
      <c r="W304" s="20">
        <v>1</v>
      </c>
      <c r="X304" s="21" t="s">
        <v>37</v>
      </c>
      <c r="Y304" s="5"/>
      <c r="Z304" s="5" t="s">
        <v>38</v>
      </c>
      <c r="AA304" s="5"/>
      <c r="AB304" s="5" t="str">
        <f>IF(LEN('List chi tiet'!$B$3)=0,"",'List chi tiet'!$B$3)</f>
        <v>TCTN.DNS-26004</v>
      </c>
      <c r="AC304" s="5" t="s">
        <v>409</v>
      </c>
      <c r="AD304" s="5" t="s">
        <v>39</v>
      </c>
    </row>
    <row r="305" spans="1:30" hidden="1" x14ac:dyDescent="0.25">
      <c r="A305" s="5">
        <v>295</v>
      </c>
      <c r="B305" s="5" t="s">
        <v>389</v>
      </c>
      <c r="C305" s="5">
        <v>10</v>
      </c>
      <c r="D305" s="5">
        <v>200</v>
      </c>
      <c r="E305" s="5">
        <v>9518</v>
      </c>
      <c r="F305" s="5" t="s">
        <v>77</v>
      </c>
      <c r="G305" s="5" t="s">
        <v>746</v>
      </c>
      <c r="H305" s="5">
        <v>1</v>
      </c>
      <c r="I305" s="5">
        <v>149.43</v>
      </c>
      <c r="J305" s="5" t="s">
        <v>839</v>
      </c>
      <c r="K305" s="5" t="s">
        <v>812</v>
      </c>
      <c r="L305" s="5"/>
      <c r="M305" s="5" t="s">
        <v>747</v>
      </c>
      <c r="N305" s="5"/>
      <c r="O305" s="20"/>
      <c r="P305" s="20" t="str">
        <f t="shared" si="4"/>
        <v/>
      </c>
      <c r="Q305" s="20" t="s">
        <v>28</v>
      </c>
      <c r="R305" s="20" t="s">
        <v>81</v>
      </c>
      <c r="S305" s="20"/>
      <c r="T305" s="20"/>
      <c r="U305" s="20"/>
      <c r="V305" s="20"/>
      <c r="W305" s="20">
        <v>1</v>
      </c>
      <c r="X305" s="21" t="s">
        <v>37</v>
      </c>
      <c r="Y305" s="5"/>
      <c r="Z305" s="5" t="s">
        <v>38</v>
      </c>
      <c r="AA305" s="5"/>
      <c r="AB305" s="5" t="str">
        <f>IF(LEN('List chi tiet'!$B$3)=0,"",'List chi tiet'!$B$3)</f>
        <v>TCTN.DNS-26004</v>
      </c>
      <c r="AC305" s="5" t="s">
        <v>424</v>
      </c>
      <c r="AD305" s="5" t="s">
        <v>39</v>
      </c>
    </row>
    <row r="306" spans="1:30" hidden="1" x14ac:dyDescent="0.25">
      <c r="A306" s="5">
        <v>296</v>
      </c>
      <c r="B306" s="5" t="s">
        <v>426</v>
      </c>
      <c r="C306" s="5">
        <v>10</v>
      </c>
      <c r="D306" s="5">
        <v>532</v>
      </c>
      <c r="E306" s="5">
        <v>4080</v>
      </c>
      <c r="F306" s="5" t="s">
        <v>77</v>
      </c>
      <c r="G306" s="5" t="s">
        <v>746</v>
      </c>
      <c r="H306" s="5">
        <v>2</v>
      </c>
      <c r="I306" s="5">
        <v>336.54</v>
      </c>
      <c r="J306" s="5" t="s">
        <v>839</v>
      </c>
      <c r="K306" s="5" t="s">
        <v>812</v>
      </c>
      <c r="L306" s="5"/>
      <c r="M306" s="5" t="s">
        <v>747</v>
      </c>
      <c r="N306" s="5"/>
      <c r="O306" s="20"/>
      <c r="P306" s="20" t="str">
        <f t="shared" si="4"/>
        <v/>
      </c>
      <c r="Q306" s="20"/>
      <c r="R306" s="20" t="s">
        <v>81</v>
      </c>
      <c r="S306" s="20"/>
      <c r="T306" s="20"/>
      <c r="U306" s="20" t="s">
        <v>81</v>
      </c>
      <c r="V306" s="20" t="s">
        <v>81</v>
      </c>
      <c r="W306" s="20">
        <v>1</v>
      </c>
      <c r="X306" s="21" t="s">
        <v>37</v>
      </c>
      <c r="Y306" s="5"/>
      <c r="Z306" s="5" t="s">
        <v>38</v>
      </c>
      <c r="AA306" s="5"/>
      <c r="AB306" s="5" t="str">
        <f>IF(LEN('List chi tiet'!$B$3)=0,"",'List chi tiet'!$B$3)</f>
        <v>TCTN.DNS-26004</v>
      </c>
      <c r="AC306" s="5" t="s">
        <v>424</v>
      </c>
      <c r="AD306" s="5" t="s">
        <v>39</v>
      </c>
    </row>
    <row r="307" spans="1:30" hidden="1" x14ac:dyDescent="0.25">
      <c r="A307" s="5">
        <v>297</v>
      </c>
      <c r="B307" s="5" t="s">
        <v>427</v>
      </c>
      <c r="C307" s="5">
        <v>10</v>
      </c>
      <c r="D307" s="5">
        <v>280</v>
      </c>
      <c r="E307" s="5">
        <v>349</v>
      </c>
      <c r="F307" s="5" t="s">
        <v>77</v>
      </c>
      <c r="G307" s="5" t="s">
        <v>746</v>
      </c>
      <c r="H307" s="5">
        <v>8</v>
      </c>
      <c r="I307" s="5">
        <v>42.42</v>
      </c>
      <c r="J307" s="5" t="s">
        <v>839</v>
      </c>
      <c r="K307" s="5" t="s">
        <v>812</v>
      </c>
      <c r="L307" s="5"/>
      <c r="M307" s="5" t="s">
        <v>747</v>
      </c>
      <c r="N307" s="5"/>
      <c r="O307" s="20"/>
      <c r="P307" s="20" t="str">
        <f t="shared" si="4"/>
        <v/>
      </c>
      <c r="Q307" s="20" t="s">
        <v>26</v>
      </c>
      <c r="R307" s="20" t="s">
        <v>81</v>
      </c>
      <c r="S307" s="20"/>
      <c r="T307" s="20"/>
      <c r="U307" s="20"/>
      <c r="V307" s="20"/>
      <c r="W307" s="20">
        <v>1</v>
      </c>
      <c r="X307" s="21" t="s">
        <v>37</v>
      </c>
      <c r="Y307" s="5"/>
      <c r="Z307" s="5" t="s">
        <v>38</v>
      </c>
      <c r="AA307" s="5"/>
      <c r="AB307" s="5" t="str">
        <f>IF(LEN('List chi tiet'!$B$3)=0,"",'List chi tiet'!$B$3)</f>
        <v>TCTN.DNS-26004</v>
      </c>
      <c r="AC307" s="5" t="s">
        <v>424</v>
      </c>
      <c r="AD307" s="5" t="s">
        <v>39</v>
      </c>
    </row>
    <row r="308" spans="1:30" hidden="1" x14ac:dyDescent="0.25">
      <c r="A308" s="5">
        <v>298</v>
      </c>
      <c r="B308" s="5" t="s">
        <v>429</v>
      </c>
      <c r="C308" s="5">
        <v>10</v>
      </c>
      <c r="D308" s="5">
        <v>80</v>
      </c>
      <c r="E308" s="5">
        <v>120</v>
      </c>
      <c r="F308" s="5" t="s">
        <v>77</v>
      </c>
      <c r="G308" s="5" t="s">
        <v>746</v>
      </c>
      <c r="H308" s="5">
        <v>1</v>
      </c>
      <c r="I308" s="5">
        <v>0.72</v>
      </c>
      <c r="J308" s="5" t="s">
        <v>839</v>
      </c>
      <c r="K308" s="5" t="s">
        <v>812</v>
      </c>
      <c r="L308" s="5"/>
      <c r="M308" s="5" t="s">
        <v>747</v>
      </c>
      <c r="N308" s="5"/>
      <c r="O308" s="20" t="s">
        <v>228</v>
      </c>
      <c r="P308" s="20" t="str">
        <f t="shared" si="4"/>
        <v/>
      </c>
      <c r="Q308" s="20" t="s">
        <v>26</v>
      </c>
      <c r="R308" s="20" t="s">
        <v>81</v>
      </c>
      <c r="S308" s="20"/>
      <c r="T308" s="20"/>
      <c r="U308" s="20"/>
      <c r="V308" s="20"/>
      <c r="W308" s="20">
        <v>1</v>
      </c>
      <c r="X308" s="21" t="s">
        <v>37</v>
      </c>
      <c r="Y308" s="5"/>
      <c r="Z308" s="5" t="s">
        <v>38</v>
      </c>
      <c r="AA308" s="5"/>
      <c r="AB308" s="5" t="str">
        <f>IF(LEN('List chi tiet'!$B$3)=0,"",'List chi tiet'!$B$3)</f>
        <v>TCTN.DNS-26004</v>
      </c>
      <c r="AC308" s="5" t="s">
        <v>424</v>
      </c>
      <c r="AD308" s="5" t="s">
        <v>39</v>
      </c>
    </row>
    <row r="309" spans="1:30" hidden="1" x14ac:dyDescent="0.25">
      <c r="A309" s="5">
        <v>299</v>
      </c>
      <c r="B309" s="5" t="s">
        <v>430</v>
      </c>
      <c r="C309" s="5">
        <v>10</v>
      </c>
      <c r="D309" s="5">
        <v>120</v>
      </c>
      <c r="E309" s="5">
        <v>250</v>
      </c>
      <c r="F309" s="5" t="s">
        <v>77</v>
      </c>
      <c r="G309" s="5" t="s">
        <v>746</v>
      </c>
      <c r="H309" s="5">
        <v>1</v>
      </c>
      <c r="I309" s="5">
        <v>2.36</v>
      </c>
      <c r="J309" s="5" t="s">
        <v>839</v>
      </c>
      <c r="K309" s="5" t="s">
        <v>812</v>
      </c>
      <c r="L309" s="5"/>
      <c r="M309" s="5" t="s">
        <v>747</v>
      </c>
      <c r="N309" s="5"/>
      <c r="O309" s="20"/>
      <c r="P309" s="20" t="str">
        <f t="shared" si="4"/>
        <v/>
      </c>
      <c r="Q309" s="20" t="s">
        <v>26</v>
      </c>
      <c r="R309" s="20" t="s">
        <v>81</v>
      </c>
      <c r="S309" s="20"/>
      <c r="T309" s="20"/>
      <c r="U309" s="20"/>
      <c r="V309" s="20"/>
      <c r="W309" s="20">
        <v>1</v>
      </c>
      <c r="X309" s="21" t="s">
        <v>37</v>
      </c>
      <c r="Y309" s="5"/>
      <c r="Z309" s="5" t="s">
        <v>38</v>
      </c>
      <c r="AA309" s="5"/>
      <c r="AB309" s="5" t="str">
        <f>IF(LEN('List chi tiet'!$B$3)=0,"",'List chi tiet'!$B$3)</f>
        <v>TCTN.DNS-26004</v>
      </c>
      <c r="AC309" s="5" t="s">
        <v>424</v>
      </c>
      <c r="AD309" s="5" t="s">
        <v>39</v>
      </c>
    </row>
    <row r="310" spans="1:30" hidden="1" x14ac:dyDescent="0.25">
      <c r="A310" s="5">
        <v>300</v>
      </c>
      <c r="B310" s="5" t="s">
        <v>432</v>
      </c>
      <c r="C310" s="5">
        <v>10</v>
      </c>
      <c r="D310" s="5">
        <v>105</v>
      </c>
      <c r="E310" s="5">
        <v>195</v>
      </c>
      <c r="F310" s="5" t="s">
        <v>77</v>
      </c>
      <c r="G310" s="5" t="s">
        <v>746</v>
      </c>
      <c r="H310" s="5">
        <v>1</v>
      </c>
      <c r="I310" s="5">
        <v>1.02</v>
      </c>
      <c r="J310" s="5" t="s">
        <v>839</v>
      </c>
      <c r="K310" s="5" t="s">
        <v>812</v>
      </c>
      <c r="L310" s="5"/>
      <c r="M310" s="5" t="s">
        <v>747</v>
      </c>
      <c r="N310" s="5"/>
      <c r="O310" s="20"/>
      <c r="P310" s="20" t="str">
        <f t="shared" si="4"/>
        <v/>
      </c>
      <c r="Q310" s="20" t="s">
        <v>26</v>
      </c>
      <c r="R310" s="20" t="s">
        <v>81</v>
      </c>
      <c r="S310" s="20"/>
      <c r="T310" s="20"/>
      <c r="U310" s="20"/>
      <c r="V310" s="20"/>
      <c r="W310" s="20">
        <v>1</v>
      </c>
      <c r="X310" s="21" t="s">
        <v>37</v>
      </c>
      <c r="Y310" s="5"/>
      <c r="Z310" s="5" t="s">
        <v>38</v>
      </c>
      <c r="AA310" s="5"/>
      <c r="AB310" s="5" t="str">
        <f>IF(LEN('List chi tiet'!$B$3)=0,"",'List chi tiet'!$B$3)</f>
        <v>TCTN.DNS-26004</v>
      </c>
      <c r="AC310" s="5" t="s">
        <v>424</v>
      </c>
      <c r="AD310" s="5" t="s">
        <v>39</v>
      </c>
    </row>
    <row r="311" spans="1:30" hidden="1" x14ac:dyDescent="0.25">
      <c r="A311" s="5">
        <v>301</v>
      </c>
      <c r="B311" s="5" t="s">
        <v>434</v>
      </c>
      <c r="C311" s="5">
        <v>10</v>
      </c>
      <c r="D311" s="5">
        <v>148</v>
      </c>
      <c r="E311" s="5">
        <v>324</v>
      </c>
      <c r="F311" s="5" t="s">
        <v>77</v>
      </c>
      <c r="G311" s="5" t="s">
        <v>746</v>
      </c>
      <c r="H311" s="5">
        <v>2</v>
      </c>
      <c r="I311" s="5">
        <v>7.4</v>
      </c>
      <c r="J311" s="5" t="s">
        <v>839</v>
      </c>
      <c r="K311" s="5" t="s">
        <v>812</v>
      </c>
      <c r="L311" s="5"/>
      <c r="M311" s="5" t="s">
        <v>747</v>
      </c>
      <c r="N311" s="5"/>
      <c r="O311" s="20"/>
      <c r="P311" s="20" t="str">
        <f t="shared" si="4"/>
        <v/>
      </c>
      <c r="Q311" s="20" t="s">
        <v>26</v>
      </c>
      <c r="R311" s="20" t="s">
        <v>81</v>
      </c>
      <c r="S311" s="20"/>
      <c r="T311" s="20"/>
      <c r="U311" s="20"/>
      <c r="V311" s="20"/>
      <c r="W311" s="20">
        <v>1</v>
      </c>
      <c r="X311" s="21" t="s">
        <v>37</v>
      </c>
      <c r="Y311" s="5"/>
      <c r="Z311" s="5" t="s">
        <v>38</v>
      </c>
      <c r="AA311" s="5"/>
      <c r="AB311" s="5" t="str">
        <f>IF(LEN('List chi tiet'!$B$3)=0,"",'List chi tiet'!$B$3)</f>
        <v>TCTN.DNS-26004</v>
      </c>
      <c r="AC311" s="5" t="s">
        <v>424</v>
      </c>
      <c r="AD311" s="5" t="s">
        <v>39</v>
      </c>
    </row>
    <row r="312" spans="1:30" hidden="1" x14ac:dyDescent="0.25">
      <c r="A312" s="5">
        <v>302</v>
      </c>
      <c r="B312" s="5" t="s">
        <v>436</v>
      </c>
      <c r="C312" s="5">
        <v>10</v>
      </c>
      <c r="D312" s="5">
        <v>148</v>
      </c>
      <c r="E312" s="5">
        <v>441</v>
      </c>
      <c r="F312" s="5" t="s">
        <v>77</v>
      </c>
      <c r="G312" s="5" t="s">
        <v>746</v>
      </c>
      <c r="H312" s="5">
        <v>9</v>
      </c>
      <c r="I312" s="5">
        <v>45.55</v>
      </c>
      <c r="J312" s="5" t="s">
        <v>839</v>
      </c>
      <c r="K312" s="5" t="s">
        <v>812</v>
      </c>
      <c r="L312" s="5"/>
      <c r="M312" s="5" t="s">
        <v>747</v>
      </c>
      <c r="N312" s="5"/>
      <c r="O312" s="20"/>
      <c r="P312" s="20" t="str">
        <f t="shared" si="4"/>
        <v/>
      </c>
      <c r="Q312" s="20" t="s">
        <v>26</v>
      </c>
      <c r="R312" s="20" t="s">
        <v>81</v>
      </c>
      <c r="S312" s="20"/>
      <c r="T312" s="20"/>
      <c r="U312" s="20"/>
      <c r="V312" s="20"/>
      <c r="W312" s="20">
        <v>1</v>
      </c>
      <c r="X312" s="21" t="s">
        <v>37</v>
      </c>
      <c r="Y312" s="5"/>
      <c r="Z312" s="5" t="s">
        <v>38</v>
      </c>
      <c r="AA312" s="5"/>
      <c r="AB312" s="5" t="str">
        <f>IF(LEN('List chi tiet'!$B$3)=0,"",'List chi tiet'!$B$3)</f>
        <v>TCTN.DNS-26004</v>
      </c>
      <c r="AC312" s="5" t="s">
        <v>424</v>
      </c>
      <c r="AD312" s="5" t="s">
        <v>39</v>
      </c>
    </row>
    <row r="313" spans="1:30" hidden="1" x14ac:dyDescent="0.25">
      <c r="A313" s="5">
        <v>303</v>
      </c>
      <c r="B313" s="5" t="s">
        <v>437</v>
      </c>
      <c r="C313" s="5">
        <v>10</v>
      </c>
      <c r="D313" s="5">
        <v>148</v>
      </c>
      <c r="E313" s="5">
        <v>441</v>
      </c>
      <c r="F313" s="5" t="s">
        <v>77</v>
      </c>
      <c r="G313" s="5" t="s">
        <v>746</v>
      </c>
      <c r="H313" s="5">
        <v>13</v>
      </c>
      <c r="I313" s="5">
        <v>65.790000000000006</v>
      </c>
      <c r="J313" s="5" t="s">
        <v>839</v>
      </c>
      <c r="K313" s="5" t="s">
        <v>812</v>
      </c>
      <c r="L313" s="5"/>
      <c r="M313" s="5" t="s">
        <v>747</v>
      </c>
      <c r="N313" s="5"/>
      <c r="O313" s="20"/>
      <c r="P313" s="20" t="str">
        <f t="shared" si="4"/>
        <v/>
      </c>
      <c r="Q313" s="20" t="s">
        <v>26</v>
      </c>
      <c r="R313" s="20" t="s">
        <v>81</v>
      </c>
      <c r="S313" s="20"/>
      <c r="T313" s="20"/>
      <c r="U313" s="20"/>
      <c r="V313" s="20"/>
      <c r="W313" s="20">
        <v>1</v>
      </c>
      <c r="X313" s="21" t="s">
        <v>37</v>
      </c>
      <c r="Y313" s="5"/>
      <c r="Z313" s="5" t="s">
        <v>38</v>
      </c>
      <c r="AA313" s="5"/>
      <c r="AB313" s="5" t="str">
        <f>IF(LEN('List chi tiet'!$B$3)=0,"",'List chi tiet'!$B$3)</f>
        <v>TCTN.DNS-26004</v>
      </c>
      <c r="AC313" s="5" t="s">
        <v>424</v>
      </c>
      <c r="AD313" s="5" t="s">
        <v>39</v>
      </c>
    </row>
    <row r="314" spans="1:30" hidden="1" x14ac:dyDescent="0.25">
      <c r="A314" s="5">
        <v>304</v>
      </c>
      <c r="B314" s="5" t="s">
        <v>400</v>
      </c>
      <c r="C314" s="5">
        <v>10</v>
      </c>
      <c r="D314" s="5">
        <v>148</v>
      </c>
      <c r="E314" s="5">
        <v>441</v>
      </c>
      <c r="F314" s="5" t="s">
        <v>77</v>
      </c>
      <c r="G314" s="5" t="s">
        <v>746</v>
      </c>
      <c r="H314" s="5">
        <v>2</v>
      </c>
      <c r="I314" s="5">
        <v>10.119999999999999</v>
      </c>
      <c r="J314" s="5" t="s">
        <v>839</v>
      </c>
      <c r="K314" s="5" t="s">
        <v>812</v>
      </c>
      <c r="L314" s="5"/>
      <c r="M314" s="5" t="s">
        <v>747</v>
      </c>
      <c r="N314" s="5"/>
      <c r="O314" s="20"/>
      <c r="P314" s="20" t="str">
        <f t="shared" si="4"/>
        <v/>
      </c>
      <c r="Q314" s="20" t="s">
        <v>26</v>
      </c>
      <c r="R314" s="20" t="s">
        <v>81</v>
      </c>
      <c r="S314" s="20"/>
      <c r="T314" s="20"/>
      <c r="U314" s="20"/>
      <c r="V314" s="20"/>
      <c r="W314" s="20">
        <v>1</v>
      </c>
      <c r="X314" s="21" t="s">
        <v>37</v>
      </c>
      <c r="Y314" s="5"/>
      <c r="Z314" s="5" t="s">
        <v>38</v>
      </c>
      <c r="AA314" s="5"/>
      <c r="AB314" s="5" t="str">
        <f>IF(LEN('List chi tiet'!$B$3)=0,"",'List chi tiet'!$B$3)</f>
        <v>TCTN.DNS-26004</v>
      </c>
      <c r="AC314" s="5" t="s">
        <v>424</v>
      </c>
      <c r="AD314" s="5" t="s">
        <v>39</v>
      </c>
    </row>
    <row r="315" spans="1:30" hidden="1" x14ac:dyDescent="0.25">
      <c r="A315" s="5">
        <v>305</v>
      </c>
      <c r="B315" s="5" t="s">
        <v>401</v>
      </c>
      <c r="C315" s="5">
        <v>10</v>
      </c>
      <c r="D315" s="5">
        <v>80</v>
      </c>
      <c r="E315" s="5">
        <v>120</v>
      </c>
      <c r="F315" s="5" t="s">
        <v>77</v>
      </c>
      <c r="G315" s="5" t="s">
        <v>746</v>
      </c>
      <c r="H315" s="5">
        <v>5</v>
      </c>
      <c r="I315" s="5">
        <v>3.62</v>
      </c>
      <c r="J315" s="5" t="s">
        <v>839</v>
      </c>
      <c r="K315" s="5" t="s">
        <v>812</v>
      </c>
      <c r="L315" s="5"/>
      <c r="M315" s="5" t="s">
        <v>747</v>
      </c>
      <c r="N315" s="5"/>
      <c r="O315" s="20" t="s">
        <v>228</v>
      </c>
      <c r="P315" s="20" t="str">
        <f t="shared" si="4"/>
        <v/>
      </c>
      <c r="Q315" s="20" t="s">
        <v>26</v>
      </c>
      <c r="R315" s="20" t="s">
        <v>81</v>
      </c>
      <c r="S315" s="20"/>
      <c r="T315" s="20"/>
      <c r="U315" s="20"/>
      <c r="V315" s="20"/>
      <c r="W315" s="20">
        <v>1</v>
      </c>
      <c r="X315" s="21" t="s">
        <v>37</v>
      </c>
      <c r="Y315" s="5"/>
      <c r="Z315" s="5" t="s">
        <v>38</v>
      </c>
      <c r="AA315" s="5"/>
      <c r="AB315" s="5" t="str">
        <f>IF(LEN('List chi tiet'!$B$3)=0,"",'List chi tiet'!$B$3)</f>
        <v>TCTN.DNS-26004</v>
      </c>
      <c r="AC315" s="5" t="s">
        <v>424</v>
      </c>
      <c r="AD315" s="5" t="s">
        <v>39</v>
      </c>
    </row>
    <row r="316" spans="1:30" hidden="1" x14ac:dyDescent="0.25">
      <c r="A316" s="5">
        <v>306</v>
      </c>
      <c r="B316" s="5" t="s">
        <v>438</v>
      </c>
      <c r="C316" s="5">
        <v>10</v>
      </c>
      <c r="D316" s="5">
        <v>120</v>
      </c>
      <c r="E316" s="5">
        <v>220</v>
      </c>
      <c r="F316" s="5" t="s">
        <v>77</v>
      </c>
      <c r="G316" s="5" t="s">
        <v>746</v>
      </c>
      <c r="H316" s="5">
        <v>6</v>
      </c>
      <c r="I316" s="5">
        <v>12.08</v>
      </c>
      <c r="J316" s="5" t="s">
        <v>839</v>
      </c>
      <c r="K316" s="5" t="s">
        <v>812</v>
      </c>
      <c r="L316" s="5"/>
      <c r="M316" s="5" t="s">
        <v>747</v>
      </c>
      <c r="N316" s="5"/>
      <c r="O316" s="20" t="s">
        <v>228</v>
      </c>
      <c r="P316" s="20" t="str">
        <f t="shared" si="4"/>
        <v/>
      </c>
      <c r="Q316" s="20" t="s">
        <v>26</v>
      </c>
      <c r="R316" s="20" t="s">
        <v>81</v>
      </c>
      <c r="S316" s="20"/>
      <c r="T316" s="20"/>
      <c r="U316" s="20"/>
      <c r="V316" s="20"/>
      <c r="W316" s="20">
        <v>1</v>
      </c>
      <c r="X316" s="21" t="s">
        <v>37</v>
      </c>
      <c r="Y316" s="5"/>
      <c r="Z316" s="5" t="s">
        <v>38</v>
      </c>
      <c r="AA316" s="5"/>
      <c r="AB316" s="5" t="str">
        <f>IF(LEN('List chi tiet'!$B$3)=0,"",'List chi tiet'!$B$3)</f>
        <v>TCTN.DNS-26004</v>
      </c>
      <c r="AC316" s="5" t="s">
        <v>424</v>
      </c>
      <c r="AD316" s="5" t="s">
        <v>39</v>
      </c>
    </row>
    <row r="317" spans="1:30" hidden="1" x14ac:dyDescent="0.25">
      <c r="A317" s="5">
        <v>307</v>
      </c>
      <c r="B317" s="5" t="s">
        <v>439</v>
      </c>
      <c r="C317" s="5">
        <v>10</v>
      </c>
      <c r="D317" s="5">
        <v>350</v>
      </c>
      <c r="E317" s="5">
        <v>4580</v>
      </c>
      <c r="F317" s="5" t="s">
        <v>77</v>
      </c>
      <c r="G317" s="5" t="s">
        <v>746</v>
      </c>
      <c r="H317" s="5">
        <v>1</v>
      </c>
      <c r="I317" s="5">
        <v>125.84</v>
      </c>
      <c r="J317" s="5" t="s">
        <v>839</v>
      </c>
      <c r="K317" s="5" t="s">
        <v>812</v>
      </c>
      <c r="L317" s="5"/>
      <c r="M317" s="5" t="s">
        <v>747</v>
      </c>
      <c r="N317" s="5"/>
      <c r="O317" s="20"/>
      <c r="P317" s="20" t="str">
        <f t="shared" si="4"/>
        <v/>
      </c>
      <c r="Q317" s="20" t="s">
        <v>28</v>
      </c>
      <c r="R317" s="20" t="s">
        <v>81</v>
      </c>
      <c r="S317" s="20"/>
      <c r="T317" s="20"/>
      <c r="U317" s="20"/>
      <c r="V317" s="20" t="s">
        <v>81</v>
      </c>
      <c r="W317" s="20">
        <v>1</v>
      </c>
      <c r="X317" s="21" t="s">
        <v>37</v>
      </c>
      <c r="Y317" s="5"/>
      <c r="Z317" s="5" t="s">
        <v>38</v>
      </c>
      <c r="AA317" s="5"/>
      <c r="AB317" s="5" t="str">
        <f>IF(LEN('List chi tiet'!$B$3)=0,"",'List chi tiet'!$B$3)</f>
        <v>TCTN.DNS-26004</v>
      </c>
      <c r="AC317" s="5" t="s">
        <v>424</v>
      </c>
      <c r="AD317" s="5" t="s">
        <v>39</v>
      </c>
    </row>
    <row r="318" spans="1:30" hidden="1" x14ac:dyDescent="0.25">
      <c r="A318" s="5">
        <v>308</v>
      </c>
      <c r="B318" s="5" t="s">
        <v>441</v>
      </c>
      <c r="C318" s="5">
        <v>10</v>
      </c>
      <c r="D318" s="5">
        <v>380</v>
      </c>
      <c r="E318" s="5">
        <v>4577</v>
      </c>
      <c r="F318" s="5" t="s">
        <v>77</v>
      </c>
      <c r="G318" s="5" t="s">
        <v>746</v>
      </c>
      <c r="H318" s="5">
        <v>2</v>
      </c>
      <c r="I318" s="5">
        <v>270.14999999999998</v>
      </c>
      <c r="J318" s="5" t="s">
        <v>839</v>
      </c>
      <c r="K318" s="5" t="s">
        <v>812</v>
      </c>
      <c r="L318" s="5"/>
      <c r="M318" s="5" t="s">
        <v>747</v>
      </c>
      <c r="N318" s="5"/>
      <c r="O318" s="20"/>
      <c r="P318" s="20" t="str">
        <f t="shared" si="4"/>
        <v/>
      </c>
      <c r="Q318" s="20" t="s">
        <v>28</v>
      </c>
      <c r="R318" s="20" t="s">
        <v>81</v>
      </c>
      <c r="S318" s="20"/>
      <c r="T318" s="20"/>
      <c r="U318" s="20"/>
      <c r="V318" s="20"/>
      <c r="W318" s="20">
        <v>1</v>
      </c>
      <c r="X318" s="21" t="s">
        <v>37</v>
      </c>
      <c r="Y318" s="5"/>
      <c r="Z318" s="5" t="s">
        <v>38</v>
      </c>
      <c r="AA318" s="5"/>
      <c r="AB318" s="5" t="str">
        <f>IF(LEN('List chi tiet'!$B$3)=0,"",'List chi tiet'!$B$3)</f>
        <v>TCTN.DNS-26004</v>
      </c>
      <c r="AC318" s="5" t="s">
        <v>424</v>
      </c>
      <c r="AD318" s="5" t="s">
        <v>39</v>
      </c>
    </row>
    <row r="319" spans="1:30" hidden="1" x14ac:dyDescent="0.25">
      <c r="A319" s="5">
        <v>309</v>
      </c>
      <c r="B319" s="5" t="s">
        <v>404</v>
      </c>
      <c r="C319" s="5">
        <v>10</v>
      </c>
      <c r="D319" s="5">
        <v>120</v>
      </c>
      <c r="E319" s="5">
        <v>220</v>
      </c>
      <c r="F319" s="5" t="s">
        <v>77</v>
      </c>
      <c r="G319" s="5" t="s">
        <v>746</v>
      </c>
      <c r="H319" s="5">
        <v>5</v>
      </c>
      <c r="I319" s="5">
        <v>10.06</v>
      </c>
      <c r="J319" s="5" t="s">
        <v>839</v>
      </c>
      <c r="K319" s="5" t="s">
        <v>812</v>
      </c>
      <c r="L319" s="5"/>
      <c r="M319" s="5" t="s">
        <v>747</v>
      </c>
      <c r="N319" s="5"/>
      <c r="O319" s="20" t="s">
        <v>228</v>
      </c>
      <c r="P319" s="20" t="str">
        <f t="shared" si="4"/>
        <v/>
      </c>
      <c r="Q319" s="20" t="s">
        <v>26</v>
      </c>
      <c r="R319" s="20" t="s">
        <v>81</v>
      </c>
      <c r="S319" s="20"/>
      <c r="T319" s="20"/>
      <c r="U319" s="20"/>
      <c r="V319" s="20"/>
      <c r="W319" s="20">
        <v>1</v>
      </c>
      <c r="X319" s="21" t="s">
        <v>37</v>
      </c>
      <c r="Y319" s="5"/>
      <c r="Z319" s="5" t="s">
        <v>38</v>
      </c>
      <c r="AA319" s="5"/>
      <c r="AB319" s="5" t="str">
        <f>IF(LEN('List chi tiet'!$B$3)=0,"",'List chi tiet'!$B$3)</f>
        <v>TCTN.DNS-26004</v>
      </c>
      <c r="AC319" s="5" t="s">
        <v>424</v>
      </c>
      <c r="AD319" s="5" t="s">
        <v>39</v>
      </c>
    </row>
    <row r="320" spans="1:30" hidden="1" x14ac:dyDescent="0.25">
      <c r="A320" s="5">
        <v>310</v>
      </c>
      <c r="B320" s="5" t="s">
        <v>442</v>
      </c>
      <c r="C320" s="5">
        <v>10</v>
      </c>
      <c r="D320" s="5">
        <v>350</v>
      </c>
      <c r="E320" s="5">
        <v>4580</v>
      </c>
      <c r="F320" s="5" t="s">
        <v>77</v>
      </c>
      <c r="G320" s="5" t="s">
        <v>746</v>
      </c>
      <c r="H320" s="5">
        <v>1</v>
      </c>
      <c r="I320" s="5">
        <v>125.84</v>
      </c>
      <c r="J320" s="5" t="s">
        <v>839</v>
      </c>
      <c r="K320" s="5" t="s">
        <v>812</v>
      </c>
      <c r="L320" s="5"/>
      <c r="M320" s="5" t="s">
        <v>747</v>
      </c>
      <c r="N320" s="5"/>
      <c r="O320" s="20"/>
      <c r="P320" s="20" t="str">
        <f t="shared" si="4"/>
        <v/>
      </c>
      <c r="Q320" s="20" t="s">
        <v>28</v>
      </c>
      <c r="R320" s="20" t="s">
        <v>81</v>
      </c>
      <c r="S320" s="20"/>
      <c r="T320" s="20"/>
      <c r="U320" s="20"/>
      <c r="V320" s="20" t="s">
        <v>81</v>
      </c>
      <c r="W320" s="20">
        <v>1</v>
      </c>
      <c r="X320" s="21" t="s">
        <v>37</v>
      </c>
      <c r="Y320" s="5"/>
      <c r="Z320" s="5" t="s">
        <v>38</v>
      </c>
      <c r="AA320" s="5"/>
      <c r="AB320" s="5" t="str">
        <f>IF(LEN('List chi tiet'!$B$3)=0,"",'List chi tiet'!$B$3)</f>
        <v>TCTN.DNS-26004</v>
      </c>
      <c r="AC320" s="5" t="s">
        <v>424</v>
      </c>
      <c r="AD320" s="5" t="s">
        <v>39</v>
      </c>
    </row>
    <row r="321" spans="1:30" hidden="1" x14ac:dyDescent="0.25">
      <c r="A321" s="5">
        <v>311</v>
      </c>
      <c r="B321" s="5" t="s">
        <v>416</v>
      </c>
      <c r="C321" s="5">
        <v>10</v>
      </c>
      <c r="D321" s="5">
        <v>100</v>
      </c>
      <c r="E321" s="5">
        <v>100</v>
      </c>
      <c r="F321" s="5" t="s">
        <v>77</v>
      </c>
      <c r="G321" s="5" t="s">
        <v>746</v>
      </c>
      <c r="H321" s="5">
        <v>1</v>
      </c>
      <c r="I321" s="5">
        <v>0.39</v>
      </c>
      <c r="J321" s="5" t="s">
        <v>839</v>
      </c>
      <c r="K321" s="5" t="s">
        <v>812</v>
      </c>
      <c r="L321" s="5"/>
      <c r="M321" s="5" t="s">
        <v>747</v>
      </c>
      <c r="N321" s="5"/>
      <c r="O321" s="20" t="s">
        <v>228</v>
      </c>
      <c r="P321" s="20" t="str">
        <f t="shared" si="4"/>
        <v/>
      </c>
      <c r="Q321" s="20" t="s">
        <v>27</v>
      </c>
      <c r="R321" s="20" t="s">
        <v>81</v>
      </c>
      <c r="S321" s="20"/>
      <c r="T321" s="20"/>
      <c r="U321" s="20"/>
      <c r="V321" s="20"/>
      <c r="W321" s="20">
        <v>1</v>
      </c>
      <c r="X321" s="21" t="s">
        <v>37</v>
      </c>
      <c r="Y321" s="5"/>
      <c r="Z321" s="5" t="s">
        <v>38</v>
      </c>
      <c r="AA321" s="5"/>
      <c r="AB321" s="5" t="str">
        <f>IF(LEN('List chi tiet'!$B$3)=0,"",'List chi tiet'!$B$3)</f>
        <v>TCTN.DNS-26004</v>
      </c>
      <c r="AC321" s="5" t="s">
        <v>424</v>
      </c>
      <c r="AD321" s="5" t="s">
        <v>39</v>
      </c>
    </row>
    <row r="322" spans="1:30" hidden="1" x14ac:dyDescent="0.25">
      <c r="A322" s="5">
        <v>312</v>
      </c>
      <c r="B322" s="5" t="s">
        <v>421</v>
      </c>
      <c r="C322" s="5">
        <v>10</v>
      </c>
      <c r="D322" s="5">
        <v>230</v>
      </c>
      <c r="E322" s="5">
        <v>3586</v>
      </c>
      <c r="F322" s="5" t="s">
        <v>77</v>
      </c>
      <c r="G322" s="5" t="s">
        <v>746</v>
      </c>
      <c r="H322" s="5">
        <v>2</v>
      </c>
      <c r="I322" s="5">
        <v>129.49</v>
      </c>
      <c r="J322" s="5" t="s">
        <v>839</v>
      </c>
      <c r="K322" s="5" t="s">
        <v>812</v>
      </c>
      <c r="L322" s="5"/>
      <c r="M322" s="5" t="s">
        <v>747</v>
      </c>
      <c r="N322" s="5"/>
      <c r="O322" s="20"/>
      <c r="P322" s="20" t="str">
        <f t="shared" si="4"/>
        <v/>
      </c>
      <c r="Q322" s="20" t="s">
        <v>28</v>
      </c>
      <c r="R322" s="20" t="s">
        <v>81</v>
      </c>
      <c r="S322" s="20"/>
      <c r="T322" s="20"/>
      <c r="U322" s="20"/>
      <c r="V322" s="20"/>
      <c r="W322" s="20">
        <v>1</v>
      </c>
      <c r="X322" s="21" t="s">
        <v>37</v>
      </c>
      <c r="Y322" s="5"/>
      <c r="Z322" s="5" t="s">
        <v>38</v>
      </c>
      <c r="AA322" s="5"/>
      <c r="AB322" s="5" t="str">
        <f>IF(LEN('List chi tiet'!$B$3)=0,"",'List chi tiet'!$B$3)</f>
        <v>TCTN.DNS-26004</v>
      </c>
      <c r="AC322" s="5" t="s">
        <v>424</v>
      </c>
      <c r="AD322" s="5" t="s">
        <v>39</v>
      </c>
    </row>
    <row r="323" spans="1:30" hidden="1" x14ac:dyDescent="0.25">
      <c r="A323" s="5">
        <v>313</v>
      </c>
      <c r="B323" s="5" t="s">
        <v>429</v>
      </c>
      <c r="C323" s="5">
        <v>10</v>
      </c>
      <c r="D323" s="5">
        <v>80</v>
      </c>
      <c r="E323" s="5">
        <v>120</v>
      </c>
      <c r="F323" s="5" t="s">
        <v>77</v>
      </c>
      <c r="G323" s="5" t="s">
        <v>746</v>
      </c>
      <c r="H323" s="5">
        <v>1</v>
      </c>
      <c r="I323" s="5">
        <v>0.72</v>
      </c>
      <c r="J323" s="5" t="s">
        <v>839</v>
      </c>
      <c r="K323" s="5" t="s">
        <v>812</v>
      </c>
      <c r="L323" s="5"/>
      <c r="M323" s="5" t="s">
        <v>747</v>
      </c>
      <c r="N323" s="5"/>
      <c r="O323" s="20" t="s">
        <v>228</v>
      </c>
      <c r="P323" s="20" t="str">
        <f t="shared" si="4"/>
        <v/>
      </c>
      <c r="Q323" s="20" t="s">
        <v>26</v>
      </c>
      <c r="R323" s="20" t="s">
        <v>81</v>
      </c>
      <c r="S323" s="20"/>
      <c r="T323" s="20"/>
      <c r="U323" s="20"/>
      <c r="V323" s="20"/>
      <c r="W323" s="20">
        <v>1</v>
      </c>
      <c r="X323" s="21" t="s">
        <v>37</v>
      </c>
      <c r="Y323" s="5"/>
      <c r="Z323" s="5" t="s">
        <v>38</v>
      </c>
      <c r="AA323" s="5"/>
      <c r="AB323" s="5" t="str">
        <f>IF(LEN('List chi tiet'!$B$3)=0,"",'List chi tiet'!$B$3)</f>
        <v>TCTN.DNS-26004</v>
      </c>
      <c r="AC323" s="5" t="s">
        <v>443</v>
      </c>
      <c r="AD323" s="5" t="s">
        <v>39</v>
      </c>
    </row>
    <row r="324" spans="1:30" hidden="1" x14ac:dyDescent="0.25">
      <c r="A324" s="5">
        <v>314</v>
      </c>
      <c r="B324" s="5" t="s">
        <v>445</v>
      </c>
      <c r="C324" s="5">
        <v>10</v>
      </c>
      <c r="D324" s="5">
        <v>148</v>
      </c>
      <c r="E324" s="5">
        <v>324</v>
      </c>
      <c r="F324" s="5" t="s">
        <v>77</v>
      </c>
      <c r="G324" s="5" t="s">
        <v>746</v>
      </c>
      <c r="H324" s="5">
        <v>26</v>
      </c>
      <c r="I324" s="5">
        <v>96.24</v>
      </c>
      <c r="J324" s="5" t="s">
        <v>839</v>
      </c>
      <c r="K324" s="5" t="s">
        <v>812</v>
      </c>
      <c r="L324" s="5"/>
      <c r="M324" s="5" t="s">
        <v>747</v>
      </c>
      <c r="N324" s="5"/>
      <c r="O324" s="20"/>
      <c r="P324" s="20" t="str">
        <f t="shared" si="4"/>
        <v/>
      </c>
      <c r="Q324" s="20" t="s">
        <v>26</v>
      </c>
      <c r="R324" s="20" t="s">
        <v>81</v>
      </c>
      <c r="S324" s="20"/>
      <c r="T324" s="20"/>
      <c r="U324" s="20"/>
      <c r="V324" s="20"/>
      <c r="W324" s="20">
        <v>1</v>
      </c>
      <c r="X324" s="21" t="s">
        <v>37</v>
      </c>
      <c r="Y324" s="5"/>
      <c r="Z324" s="5" t="s">
        <v>38</v>
      </c>
      <c r="AA324" s="5"/>
      <c r="AB324" s="5" t="str">
        <f>IF(LEN('List chi tiet'!$B$3)=0,"",'List chi tiet'!$B$3)</f>
        <v>TCTN.DNS-26004</v>
      </c>
      <c r="AC324" s="5" t="s">
        <v>443</v>
      </c>
      <c r="AD324" s="5" t="s">
        <v>39</v>
      </c>
    </row>
    <row r="325" spans="1:30" hidden="1" x14ac:dyDescent="0.25">
      <c r="A325" s="5">
        <v>315</v>
      </c>
      <c r="B325" s="5" t="s">
        <v>446</v>
      </c>
      <c r="C325" s="5">
        <v>10</v>
      </c>
      <c r="D325" s="5">
        <v>148</v>
      </c>
      <c r="E325" s="5">
        <v>441</v>
      </c>
      <c r="F325" s="5" t="s">
        <v>77</v>
      </c>
      <c r="G325" s="5" t="s">
        <v>746</v>
      </c>
      <c r="H325" s="5">
        <v>8</v>
      </c>
      <c r="I325" s="5">
        <v>40.49</v>
      </c>
      <c r="J325" s="5" t="s">
        <v>839</v>
      </c>
      <c r="K325" s="5" t="s">
        <v>812</v>
      </c>
      <c r="L325" s="5"/>
      <c r="M325" s="5" t="s">
        <v>747</v>
      </c>
      <c r="N325" s="5"/>
      <c r="O325" s="20"/>
      <c r="P325" s="20" t="str">
        <f t="shared" si="4"/>
        <v/>
      </c>
      <c r="Q325" s="20" t="s">
        <v>26</v>
      </c>
      <c r="R325" s="20" t="s">
        <v>81</v>
      </c>
      <c r="S325" s="20"/>
      <c r="T325" s="20"/>
      <c r="U325" s="20"/>
      <c r="V325" s="20"/>
      <c r="W325" s="20">
        <v>1</v>
      </c>
      <c r="X325" s="21" t="s">
        <v>37</v>
      </c>
      <c r="Y325" s="5"/>
      <c r="Z325" s="5" t="s">
        <v>38</v>
      </c>
      <c r="AA325" s="5"/>
      <c r="AB325" s="5" t="str">
        <f>IF(LEN('List chi tiet'!$B$3)=0,"",'List chi tiet'!$B$3)</f>
        <v>TCTN.DNS-26004</v>
      </c>
      <c r="AC325" s="5" t="s">
        <v>443</v>
      </c>
      <c r="AD325" s="5" t="s">
        <v>39</v>
      </c>
    </row>
    <row r="326" spans="1:30" hidden="1" x14ac:dyDescent="0.25">
      <c r="A326" s="5">
        <v>316</v>
      </c>
      <c r="B326" s="5" t="s">
        <v>434</v>
      </c>
      <c r="C326" s="5">
        <v>10</v>
      </c>
      <c r="D326" s="5">
        <v>148</v>
      </c>
      <c r="E326" s="5">
        <v>324</v>
      </c>
      <c r="F326" s="5" t="s">
        <v>77</v>
      </c>
      <c r="G326" s="5" t="s">
        <v>746</v>
      </c>
      <c r="H326" s="5">
        <v>26</v>
      </c>
      <c r="I326" s="5">
        <v>96.24</v>
      </c>
      <c r="J326" s="5" t="s">
        <v>839</v>
      </c>
      <c r="K326" s="5" t="s">
        <v>812</v>
      </c>
      <c r="L326" s="5"/>
      <c r="M326" s="5" t="s">
        <v>747</v>
      </c>
      <c r="N326" s="5"/>
      <c r="O326" s="20"/>
      <c r="P326" s="20" t="str">
        <f t="shared" si="4"/>
        <v/>
      </c>
      <c r="Q326" s="20" t="s">
        <v>26</v>
      </c>
      <c r="R326" s="20" t="s">
        <v>81</v>
      </c>
      <c r="S326" s="20"/>
      <c r="T326" s="20"/>
      <c r="U326" s="20"/>
      <c r="V326" s="20"/>
      <c r="W326" s="20">
        <v>1</v>
      </c>
      <c r="X326" s="21" t="s">
        <v>37</v>
      </c>
      <c r="Y326" s="5"/>
      <c r="Z326" s="5" t="s">
        <v>38</v>
      </c>
      <c r="AA326" s="5"/>
      <c r="AB326" s="5" t="str">
        <f>IF(LEN('List chi tiet'!$B$3)=0,"",'List chi tiet'!$B$3)</f>
        <v>TCTN.DNS-26004</v>
      </c>
      <c r="AC326" s="5" t="s">
        <v>443</v>
      </c>
      <c r="AD326" s="5" t="s">
        <v>39</v>
      </c>
    </row>
    <row r="327" spans="1:30" hidden="1" x14ac:dyDescent="0.25">
      <c r="A327" s="5">
        <v>317</v>
      </c>
      <c r="B327" s="5" t="s">
        <v>436</v>
      </c>
      <c r="C327" s="5">
        <v>10</v>
      </c>
      <c r="D327" s="5">
        <v>148</v>
      </c>
      <c r="E327" s="5">
        <v>441</v>
      </c>
      <c r="F327" s="5" t="s">
        <v>77</v>
      </c>
      <c r="G327" s="5" t="s">
        <v>746</v>
      </c>
      <c r="H327" s="5">
        <v>12</v>
      </c>
      <c r="I327" s="5">
        <v>60.73</v>
      </c>
      <c r="J327" s="5" t="s">
        <v>839</v>
      </c>
      <c r="K327" s="5" t="s">
        <v>812</v>
      </c>
      <c r="L327" s="5"/>
      <c r="M327" s="5" t="s">
        <v>747</v>
      </c>
      <c r="N327" s="5"/>
      <c r="O327" s="20"/>
      <c r="P327" s="20" t="str">
        <f t="shared" si="4"/>
        <v/>
      </c>
      <c r="Q327" s="20" t="s">
        <v>26</v>
      </c>
      <c r="R327" s="20" t="s">
        <v>81</v>
      </c>
      <c r="S327" s="20"/>
      <c r="T327" s="20"/>
      <c r="U327" s="20"/>
      <c r="V327" s="20"/>
      <c r="W327" s="20">
        <v>1</v>
      </c>
      <c r="X327" s="21" t="s">
        <v>37</v>
      </c>
      <c r="Y327" s="5"/>
      <c r="Z327" s="5" t="s">
        <v>38</v>
      </c>
      <c r="AA327" s="5"/>
      <c r="AB327" s="5" t="str">
        <f>IF(LEN('List chi tiet'!$B$3)=0,"",'List chi tiet'!$B$3)</f>
        <v>TCTN.DNS-26004</v>
      </c>
      <c r="AC327" s="5" t="s">
        <v>443</v>
      </c>
      <c r="AD327" s="5" t="s">
        <v>39</v>
      </c>
    </row>
    <row r="328" spans="1:30" hidden="1" x14ac:dyDescent="0.25">
      <c r="A328" s="5">
        <v>318</v>
      </c>
      <c r="B328" s="5" t="s">
        <v>438</v>
      </c>
      <c r="C328" s="5">
        <v>10</v>
      </c>
      <c r="D328" s="5">
        <v>120</v>
      </c>
      <c r="E328" s="5">
        <v>220</v>
      </c>
      <c r="F328" s="5" t="s">
        <v>77</v>
      </c>
      <c r="G328" s="5" t="s">
        <v>746</v>
      </c>
      <c r="H328" s="5">
        <v>2</v>
      </c>
      <c r="I328" s="5">
        <v>4.03</v>
      </c>
      <c r="J328" s="5" t="s">
        <v>839</v>
      </c>
      <c r="K328" s="5" t="s">
        <v>812</v>
      </c>
      <c r="L328" s="5"/>
      <c r="M328" s="5" t="s">
        <v>747</v>
      </c>
      <c r="N328" s="5"/>
      <c r="O328" s="20" t="s">
        <v>228</v>
      </c>
      <c r="P328" s="20" t="str">
        <f t="shared" si="4"/>
        <v/>
      </c>
      <c r="Q328" s="20" t="s">
        <v>26</v>
      </c>
      <c r="R328" s="20" t="s">
        <v>81</v>
      </c>
      <c r="S328" s="20"/>
      <c r="T328" s="20"/>
      <c r="U328" s="20"/>
      <c r="V328" s="20"/>
      <c r="W328" s="20">
        <v>1</v>
      </c>
      <c r="X328" s="21" t="s">
        <v>37</v>
      </c>
      <c r="Y328" s="5"/>
      <c r="Z328" s="5" t="s">
        <v>38</v>
      </c>
      <c r="AA328" s="5"/>
      <c r="AB328" s="5" t="str">
        <f>IF(LEN('List chi tiet'!$B$3)=0,"",'List chi tiet'!$B$3)</f>
        <v>TCTN.DNS-26004</v>
      </c>
      <c r="AC328" s="5" t="s">
        <v>443</v>
      </c>
      <c r="AD328" s="5" t="s">
        <v>39</v>
      </c>
    </row>
    <row r="329" spans="1:30" hidden="1" x14ac:dyDescent="0.25">
      <c r="A329" s="5">
        <v>319</v>
      </c>
      <c r="B329" s="5" t="s">
        <v>447</v>
      </c>
      <c r="C329" s="5">
        <v>10</v>
      </c>
      <c r="D329" s="5">
        <v>148</v>
      </c>
      <c r="E329" s="5">
        <v>324</v>
      </c>
      <c r="F329" s="5" t="s">
        <v>77</v>
      </c>
      <c r="G329" s="5" t="s">
        <v>746</v>
      </c>
      <c r="H329" s="5">
        <v>2</v>
      </c>
      <c r="I329" s="5">
        <v>7.4</v>
      </c>
      <c r="J329" s="5" t="s">
        <v>839</v>
      </c>
      <c r="K329" s="5" t="s">
        <v>812</v>
      </c>
      <c r="L329" s="5"/>
      <c r="M329" s="5" t="s">
        <v>747</v>
      </c>
      <c r="N329" s="5"/>
      <c r="O329" s="20"/>
      <c r="P329" s="20" t="str">
        <f t="shared" si="4"/>
        <v/>
      </c>
      <c r="Q329" s="20" t="s">
        <v>26</v>
      </c>
      <c r="R329" s="20" t="s">
        <v>81</v>
      </c>
      <c r="S329" s="20"/>
      <c r="T329" s="20"/>
      <c r="U329" s="20"/>
      <c r="V329" s="20"/>
      <c r="W329" s="20">
        <v>1</v>
      </c>
      <c r="X329" s="21" t="s">
        <v>37</v>
      </c>
      <c r="Y329" s="5"/>
      <c r="Z329" s="5" t="s">
        <v>38</v>
      </c>
      <c r="AA329" s="5"/>
      <c r="AB329" s="5" t="str">
        <f>IF(LEN('List chi tiet'!$B$3)=0,"",'List chi tiet'!$B$3)</f>
        <v>TCTN.DNS-26004</v>
      </c>
      <c r="AC329" s="5" t="s">
        <v>443</v>
      </c>
      <c r="AD329" s="5" t="s">
        <v>39</v>
      </c>
    </row>
    <row r="330" spans="1:30" hidden="1" x14ac:dyDescent="0.25">
      <c r="A330" s="5">
        <v>320</v>
      </c>
      <c r="B330" s="5" t="s">
        <v>448</v>
      </c>
      <c r="C330" s="5">
        <v>10</v>
      </c>
      <c r="D330" s="5">
        <v>380</v>
      </c>
      <c r="E330" s="5">
        <v>4577</v>
      </c>
      <c r="F330" s="5" t="s">
        <v>77</v>
      </c>
      <c r="G330" s="5" t="s">
        <v>746</v>
      </c>
      <c r="H330" s="5">
        <v>2</v>
      </c>
      <c r="I330" s="5">
        <v>270.14999999999998</v>
      </c>
      <c r="J330" s="5" t="s">
        <v>839</v>
      </c>
      <c r="K330" s="5" t="s">
        <v>812</v>
      </c>
      <c r="L330" s="5"/>
      <c r="M330" s="5" t="s">
        <v>747</v>
      </c>
      <c r="N330" s="5"/>
      <c r="O330" s="20"/>
      <c r="P330" s="20" t="str">
        <f t="shared" si="4"/>
        <v/>
      </c>
      <c r="Q330" s="20" t="s">
        <v>28</v>
      </c>
      <c r="R330" s="20" t="s">
        <v>81</v>
      </c>
      <c r="S330" s="20"/>
      <c r="T330" s="20"/>
      <c r="U330" s="20"/>
      <c r="V330" s="20"/>
      <c r="W330" s="20">
        <v>1</v>
      </c>
      <c r="X330" s="21" t="s">
        <v>37</v>
      </c>
      <c r="Y330" s="5"/>
      <c r="Z330" s="5" t="s">
        <v>38</v>
      </c>
      <c r="AA330" s="5"/>
      <c r="AB330" s="5" t="str">
        <f>IF(LEN('List chi tiet'!$B$3)=0,"",'List chi tiet'!$B$3)</f>
        <v>TCTN.DNS-26004</v>
      </c>
      <c r="AC330" s="5" t="s">
        <v>443</v>
      </c>
      <c r="AD330" s="5" t="s">
        <v>39</v>
      </c>
    </row>
    <row r="331" spans="1:30" hidden="1" x14ac:dyDescent="0.25">
      <c r="A331" s="5">
        <v>321</v>
      </c>
      <c r="B331" s="5" t="s">
        <v>439</v>
      </c>
      <c r="C331" s="5">
        <v>10</v>
      </c>
      <c r="D331" s="5">
        <v>350</v>
      </c>
      <c r="E331" s="5">
        <v>4580</v>
      </c>
      <c r="F331" s="5" t="s">
        <v>77</v>
      </c>
      <c r="G331" s="5" t="s">
        <v>746</v>
      </c>
      <c r="H331" s="5">
        <v>1</v>
      </c>
      <c r="I331" s="5">
        <v>125.84</v>
      </c>
      <c r="J331" s="5" t="s">
        <v>839</v>
      </c>
      <c r="K331" s="5" t="s">
        <v>812</v>
      </c>
      <c r="L331" s="5"/>
      <c r="M331" s="5" t="s">
        <v>747</v>
      </c>
      <c r="N331" s="5"/>
      <c r="O331" s="20"/>
      <c r="P331" s="20" t="str">
        <f t="shared" ref="P331:P394" si="5">IF(LEN($B$4)=0,"",$B$4)</f>
        <v/>
      </c>
      <c r="Q331" s="20" t="s">
        <v>28</v>
      </c>
      <c r="R331" s="20" t="s">
        <v>81</v>
      </c>
      <c r="S331" s="20"/>
      <c r="T331" s="20"/>
      <c r="U331" s="20"/>
      <c r="V331" s="20" t="s">
        <v>81</v>
      </c>
      <c r="W331" s="20">
        <v>1</v>
      </c>
      <c r="X331" s="21" t="s">
        <v>37</v>
      </c>
      <c r="Y331" s="5"/>
      <c r="Z331" s="5" t="s">
        <v>38</v>
      </c>
      <c r="AA331" s="5"/>
      <c r="AB331" s="5" t="str">
        <f>IF(LEN('List chi tiet'!$B$3)=0,"",'List chi tiet'!$B$3)</f>
        <v>TCTN.DNS-26004</v>
      </c>
      <c r="AC331" s="5" t="s">
        <v>443</v>
      </c>
      <c r="AD331" s="5" t="s">
        <v>39</v>
      </c>
    </row>
    <row r="332" spans="1:30" hidden="1" x14ac:dyDescent="0.25">
      <c r="A332" s="5">
        <v>322</v>
      </c>
      <c r="B332" s="5" t="s">
        <v>449</v>
      </c>
      <c r="C332" s="5">
        <v>10</v>
      </c>
      <c r="D332" s="5">
        <v>350</v>
      </c>
      <c r="E332" s="5">
        <v>4480</v>
      </c>
      <c r="F332" s="5" t="s">
        <v>77</v>
      </c>
      <c r="G332" s="5" t="s">
        <v>746</v>
      </c>
      <c r="H332" s="5">
        <v>2</v>
      </c>
      <c r="I332" s="5">
        <v>246.18</v>
      </c>
      <c r="J332" s="5" t="s">
        <v>839</v>
      </c>
      <c r="K332" s="5" t="s">
        <v>812</v>
      </c>
      <c r="L332" s="5"/>
      <c r="M332" s="5" t="s">
        <v>747</v>
      </c>
      <c r="N332" s="5"/>
      <c r="O332" s="20"/>
      <c r="P332" s="20" t="str">
        <f t="shared" si="5"/>
        <v/>
      </c>
      <c r="Q332" s="20" t="s">
        <v>28</v>
      </c>
      <c r="R332" s="20" t="s">
        <v>81</v>
      </c>
      <c r="S332" s="20"/>
      <c r="T332" s="20"/>
      <c r="U332" s="20"/>
      <c r="V332" s="20" t="s">
        <v>81</v>
      </c>
      <c r="W332" s="20">
        <v>1</v>
      </c>
      <c r="X332" s="21" t="s">
        <v>37</v>
      </c>
      <c r="Y332" s="5"/>
      <c r="Z332" s="5" t="s">
        <v>38</v>
      </c>
      <c r="AA332" s="5"/>
      <c r="AB332" s="5" t="str">
        <f>IF(LEN('List chi tiet'!$B$3)=0,"",'List chi tiet'!$B$3)</f>
        <v>TCTN.DNS-26004</v>
      </c>
      <c r="AC332" s="5" t="s">
        <v>443</v>
      </c>
      <c r="AD332" s="5" t="s">
        <v>39</v>
      </c>
    </row>
    <row r="333" spans="1:30" hidden="1" x14ac:dyDescent="0.25">
      <c r="A333" s="5">
        <v>323</v>
      </c>
      <c r="B333" s="5" t="s">
        <v>441</v>
      </c>
      <c r="C333" s="5">
        <v>10</v>
      </c>
      <c r="D333" s="5">
        <v>380</v>
      </c>
      <c r="E333" s="5">
        <v>4577</v>
      </c>
      <c r="F333" s="5" t="s">
        <v>77</v>
      </c>
      <c r="G333" s="5" t="s">
        <v>746</v>
      </c>
      <c r="H333" s="5">
        <v>2</v>
      </c>
      <c r="I333" s="5">
        <v>270.14999999999998</v>
      </c>
      <c r="J333" s="5" t="s">
        <v>839</v>
      </c>
      <c r="K333" s="5" t="s">
        <v>812</v>
      </c>
      <c r="L333" s="5"/>
      <c r="M333" s="5" t="s">
        <v>747</v>
      </c>
      <c r="N333" s="5"/>
      <c r="O333" s="20"/>
      <c r="P333" s="20" t="str">
        <f t="shared" si="5"/>
        <v/>
      </c>
      <c r="Q333" s="20" t="s">
        <v>28</v>
      </c>
      <c r="R333" s="20" t="s">
        <v>81</v>
      </c>
      <c r="S333" s="20"/>
      <c r="T333" s="20"/>
      <c r="U333" s="20"/>
      <c r="V333" s="20"/>
      <c r="W333" s="20">
        <v>1</v>
      </c>
      <c r="X333" s="21" t="s">
        <v>37</v>
      </c>
      <c r="Y333" s="5"/>
      <c r="Z333" s="5" t="s">
        <v>38</v>
      </c>
      <c r="AA333" s="5"/>
      <c r="AB333" s="5" t="str">
        <f>IF(LEN('List chi tiet'!$B$3)=0,"",'List chi tiet'!$B$3)</f>
        <v>TCTN.DNS-26004</v>
      </c>
      <c r="AC333" s="5" t="s">
        <v>443</v>
      </c>
      <c r="AD333" s="5" t="s">
        <v>39</v>
      </c>
    </row>
    <row r="334" spans="1:30" hidden="1" x14ac:dyDescent="0.25">
      <c r="A334" s="5">
        <v>324</v>
      </c>
      <c r="B334" s="5" t="s">
        <v>451</v>
      </c>
      <c r="C334" s="5">
        <v>10</v>
      </c>
      <c r="D334" s="5">
        <v>127</v>
      </c>
      <c r="E334" s="5">
        <v>220</v>
      </c>
      <c r="F334" s="5" t="s">
        <v>77</v>
      </c>
      <c r="G334" s="5" t="s">
        <v>746</v>
      </c>
      <c r="H334" s="5">
        <v>1</v>
      </c>
      <c r="I334" s="5">
        <v>2.13</v>
      </c>
      <c r="J334" s="5" t="s">
        <v>839</v>
      </c>
      <c r="K334" s="5" t="s">
        <v>812</v>
      </c>
      <c r="L334" s="5"/>
      <c r="M334" s="5" t="s">
        <v>747</v>
      </c>
      <c r="N334" s="5"/>
      <c r="O334" s="20" t="s">
        <v>228</v>
      </c>
      <c r="P334" s="20" t="str">
        <f t="shared" si="5"/>
        <v/>
      </c>
      <c r="Q334" s="20" t="s">
        <v>26</v>
      </c>
      <c r="R334" s="20" t="s">
        <v>81</v>
      </c>
      <c r="S334" s="20"/>
      <c r="T334" s="20"/>
      <c r="U334" s="20"/>
      <c r="V334" s="20"/>
      <c r="W334" s="20">
        <v>1</v>
      </c>
      <c r="X334" s="21" t="s">
        <v>37</v>
      </c>
      <c r="Y334" s="5"/>
      <c r="Z334" s="5" t="s">
        <v>38</v>
      </c>
      <c r="AA334" s="5"/>
      <c r="AB334" s="5" t="str">
        <f>IF(LEN('List chi tiet'!$B$3)=0,"",'List chi tiet'!$B$3)</f>
        <v>TCTN.DNS-26004</v>
      </c>
      <c r="AC334" s="5" t="s">
        <v>443</v>
      </c>
      <c r="AD334" s="5" t="s">
        <v>39</v>
      </c>
    </row>
    <row r="335" spans="1:30" hidden="1" x14ac:dyDescent="0.25">
      <c r="A335" s="5">
        <v>325</v>
      </c>
      <c r="B335" s="5" t="s">
        <v>453</v>
      </c>
      <c r="C335" s="5">
        <v>10</v>
      </c>
      <c r="D335" s="5">
        <v>350</v>
      </c>
      <c r="E335" s="5">
        <v>4480</v>
      </c>
      <c r="F335" s="5" t="s">
        <v>77</v>
      </c>
      <c r="G335" s="5" t="s">
        <v>746</v>
      </c>
      <c r="H335" s="5">
        <v>1</v>
      </c>
      <c r="I335" s="5">
        <v>123.09</v>
      </c>
      <c r="J335" s="5" t="s">
        <v>839</v>
      </c>
      <c r="K335" s="5" t="s">
        <v>812</v>
      </c>
      <c r="L335" s="5"/>
      <c r="M335" s="5" t="s">
        <v>747</v>
      </c>
      <c r="N335" s="5"/>
      <c r="O335" s="20"/>
      <c r="P335" s="20" t="str">
        <f t="shared" si="5"/>
        <v/>
      </c>
      <c r="Q335" s="20" t="s">
        <v>28</v>
      </c>
      <c r="R335" s="20" t="s">
        <v>81</v>
      </c>
      <c r="S335" s="20"/>
      <c r="T335" s="20"/>
      <c r="U335" s="20"/>
      <c r="V335" s="20" t="s">
        <v>81</v>
      </c>
      <c r="W335" s="20">
        <v>1</v>
      </c>
      <c r="X335" s="21" t="s">
        <v>37</v>
      </c>
      <c r="Y335" s="5"/>
      <c r="Z335" s="5" t="s">
        <v>38</v>
      </c>
      <c r="AA335" s="5"/>
      <c r="AB335" s="5" t="str">
        <f>IF(LEN('List chi tiet'!$B$3)=0,"",'List chi tiet'!$B$3)</f>
        <v>TCTN.DNS-26004</v>
      </c>
      <c r="AC335" s="5" t="s">
        <v>443</v>
      </c>
      <c r="AD335" s="5" t="s">
        <v>39</v>
      </c>
    </row>
    <row r="336" spans="1:30" hidden="1" x14ac:dyDescent="0.25">
      <c r="A336" s="5">
        <v>326</v>
      </c>
      <c r="B336" s="5" t="s">
        <v>426</v>
      </c>
      <c r="C336" s="5">
        <v>10</v>
      </c>
      <c r="D336" s="5">
        <v>532</v>
      </c>
      <c r="E336" s="5">
        <v>4080</v>
      </c>
      <c r="F336" s="5" t="s">
        <v>77</v>
      </c>
      <c r="G336" s="5" t="s">
        <v>746</v>
      </c>
      <c r="H336" s="5">
        <v>2</v>
      </c>
      <c r="I336" s="5">
        <v>336.54</v>
      </c>
      <c r="J336" s="5" t="s">
        <v>839</v>
      </c>
      <c r="K336" s="5" t="s">
        <v>812</v>
      </c>
      <c r="L336" s="5"/>
      <c r="M336" s="5" t="s">
        <v>747</v>
      </c>
      <c r="N336" s="5"/>
      <c r="O336" s="20"/>
      <c r="P336" s="20" t="str">
        <f t="shared" si="5"/>
        <v/>
      </c>
      <c r="Q336" s="20"/>
      <c r="R336" s="20" t="s">
        <v>81</v>
      </c>
      <c r="S336" s="20"/>
      <c r="T336" s="20"/>
      <c r="U336" s="20" t="s">
        <v>81</v>
      </c>
      <c r="V336" s="20" t="s">
        <v>81</v>
      </c>
      <c r="W336" s="20">
        <v>1</v>
      </c>
      <c r="X336" s="21" t="s">
        <v>37</v>
      </c>
      <c r="Y336" s="5"/>
      <c r="Z336" s="5" t="s">
        <v>38</v>
      </c>
      <c r="AA336" s="5"/>
      <c r="AB336" s="5" t="str">
        <f>IF(LEN('List chi tiet'!$B$3)=0,"",'List chi tiet'!$B$3)</f>
        <v>TCTN.DNS-26004</v>
      </c>
      <c r="AC336" s="5" t="s">
        <v>454</v>
      </c>
      <c r="AD336" s="5" t="s">
        <v>39</v>
      </c>
    </row>
    <row r="337" spans="1:30" hidden="1" x14ac:dyDescent="0.25">
      <c r="A337" s="5">
        <v>327</v>
      </c>
      <c r="B337" s="5" t="s">
        <v>456</v>
      </c>
      <c r="C337" s="5">
        <v>10</v>
      </c>
      <c r="D337" s="5">
        <v>70</v>
      </c>
      <c r="E337" s="5">
        <v>120</v>
      </c>
      <c r="F337" s="5" t="s">
        <v>77</v>
      </c>
      <c r="G337" s="5" t="s">
        <v>746</v>
      </c>
      <c r="H337" s="5">
        <v>4</v>
      </c>
      <c r="I337" s="5">
        <v>2.52</v>
      </c>
      <c r="J337" s="5" t="s">
        <v>839</v>
      </c>
      <c r="K337" s="5" t="s">
        <v>812</v>
      </c>
      <c r="L337" s="5"/>
      <c r="M337" s="5" t="s">
        <v>747</v>
      </c>
      <c r="N337" s="5"/>
      <c r="O337" s="20" t="s">
        <v>228</v>
      </c>
      <c r="P337" s="20" t="str">
        <f t="shared" si="5"/>
        <v/>
      </c>
      <c r="Q337" s="20" t="s">
        <v>26</v>
      </c>
      <c r="R337" s="20" t="s">
        <v>81</v>
      </c>
      <c r="S337" s="20"/>
      <c r="T337" s="20"/>
      <c r="U337" s="20"/>
      <c r="V337" s="20"/>
      <c r="W337" s="20">
        <v>1</v>
      </c>
      <c r="X337" s="21" t="s">
        <v>37</v>
      </c>
      <c r="Y337" s="5"/>
      <c r="Z337" s="5" t="s">
        <v>38</v>
      </c>
      <c r="AA337" s="5"/>
      <c r="AB337" s="5" t="str">
        <f>IF(LEN('List chi tiet'!$B$3)=0,"",'List chi tiet'!$B$3)</f>
        <v>TCTN.DNS-26004</v>
      </c>
      <c r="AC337" s="5" t="s">
        <v>454</v>
      </c>
      <c r="AD337" s="5" t="s">
        <v>39</v>
      </c>
    </row>
    <row r="338" spans="1:30" hidden="1" x14ac:dyDescent="0.25">
      <c r="A338" s="5">
        <v>328</v>
      </c>
      <c r="B338" s="5" t="s">
        <v>429</v>
      </c>
      <c r="C338" s="5">
        <v>10</v>
      </c>
      <c r="D338" s="5">
        <v>80</v>
      </c>
      <c r="E338" s="5">
        <v>120</v>
      </c>
      <c r="F338" s="5" t="s">
        <v>77</v>
      </c>
      <c r="G338" s="5" t="s">
        <v>746</v>
      </c>
      <c r="H338" s="5">
        <v>4</v>
      </c>
      <c r="I338" s="5">
        <v>2.9</v>
      </c>
      <c r="J338" s="5" t="s">
        <v>839</v>
      </c>
      <c r="K338" s="5" t="s">
        <v>812</v>
      </c>
      <c r="L338" s="5"/>
      <c r="M338" s="5" t="s">
        <v>747</v>
      </c>
      <c r="N338" s="5"/>
      <c r="O338" s="20" t="s">
        <v>228</v>
      </c>
      <c r="P338" s="20" t="str">
        <f t="shared" si="5"/>
        <v/>
      </c>
      <c r="Q338" s="20" t="s">
        <v>26</v>
      </c>
      <c r="R338" s="20" t="s">
        <v>81</v>
      </c>
      <c r="S338" s="20"/>
      <c r="T338" s="20"/>
      <c r="U338" s="20"/>
      <c r="V338" s="20"/>
      <c r="W338" s="20">
        <v>1</v>
      </c>
      <c r="X338" s="21" t="s">
        <v>37</v>
      </c>
      <c r="Y338" s="5"/>
      <c r="Z338" s="5" t="s">
        <v>38</v>
      </c>
      <c r="AA338" s="5"/>
      <c r="AB338" s="5" t="str">
        <f>IF(LEN('List chi tiet'!$B$3)=0,"",'List chi tiet'!$B$3)</f>
        <v>TCTN.DNS-26004</v>
      </c>
      <c r="AC338" s="5" t="s">
        <v>454</v>
      </c>
      <c r="AD338" s="5" t="s">
        <v>39</v>
      </c>
    </row>
    <row r="339" spans="1:30" hidden="1" x14ac:dyDescent="0.25">
      <c r="A339" s="5">
        <v>329</v>
      </c>
      <c r="B339" s="5" t="s">
        <v>458</v>
      </c>
      <c r="C339" s="5">
        <v>10</v>
      </c>
      <c r="D339" s="5">
        <v>120</v>
      </c>
      <c r="E339" s="5">
        <v>220</v>
      </c>
      <c r="F339" s="5" t="s">
        <v>77</v>
      </c>
      <c r="G339" s="5" t="s">
        <v>746</v>
      </c>
      <c r="H339" s="5">
        <v>9</v>
      </c>
      <c r="I339" s="5">
        <v>18.11</v>
      </c>
      <c r="J339" s="5" t="s">
        <v>839</v>
      </c>
      <c r="K339" s="5" t="s">
        <v>812</v>
      </c>
      <c r="L339" s="5"/>
      <c r="M339" s="5" t="s">
        <v>747</v>
      </c>
      <c r="N339" s="5"/>
      <c r="O339" s="20" t="s">
        <v>228</v>
      </c>
      <c r="P339" s="20" t="str">
        <f t="shared" si="5"/>
        <v/>
      </c>
      <c r="Q339" s="20" t="s">
        <v>26</v>
      </c>
      <c r="R339" s="20" t="s">
        <v>81</v>
      </c>
      <c r="S339" s="20"/>
      <c r="T339" s="20"/>
      <c r="U339" s="20"/>
      <c r="V339" s="20"/>
      <c r="W339" s="20">
        <v>1</v>
      </c>
      <c r="X339" s="21" t="s">
        <v>37</v>
      </c>
      <c r="Y339" s="5"/>
      <c r="Z339" s="5" t="s">
        <v>38</v>
      </c>
      <c r="AA339" s="5"/>
      <c r="AB339" s="5" t="str">
        <f>IF(LEN('List chi tiet'!$B$3)=0,"",'List chi tiet'!$B$3)</f>
        <v>TCTN.DNS-26004</v>
      </c>
      <c r="AC339" s="5" t="s">
        <v>454</v>
      </c>
      <c r="AD339" s="5" t="s">
        <v>39</v>
      </c>
    </row>
    <row r="340" spans="1:30" hidden="1" x14ac:dyDescent="0.25">
      <c r="A340" s="5">
        <v>330</v>
      </c>
      <c r="B340" s="5" t="s">
        <v>459</v>
      </c>
      <c r="C340" s="5">
        <v>10</v>
      </c>
      <c r="D340" s="5">
        <v>80</v>
      </c>
      <c r="E340" s="5">
        <v>120</v>
      </c>
      <c r="F340" s="5" t="s">
        <v>77</v>
      </c>
      <c r="G340" s="5" t="s">
        <v>746</v>
      </c>
      <c r="H340" s="5">
        <v>1</v>
      </c>
      <c r="I340" s="5">
        <v>0.72</v>
      </c>
      <c r="J340" s="5" t="s">
        <v>839</v>
      </c>
      <c r="K340" s="5" t="s">
        <v>812</v>
      </c>
      <c r="L340" s="5"/>
      <c r="M340" s="5" t="s">
        <v>747</v>
      </c>
      <c r="N340" s="5"/>
      <c r="O340" s="20" t="s">
        <v>228</v>
      </c>
      <c r="P340" s="20" t="str">
        <f t="shared" si="5"/>
        <v/>
      </c>
      <c r="Q340" s="20" t="s">
        <v>26</v>
      </c>
      <c r="R340" s="20" t="s">
        <v>81</v>
      </c>
      <c r="S340" s="20"/>
      <c r="T340" s="20"/>
      <c r="U340" s="20"/>
      <c r="V340" s="20"/>
      <c r="W340" s="20">
        <v>1</v>
      </c>
      <c r="X340" s="21" t="s">
        <v>37</v>
      </c>
      <c r="Y340" s="5"/>
      <c r="Z340" s="5" t="s">
        <v>38</v>
      </c>
      <c r="AA340" s="5"/>
      <c r="AB340" s="5" t="str">
        <f>IF(LEN('List chi tiet'!$B$3)=0,"",'List chi tiet'!$B$3)</f>
        <v>TCTN.DNS-26004</v>
      </c>
      <c r="AC340" s="5" t="s">
        <v>454</v>
      </c>
      <c r="AD340" s="5" t="s">
        <v>39</v>
      </c>
    </row>
    <row r="341" spans="1:30" hidden="1" x14ac:dyDescent="0.25">
      <c r="A341" s="5">
        <v>331</v>
      </c>
      <c r="B341" s="5" t="s">
        <v>446</v>
      </c>
      <c r="C341" s="5">
        <v>10</v>
      </c>
      <c r="D341" s="5">
        <v>148</v>
      </c>
      <c r="E341" s="5">
        <v>441</v>
      </c>
      <c r="F341" s="5" t="s">
        <v>77</v>
      </c>
      <c r="G341" s="5" t="s">
        <v>746</v>
      </c>
      <c r="H341" s="5">
        <v>4</v>
      </c>
      <c r="I341" s="5">
        <v>20.239999999999998</v>
      </c>
      <c r="J341" s="5" t="s">
        <v>839</v>
      </c>
      <c r="K341" s="5" t="s">
        <v>812</v>
      </c>
      <c r="L341" s="5"/>
      <c r="M341" s="5" t="s">
        <v>747</v>
      </c>
      <c r="N341" s="5"/>
      <c r="O341" s="20"/>
      <c r="P341" s="20" t="str">
        <f t="shared" si="5"/>
        <v/>
      </c>
      <c r="Q341" s="20" t="s">
        <v>26</v>
      </c>
      <c r="R341" s="20" t="s">
        <v>81</v>
      </c>
      <c r="S341" s="20"/>
      <c r="T341" s="20"/>
      <c r="U341" s="20"/>
      <c r="V341" s="20"/>
      <c r="W341" s="20">
        <v>1</v>
      </c>
      <c r="X341" s="21" t="s">
        <v>37</v>
      </c>
      <c r="Y341" s="5"/>
      <c r="Z341" s="5" t="s">
        <v>38</v>
      </c>
      <c r="AA341" s="5"/>
      <c r="AB341" s="5" t="str">
        <f>IF(LEN('List chi tiet'!$B$3)=0,"",'List chi tiet'!$B$3)</f>
        <v>TCTN.DNS-26004</v>
      </c>
      <c r="AC341" s="5" t="s">
        <v>454</v>
      </c>
      <c r="AD341" s="5" t="s">
        <v>39</v>
      </c>
    </row>
    <row r="342" spans="1:30" hidden="1" x14ac:dyDescent="0.25">
      <c r="A342" s="5">
        <v>332</v>
      </c>
      <c r="B342" s="5" t="s">
        <v>460</v>
      </c>
      <c r="C342" s="5">
        <v>10</v>
      </c>
      <c r="D342" s="5">
        <v>148</v>
      </c>
      <c r="E342" s="5">
        <v>324</v>
      </c>
      <c r="F342" s="5" t="s">
        <v>77</v>
      </c>
      <c r="G342" s="5" t="s">
        <v>746</v>
      </c>
      <c r="H342" s="5">
        <v>40</v>
      </c>
      <c r="I342" s="5">
        <v>148.06</v>
      </c>
      <c r="J342" s="5" t="s">
        <v>839</v>
      </c>
      <c r="K342" s="5" t="s">
        <v>812</v>
      </c>
      <c r="L342" s="5"/>
      <c r="M342" s="5" t="s">
        <v>747</v>
      </c>
      <c r="N342" s="5"/>
      <c r="O342" s="20"/>
      <c r="P342" s="20" t="str">
        <f t="shared" si="5"/>
        <v/>
      </c>
      <c r="Q342" s="20" t="s">
        <v>26</v>
      </c>
      <c r="R342" s="20" t="s">
        <v>81</v>
      </c>
      <c r="S342" s="20"/>
      <c r="T342" s="20"/>
      <c r="U342" s="20"/>
      <c r="V342" s="20"/>
      <c r="W342" s="20">
        <v>1</v>
      </c>
      <c r="X342" s="21" t="s">
        <v>37</v>
      </c>
      <c r="Y342" s="5"/>
      <c r="Z342" s="5" t="s">
        <v>38</v>
      </c>
      <c r="AA342" s="5"/>
      <c r="AB342" s="5" t="str">
        <f>IF(LEN('List chi tiet'!$B$3)=0,"",'List chi tiet'!$B$3)</f>
        <v>TCTN.DNS-26004</v>
      </c>
      <c r="AC342" s="5" t="s">
        <v>454</v>
      </c>
      <c r="AD342" s="5" t="s">
        <v>39</v>
      </c>
    </row>
    <row r="343" spans="1:30" hidden="1" x14ac:dyDescent="0.25">
      <c r="A343" s="5">
        <v>333</v>
      </c>
      <c r="B343" s="5" t="s">
        <v>461</v>
      </c>
      <c r="C343" s="5">
        <v>10</v>
      </c>
      <c r="D343" s="5">
        <v>148</v>
      </c>
      <c r="E343" s="5">
        <v>324</v>
      </c>
      <c r="F343" s="5" t="s">
        <v>77</v>
      </c>
      <c r="G343" s="5" t="s">
        <v>746</v>
      </c>
      <c r="H343" s="5">
        <v>26</v>
      </c>
      <c r="I343" s="5">
        <v>96.24</v>
      </c>
      <c r="J343" s="5" t="s">
        <v>839</v>
      </c>
      <c r="K343" s="5" t="s">
        <v>812</v>
      </c>
      <c r="L343" s="5"/>
      <c r="M343" s="5" t="s">
        <v>747</v>
      </c>
      <c r="N343" s="5"/>
      <c r="O343" s="20"/>
      <c r="P343" s="20" t="str">
        <f t="shared" si="5"/>
        <v/>
      </c>
      <c r="Q343" s="20" t="s">
        <v>26</v>
      </c>
      <c r="R343" s="20" t="s">
        <v>81</v>
      </c>
      <c r="S343" s="20"/>
      <c r="T343" s="20"/>
      <c r="U343" s="20"/>
      <c r="V343" s="20"/>
      <c r="W343" s="20">
        <v>1</v>
      </c>
      <c r="X343" s="21" t="s">
        <v>37</v>
      </c>
      <c r="Y343" s="5"/>
      <c r="Z343" s="5" t="s">
        <v>38</v>
      </c>
      <c r="AA343" s="5"/>
      <c r="AB343" s="5" t="str">
        <f>IF(LEN('List chi tiet'!$B$3)=0,"",'List chi tiet'!$B$3)</f>
        <v>TCTN.DNS-26004</v>
      </c>
      <c r="AC343" s="5" t="s">
        <v>454</v>
      </c>
      <c r="AD343" s="5" t="s">
        <v>39</v>
      </c>
    </row>
    <row r="344" spans="1:30" hidden="1" x14ac:dyDescent="0.25">
      <c r="A344" s="5">
        <v>334</v>
      </c>
      <c r="B344" s="5" t="s">
        <v>462</v>
      </c>
      <c r="C344" s="5">
        <v>10</v>
      </c>
      <c r="D344" s="5">
        <v>148</v>
      </c>
      <c r="E344" s="5">
        <v>324</v>
      </c>
      <c r="F344" s="5" t="s">
        <v>77</v>
      </c>
      <c r="G344" s="5" t="s">
        <v>746</v>
      </c>
      <c r="H344" s="5">
        <v>28</v>
      </c>
      <c r="I344" s="5">
        <v>103.64</v>
      </c>
      <c r="J344" s="5" t="s">
        <v>839</v>
      </c>
      <c r="K344" s="5" t="s">
        <v>812</v>
      </c>
      <c r="L344" s="5"/>
      <c r="M344" s="5" t="s">
        <v>747</v>
      </c>
      <c r="N344" s="5"/>
      <c r="O344" s="20"/>
      <c r="P344" s="20" t="str">
        <f t="shared" si="5"/>
        <v/>
      </c>
      <c r="Q344" s="20" t="s">
        <v>26</v>
      </c>
      <c r="R344" s="20" t="s">
        <v>81</v>
      </c>
      <c r="S344" s="20"/>
      <c r="T344" s="20"/>
      <c r="U344" s="20"/>
      <c r="V344" s="20"/>
      <c r="W344" s="20">
        <v>1</v>
      </c>
      <c r="X344" s="21" t="s">
        <v>37</v>
      </c>
      <c r="Y344" s="5"/>
      <c r="Z344" s="5" t="s">
        <v>38</v>
      </c>
      <c r="AA344" s="5"/>
      <c r="AB344" s="5" t="str">
        <f>IF(LEN('List chi tiet'!$B$3)=0,"",'List chi tiet'!$B$3)</f>
        <v>TCTN.DNS-26004</v>
      </c>
      <c r="AC344" s="5" t="s">
        <v>454</v>
      </c>
      <c r="AD344" s="5" t="s">
        <v>39</v>
      </c>
    </row>
    <row r="345" spans="1:30" hidden="1" x14ac:dyDescent="0.25">
      <c r="A345" s="5">
        <v>335</v>
      </c>
      <c r="B345" s="5" t="s">
        <v>438</v>
      </c>
      <c r="C345" s="5">
        <v>10</v>
      </c>
      <c r="D345" s="5">
        <v>120</v>
      </c>
      <c r="E345" s="5">
        <v>220</v>
      </c>
      <c r="F345" s="5" t="s">
        <v>77</v>
      </c>
      <c r="G345" s="5" t="s">
        <v>746</v>
      </c>
      <c r="H345" s="5">
        <v>3</v>
      </c>
      <c r="I345" s="5">
        <v>6.04</v>
      </c>
      <c r="J345" s="5" t="s">
        <v>839</v>
      </c>
      <c r="K345" s="5" t="s">
        <v>812</v>
      </c>
      <c r="L345" s="5"/>
      <c r="M345" s="5" t="s">
        <v>747</v>
      </c>
      <c r="N345" s="5"/>
      <c r="O345" s="20" t="s">
        <v>228</v>
      </c>
      <c r="P345" s="20" t="str">
        <f t="shared" si="5"/>
        <v/>
      </c>
      <c r="Q345" s="20" t="s">
        <v>26</v>
      </c>
      <c r="R345" s="20" t="s">
        <v>81</v>
      </c>
      <c r="S345" s="20"/>
      <c r="T345" s="20"/>
      <c r="U345" s="20"/>
      <c r="V345" s="20"/>
      <c r="W345" s="20">
        <v>1</v>
      </c>
      <c r="X345" s="21" t="s">
        <v>37</v>
      </c>
      <c r="Y345" s="5"/>
      <c r="Z345" s="5" t="s">
        <v>38</v>
      </c>
      <c r="AA345" s="5"/>
      <c r="AB345" s="5" t="str">
        <f>IF(LEN('List chi tiet'!$B$3)=0,"",'List chi tiet'!$B$3)</f>
        <v>TCTN.DNS-26004</v>
      </c>
      <c r="AC345" s="5" t="s">
        <v>454</v>
      </c>
      <c r="AD345" s="5" t="s">
        <v>39</v>
      </c>
    </row>
    <row r="346" spans="1:30" hidden="1" x14ac:dyDescent="0.25">
      <c r="A346" s="5">
        <v>336</v>
      </c>
      <c r="B346" s="5" t="s">
        <v>447</v>
      </c>
      <c r="C346" s="5">
        <v>10</v>
      </c>
      <c r="D346" s="5">
        <v>148</v>
      </c>
      <c r="E346" s="5">
        <v>324</v>
      </c>
      <c r="F346" s="5" t="s">
        <v>77</v>
      </c>
      <c r="G346" s="5" t="s">
        <v>746</v>
      </c>
      <c r="H346" s="5">
        <v>40</v>
      </c>
      <c r="I346" s="5">
        <v>148.06</v>
      </c>
      <c r="J346" s="5" t="s">
        <v>839</v>
      </c>
      <c r="K346" s="5" t="s">
        <v>812</v>
      </c>
      <c r="L346" s="5"/>
      <c r="M346" s="5" t="s">
        <v>747</v>
      </c>
      <c r="N346" s="5"/>
      <c r="O346" s="20"/>
      <c r="P346" s="20" t="str">
        <f t="shared" si="5"/>
        <v/>
      </c>
      <c r="Q346" s="20" t="s">
        <v>26</v>
      </c>
      <c r="R346" s="20" t="s">
        <v>81</v>
      </c>
      <c r="S346" s="20"/>
      <c r="T346" s="20"/>
      <c r="U346" s="20"/>
      <c r="V346" s="20"/>
      <c r="W346" s="20">
        <v>1</v>
      </c>
      <c r="X346" s="21" t="s">
        <v>37</v>
      </c>
      <c r="Y346" s="5"/>
      <c r="Z346" s="5" t="s">
        <v>38</v>
      </c>
      <c r="AA346" s="5"/>
      <c r="AB346" s="5" t="str">
        <f>IF(LEN('List chi tiet'!$B$3)=0,"",'List chi tiet'!$B$3)</f>
        <v>TCTN.DNS-26004</v>
      </c>
      <c r="AC346" s="5" t="s">
        <v>454</v>
      </c>
      <c r="AD346" s="5" t="s">
        <v>39</v>
      </c>
    </row>
    <row r="347" spans="1:30" hidden="1" x14ac:dyDescent="0.25">
      <c r="A347" s="5">
        <v>337</v>
      </c>
      <c r="B347" s="5" t="s">
        <v>463</v>
      </c>
      <c r="C347" s="5">
        <v>10</v>
      </c>
      <c r="D347" s="5">
        <v>350</v>
      </c>
      <c r="E347" s="5">
        <v>4580</v>
      </c>
      <c r="F347" s="5" t="s">
        <v>77</v>
      </c>
      <c r="G347" s="5" t="s">
        <v>746</v>
      </c>
      <c r="H347" s="5">
        <v>1</v>
      </c>
      <c r="I347" s="5">
        <v>125.84</v>
      </c>
      <c r="J347" s="5" t="s">
        <v>839</v>
      </c>
      <c r="K347" s="5" t="s">
        <v>812</v>
      </c>
      <c r="L347" s="5"/>
      <c r="M347" s="5" t="s">
        <v>747</v>
      </c>
      <c r="N347" s="5"/>
      <c r="O347" s="20"/>
      <c r="P347" s="20" t="str">
        <f t="shared" si="5"/>
        <v/>
      </c>
      <c r="Q347" s="20" t="s">
        <v>28</v>
      </c>
      <c r="R347" s="20" t="s">
        <v>81</v>
      </c>
      <c r="S347" s="20"/>
      <c r="T347" s="20"/>
      <c r="U347" s="20"/>
      <c r="V347" s="20" t="s">
        <v>81</v>
      </c>
      <c r="W347" s="20">
        <v>1</v>
      </c>
      <c r="X347" s="21" t="s">
        <v>37</v>
      </c>
      <c r="Y347" s="5"/>
      <c r="Z347" s="5" t="s">
        <v>38</v>
      </c>
      <c r="AA347" s="5"/>
      <c r="AB347" s="5" t="str">
        <f>IF(LEN('List chi tiet'!$B$3)=0,"",'List chi tiet'!$B$3)</f>
        <v>TCTN.DNS-26004</v>
      </c>
      <c r="AC347" s="5" t="s">
        <v>454</v>
      </c>
      <c r="AD347" s="5" t="s">
        <v>39</v>
      </c>
    </row>
    <row r="348" spans="1:30" hidden="1" x14ac:dyDescent="0.25">
      <c r="A348" s="5">
        <v>338</v>
      </c>
      <c r="B348" s="5" t="s">
        <v>464</v>
      </c>
      <c r="C348" s="5">
        <v>10</v>
      </c>
      <c r="D348" s="5">
        <v>350</v>
      </c>
      <c r="E348" s="5">
        <v>4480</v>
      </c>
      <c r="F348" s="5" t="s">
        <v>77</v>
      </c>
      <c r="G348" s="5" t="s">
        <v>746</v>
      </c>
      <c r="H348" s="5">
        <v>1</v>
      </c>
      <c r="I348" s="5">
        <v>123.09</v>
      </c>
      <c r="J348" s="5" t="s">
        <v>839</v>
      </c>
      <c r="K348" s="5" t="s">
        <v>812</v>
      </c>
      <c r="L348" s="5"/>
      <c r="M348" s="5" t="s">
        <v>747</v>
      </c>
      <c r="N348" s="5"/>
      <c r="O348" s="20"/>
      <c r="P348" s="20" t="str">
        <f t="shared" si="5"/>
        <v/>
      </c>
      <c r="Q348" s="20" t="s">
        <v>28</v>
      </c>
      <c r="R348" s="20" t="s">
        <v>81</v>
      </c>
      <c r="S348" s="20"/>
      <c r="T348" s="20"/>
      <c r="U348" s="20"/>
      <c r="V348" s="20" t="s">
        <v>81</v>
      </c>
      <c r="W348" s="20">
        <v>1</v>
      </c>
      <c r="X348" s="21" t="s">
        <v>37</v>
      </c>
      <c r="Y348" s="5"/>
      <c r="Z348" s="5" t="s">
        <v>38</v>
      </c>
      <c r="AA348" s="5"/>
      <c r="AB348" s="5" t="str">
        <f>IF(LEN('List chi tiet'!$B$3)=0,"",'List chi tiet'!$B$3)</f>
        <v>TCTN.DNS-26004</v>
      </c>
      <c r="AC348" s="5" t="s">
        <v>454</v>
      </c>
      <c r="AD348" s="5" t="s">
        <v>39</v>
      </c>
    </row>
    <row r="349" spans="1:30" hidden="1" x14ac:dyDescent="0.25">
      <c r="A349" s="5">
        <v>339</v>
      </c>
      <c r="B349" s="5" t="s">
        <v>419</v>
      </c>
      <c r="C349" s="5">
        <v>10</v>
      </c>
      <c r="D349" s="5">
        <v>200</v>
      </c>
      <c r="E349" s="5">
        <v>3586</v>
      </c>
      <c r="F349" s="5" t="s">
        <v>77</v>
      </c>
      <c r="G349" s="5" t="s">
        <v>746</v>
      </c>
      <c r="H349" s="5">
        <v>2</v>
      </c>
      <c r="I349" s="5">
        <v>112.6</v>
      </c>
      <c r="J349" s="5" t="s">
        <v>839</v>
      </c>
      <c r="K349" s="5" t="s">
        <v>812</v>
      </c>
      <c r="L349" s="5"/>
      <c r="M349" s="5" t="s">
        <v>747</v>
      </c>
      <c r="N349" s="5"/>
      <c r="O349" s="20"/>
      <c r="P349" s="20" t="str">
        <f t="shared" si="5"/>
        <v/>
      </c>
      <c r="Q349" s="20" t="s">
        <v>28</v>
      </c>
      <c r="R349" s="20" t="s">
        <v>81</v>
      </c>
      <c r="S349" s="20"/>
      <c r="T349" s="20"/>
      <c r="U349" s="20"/>
      <c r="V349" s="20"/>
      <c r="W349" s="20">
        <v>1</v>
      </c>
      <c r="X349" s="21" t="s">
        <v>37</v>
      </c>
      <c r="Y349" s="5"/>
      <c r="Z349" s="5" t="s">
        <v>38</v>
      </c>
      <c r="AA349" s="5"/>
      <c r="AB349" s="5" t="str">
        <f>IF(LEN('List chi tiet'!$B$3)=0,"",'List chi tiet'!$B$3)</f>
        <v>TCTN.DNS-26004</v>
      </c>
      <c r="AC349" s="5" t="s">
        <v>454</v>
      </c>
      <c r="AD349" s="5" t="s">
        <v>39</v>
      </c>
    </row>
    <row r="350" spans="1:30" hidden="1" x14ac:dyDescent="0.25">
      <c r="A350" s="5">
        <v>340</v>
      </c>
      <c r="B350" s="5" t="s">
        <v>421</v>
      </c>
      <c r="C350" s="5">
        <v>10</v>
      </c>
      <c r="D350" s="5">
        <v>230</v>
      </c>
      <c r="E350" s="5">
        <v>3586</v>
      </c>
      <c r="F350" s="5" t="s">
        <v>77</v>
      </c>
      <c r="G350" s="5" t="s">
        <v>746</v>
      </c>
      <c r="H350" s="5">
        <v>1</v>
      </c>
      <c r="I350" s="5">
        <v>64.75</v>
      </c>
      <c r="J350" s="5" t="s">
        <v>839</v>
      </c>
      <c r="K350" s="5" t="s">
        <v>812</v>
      </c>
      <c r="L350" s="5"/>
      <c r="M350" s="5" t="s">
        <v>747</v>
      </c>
      <c r="N350" s="5"/>
      <c r="O350" s="20"/>
      <c r="P350" s="20" t="str">
        <f t="shared" si="5"/>
        <v/>
      </c>
      <c r="Q350" s="20" t="s">
        <v>28</v>
      </c>
      <c r="R350" s="20" t="s">
        <v>81</v>
      </c>
      <c r="S350" s="20"/>
      <c r="T350" s="20"/>
      <c r="U350" s="20"/>
      <c r="V350" s="20"/>
      <c r="W350" s="20">
        <v>1</v>
      </c>
      <c r="X350" s="21" t="s">
        <v>37</v>
      </c>
      <c r="Y350" s="5"/>
      <c r="Z350" s="5" t="s">
        <v>38</v>
      </c>
      <c r="AA350" s="5"/>
      <c r="AB350" s="5" t="str">
        <f>IF(LEN('List chi tiet'!$B$3)=0,"",'List chi tiet'!$B$3)</f>
        <v>TCTN.DNS-26004</v>
      </c>
      <c r="AC350" s="5" t="s">
        <v>454</v>
      </c>
      <c r="AD350" s="5" t="s">
        <v>39</v>
      </c>
    </row>
    <row r="351" spans="1:30" hidden="1" x14ac:dyDescent="0.25">
      <c r="A351" s="5">
        <v>341</v>
      </c>
      <c r="B351" s="5" t="s">
        <v>456</v>
      </c>
      <c r="C351" s="5">
        <v>10</v>
      </c>
      <c r="D351" s="5">
        <v>70</v>
      </c>
      <c r="E351" s="5">
        <v>120</v>
      </c>
      <c r="F351" s="5" t="s">
        <v>77</v>
      </c>
      <c r="G351" s="5" t="s">
        <v>746</v>
      </c>
      <c r="H351" s="5">
        <v>2</v>
      </c>
      <c r="I351" s="5">
        <v>1.26</v>
      </c>
      <c r="J351" s="5" t="s">
        <v>839</v>
      </c>
      <c r="K351" s="5" t="s">
        <v>812</v>
      </c>
      <c r="L351" s="5"/>
      <c r="M351" s="5" t="s">
        <v>747</v>
      </c>
      <c r="N351" s="5"/>
      <c r="O351" s="20" t="s">
        <v>228</v>
      </c>
      <c r="P351" s="20" t="str">
        <f t="shared" si="5"/>
        <v/>
      </c>
      <c r="Q351" s="20" t="s">
        <v>26</v>
      </c>
      <c r="R351" s="20" t="s">
        <v>81</v>
      </c>
      <c r="S351" s="20"/>
      <c r="T351" s="20"/>
      <c r="U351" s="20"/>
      <c r="V351" s="20"/>
      <c r="W351" s="20">
        <v>1</v>
      </c>
      <c r="X351" s="21" t="s">
        <v>37</v>
      </c>
      <c r="Y351" s="5"/>
      <c r="Z351" s="5" t="s">
        <v>38</v>
      </c>
      <c r="AA351" s="5"/>
      <c r="AB351" s="5" t="str">
        <f>IF(LEN('List chi tiet'!$B$3)=0,"",'List chi tiet'!$B$3)</f>
        <v>TCTN.DNS-26004</v>
      </c>
      <c r="AC351" s="5" t="s">
        <v>465</v>
      </c>
      <c r="AD351" s="5" t="s">
        <v>39</v>
      </c>
    </row>
    <row r="352" spans="1:30" hidden="1" x14ac:dyDescent="0.25">
      <c r="A352" s="5">
        <v>342</v>
      </c>
      <c r="B352" s="5" t="s">
        <v>459</v>
      </c>
      <c r="C352" s="5">
        <v>10</v>
      </c>
      <c r="D352" s="5">
        <v>80</v>
      </c>
      <c r="E352" s="5">
        <v>120</v>
      </c>
      <c r="F352" s="5" t="s">
        <v>77</v>
      </c>
      <c r="G352" s="5" t="s">
        <v>746</v>
      </c>
      <c r="H352" s="5">
        <v>3</v>
      </c>
      <c r="I352" s="5">
        <v>2.17</v>
      </c>
      <c r="J352" s="5" t="s">
        <v>839</v>
      </c>
      <c r="K352" s="5" t="s">
        <v>812</v>
      </c>
      <c r="L352" s="5"/>
      <c r="M352" s="5" t="s">
        <v>747</v>
      </c>
      <c r="N352" s="5"/>
      <c r="O352" s="20" t="s">
        <v>228</v>
      </c>
      <c r="P352" s="20" t="str">
        <f t="shared" si="5"/>
        <v/>
      </c>
      <c r="Q352" s="20" t="s">
        <v>26</v>
      </c>
      <c r="R352" s="20" t="s">
        <v>81</v>
      </c>
      <c r="S352" s="20"/>
      <c r="T352" s="20"/>
      <c r="U352" s="20"/>
      <c r="V352" s="20"/>
      <c r="W352" s="20">
        <v>1</v>
      </c>
      <c r="X352" s="21" t="s">
        <v>37</v>
      </c>
      <c r="Y352" s="5"/>
      <c r="Z352" s="5" t="s">
        <v>38</v>
      </c>
      <c r="AA352" s="5"/>
      <c r="AB352" s="5" t="str">
        <f>IF(LEN('List chi tiet'!$B$3)=0,"",'List chi tiet'!$B$3)</f>
        <v>TCTN.DNS-26004</v>
      </c>
      <c r="AC352" s="5" t="s">
        <v>465</v>
      </c>
      <c r="AD352" s="5" t="s">
        <v>39</v>
      </c>
    </row>
    <row r="353" spans="1:30" hidden="1" x14ac:dyDescent="0.25">
      <c r="A353" s="5">
        <v>343</v>
      </c>
      <c r="B353" s="5" t="s">
        <v>467</v>
      </c>
      <c r="C353" s="5">
        <v>10</v>
      </c>
      <c r="D353" s="5">
        <v>120</v>
      </c>
      <c r="E353" s="5">
        <v>220</v>
      </c>
      <c r="F353" s="5" t="s">
        <v>77</v>
      </c>
      <c r="G353" s="5" t="s">
        <v>746</v>
      </c>
      <c r="H353" s="5">
        <v>7</v>
      </c>
      <c r="I353" s="5">
        <v>14.09</v>
      </c>
      <c r="J353" s="5" t="s">
        <v>839</v>
      </c>
      <c r="K353" s="5" t="s">
        <v>812</v>
      </c>
      <c r="L353" s="5"/>
      <c r="M353" s="5" t="s">
        <v>747</v>
      </c>
      <c r="N353" s="5"/>
      <c r="O353" s="20" t="s">
        <v>228</v>
      </c>
      <c r="P353" s="20" t="str">
        <f t="shared" si="5"/>
        <v/>
      </c>
      <c r="Q353" s="20" t="s">
        <v>26</v>
      </c>
      <c r="R353" s="20" t="s">
        <v>81</v>
      </c>
      <c r="S353" s="20"/>
      <c r="T353" s="20"/>
      <c r="U353" s="20"/>
      <c r="V353" s="20"/>
      <c r="W353" s="20">
        <v>1</v>
      </c>
      <c r="X353" s="21" t="s">
        <v>37</v>
      </c>
      <c r="Y353" s="5"/>
      <c r="Z353" s="5" t="s">
        <v>38</v>
      </c>
      <c r="AA353" s="5"/>
      <c r="AB353" s="5" t="str">
        <f>IF(LEN('List chi tiet'!$B$3)=0,"",'List chi tiet'!$B$3)</f>
        <v>TCTN.DNS-26004</v>
      </c>
      <c r="AC353" s="5" t="s">
        <v>465</v>
      </c>
      <c r="AD353" s="5" t="s">
        <v>39</v>
      </c>
    </row>
    <row r="354" spans="1:30" hidden="1" x14ac:dyDescent="0.25">
      <c r="A354" s="5">
        <v>344</v>
      </c>
      <c r="B354" s="5" t="s">
        <v>460</v>
      </c>
      <c r="C354" s="5">
        <v>10</v>
      </c>
      <c r="D354" s="5">
        <v>148</v>
      </c>
      <c r="E354" s="5">
        <v>324</v>
      </c>
      <c r="F354" s="5" t="s">
        <v>77</v>
      </c>
      <c r="G354" s="5" t="s">
        <v>746</v>
      </c>
      <c r="H354" s="5">
        <v>2</v>
      </c>
      <c r="I354" s="5">
        <v>7.4</v>
      </c>
      <c r="J354" s="5" t="s">
        <v>839</v>
      </c>
      <c r="K354" s="5" t="s">
        <v>812</v>
      </c>
      <c r="L354" s="5"/>
      <c r="M354" s="5" t="s">
        <v>747</v>
      </c>
      <c r="N354" s="5"/>
      <c r="O354" s="20"/>
      <c r="P354" s="20" t="str">
        <f t="shared" si="5"/>
        <v/>
      </c>
      <c r="Q354" s="20" t="s">
        <v>26</v>
      </c>
      <c r="R354" s="20" t="s">
        <v>81</v>
      </c>
      <c r="S354" s="20"/>
      <c r="T354" s="20"/>
      <c r="U354" s="20"/>
      <c r="V354" s="20"/>
      <c r="W354" s="20">
        <v>1</v>
      </c>
      <c r="X354" s="21" t="s">
        <v>37</v>
      </c>
      <c r="Y354" s="5"/>
      <c r="Z354" s="5" t="s">
        <v>38</v>
      </c>
      <c r="AA354" s="5"/>
      <c r="AB354" s="5" t="str">
        <f>IF(LEN('List chi tiet'!$B$3)=0,"",'List chi tiet'!$B$3)</f>
        <v>TCTN.DNS-26004</v>
      </c>
      <c r="AC354" s="5" t="s">
        <v>465</v>
      </c>
      <c r="AD354" s="5" t="s">
        <v>39</v>
      </c>
    </row>
    <row r="355" spans="1:30" hidden="1" x14ac:dyDescent="0.25">
      <c r="A355" s="5">
        <v>345</v>
      </c>
      <c r="B355" s="5" t="s">
        <v>468</v>
      </c>
      <c r="C355" s="5">
        <v>10</v>
      </c>
      <c r="D355" s="5">
        <v>160</v>
      </c>
      <c r="E355" s="5">
        <v>160</v>
      </c>
      <c r="F355" s="5" t="s">
        <v>77</v>
      </c>
      <c r="G355" s="5" t="s">
        <v>746</v>
      </c>
      <c r="H355" s="5">
        <v>2</v>
      </c>
      <c r="I355" s="5">
        <v>1.92</v>
      </c>
      <c r="J355" s="5" t="s">
        <v>839</v>
      </c>
      <c r="K355" s="5" t="s">
        <v>812</v>
      </c>
      <c r="L355" s="5"/>
      <c r="M355" s="5" t="s">
        <v>747</v>
      </c>
      <c r="N355" s="5"/>
      <c r="O355" s="20" t="s">
        <v>228</v>
      </c>
      <c r="P355" s="20" t="str">
        <f t="shared" si="5"/>
        <v/>
      </c>
      <c r="Q355" s="20" t="s">
        <v>27</v>
      </c>
      <c r="R355" s="20" t="s">
        <v>81</v>
      </c>
      <c r="S355" s="20"/>
      <c r="T355" s="20"/>
      <c r="U355" s="20"/>
      <c r="V355" s="20"/>
      <c r="W355" s="20">
        <v>1</v>
      </c>
      <c r="X355" s="21" t="s">
        <v>37</v>
      </c>
      <c r="Y355" s="5"/>
      <c r="Z355" s="5" t="s">
        <v>38</v>
      </c>
      <c r="AA355" s="5"/>
      <c r="AB355" s="5" t="str">
        <f>IF(LEN('List chi tiet'!$B$3)=0,"",'List chi tiet'!$B$3)</f>
        <v>TCTN.DNS-26004</v>
      </c>
      <c r="AC355" s="5" t="s">
        <v>465</v>
      </c>
      <c r="AD355" s="5" t="s">
        <v>39</v>
      </c>
    </row>
    <row r="356" spans="1:30" hidden="1" x14ac:dyDescent="0.25">
      <c r="A356" s="5">
        <v>346</v>
      </c>
      <c r="B356" s="5" t="s">
        <v>470</v>
      </c>
      <c r="C356" s="5">
        <v>10</v>
      </c>
      <c r="D356" s="5">
        <v>160</v>
      </c>
      <c r="E356" s="5">
        <v>160</v>
      </c>
      <c r="F356" s="5" t="s">
        <v>77</v>
      </c>
      <c r="G356" s="5" t="s">
        <v>746</v>
      </c>
      <c r="H356" s="5">
        <v>4</v>
      </c>
      <c r="I356" s="5">
        <v>3.85</v>
      </c>
      <c r="J356" s="5" t="s">
        <v>839</v>
      </c>
      <c r="K356" s="5" t="s">
        <v>812</v>
      </c>
      <c r="L356" s="5"/>
      <c r="M356" s="5" t="s">
        <v>747</v>
      </c>
      <c r="N356" s="5"/>
      <c r="O356" s="20" t="s">
        <v>228</v>
      </c>
      <c r="P356" s="20" t="str">
        <f t="shared" si="5"/>
        <v/>
      </c>
      <c r="Q356" s="20" t="s">
        <v>27</v>
      </c>
      <c r="R356" s="20" t="s">
        <v>81</v>
      </c>
      <c r="S356" s="20"/>
      <c r="T356" s="20"/>
      <c r="U356" s="20"/>
      <c r="V356" s="20"/>
      <c r="W356" s="20">
        <v>1</v>
      </c>
      <c r="X356" s="21" t="s">
        <v>37</v>
      </c>
      <c r="Y356" s="5"/>
      <c r="Z356" s="5" t="s">
        <v>38</v>
      </c>
      <c r="AA356" s="5"/>
      <c r="AB356" s="5" t="str">
        <f>IF(LEN('List chi tiet'!$B$3)=0,"",'List chi tiet'!$B$3)</f>
        <v>TCTN.DNS-26004</v>
      </c>
      <c r="AC356" s="5" t="s">
        <v>465</v>
      </c>
      <c r="AD356" s="5" t="s">
        <v>39</v>
      </c>
    </row>
    <row r="357" spans="1:30" hidden="1" x14ac:dyDescent="0.25">
      <c r="A357" s="5">
        <v>347</v>
      </c>
      <c r="B357" s="5" t="s">
        <v>471</v>
      </c>
      <c r="C357" s="5">
        <v>10</v>
      </c>
      <c r="D357" s="5">
        <v>160</v>
      </c>
      <c r="E357" s="5">
        <v>160</v>
      </c>
      <c r="F357" s="5" t="s">
        <v>77</v>
      </c>
      <c r="G357" s="5" t="s">
        <v>746</v>
      </c>
      <c r="H357" s="5">
        <v>2</v>
      </c>
      <c r="I357" s="5">
        <v>1.92</v>
      </c>
      <c r="J357" s="5" t="s">
        <v>839</v>
      </c>
      <c r="K357" s="5" t="s">
        <v>812</v>
      </c>
      <c r="L357" s="5"/>
      <c r="M357" s="5" t="s">
        <v>747</v>
      </c>
      <c r="N357" s="5"/>
      <c r="O357" s="20" t="s">
        <v>228</v>
      </c>
      <c r="P357" s="20" t="str">
        <f t="shared" si="5"/>
        <v/>
      </c>
      <c r="Q357" s="20" t="s">
        <v>27</v>
      </c>
      <c r="R357" s="20" t="s">
        <v>81</v>
      </c>
      <c r="S357" s="20"/>
      <c r="T357" s="20"/>
      <c r="U357" s="20"/>
      <c r="V357" s="20"/>
      <c r="W357" s="20">
        <v>1</v>
      </c>
      <c r="X357" s="21" t="s">
        <v>37</v>
      </c>
      <c r="Y357" s="5"/>
      <c r="Z357" s="5" t="s">
        <v>38</v>
      </c>
      <c r="AA357" s="5"/>
      <c r="AB357" s="5" t="str">
        <f>IF(LEN('List chi tiet'!$B$3)=0,"",'List chi tiet'!$B$3)</f>
        <v>TCTN.DNS-26004</v>
      </c>
      <c r="AC357" s="5" t="s">
        <v>465</v>
      </c>
      <c r="AD357" s="5" t="s">
        <v>39</v>
      </c>
    </row>
    <row r="358" spans="1:30" hidden="1" x14ac:dyDescent="0.25">
      <c r="A358" s="5">
        <v>348</v>
      </c>
      <c r="B358" s="5" t="s">
        <v>472</v>
      </c>
      <c r="C358" s="5">
        <v>10</v>
      </c>
      <c r="D358" s="5">
        <v>160</v>
      </c>
      <c r="E358" s="5">
        <v>160</v>
      </c>
      <c r="F358" s="5" t="s">
        <v>77</v>
      </c>
      <c r="G358" s="5" t="s">
        <v>746</v>
      </c>
      <c r="H358" s="5">
        <v>4</v>
      </c>
      <c r="I358" s="5">
        <v>3.85</v>
      </c>
      <c r="J358" s="5" t="s">
        <v>839</v>
      </c>
      <c r="K358" s="5" t="s">
        <v>812</v>
      </c>
      <c r="L358" s="5"/>
      <c r="M358" s="5" t="s">
        <v>747</v>
      </c>
      <c r="N358" s="5"/>
      <c r="O358" s="20" t="s">
        <v>228</v>
      </c>
      <c r="P358" s="20" t="str">
        <f t="shared" si="5"/>
        <v/>
      </c>
      <c r="Q358" s="20" t="s">
        <v>27</v>
      </c>
      <c r="R358" s="20" t="s">
        <v>81</v>
      </c>
      <c r="S358" s="20"/>
      <c r="T358" s="20"/>
      <c r="U358" s="20"/>
      <c r="V358" s="20"/>
      <c r="W358" s="20">
        <v>1</v>
      </c>
      <c r="X358" s="21" t="s">
        <v>37</v>
      </c>
      <c r="Y358" s="5"/>
      <c r="Z358" s="5" t="s">
        <v>38</v>
      </c>
      <c r="AA358" s="5"/>
      <c r="AB358" s="5" t="str">
        <f>IF(LEN('List chi tiet'!$B$3)=0,"",'List chi tiet'!$B$3)</f>
        <v>TCTN.DNS-26004</v>
      </c>
      <c r="AC358" s="5" t="s">
        <v>465</v>
      </c>
      <c r="AD358" s="5" t="s">
        <v>39</v>
      </c>
    </row>
    <row r="359" spans="1:30" hidden="1" x14ac:dyDescent="0.25">
      <c r="A359" s="5">
        <v>349</v>
      </c>
      <c r="B359" s="5" t="s">
        <v>473</v>
      </c>
      <c r="C359" s="5">
        <v>12</v>
      </c>
      <c r="D359" s="5">
        <v>220</v>
      </c>
      <c r="E359" s="5">
        <v>12000</v>
      </c>
      <c r="F359" s="5" t="s">
        <v>77</v>
      </c>
      <c r="G359" s="5" t="s">
        <v>746</v>
      </c>
      <c r="H359" s="5">
        <v>2</v>
      </c>
      <c r="I359" s="5">
        <v>497.38</v>
      </c>
      <c r="J359" s="5" t="s">
        <v>839</v>
      </c>
      <c r="K359" s="5" t="s">
        <v>812</v>
      </c>
      <c r="L359" s="5"/>
      <c r="M359" s="5" t="s">
        <v>747</v>
      </c>
      <c r="N359" s="5"/>
      <c r="O359" s="20"/>
      <c r="P359" s="20" t="str">
        <f t="shared" si="5"/>
        <v/>
      </c>
      <c r="Q359" s="20" t="s">
        <v>28</v>
      </c>
      <c r="R359" s="20" t="s">
        <v>81</v>
      </c>
      <c r="S359" s="20"/>
      <c r="T359" s="20"/>
      <c r="U359" s="20" t="s">
        <v>81</v>
      </c>
      <c r="V359" s="20"/>
      <c r="W359" s="20">
        <v>1</v>
      </c>
      <c r="X359" s="21" t="s">
        <v>37</v>
      </c>
      <c r="Y359" s="5"/>
      <c r="Z359" s="5" t="s">
        <v>38</v>
      </c>
      <c r="AA359" s="5"/>
      <c r="AB359" s="5" t="str">
        <f>IF(LEN('List chi tiet'!$B$3)=0,"",'List chi tiet'!$B$3)</f>
        <v>TCTN.DNS-26004</v>
      </c>
      <c r="AC359" s="5" t="s">
        <v>476</v>
      </c>
      <c r="AD359" s="5" t="s">
        <v>39</v>
      </c>
    </row>
    <row r="360" spans="1:30" hidden="1" x14ac:dyDescent="0.25">
      <c r="A360" s="5">
        <v>350</v>
      </c>
      <c r="B360" s="5" t="s">
        <v>478</v>
      </c>
      <c r="C360" s="5">
        <v>12</v>
      </c>
      <c r="D360" s="5">
        <v>220</v>
      </c>
      <c r="E360" s="5">
        <v>12000</v>
      </c>
      <c r="F360" s="5" t="s">
        <v>77</v>
      </c>
      <c r="G360" s="5" t="s">
        <v>746</v>
      </c>
      <c r="H360" s="5">
        <v>2</v>
      </c>
      <c r="I360" s="5">
        <v>497.38</v>
      </c>
      <c r="J360" s="5" t="s">
        <v>839</v>
      </c>
      <c r="K360" s="5" t="s">
        <v>812</v>
      </c>
      <c r="L360" s="5"/>
      <c r="M360" s="5" t="s">
        <v>747</v>
      </c>
      <c r="N360" s="5"/>
      <c r="O360" s="20"/>
      <c r="P360" s="20" t="str">
        <f t="shared" si="5"/>
        <v/>
      </c>
      <c r="Q360" s="20" t="s">
        <v>28</v>
      </c>
      <c r="R360" s="20" t="s">
        <v>81</v>
      </c>
      <c r="S360" s="20"/>
      <c r="T360" s="20"/>
      <c r="U360" s="20" t="s">
        <v>81</v>
      </c>
      <c r="V360" s="20"/>
      <c r="W360" s="20">
        <v>1</v>
      </c>
      <c r="X360" s="21" t="s">
        <v>37</v>
      </c>
      <c r="Y360" s="5"/>
      <c r="Z360" s="5" t="s">
        <v>38</v>
      </c>
      <c r="AA360" s="5"/>
      <c r="AB360" s="5" t="str">
        <f>IF(LEN('List chi tiet'!$B$3)=0,"",'List chi tiet'!$B$3)</f>
        <v>TCTN.DNS-26004</v>
      </c>
      <c r="AC360" s="5" t="s">
        <v>476</v>
      </c>
      <c r="AD360" s="5" t="s">
        <v>39</v>
      </c>
    </row>
    <row r="361" spans="1:30" hidden="1" x14ac:dyDescent="0.25">
      <c r="A361" s="5">
        <v>351</v>
      </c>
      <c r="B361" s="5" t="s">
        <v>479</v>
      </c>
      <c r="C361" s="5">
        <v>12</v>
      </c>
      <c r="D361" s="5">
        <v>220</v>
      </c>
      <c r="E361" s="5">
        <v>12000</v>
      </c>
      <c r="F361" s="5" t="s">
        <v>77</v>
      </c>
      <c r="G361" s="5" t="s">
        <v>746</v>
      </c>
      <c r="H361" s="5">
        <v>2</v>
      </c>
      <c r="I361" s="5">
        <v>497.38</v>
      </c>
      <c r="J361" s="5" t="s">
        <v>839</v>
      </c>
      <c r="K361" s="5" t="s">
        <v>812</v>
      </c>
      <c r="L361" s="5"/>
      <c r="M361" s="5" t="s">
        <v>747</v>
      </c>
      <c r="N361" s="5"/>
      <c r="O361" s="20"/>
      <c r="P361" s="20" t="str">
        <f t="shared" si="5"/>
        <v/>
      </c>
      <c r="Q361" s="20" t="s">
        <v>28</v>
      </c>
      <c r="R361" s="20" t="s">
        <v>81</v>
      </c>
      <c r="S361" s="20"/>
      <c r="T361" s="20"/>
      <c r="U361" s="20" t="s">
        <v>81</v>
      </c>
      <c r="V361" s="20"/>
      <c r="W361" s="20">
        <v>1</v>
      </c>
      <c r="X361" s="21" t="s">
        <v>37</v>
      </c>
      <c r="Y361" s="5"/>
      <c r="Z361" s="5" t="s">
        <v>38</v>
      </c>
      <c r="AA361" s="5"/>
      <c r="AB361" s="5" t="str">
        <f>IF(LEN('List chi tiet'!$B$3)=0,"",'List chi tiet'!$B$3)</f>
        <v>TCTN.DNS-26004</v>
      </c>
      <c r="AC361" s="5" t="s">
        <v>476</v>
      </c>
      <c r="AD361" s="5" t="s">
        <v>39</v>
      </c>
    </row>
    <row r="362" spans="1:30" hidden="1" x14ac:dyDescent="0.25">
      <c r="A362" s="5">
        <v>352</v>
      </c>
      <c r="B362" s="5" t="s">
        <v>480</v>
      </c>
      <c r="C362" s="5">
        <v>12</v>
      </c>
      <c r="D362" s="5">
        <v>220</v>
      </c>
      <c r="E362" s="5">
        <v>11989</v>
      </c>
      <c r="F362" s="5" t="s">
        <v>77</v>
      </c>
      <c r="G362" s="5" t="s">
        <v>746</v>
      </c>
      <c r="H362" s="5">
        <v>2</v>
      </c>
      <c r="I362" s="5">
        <v>496.92</v>
      </c>
      <c r="J362" s="5" t="s">
        <v>839</v>
      </c>
      <c r="K362" s="5" t="s">
        <v>812</v>
      </c>
      <c r="L362" s="5"/>
      <c r="M362" s="5" t="s">
        <v>747</v>
      </c>
      <c r="N362" s="5"/>
      <c r="O362" s="20"/>
      <c r="P362" s="20" t="str">
        <f t="shared" si="5"/>
        <v/>
      </c>
      <c r="Q362" s="20" t="s">
        <v>28</v>
      </c>
      <c r="R362" s="20" t="s">
        <v>81</v>
      </c>
      <c r="S362" s="20"/>
      <c r="T362" s="20"/>
      <c r="U362" s="20" t="s">
        <v>81</v>
      </c>
      <c r="V362" s="20"/>
      <c r="W362" s="20">
        <v>1</v>
      </c>
      <c r="X362" s="21" t="s">
        <v>37</v>
      </c>
      <c r="Y362" s="5"/>
      <c r="Z362" s="5" t="s">
        <v>38</v>
      </c>
      <c r="AA362" s="5"/>
      <c r="AB362" s="5" t="str">
        <f>IF(LEN('List chi tiet'!$B$3)=0,"",'List chi tiet'!$B$3)</f>
        <v>TCTN.DNS-26004</v>
      </c>
      <c r="AC362" s="5" t="s">
        <v>482</v>
      </c>
      <c r="AD362" s="5" t="s">
        <v>39</v>
      </c>
    </row>
    <row r="363" spans="1:30" hidden="1" x14ac:dyDescent="0.25">
      <c r="A363" s="5">
        <v>353</v>
      </c>
      <c r="B363" s="5" t="s">
        <v>484</v>
      </c>
      <c r="C363" s="5">
        <v>12</v>
      </c>
      <c r="D363" s="5">
        <v>220</v>
      </c>
      <c r="E363" s="5">
        <v>12000</v>
      </c>
      <c r="F363" s="5" t="s">
        <v>77</v>
      </c>
      <c r="G363" s="5" t="s">
        <v>746</v>
      </c>
      <c r="H363" s="5">
        <v>2</v>
      </c>
      <c r="I363" s="5">
        <v>497.39</v>
      </c>
      <c r="J363" s="5" t="s">
        <v>839</v>
      </c>
      <c r="K363" s="5" t="s">
        <v>812</v>
      </c>
      <c r="L363" s="5"/>
      <c r="M363" s="5" t="s">
        <v>747</v>
      </c>
      <c r="N363" s="5"/>
      <c r="O363" s="20"/>
      <c r="P363" s="20" t="str">
        <f t="shared" si="5"/>
        <v/>
      </c>
      <c r="Q363" s="20" t="s">
        <v>28</v>
      </c>
      <c r="R363" s="20" t="s">
        <v>81</v>
      </c>
      <c r="S363" s="20"/>
      <c r="T363" s="20"/>
      <c r="U363" s="20" t="s">
        <v>81</v>
      </c>
      <c r="V363" s="20"/>
      <c r="W363" s="20">
        <v>1</v>
      </c>
      <c r="X363" s="21" t="s">
        <v>37</v>
      </c>
      <c r="Y363" s="5"/>
      <c r="Z363" s="5" t="s">
        <v>38</v>
      </c>
      <c r="AA363" s="5"/>
      <c r="AB363" s="5" t="str">
        <f>IF(LEN('List chi tiet'!$B$3)=0,"",'List chi tiet'!$B$3)</f>
        <v>TCTN.DNS-26004</v>
      </c>
      <c r="AC363" s="5" t="s">
        <v>482</v>
      </c>
      <c r="AD363" s="5" t="s">
        <v>39</v>
      </c>
    </row>
    <row r="364" spans="1:30" hidden="1" x14ac:dyDescent="0.25">
      <c r="A364" s="5">
        <v>354</v>
      </c>
      <c r="B364" s="5" t="s">
        <v>485</v>
      </c>
      <c r="C364" s="5">
        <v>12</v>
      </c>
      <c r="D364" s="5">
        <v>220</v>
      </c>
      <c r="E364" s="5">
        <v>11989</v>
      </c>
      <c r="F364" s="5" t="s">
        <v>77</v>
      </c>
      <c r="G364" s="5" t="s">
        <v>746</v>
      </c>
      <c r="H364" s="5">
        <v>2</v>
      </c>
      <c r="I364" s="5">
        <v>496.92</v>
      </c>
      <c r="J364" s="5" t="s">
        <v>839</v>
      </c>
      <c r="K364" s="5" t="s">
        <v>812</v>
      </c>
      <c r="L364" s="5"/>
      <c r="M364" s="5" t="s">
        <v>747</v>
      </c>
      <c r="N364" s="5"/>
      <c r="O364" s="20"/>
      <c r="P364" s="20" t="str">
        <f t="shared" si="5"/>
        <v/>
      </c>
      <c r="Q364" s="20" t="s">
        <v>28</v>
      </c>
      <c r="R364" s="20" t="s">
        <v>81</v>
      </c>
      <c r="S364" s="20"/>
      <c r="T364" s="20"/>
      <c r="U364" s="20" t="s">
        <v>81</v>
      </c>
      <c r="V364" s="20"/>
      <c r="W364" s="20">
        <v>1</v>
      </c>
      <c r="X364" s="21" t="s">
        <v>37</v>
      </c>
      <c r="Y364" s="5"/>
      <c r="Z364" s="5" t="s">
        <v>38</v>
      </c>
      <c r="AA364" s="5"/>
      <c r="AB364" s="5" t="str">
        <f>IF(LEN('List chi tiet'!$B$3)=0,"",'List chi tiet'!$B$3)</f>
        <v>TCTN.DNS-26004</v>
      </c>
      <c r="AC364" s="5" t="s">
        <v>482</v>
      </c>
      <c r="AD364" s="5" t="s">
        <v>39</v>
      </c>
    </row>
    <row r="365" spans="1:30" hidden="1" x14ac:dyDescent="0.25">
      <c r="A365" s="5">
        <v>355</v>
      </c>
      <c r="B365" s="5" t="s">
        <v>486</v>
      </c>
      <c r="C365" s="5">
        <v>12</v>
      </c>
      <c r="D365" s="5">
        <v>220</v>
      </c>
      <c r="E365" s="5">
        <v>7562</v>
      </c>
      <c r="F365" s="5" t="s">
        <v>77</v>
      </c>
      <c r="G365" s="5" t="s">
        <v>746</v>
      </c>
      <c r="H365" s="5">
        <v>2</v>
      </c>
      <c r="I365" s="5">
        <v>313.44</v>
      </c>
      <c r="J365" s="5" t="s">
        <v>839</v>
      </c>
      <c r="K365" s="5" t="s">
        <v>812</v>
      </c>
      <c r="L365" s="5"/>
      <c r="M365" s="5" t="s">
        <v>747</v>
      </c>
      <c r="N365" s="5"/>
      <c r="O365" s="20"/>
      <c r="P365" s="20" t="str">
        <f t="shared" si="5"/>
        <v/>
      </c>
      <c r="Q365" s="20" t="s">
        <v>28</v>
      </c>
      <c r="R365" s="20" t="s">
        <v>81</v>
      </c>
      <c r="S365" s="20"/>
      <c r="T365" s="20"/>
      <c r="U365" s="20" t="s">
        <v>81</v>
      </c>
      <c r="V365" s="20"/>
      <c r="W365" s="20">
        <v>1</v>
      </c>
      <c r="X365" s="21" t="s">
        <v>37</v>
      </c>
      <c r="Y365" s="5"/>
      <c r="Z365" s="5" t="s">
        <v>38</v>
      </c>
      <c r="AA365" s="5"/>
      <c r="AB365" s="5" t="str">
        <f>IF(LEN('List chi tiet'!$B$3)=0,"",'List chi tiet'!$B$3)</f>
        <v>TCTN.DNS-26004</v>
      </c>
      <c r="AC365" s="5" t="s">
        <v>488</v>
      </c>
      <c r="AD365" s="5" t="s">
        <v>39</v>
      </c>
    </row>
    <row r="366" spans="1:30" hidden="1" x14ac:dyDescent="0.25">
      <c r="A366" s="5">
        <v>356</v>
      </c>
      <c r="B366" s="5" t="s">
        <v>490</v>
      </c>
      <c r="C366" s="5">
        <v>12</v>
      </c>
      <c r="D366" s="5">
        <v>220</v>
      </c>
      <c r="E366" s="5">
        <v>7565</v>
      </c>
      <c r="F366" s="5" t="s">
        <v>77</v>
      </c>
      <c r="G366" s="5" t="s">
        <v>746</v>
      </c>
      <c r="H366" s="5">
        <v>2</v>
      </c>
      <c r="I366" s="5">
        <v>313.56</v>
      </c>
      <c r="J366" s="5" t="s">
        <v>839</v>
      </c>
      <c r="K366" s="5" t="s">
        <v>812</v>
      </c>
      <c r="L366" s="5"/>
      <c r="M366" s="5" t="s">
        <v>747</v>
      </c>
      <c r="N366" s="5"/>
      <c r="O366" s="20"/>
      <c r="P366" s="20" t="str">
        <f t="shared" si="5"/>
        <v/>
      </c>
      <c r="Q366" s="20" t="s">
        <v>28</v>
      </c>
      <c r="R366" s="20" t="s">
        <v>81</v>
      </c>
      <c r="S366" s="20"/>
      <c r="T366" s="20"/>
      <c r="U366" s="20" t="s">
        <v>81</v>
      </c>
      <c r="V366" s="20"/>
      <c r="W366" s="20">
        <v>1</v>
      </c>
      <c r="X366" s="21" t="s">
        <v>37</v>
      </c>
      <c r="Y366" s="5"/>
      <c r="Z366" s="5" t="s">
        <v>38</v>
      </c>
      <c r="AA366" s="5"/>
      <c r="AB366" s="5" t="str">
        <f>IF(LEN('List chi tiet'!$B$3)=0,"",'List chi tiet'!$B$3)</f>
        <v>TCTN.DNS-26004</v>
      </c>
      <c r="AC366" s="5" t="s">
        <v>488</v>
      </c>
      <c r="AD366" s="5" t="s">
        <v>39</v>
      </c>
    </row>
    <row r="367" spans="1:30" hidden="1" x14ac:dyDescent="0.25">
      <c r="A367" s="5">
        <v>357</v>
      </c>
      <c r="B367" s="5" t="s">
        <v>492</v>
      </c>
      <c r="C367" s="5">
        <v>12</v>
      </c>
      <c r="D367" s="5">
        <v>220</v>
      </c>
      <c r="E367" s="5">
        <v>7561</v>
      </c>
      <c r="F367" s="5" t="s">
        <v>77</v>
      </c>
      <c r="G367" s="5" t="s">
        <v>746</v>
      </c>
      <c r="H367" s="5">
        <v>2</v>
      </c>
      <c r="I367" s="5">
        <v>313.39</v>
      </c>
      <c r="J367" s="5" t="s">
        <v>839</v>
      </c>
      <c r="K367" s="5" t="s">
        <v>812</v>
      </c>
      <c r="L367" s="5"/>
      <c r="M367" s="5" t="s">
        <v>747</v>
      </c>
      <c r="N367" s="5"/>
      <c r="O367" s="20"/>
      <c r="P367" s="20" t="str">
        <f t="shared" si="5"/>
        <v/>
      </c>
      <c r="Q367" s="20" t="s">
        <v>28</v>
      </c>
      <c r="R367" s="20" t="s">
        <v>81</v>
      </c>
      <c r="S367" s="20"/>
      <c r="T367" s="20"/>
      <c r="U367" s="20" t="s">
        <v>81</v>
      </c>
      <c r="V367" s="20"/>
      <c r="W367" s="20">
        <v>1</v>
      </c>
      <c r="X367" s="21" t="s">
        <v>37</v>
      </c>
      <c r="Y367" s="5"/>
      <c r="Z367" s="5" t="s">
        <v>38</v>
      </c>
      <c r="AA367" s="5"/>
      <c r="AB367" s="5" t="str">
        <f>IF(LEN('List chi tiet'!$B$3)=0,"",'List chi tiet'!$B$3)</f>
        <v>TCTN.DNS-26004</v>
      </c>
      <c r="AC367" s="5" t="s">
        <v>488</v>
      </c>
      <c r="AD367" s="5" t="s">
        <v>39</v>
      </c>
    </row>
    <row r="368" spans="1:30" hidden="1" x14ac:dyDescent="0.25">
      <c r="A368" s="5">
        <v>358</v>
      </c>
      <c r="B368" s="5" t="s">
        <v>494</v>
      </c>
      <c r="C368" s="5">
        <v>12</v>
      </c>
      <c r="D368" s="5">
        <v>220</v>
      </c>
      <c r="E368" s="5">
        <v>11993</v>
      </c>
      <c r="F368" s="5" t="s">
        <v>77</v>
      </c>
      <c r="G368" s="5" t="s">
        <v>746</v>
      </c>
      <c r="H368" s="5">
        <v>2</v>
      </c>
      <c r="I368" s="5">
        <v>497.09</v>
      </c>
      <c r="J368" s="5" t="s">
        <v>839</v>
      </c>
      <c r="K368" s="5" t="s">
        <v>812</v>
      </c>
      <c r="L368" s="5"/>
      <c r="M368" s="5" t="s">
        <v>747</v>
      </c>
      <c r="N368" s="5"/>
      <c r="O368" s="20"/>
      <c r="P368" s="20" t="str">
        <f t="shared" si="5"/>
        <v/>
      </c>
      <c r="Q368" s="20" t="s">
        <v>28</v>
      </c>
      <c r="R368" s="20" t="s">
        <v>81</v>
      </c>
      <c r="S368" s="20"/>
      <c r="T368" s="20"/>
      <c r="U368" s="20" t="s">
        <v>81</v>
      </c>
      <c r="V368" s="20"/>
      <c r="W368" s="20">
        <v>1</v>
      </c>
      <c r="X368" s="21" t="s">
        <v>37</v>
      </c>
      <c r="Y368" s="5"/>
      <c r="Z368" s="5" t="s">
        <v>38</v>
      </c>
      <c r="AA368" s="5"/>
      <c r="AB368" s="5" t="str">
        <f>IF(LEN('List chi tiet'!$B$3)=0,"",'List chi tiet'!$B$3)</f>
        <v>TCTN.DNS-26004</v>
      </c>
      <c r="AC368" s="5" t="s">
        <v>496</v>
      </c>
      <c r="AD368" s="5" t="s">
        <v>39</v>
      </c>
    </row>
    <row r="369" spans="1:30" hidden="1" x14ac:dyDescent="0.25">
      <c r="A369" s="5">
        <v>359</v>
      </c>
      <c r="B369" s="5" t="s">
        <v>498</v>
      </c>
      <c r="C369" s="5">
        <v>12</v>
      </c>
      <c r="D369" s="5">
        <v>220</v>
      </c>
      <c r="E369" s="5">
        <v>11991</v>
      </c>
      <c r="F369" s="5" t="s">
        <v>77</v>
      </c>
      <c r="G369" s="5" t="s">
        <v>746</v>
      </c>
      <c r="H369" s="5">
        <v>2</v>
      </c>
      <c r="I369" s="5">
        <v>497</v>
      </c>
      <c r="J369" s="5" t="s">
        <v>839</v>
      </c>
      <c r="K369" s="5" t="s">
        <v>812</v>
      </c>
      <c r="L369" s="5"/>
      <c r="M369" s="5" t="s">
        <v>747</v>
      </c>
      <c r="N369" s="5"/>
      <c r="O369" s="20"/>
      <c r="P369" s="20" t="str">
        <f t="shared" si="5"/>
        <v/>
      </c>
      <c r="Q369" s="20" t="s">
        <v>28</v>
      </c>
      <c r="R369" s="20" t="s">
        <v>81</v>
      </c>
      <c r="S369" s="20"/>
      <c r="T369" s="20"/>
      <c r="U369" s="20" t="s">
        <v>81</v>
      </c>
      <c r="V369" s="20"/>
      <c r="W369" s="20">
        <v>1</v>
      </c>
      <c r="X369" s="21" t="s">
        <v>37</v>
      </c>
      <c r="Y369" s="5"/>
      <c r="Z369" s="5" t="s">
        <v>38</v>
      </c>
      <c r="AA369" s="5"/>
      <c r="AB369" s="5" t="str">
        <f>IF(LEN('List chi tiet'!$B$3)=0,"",'List chi tiet'!$B$3)</f>
        <v>TCTN.DNS-26004</v>
      </c>
      <c r="AC369" s="5" t="s">
        <v>496</v>
      </c>
      <c r="AD369" s="5" t="s">
        <v>39</v>
      </c>
    </row>
    <row r="370" spans="1:30" hidden="1" x14ac:dyDescent="0.25">
      <c r="A370" s="5">
        <v>360</v>
      </c>
      <c r="B370" s="5" t="s">
        <v>500</v>
      </c>
      <c r="C370" s="5">
        <v>12</v>
      </c>
      <c r="D370" s="5">
        <v>220</v>
      </c>
      <c r="E370" s="5">
        <v>11993</v>
      </c>
      <c r="F370" s="5" t="s">
        <v>77</v>
      </c>
      <c r="G370" s="5" t="s">
        <v>746</v>
      </c>
      <c r="H370" s="5">
        <v>2</v>
      </c>
      <c r="I370" s="5">
        <v>497.09</v>
      </c>
      <c r="J370" s="5" t="s">
        <v>839</v>
      </c>
      <c r="K370" s="5" t="s">
        <v>812</v>
      </c>
      <c r="L370" s="5"/>
      <c r="M370" s="5" t="s">
        <v>747</v>
      </c>
      <c r="N370" s="5"/>
      <c r="O370" s="20"/>
      <c r="P370" s="20" t="str">
        <f t="shared" si="5"/>
        <v/>
      </c>
      <c r="Q370" s="20" t="s">
        <v>28</v>
      </c>
      <c r="R370" s="20" t="s">
        <v>81</v>
      </c>
      <c r="S370" s="20"/>
      <c r="T370" s="20"/>
      <c r="U370" s="20" t="s">
        <v>81</v>
      </c>
      <c r="V370" s="20"/>
      <c r="W370" s="20">
        <v>1</v>
      </c>
      <c r="X370" s="21" t="s">
        <v>37</v>
      </c>
      <c r="Y370" s="5"/>
      <c r="Z370" s="5" t="s">
        <v>38</v>
      </c>
      <c r="AA370" s="5"/>
      <c r="AB370" s="5" t="str">
        <f>IF(LEN('List chi tiet'!$B$3)=0,"",'List chi tiet'!$B$3)</f>
        <v>TCTN.DNS-26004</v>
      </c>
      <c r="AC370" s="5" t="s">
        <v>496</v>
      </c>
      <c r="AD370" s="5" t="s">
        <v>39</v>
      </c>
    </row>
    <row r="371" spans="1:30" hidden="1" x14ac:dyDescent="0.25">
      <c r="A371" s="5">
        <v>361</v>
      </c>
      <c r="B371" s="5" t="s">
        <v>501</v>
      </c>
      <c r="C371" s="5">
        <v>12</v>
      </c>
      <c r="D371" s="5">
        <v>220</v>
      </c>
      <c r="E371" s="5">
        <v>11991</v>
      </c>
      <c r="F371" s="5" t="s">
        <v>77</v>
      </c>
      <c r="G371" s="5" t="s">
        <v>746</v>
      </c>
      <c r="H371" s="5">
        <v>2</v>
      </c>
      <c r="I371" s="5">
        <v>497</v>
      </c>
      <c r="J371" s="5" t="s">
        <v>839</v>
      </c>
      <c r="K371" s="5" t="s">
        <v>812</v>
      </c>
      <c r="L371" s="5"/>
      <c r="M371" s="5" t="s">
        <v>747</v>
      </c>
      <c r="N371" s="5"/>
      <c r="O371" s="20"/>
      <c r="P371" s="20" t="str">
        <f t="shared" si="5"/>
        <v/>
      </c>
      <c r="Q371" s="20" t="s">
        <v>28</v>
      </c>
      <c r="R371" s="20" t="s">
        <v>81</v>
      </c>
      <c r="S371" s="20"/>
      <c r="T371" s="20"/>
      <c r="U371" s="20" t="s">
        <v>81</v>
      </c>
      <c r="V371" s="20"/>
      <c r="W371" s="20">
        <v>1</v>
      </c>
      <c r="X371" s="21" t="s">
        <v>37</v>
      </c>
      <c r="Y371" s="5"/>
      <c r="Z371" s="5" t="s">
        <v>38</v>
      </c>
      <c r="AA371" s="5"/>
      <c r="AB371" s="5" t="str">
        <f>IF(LEN('List chi tiet'!$B$3)=0,"",'List chi tiet'!$B$3)</f>
        <v>TCTN.DNS-26004</v>
      </c>
      <c r="AC371" s="5" t="s">
        <v>502</v>
      </c>
      <c r="AD371" s="5" t="s">
        <v>39</v>
      </c>
    </row>
    <row r="372" spans="1:30" hidden="1" x14ac:dyDescent="0.25">
      <c r="A372" s="5">
        <v>362</v>
      </c>
      <c r="B372" s="5" t="s">
        <v>504</v>
      </c>
      <c r="C372" s="5">
        <v>12</v>
      </c>
      <c r="D372" s="5">
        <v>220</v>
      </c>
      <c r="E372" s="5">
        <v>11991</v>
      </c>
      <c r="F372" s="5" t="s">
        <v>77</v>
      </c>
      <c r="G372" s="5" t="s">
        <v>746</v>
      </c>
      <c r="H372" s="5">
        <v>2</v>
      </c>
      <c r="I372" s="5">
        <v>497</v>
      </c>
      <c r="J372" s="5" t="s">
        <v>839</v>
      </c>
      <c r="K372" s="5" t="s">
        <v>812</v>
      </c>
      <c r="L372" s="5"/>
      <c r="M372" s="5" t="s">
        <v>747</v>
      </c>
      <c r="N372" s="5"/>
      <c r="O372" s="20"/>
      <c r="P372" s="20" t="str">
        <f t="shared" si="5"/>
        <v/>
      </c>
      <c r="Q372" s="20" t="s">
        <v>28</v>
      </c>
      <c r="R372" s="20" t="s">
        <v>81</v>
      </c>
      <c r="S372" s="20"/>
      <c r="T372" s="20"/>
      <c r="U372" s="20" t="s">
        <v>81</v>
      </c>
      <c r="V372" s="20"/>
      <c r="W372" s="20">
        <v>1</v>
      </c>
      <c r="X372" s="21" t="s">
        <v>37</v>
      </c>
      <c r="Y372" s="5"/>
      <c r="Z372" s="5" t="s">
        <v>38</v>
      </c>
      <c r="AA372" s="5"/>
      <c r="AB372" s="5" t="str">
        <f>IF(LEN('List chi tiet'!$B$3)=0,"",'List chi tiet'!$B$3)</f>
        <v>TCTN.DNS-26004</v>
      </c>
      <c r="AC372" s="5" t="s">
        <v>502</v>
      </c>
      <c r="AD372" s="5" t="s">
        <v>39</v>
      </c>
    </row>
    <row r="373" spans="1:30" hidden="1" x14ac:dyDescent="0.25">
      <c r="A373" s="5">
        <v>363</v>
      </c>
      <c r="B373" s="5" t="s">
        <v>505</v>
      </c>
      <c r="C373" s="5">
        <v>12</v>
      </c>
      <c r="D373" s="5">
        <v>220</v>
      </c>
      <c r="E373" s="5">
        <v>11991</v>
      </c>
      <c r="F373" s="5" t="s">
        <v>77</v>
      </c>
      <c r="G373" s="5" t="s">
        <v>746</v>
      </c>
      <c r="H373" s="5">
        <v>2</v>
      </c>
      <c r="I373" s="5">
        <v>497</v>
      </c>
      <c r="J373" s="5" t="s">
        <v>839</v>
      </c>
      <c r="K373" s="5" t="s">
        <v>812</v>
      </c>
      <c r="L373" s="5"/>
      <c r="M373" s="5" t="s">
        <v>747</v>
      </c>
      <c r="N373" s="5"/>
      <c r="O373" s="20"/>
      <c r="P373" s="20" t="str">
        <f t="shared" si="5"/>
        <v/>
      </c>
      <c r="Q373" s="20" t="s">
        <v>28</v>
      </c>
      <c r="R373" s="20" t="s">
        <v>81</v>
      </c>
      <c r="S373" s="20"/>
      <c r="T373" s="20"/>
      <c r="U373" s="20" t="s">
        <v>81</v>
      </c>
      <c r="V373" s="20"/>
      <c r="W373" s="20">
        <v>1</v>
      </c>
      <c r="X373" s="21" t="s">
        <v>37</v>
      </c>
      <c r="Y373" s="5"/>
      <c r="Z373" s="5" t="s">
        <v>38</v>
      </c>
      <c r="AA373" s="5"/>
      <c r="AB373" s="5" t="str">
        <f>IF(LEN('List chi tiet'!$B$3)=0,"",'List chi tiet'!$B$3)</f>
        <v>TCTN.DNS-26004</v>
      </c>
      <c r="AC373" s="5" t="s">
        <v>502</v>
      </c>
      <c r="AD373" s="5" t="s">
        <v>39</v>
      </c>
    </row>
    <row r="374" spans="1:30" hidden="1" x14ac:dyDescent="0.25">
      <c r="A374" s="5">
        <v>364</v>
      </c>
      <c r="B374" s="5" t="s">
        <v>506</v>
      </c>
      <c r="C374" s="5">
        <v>12</v>
      </c>
      <c r="D374" s="5">
        <v>220</v>
      </c>
      <c r="E374" s="5">
        <v>7564</v>
      </c>
      <c r="F374" s="5" t="s">
        <v>77</v>
      </c>
      <c r="G374" s="5" t="s">
        <v>746</v>
      </c>
      <c r="H374" s="5">
        <v>2</v>
      </c>
      <c r="I374" s="5">
        <v>313.51</v>
      </c>
      <c r="J374" s="5" t="s">
        <v>839</v>
      </c>
      <c r="K374" s="5" t="s">
        <v>812</v>
      </c>
      <c r="L374" s="5"/>
      <c r="M374" s="5" t="s">
        <v>747</v>
      </c>
      <c r="N374" s="5"/>
      <c r="O374" s="20"/>
      <c r="P374" s="20" t="str">
        <f t="shared" si="5"/>
        <v/>
      </c>
      <c r="Q374" s="20" t="s">
        <v>28</v>
      </c>
      <c r="R374" s="20" t="s">
        <v>81</v>
      </c>
      <c r="S374" s="20"/>
      <c r="T374" s="20"/>
      <c r="U374" s="20" t="s">
        <v>81</v>
      </c>
      <c r="V374" s="20"/>
      <c r="W374" s="20">
        <v>1</v>
      </c>
      <c r="X374" s="21" t="s">
        <v>37</v>
      </c>
      <c r="Y374" s="5"/>
      <c r="Z374" s="5" t="s">
        <v>38</v>
      </c>
      <c r="AA374" s="5"/>
      <c r="AB374" s="5" t="str">
        <f>IF(LEN('List chi tiet'!$B$3)=0,"",'List chi tiet'!$B$3)</f>
        <v>TCTN.DNS-26004</v>
      </c>
      <c r="AC374" s="5" t="s">
        <v>508</v>
      </c>
      <c r="AD374" s="5" t="s">
        <v>39</v>
      </c>
    </row>
    <row r="375" spans="1:30" hidden="1" x14ac:dyDescent="0.25">
      <c r="A375" s="5">
        <v>365</v>
      </c>
      <c r="B375" s="5" t="s">
        <v>510</v>
      </c>
      <c r="C375" s="5">
        <v>16</v>
      </c>
      <c r="D375" s="5">
        <v>50</v>
      </c>
      <c r="E375" s="5">
        <v>120</v>
      </c>
      <c r="F375" s="5" t="s">
        <v>77</v>
      </c>
      <c r="G375" s="5" t="s">
        <v>746</v>
      </c>
      <c r="H375" s="5">
        <v>16</v>
      </c>
      <c r="I375" s="5">
        <v>11.15</v>
      </c>
      <c r="J375" s="5" t="s">
        <v>839</v>
      </c>
      <c r="K375" s="5" t="s">
        <v>812</v>
      </c>
      <c r="L375" s="5"/>
      <c r="M375" s="5" t="s">
        <v>747</v>
      </c>
      <c r="N375" s="5"/>
      <c r="O375" s="20" t="s">
        <v>228</v>
      </c>
      <c r="P375" s="20" t="str">
        <f t="shared" si="5"/>
        <v/>
      </c>
      <c r="Q375" s="20" t="s">
        <v>27</v>
      </c>
      <c r="R375" s="20" t="s">
        <v>81</v>
      </c>
      <c r="S375" s="20"/>
      <c r="T375" s="20"/>
      <c r="U375" s="20"/>
      <c r="V375" s="20"/>
      <c r="W375" s="20">
        <v>1</v>
      </c>
      <c r="X375" s="21" t="s">
        <v>37</v>
      </c>
      <c r="Y375" s="5"/>
      <c r="Z375" s="5" t="s">
        <v>38</v>
      </c>
      <c r="AA375" s="5"/>
      <c r="AB375" s="5" t="str">
        <f>IF(LEN('List chi tiet'!$B$3)=0,"",'List chi tiet'!$B$3)</f>
        <v>TCTN.DNS-26004</v>
      </c>
      <c r="AC375" s="5" t="s">
        <v>513</v>
      </c>
      <c r="AD375" s="5" t="s">
        <v>39</v>
      </c>
    </row>
    <row r="376" spans="1:30" hidden="1" x14ac:dyDescent="0.25">
      <c r="A376" s="5">
        <v>366</v>
      </c>
      <c r="B376" s="5" t="s">
        <v>515</v>
      </c>
      <c r="C376" s="5">
        <v>16</v>
      </c>
      <c r="D376" s="5">
        <v>220</v>
      </c>
      <c r="E376" s="5">
        <v>280</v>
      </c>
      <c r="F376" s="5" t="s">
        <v>77</v>
      </c>
      <c r="G376" s="5" t="s">
        <v>746</v>
      </c>
      <c r="H376" s="5">
        <v>4</v>
      </c>
      <c r="I376" s="5">
        <v>30.85</v>
      </c>
      <c r="J376" s="5" t="s">
        <v>839</v>
      </c>
      <c r="K376" s="5" t="s">
        <v>812</v>
      </c>
      <c r="L376" s="5"/>
      <c r="M376" s="5" t="s">
        <v>747</v>
      </c>
      <c r="N376" s="5"/>
      <c r="O376" s="20"/>
      <c r="P376" s="20" t="str">
        <f t="shared" si="5"/>
        <v/>
      </c>
      <c r="Q376" s="20" t="s">
        <v>26</v>
      </c>
      <c r="R376" s="20" t="s">
        <v>81</v>
      </c>
      <c r="S376" s="20"/>
      <c r="T376" s="20"/>
      <c r="U376" s="20"/>
      <c r="V376" s="20"/>
      <c r="W376" s="20">
        <v>1</v>
      </c>
      <c r="X376" s="21" t="s">
        <v>37</v>
      </c>
      <c r="Y376" s="5"/>
      <c r="Z376" s="5" t="s">
        <v>38</v>
      </c>
      <c r="AA376" s="5"/>
      <c r="AB376" s="5" t="str">
        <f>IF(LEN('List chi tiet'!$B$3)=0,"",'List chi tiet'!$B$3)</f>
        <v>TCTN.DNS-26004</v>
      </c>
      <c r="AC376" s="5" t="s">
        <v>513</v>
      </c>
      <c r="AD376" s="5" t="s">
        <v>39</v>
      </c>
    </row>
    <row r="377" spans="1:30" hidden="1" x14ac:dyDescent="0.25">
      <c r="A377" s="5">
        <v>367</v>
      </c>
      <c r="B377" s="5" t="s">
        <v>517</v>
      </c>
      <c r="C377" s="5">
        <v>16</v>
      </c>
      <c r="D377" s="5">
        <v>200</v>
      </c>
      <c r="E377" s="5">
        <v>300</v>
      </c>
      <c r="F377" s="5" t="s">
        <v>77</v>
      </c>
      <c r="G377" s="5" t="s">
        <v>746</v>
      </c>
      <c r="H377" s="5">
        <v>2</v>
      </c>
      <c r="I377" s="5">
        <v>9.73</v>
      </c>
      <c r="J377" s="5" t="s">
        <v>839</v>
      </c>
      <c r="K377" s="5" t="s">
        <v>812</v>
      </c>
      <c r="L377" s="5"/>
      <c r="M377" s="5" t="s">
        <v>747</v>
      </c>
      <c r="N377" s="5"/>
      <c r="O377" s="20"/>
      <c r="P377" s="20" t="str">
        <f t="shared" si="5"/>
        <v/>
      </c>
      <c r="Q377" s="20" t="s">
        <v>26</v>
      </c>
      <c r="R377" s="20" t="s">
        <v>81</v>
      </c>
      <c r="S377" s="20"/>
      <c r="T377" s="20"/>
      <c r="U377" s="20"/>
      <c r="V377" s="20"/>
      <c r="W377" s="20">
        <v>1</v>
      </c>
      <c r="X377" s="21" t="s">
        <v>37</v>
      </c>
      <c r="Y377" s="5"/>
      <c r="Z377" s="5" t="s">
        <v>38</v>
      </c>
      <c r="AA377" s="5"/>
      <c r="AB377" s="5" t="str">
        <f>IF(LEN('List chi tiet'!$B$3)=0,"",'List chi tiet'!$B$3)</f>
        <v>TCTN.DNS-26004</v>
      </c>
      <c r="AC377" s="5" t="s">
        <v>513</v>
      </c>
      <c r="AD377" s="5" t="s">
        <v>39</v>
      </c>
    </row>
    <row r="378" spans="1:30" hidden="1" x14ac:dyDescent="0.25">
      <c r="A378" s="5">
        <v>368</v>
      </c>
      <c r="B378" s="5" t="s">
        <v>519</v>
      </c>
      <c r="C378" s="5">
        <v>16</v>
      </c>
      <c r="D378" s="5">
        <v>200</v>
      </c>
      <c r="E378" s="5">
        <v>300</v>
      </c>
      <c r="F378" s="5" t="s">
        <v>77</v>
      </c>
      <c r="G378" s="5" t="s">
        <v>746</v>
      </c>
      <c r="H378" s="5">
        <v>2</v>
      </c>
      <c r="I378" s="5">
        <v>9.73</v>
      </c>
      <c r="J378" s="5" t="s">
        <v>839</v>
      </c>
      <c r="K378" s="5" t="s">
        <v>812</v>
      </c>
      <c r="L378" s="5"/>
      <c r="M378" s="5" t="s">
        <v>747</v>
      </c>
      <c r="N378" s="5"/>
      <c r="O378" s="20"/>
      <c r="P378" s="20" t="str">
        <f t="shared" si="5"/>
        <v/>
      </c>
      <c r="Q378" s="20" t="s">
        <v>26</v>
      </c>
      <c r="R378" s="20" t="s">
        <v>81</v>
      </c>
      <c r="S378" s="20"/>
      <c r="T378" s="20"/>
      <c r="U378" s="20"/>
      <c r="V378" s="20"/>
      <c r="W378" s="20">
        <v>1</v>
      </c>
      <c r="X378" s="21" t="s">
        <v>37</v>
      </c>
      <c r="Y378" s="5"/>
      <c r="Z378" s="5" t="s">
        <v>38</v>
      </c>
      <c r="AA378" s="5"/>
      <c r="AB378" s="5" t="str">
        <f>IF(LEN('List chi tiet'!$B$3)=0,"",'List chi tiet'!$B$3)</f>
        <v>TCTN.DNS-26004</v>
      </c>
      <c r="AC378" s="5" t="s">
        <v>513</v>
      </c>
      <c r="AD378" s="5" t="s">
        <v>39</v>
      </c>
    </row>
    <row r="379" spans="1:30" hidden="1" x14ac:dyDescent="0.25">
      <c r="A379" s="5">
        <v>369</v>
      </c>
      <c r="B379" s="5" t="s">
        <v>520</v>
      </c>
      <c r="C379" s="5">
        <v>16</v>
      </c>
      <c r="D379" s="5">
        <v>275</v>
      </c>
      <c r="E379" s="5">
        <v>12000</v>
      </c>
      <c r="F379" s="5" t="s">
        <v>77</v>
      </c>
      <c r="G379" s="5" t="s">
        <v>746</v>
      </c>
      <c r="H379" s="5">
        <v>1</v>
      </c>
      <c r="I379" s="5">
        <v>414.49</v>
      </c>
      <c r="J379" s="5" t="s">
        <v>839</v>
      </c>
      <c r="K379" s="5" t="s">
        <v>812</v>
      </c>
      <c r="L379" s="5"/>
      <c r="M379" s="5" t="s">
        <v>747</v>
      </c>
      <c r="N379" s="5"/>
      <c r="O379" s="20"/>
      <c r="P379" s="20" t="str">
        <f t="shared" si="5"/>
        <v/>
      </c>
      <c r="Q379" s="20" t="s">
        <v>28</v>
      </c>
      <c r="R379" s="20" t="s">
        <v>81</v>
      </c>
      <c r="S379" s="20"/>
      <c r="T379" s="20"/>
      <c r="U379" s="20" t="s">
        <v>81</v>
      </c>
      <c r="V379" s="20"/>
      <c r="W379" s="20">
        <v>1</v>
      </c>
      <c r="X379" s="21" t="s">
        <v>37</v>
      </c>
      <c r="Y379" s="5"/>
      <c r="Z379" s="5" t="s">
        <v>38</v>
      </c>
      <c r="AA379" s="5"/>
      <c r="AB379" s="5" t="str">
        <f>IF(LEN('List chi tiet'!$B$3)=0,"",'List chi tiet'!$B$3)</f>
        <v>TCTN.DNS-26004</v>
      </c>
      <c r="AC379" s="5" t="s">
        <v>513</v>
      </c>
      <c r="AD379" s="5" t="s">
        <v>39</v>
      </c>
    </row>
    <row r="380" spans="1:30" hidden="1" x14ac:dyDescent="0.25">
      <c r="A380" s="5">
        <v>370</v>
      </c>
      <c r="B380" s="5" t="s">
        <v>522</v>
      </c>
      <c r="C380" s="5">
        <v>16</v>
      </c>
      <c r="D380" s="5">
        <v>275</v>
      </c>
      <c r="E380" s="5">
        <v>12000</v>
      </c>
      <c r="F380" s="5" t="s">
        <v>77</v>
      </c>
      <c r="G380" s="5" t="s">
        <v>746</v>
      </c>
      <c r="H380" s="5">
        <v>1</v>
      </c>
      <c r="I380" s="5">
        <v>414.48</v>
      </c>
      <c r="J380" s="5" t="s">
        <v>839</v>
      </c>
      <c r="K380" s="5" t="s">
        <v>812</v>
      </c>
      <c r="L380" s="5"/>
      <c r="M380" s="5" t="s">
        <v>747</v>
      </c>
      <c r="N380" s="5"/>
      <c r="O380" s="20"/>
      <c r="P380" s="20" t="str">
        <f t="shared" si="5"/>
        <v/>
      </c>
      <c r="Q380" s="20" t="s">
        <v>28</v>
      </c>
      <c r="R380" s="20" t="s">
        <v>81</v>
      </c>
      <c r="S380" s="20"/>
      <c r="T380" s="20"/>
      <c r="U380" s="20" t="s">
        <v>81</v>
      </c>
      <c r="V380" s="20"/>
      <c r="W380" s="20">
        <v>1</v>
      </c>
      <c r="X380" s="21" t="s">
        <v>37</v>
      </c>
      <c r="Y380" s="5"/>
      <c r="Z380" s="5" t="s">
        <v>38</v>
      </c>
      <c r="AA380" s="5"/>
      <c r="AB380" s="5" t="str">
        <f>IF(LEN('List chi tiet'!$B$3)=0,"",'List chi tiet'!$B$3)</f>
        <v>TCTN.DNS-26004</v>
      </c>
      <c r="AC380" s="5" t="s">
        <v>513</v>
      </c>
      <c r="AD380" s="5" t="s">
        <v>39</v>
      </c>
    </row>
    <row r="381" spans="1:30" hidden="1" x14ac:dyDescent="0.25">
      <c r="A381" s="5">
        <v>371</v>
      </c>
      <c r="B381" s="5" t="s">
        <v>523</v>
      </c>
      <c r="C381" s="5">
        <v>16</v>
      </c>
      <c r="D381" s="5">
        <v>275</v>
      </c>
      <c r="E381" s="5">
        <v>11976</v>
      </c>
      <c r="F381" s="5" t="s">
        <v>77</v>
      </c>
      <c r="G381" s="5" t="s">
        <v>746</v>
      </c>
      <c r="H381" s="5">
        <v>1</v>
      </c>
      <c r="I381" s="5">
        <v>413.65</v>
      </c>
      <c r="J381" s="5" t="s">
        <v>839</v>
      </c>
      <c r="K381" s="5" t="s">
        <v>812</v>
      </c>
      <c r="L381" s="5"/>
      <c r="M381" s="5" t="s">
        <v>747</v>
      </c>
      <c r="N381" s="5"/>
      <c r="O381" s="20"/>
      <c r="P381" s="20" t="str">
        <f t="shared" si="5"/>
        <v/>
      </c>
      <c r="Q381" s="20" t="s">
        <v>28</v>
      </c>
      <c r="R381" s="20" t="s">
        <v>81</v>
      </c>
      <c r="S381" s="20"/>
      <c r="T381" s="20"/>
      <c r="U381" s="20" t="s">
        <v>81</v>
      </c>
      <c r="V381" s="20"/>
      <c r="W381" s="20">
        <v>1</v>
      </c>
      <c r="X381" s="21" t="s">
        <v>37</v>
      </c>
      <c r="Y381" s="5"/>
      <c r="Z381" s="5" t="s">
        <v>38</v>
      </c>
      <c r="AA381" s="5"/>
      <c r="AB381" s="5" t="str">
        <f>IF(LEN('List chi tiet'!$B$3)=0,"",'List chi tiet'!$B$3)</f>
        <v>TCTN.DNS-26004</v>
      </c>
      <c r="AC381" s="5" t="s">
        <v>513</v>
      </c>
      <c r="AD381" s="5" t="s">
        <v>39</v>
      </c>
    </row>
    <row r="382" spans="1:30" hidden="1" x14ac:dyDescent="0.25">
      <c r="A382" s="5">
        <v>372</v>
      </c>
      <c r="B382" s="5" t="s">
        <v>525</v>
      </c>
      <c r="C382" s="5">
        <v>16</v>
      </c>
      <c r="D382" s="5">
        <v>200</v>
      </c>
      <c r="E382" s="5">
        <v>300</v>
      </c>
      <c r="F382" s="5" t="s">
        <v>77</v>
      </c>
      <c r="G382" s="5" t="s">
        <v>746</v>
      </c>
      <c r="H382" s="5">
        <v>2</v>
      </c>
      <c r="I382" s="5">
        <v>9.73</v>
      </c>
      <c r="J382" s="5" t="s">
        <v>839</v>
      </c>
      <c r="K382" s="5" t="s">
        <v>812</v>
      </c>
      <c r="L382" s="5"/>
      <c r="M382" s="5" t="s">
        <v>747</v>
      </c>
      <c r="N382" s="5"/>
      <c r="O382" s="20"/>
      <c r="P382" s="20" t="str">
        <f t="shared" si="5"/>
        <v/>
      </c>
      <c r="Q382" s="20" t="s">
        <v>26</v>
      </c>
      <c r="R382" s="20" t="s">
        <v>81</v>
      </c>
      <c r="S382" s="20"/>
      <c r="T382" s="20"/>
      <c r="U382" s="20"/>
      <c r="V382" s="20"/>
      <c r="W382" s="20">
        <v>1</v>
      </c>
      <c r="X382" s="21" t="s">
        <v>37</v>
      </c>
      <c r="Y382" s="5"/>
      <c r="Z382" s="5" t="s">
        <v>38</v>
      </c>
      <c r="AA382" s="5"/>
      <c r="AB382" s="5" t="str">
        <f>IF(LEN('List chi tiet'!$B$3)=0,"",'List chi tiet'!$B$3)</f>
        <v>TCTN.DNS-26004</v>
      </c>
      <c r="AC382" s="5" t="s">
        <v>513</v>
      </c>
      <c r="AD382" s="5" t="s">
        <v>39</v>
      </c>
    </row>
    <row r="383" spans="1:30" hidden="1" x14ac:dyDescent="0.25">
      <c r="A383" s="5">
        <v>373</v>
      </c>
      <c r="B383" s="5" t="s">
        <v>526</v>
      </c>
      <c r="C383" s="5">
        <v>16</v>
      </c>
      <c r="D383" s="5">
        <v>200</v>
      </c>
      <c r="E383" s="5">
        <v>300</v>
      </c>
      <c r="F383" s="5" t="s">
        <v>77</v>
      </c>
      <c r="G383" s="5" t="s">
        <v>746</v>
      </c>
      <c r="H383" s="5">
        <v>2</v>
      </c>
      <c r="I383" s="5">
        <v>9.73</v>
      </c>
      <c r="J383" s="5" t="s">
        <v>839</v>
      </c>
      <c r="K383" s="5" t="s">
        <v>812</v>
      </c>
      <c r="L383" s="5"/>
      <c r="M383" s="5" t="s">
        <v>747</v>
      </c>
      <c r="N383" s="5"/>
      <c r="O383" s="20"/>
      <c r="P383" s="20" t="str">
        <f t="shared" si="5"/>
        <v/>
      </c>
      <c r="Q383" s="20" t="s">
        <v>26</v>
      </c>
      <c r="R383" s="20" t="s">
        <v>81</v>
      </c>
      <c r="S383" s="20"/>
      <c r="T383" s="20"/>
      <c r="U383" s="20"/>
      <c r="V383" s="20"/>
      <c r="W383" s="20">
        <v>1</v>
      </c>
      <c r="X383" s="21" t="s">
        <v>37</v>
      </c>
      <c r="Y383" s="5"/>
      <c r="Z383" s="5" t="s">
        <v>38</v>
      </c>
      <c r="AA383" s="5"/>
      <c r="AB383" s="5" t="str">
        <f>IF(LEN('List chi tiet'!$B$3)=0,"",'List chi tiet'!$B$3)</f>
        <v>TCTN.DNS-26004</v>
      </c>
      <c r="AC383" s="5" t="s">
        <v>513</v>
      </c>
      <c r="AD383" s="5" t="s">
        <v>39</v>
      </c>
    </row>
    <row r="384" spans="1:30" hidden="1" x14ac:dyDescent="0.25">
      <c r="A384" s="5">
        <v>374</v>
      </c>
      <c r="B384" s="5" t="s">
        <v>527</v>
      </c>
      <c r="C384" s="5">
        <v>16</v>
      </c>
      <c r="D384" s="5">
        <v>275</v>
      </c>
      <c r="E384" s="5">
        <v>12000</v>
      </c>
      <c r="F384" s="5" t="s">
        <v>77</v>
      </c>
      <c r="G384" s="5" t="s">
        <v>746</v>
      </c>
      <c r="H384" s="5">
        <v>1</v>
      </c>
      <c r="I384" s="5">
        <v>414.48</v>
      </c>
      <c r="J384" s="5" t="s">
        <v>839</v>
      </c>
      <c r="K384" s="5" t="s">
        <v>812</v>
      </c>
      <c r="L384" s="5"/>
      <c r="M384" s="5" t="s">
        <v>747</v>
      </c>
      <c r="N384" s="5"/>
      <c r="O384" s="20"/>
      <c r="P384" s="20" t="str">
        <f t="shared" si="5"/>
        <v/>
      </c>
      <c r="Q384" s="20" t="s">
        <v>28</v>
      </c>
      <c r="R384" s="20" t="s">
        <v>81</v>
      </c>
      <c r="S384" s="20"/>
      <c r="T384" s="20"/>
      <c r="U384" s="20" t="s">
        <v>81</v>
      </c>
      <c r="V384" s="20"/>
      <c r="W384" s="20">
        <v>1</v>
      </c>
      <c r="X384" s="21" t="s">
        <v>37</v>
      </c>
      <c r="Y384" s="5"/>
      <c r="Z384" s="5" t="s">
        <v>38</v>
      </c>
      <c r="AA384" s="5"/>
      <c r="AB384" s="5" t="str">
        <f>IF(LEN('List chi tiet'!$B$3)=0,"",'List chi tiet'!$B$3)</f>
        <v>TCTN.DNS-26004</v>
      </c>
      <c r="AC384" s="5" t="s">
        <v>513</v>
      </c>
      <c r="AD384" s="5" t="s">
        <v>39</v>
      </c>
    </row>
    <row r="385" spans="1:30" hidden="1" x14ac:dyDescent="0.25">
      <c r="A385" s="5">
        <v>375</v>
      </c>
      <c r="B385" s="5" t="s">
        <v>528</v>
      </c>
      <c r="C385" s="5">
        <v>16</v>
      </c>
      <c r="D385" s="5">
        <v>275</v>
      </c>
      <c r="E385" s="5">
        <v>7587</v>
      </c>
      <c r="F385" s="5" t="s">
        <v>77</v>
      </c>
      <c r="G385" s="5" t="s">
        <v>746</v>
      </c>
      <c r="H385" s="5">
        <v>1</v>
      </c>
      <c r="I385" s="5">
        <v>262.06</v>
      </c>
      <c r="J385" s="5" t="s">
        <v>839</v>
      </c>
      <c r="K385" s="5" t="s">
        <v>812</v>
      </c>
      <c r="L385" s="5"/>
      <c r="M385" s="5" t="s">
        <v>747</v>
      </c>
      <c r="N385" s="5"/>
      <c r="O385" s="20"/>
      <c r="P385" s="20" t="str">
        <f t="shared" si="5"/>
        <v/>
      </c>
      <c r="Q385" s="20" t="s">
        <v>28</v>
      </c>
      <c r="R385" s="20" t="s">
        <v>81</v>
      </c>
      <c r="S385" s="20"/>
      <c r="T385" s="20"/>
      <c r="U385" s="20" t="s">
        <v>81</v>
      </c>
      <c r="V385" s="20"/>
      <c r="W385" s="20">
        <v>1</v>
      </c>
      <c r="X385" s="21" t="s">
        <v>37</v>
      </c>
      <c r="Y385" s="5"/>
      <c r="Z385" s="5" t="s">
        <v>38</v>
      </c>
      <c r="AA385" s="5"/>
      <c r="AB385" s="5" t="str">
        <f>IF(LEN('List chi tiet'!$B$3)=0,"",'List chi tiet'!$B$3)</f>
        <v>TCTN.DNS-26004</v>
      </c>
      <c r="AC385" s="5" t="s">
        <v>513</v>
      </c>
      <c r="AD385" s="5" t="s">
        <v>39</v>
      </c>
    </row>
    <row r="386" spans="1:30" hidden="1" x14ac:dyDescent="0.25">
      <c r="A386" s="5">
        <v>376</v>
      </c>
      <c r="B386" s="5" t="s">
        <v>530</v>
      </c>
      <c r="C386" s="5">
        <v>16</v>
      </c>
      <c r="D386" s="5">
        <v>275</v>
      </c>
      <c r="E386" s="5">
        <v>12000</v>
      </c>
      <c r="F386" s="5" t="s">
        <v>77</v>
      </c>
      <c r="G386" s="5" t="s">
        <v>746</v>
      </c>
      <c r="H386" s="5">
        <v>1</v>
      </c>
      <c r="I386" s="5">
        <v>414.48</v>
      </c>
      <c r="J386" s="5" t="s">
        <v>839</v>
      </c>
      <c r="K386" s="5" t="s">
        <v>812</v>
      </c>
      <c r="L386" s="5"/>
      <c r="M386" s="5" t="s">
        <v>747</v>
      </c>
      <c r="N386" s="5"/>
      <c r="O386" s="20"/>
      <c r="P386" s="20" t="str">
        <f t="shared" si="5"/>
        <v/>
      </c>
      <c r="Q386" s="20" t="s">
        <v>28</v>
      </c>
      <c r="R386" s="20" t="s">
        <v>81</v>
      </c>
      <c r="S386" s="20"/>
      <c r="T386" s="20"/>
      <c r="U386" s="20" t="s">
        <v>81</v>
      </c>
      <c r="V386" s="20"/>
      <c r="W386" s="20">
        <v>1</v>
      </c>
      <c r="X386" s="21" t="s">
        <v>37</v>
      </c>
      <c r="Y386" s="5"/>
      <c r="Z386" s="5" t="s">
        <v>38</v>
      </c>
      <c r="AA386" s="5"/>
      <c r="AB386" s="5" t="str">
        <f>IF(LEN('List chi tiet'!$B$3)=0,"",'List chi tiet'!$B$3)</f>
        <v>TCTN.DNS-26004</v>
      </c>
      <c r="AC386" s="5" t="s">
        <v>513</v>
      </c>
      <c r="AD386" s="5" t="s">
        <v>39</v>
      </c>
    </row>
    <row r="387" spans="1:30" hidden="1" x14ac:dyDescent="0.25">
      <c r="A387" s="5">
        <v>377</v>
      </c>
      <c r="B387" s="5" t="s">
        <v>531</v>
      </c>
      <c r="C387" s="5">
        <v>16</v>
      </c>
      <c r="D387" s="5">
        <v>275</v>
      </c>
      <c r="E387" s="5">
        <v>7583</v>
      </c>
      <c r="F387" s="5" t="s">
        <v>77</v>
      </c>
      <c r="G387" s="5" t="s">
        <v>746</v>
      </c>
      <c r="H387" s="5">
        <v>1</v>
      </c>
      <c r="I387" s="5">
        <v>261.92</v>
      </c>
      <c r="J387" s="5" t="s">
        <v>839</v>
      </c>
      <c r="K387" s="5" t="s">
        <v>812</v>
      </c>
      <c r="L387" s="5"/>
      <c r="M387" s="5" t="s">
        <v>747</v>
      </c>
      <c r="N387" s="5"/>
      <c r="O387" s="20"/>
      <c r="P387" s="20" t="str">
        <f t="shared" si="5"/>
        <v/>
      </c>
      <c r="Q387" s="20" t="s">
        <v>28</v>
      </c>
      <c r="R387" s="20" t="s">
        <v>81</v>
      </c>
      <c r="S387" s="20"/>
      <c r="T387" s="20"/>
      <c r="U387" s="20" t="s">
        <v>81</v>
      </c>
      <c r="V387" s="20"/>
      <c r="W387" s="20">
        <v>1</v>
      </c>
      <c r="X387" s="21" t="s">
        <v>37</v>
      </c>
      <c r="Y387" s="5"/>
      <c r="Z387" s="5" t="s">
        <v>38</v>
      </c>
      <c r="AA387" s="5"/>
      <c r="AB387" s="5" t="str">
        <f>IF(LEN('List chi tiet'!$B$3)=0,"",'List chi tiet'!$B$3)</f>
        <v>TCTN.DNS-26004</v>
      </c>
      <c r="AC387" s="5" t="s">
        <v>513</v>
      </c>
      <c r="AD387" s="5" t="s">
        <v>39</v>
      </c>
    </row>
    <row r="388" spans="1:30" hidden="1" x14ac:dyDescent="0.25">
      <c r="A388" s="5">
        <v>378</v>
      </c>
      <c r="B388" s="5" t="s">
        <v>533</v>
      </c>
      <c r="C388" s="5">
        <v>16</v>
      </c>
      <c r="D388" s="5">
        <v>240</v>
      </c>
      <c r="E388" s="5">
        <v>240</v>
      </c>
      <c r="F388" s="5" t="s">
        <v>77</v>
      </c>
      <c r="G388" s="5" t="s">
        <v>746</v>
      </c>
      <c r="H388" s="5">
        <v>2</v>
      </c>
      <c r="I388" s="5">
        <v>8.0299999999999994</v>
      </c>
      <c r="J388" s="5" t="s">
        <v>839</v>
      </c>
      <c r="K388" s="5" t="s">
        <v>812</v>
      </c>
      <c r="L388" s="5"/>
      <c r="M388" s="5" t="s">
        <v>747</v>
      </c>
      <c r="N388" s="5"/>
      <c r="O388" s="20" t="s">
        <v>228</v>
      </c>
      <c r="P388" s="20" t="str">
        <f t="shared" si="5"/>
        <v/>
      </c>
      <c r="Q388" s="20" t="s">
        <v>27</v>
      </c>
      <c r="R388" s="20" t="s">
        <v>81</v>
      </c>
      <c r="S388" s="20"/>
      <c r="T388" s="20"/>
      <c r="U388" s="20"/>
      <c r="V388" s="20"/>
      <c r="W388" s="20">
        <v>1</v>
      </c>
      <c r="X388" s="21" t="s">
        <v>37</v>
      </c>
      <c r="Y388" s="5"/>
      <c r="Z388" s="5" t="s">
        <v>38</v>
      </c>
      <c r="AA388" s="5"/>
      <c r="AB388" s="5" t="str">
        <f>IF(LEN('List chi tiet'!$B$3)=0,"",'List chi tiet'!$B$3)</f>
        <v>TCTN.DNS-26004</v>
      </c>
      <c r="AC388" s="5" t="s">
        <v>513</v>
      </c>
      <c r="AD388" s="5" t="s">
        <v>39</v>
      </c>
    </row>
    <row r="389" spans="1:30" hidden="1" x14ac:dyDescent="0.25">
      <c r="A389" s="5">
        <v>379</v>
      </c>
      <c r="B389" s="5" t="s">
        <v>535</v>
      </c>
      <c r="C389" s="5">
        <v>16</v>
      </c>
      <c r="D389" s="5">
        <v>220</v>
      </c>
      <c r="E389" s="5">
        <v>280</v>
      </c>
      <c r="F389" s="5" t="s">
        <v>77</v>
      </c>
      <c r="G389" s="5" t="s">
        <v>746</v>
      </c>
      <c r="H389" s="5">
        <v>4</v>
      </c>
      <c r="I389" s="5">
        <v>30.85</v>
      </c>
      <c r="J389" s="5" t="s">
        <v>839</v>
      </c>
      <c r="K389" s="5" t="s">
        <v>812</v>
      </c>
      <c r="L389" s="5"/>
      <c r="M389" s="5" t="s">
        <v>747</v>
      </c>
      <c r="N389" s="5"/>
      <c r="O389" s="20"/>
      <c r="P389" s="20" t="str">
        <f t="shared" si="5"/>
        <v/>
      </c>
      <c r="Q389" s="20" t="s">
        <v>26</v>
      </c>
      <c r="R389" s="20" t="s">
        <v>81</v>
      </c>
      <c r="S389" s="20"/>
      <c r="T389" s="20"/>
      <c r="U389" s="20"/>
      <c r="V389" s="20"/>
      <c r="W389" s="20">
        <v>1</v>
      </c>
      <c r="X389" s="21" t="s">
        <v>37</v>
      </c>
      <c r="Y389" s="5"/>
      <c r="Z389" s="5" t="s">
        <v>38</v>
      </c>
      <c r="AA389" s="5"/>
      <c r="AB389" s="5" t="str">
        <f>IF(LEN('List chi tiet'!$B$3)=0,"",'List chi tiet'!$B$3)</f>
        <v>TCTN.DNS-26004</v>
      </c>
      <c r="AC389" s="5" t="s">
        <v>513</v>
      </c>
      <c r="AD389" s="5" t="s">
        <v>39</v>
      </c>
    </row>
    <row r="390" spans="1:30" hidden="1" x14ac:dyDescent="0.25">
      <c r="A390" s="5">
        <v>380</v>
      </c>
      <c r="B390" s="5" t="s">
        <v>536</v>
      </c>
      <c r="C390" s="5">
        <v>16</v>
      </c>
      <c r="D390" s="5">
        <v>170</v>
      </c>
      <c r="E390" s="5">
        <v>170</v>
      </c>
      <c r="F390" s="5" t="s">
        <v>77</v>
      </c>
      <c r="G390" s="5" t="s">
        <v>746</v>
      </c>
      <c r="H390" s="5">
        <v>6</v>
      </c>
      <c r="I390" s="5">
        <v>21.63</v>
      </c>
      <c r="J390" s="5" t="s">
        <v>839</v>
      </c>
      <c r="K390" s="5" t="s">
        <v>812</v>
      </c>
      <c r="L390" s="5"/>
      <c r="M390" s="5" t="s">
        <v>747</v>
      </c>
      <c r="N390" s="5"/>
      <c r="O390" s="20"/>
      <c r="P390" s="20" t="str">
        <f t="shared" si="5"/>
        <v/>
      </c>
      <c r="Q390" s="20" t="s">
        <v>26</v>
      </c>
      <c r="R390" s="20" t="s">
        <v>81</v>
      </c>
      <c r="S390" s="20"/>
      <c r="T390" s="20"/>
      <c r="U390" s="20"/>
      <c r="V390" s="20"/>
      <c r="W390" s="20">
        <v>1</v>
      </c>
      <c r="X390" s="21" t="s">
        <v>37</v>
      </c>
      <c r="Y390" s="5"/>
      <c r="Z390" s="5" t="s">
        <v>38</v>
      </c>
      <c r="AA390" s="5"/>
      <c r="AB390" s="5" t="str">
        <f>IF(LEN('List chi tiet'!$B$3)=0,"",'List chi tiet'!$B$3)</f>
        <v>TCTN.DNS-26004</v>
      </c>
      <c r="AC390" s="5" t="s">
        <v>513</v>
      </c>
      <c r="AD390" s="5" t="s">
        <v>39</v>
      </c>
    </row>
    <row r="391" spans="1:30" hidden="1" x14ac:dyDescent="0.25">
      <c r="A391" s="5">
        <v>381</v>
      </c>
      <c r="B391" s="5" t="s">
        <v>538</v>
      </c>
      <c r="C391" s="5">
        <v>16</v>
      </c>
      <c r="D391" s="5">
        <v>170</v>
      </c>
      <c r="E391" s="5">
        <v>170</v>
      </c>
      <c r="F391" s="5" t="s">
        <v>77</v>
      </c>
      <c r="G391" s="5" t="s">
        <v>746</v>
      </c>
      <c r="H391" s="5">
        <v>4</v>
      </c>
      <c r="I391" s="5">
        <v>14.42</v>
      </c>
      <c r="J391" s="5" t="s">
        <v>839</v>
      </c>
      <c r="K391" s="5" t="s">
        <v>812</v>
      </c>
      <c r="L391" s="5"/>
      <c r="M391" s="5" t="s">
        <v>747</v>
      </c>
      <c r="N391" s="5"/>
      <c r="O391" s="20"/>
      <c r="P391" s="20" t="str">
        <f t="shared" si="5"/>
        <v/>
      </c>
      <c r="Q391" s="20" t="s">
        <v>26</v>
      </c>
      <c r="R391" s="20" t="s">
        <v>81</v>
      </c>
      <c r="S391" s="20"/>
      <c r="T391" s="20"/>
      <c r="U391" s="20"/>
      <c r="V391" s="20"/>
      <c r="W391" s="20">
        <v>1</v>
      </c>
      <c r="X391" s="21" t="s">
        <v>37</v>
      </c>
      <c r="Y391" s="5"/>
      <c r="Z391" s="5" t="s">
        <v>38</v>
      </c>
      <c r="AA391" s="5"/>
      <c r="AB391" s="5" t="str">
        <f>IF(LEN('List chi tiet'!$B$3)=0,"",'List chi tiet'!$B$3)</f>
        <v>TCTN.DNS-26004</v>
      </c>
      <c r="AC391" s="5" t="s">
        <v>513</v>
      </c>
      <c r="AD391" s="5" t="s">
        <v>39</v>
      </c>
    </row>
    <row r="392" spans="1:30" hidden="1" x14ac:dyDescent="0.25">
      <c r="A392" s="5">
        <v>382</v>
      </c>
      <c r="B392" s="5" t="s">
        <v>539</v>
      </c>
      <c r="C392" s="5">
        <v>16</v>
      </c>
      <c r="D392" s="5">
        <v>170</v>
      </c>
      <c r="E392" s="5">
        <v>170</v>
      </c>
      <c r="F392" s="5" t="s">
        <v>77</v>
      </c>
      <c r="G392" s="5" t="s">
        <v>746</v>
      </c>
      <c r="H392" s="5">
        <v>4</v>
      </c>
      <c r="I392" s="5">
        <v>14.42</v>
      </c>
      <c r="J392" s="5" t="s">
        <v>839</v>
      </c>
      <c r="K392" s="5" t="s">
        <v>812</v>
      </c>
      <c r="L392" s="5"/>
      <c r="M392" s="5" t="s">
        <v>747</v>
      </c>
      <c r="N392" s="5"/>
      <c r="O392" s="20"/>
      <c r="P392" s="20" t="str">
        <f t="shared" si="5"/>
        <v/>
      </c>
      <c r="Q392" s="20" t="s">
        <v>26</v>
      </c>
      <c r="R392" s="20" t="s">
        <v>81</v>
      </c>
      <c r="S392" s="20"/>
      <c r="T392" s="20"/>
      <c r="U392" s="20"/>
      <c r="V392" s="20"/>
      <c r="W392" s="20">
        <v>1</v>
      </c>
      <c r="X392" s="21" t="s">
        <v>37</v>
      </c>
      <c r="Y392" s="5"/>
      <c r="Z392" s="5" t="s">
        <v>38</v>
      </c>
      <c r="AA392" s="5"/>
      <c r="AB392" s="5" t="str">
        <f>IF(LEN('List chi tiet'!$B$3)=0,"",'List chi tiet'!$B$3)</f>
        <v>TCTN.DNS-26004</v>
      </c>
      <c r="AC392" s="5" t="s">
        <v>513</v>
      </c>
      <c r="AD392" s="5" t="s">
        <v>39</v>
      </c>
    </row>
    <row r="393" spans="1:30" hidden="1" x14ac:dyDescent="0.25">
      <c r="A393" s="5">
        <v>383</v>
      </c>
      <c r="B393" s="5" t="s">
        <v>540</v>
      </c>
      <c r="C393" s="5">
        <v>16</v>
      </c>
      <c r="D393" s="5">
        <v>170</v>
      </c>
      <c r="E393" s="5">
        <v>170</v>
      </c>
      <c r="F393" s="5" t="s">
        <v>77</v>
      </c>
      <c r="G393" s="5" t="s">
        <v>746</v>
      </c>
      <c r="H393" s="5">
        <v>4</v>
      </c>
      <c r="I393" s="5">
        <v>14.42</v>
      </c>
      <c r="J393" s="5" t="s">
        <v>839</v>
      </c>
      <c r="K393" s="5" t="s">
        <v>812</v>
      </c>
      <c r="L393" s="5"/>
      <c r="M393" s="5" t="s">
        <v>747</v>
      </c>
      <c r="N393" s="5"/>
      <c r="O393" s="20"/>
      <c r="P393" s="20" t="str">
        <f t="shared" si="5"/>
        <v/>
      </c>
      <c r="Q393" s="20" t="s">
        <v>26</v>
      </c>
      <c r="R393" s="20" t="s">
        <v>81</v>
      </c>
      <c r="S393" s="20"/>
      <c r="T393" s="20"/>
      <c r="U393" s="20"/>
      <c r="V393" s="20"/>
      <c r="W393" s="20">
        <v>1</v>
      </c>
      <c r="X393" s="21" t="s">
        <v>37</v>
      </c>
      <c r="Y393" s="5"/>
      <c r="Z393" s="5" t="s">
        <v>38</v>
      </c>
      <c r="AA393" s="5"/>
      <c r="AB393" s="5" t="str">
        <f>IF(LEN('List chi tiet'!$B$3)=0,"",'List chi tiet'!$B$3)</f>
        <v>TCTN.DNS-26004</v>
      </c>
      <c r="AC393" s="5" t="s">
        <v>513</v>
      </c>
      <c r="AD393" s="5" t="s">
        <v>39</v>
      </c>
    </row>
    <row r="394" spans="1:30" hidden="1" x14ac:dyDescent="0.25">
      <c r="A394" s="5">
        <v>384</v>
      </c>
      <c r="B394" s="5" t="s">
        <v>541</v>
      </c>
      <c r="C394" s="5">
        <v>16</v>
      </c>
      <c r="D394" s="5">
        <v>170</v>
      </c>
      <c r="E394" s="5">
        <v>170</v>
      </c>
      <c r="F394" s="5" t="s">
        <v>77</v>
      </c>
      <c r="G394" s="5" t="s">
        <v>746</v>
      </c>
      <c r="H394" s="5">
        <v>4</v>
      </c>
      <c r="I394" s="5">
        <v>14.42</v>
      </c>
      <c r="J394" s="5" t="s">
        <v>839</v>
      </c>
      <c r="K394" s="5" t="s">
        <v>812</v>
      </c>
      <c r="L394" s="5"/>
      <c r="M394" s="5" t="s">
        <v>747</v>
      </c>
      <c r="N394" s="5"/>
      <c r="O394" s="20"/>
      <c r="P394" s="20" t="str">
        <f t="shared" si="5"/>
        <v/>
      </c>
      <c r="Q394" s="20" t="s">
        <v>26</v>
      </c>
      <c r="R394" s="20" t="s">
        <v>81</v>
      </c>
      <c r="S394" s="20"/>
      <c r="T394" s="20"/>
      <c r="U394" s="20"/>
      <c r="V394" s="20"/>
      <c r="W394" s="20">
        <v>1</v>
      </c>
      <c r="X394" s="21" t="s">
        <v>37</v>
      </c>
      <c r="Y394" s="5"/>
      <c r="Z394" s="5" t="s">
        <v>38</v>
      </c>
      <c r="AA394" s="5"/>
      <c r="AB394" s="5" t="str">
        <f>IF(LEN('List chi tiet'!$B$3)=0,"",'List chi tiet'!$B$3)</f>
        <v>TCTN.DNS-26004</v>
      </c>
      <c r="AC394" s="5" t="s">
        <v>513</v>
      </c>
      <c r="AD394" s="5" t="s">
        <v>39</v>
      </c>
    </row>
    <row r="395" spans="1:30" hidden="1" x14ac:dyDescent="0.25">
      <c r="A395" s="5">
        <v>385</v>
      </c>
      <c r="B395" s="5" t="s">
        <v>542</v>
      </c>
      <c r="C395" s="5">
        <v>16</v>
      </c>
      <c r="D395" s="5">
        <v>170</v>
      </c>
      <c r="E395" s="5">
        <v>170</v>
      </c>
      <c r="F395" s="5" t="s">
        <v>77</v>
      </c>
      <c r="G395" s="5" t="s">
        <v>746</v>
      </c>
      <c r="H395" s="5">
        <v>4</v>
      </c>
      <c r="I395" s="5">
        <v>14.42</v>
      </c>
      <c r="J395" s="5" t="s">
        <v>839</v>
      </c>
      <c r="K395" s="5" t="s">
        <v>812</v>
      </c>
      <c r="L395" s="5"/>
      <c r="M395" s="5" t="s">
        <v>747</v>
      </c>
      <c r="N395" s="5"/>
      <c r="O395" s="20"/>
      <c r="P395" s="20" t="str">
        <f t="shared" ref="P395:P458" si="6">IF(LEN($B$4)=0,"",$B$4)</f>
        <v/>
      </c>
      <c r="Q395" s="20" t="s">
        <v>26</v>
      </c>
      <c r="R395" s="20" t="s">
        <v>81</v>
      </c>
      <c r="S395" s="20"/>
      <c r="T395" s="20"/>
      <c r="U395" s="20"/>
      <c r="V395" s="20"/>
      <c r="W395" s="20">
        <v>1</v>
      </c>
      <c r="X395" s="21" t="s">
        <v>37</v>
      </c>
      <c r="Y395" s="5"/>
      <c r="Z395" s="5" t="s">
        <v>38</v>
      </c>
      <c r="AA395" s="5"/>
      <c r="AB395" s="5" t="str">
        <f>IF(LEN('List chi tiet'!$B$3)=0,"",'List chi tiet'!$B$3)</f>
        <v>TCTN.DNS-26004</v>
      </c>
      <c r="AC395" s="5" t="s">
        <v>513</v>
      </c>
      <c r="AD395" s="5" t="s">
        <v>39</v>
      </c>
    </row>
    <row r="396" spans="1:30" hidden="1" x14ac:dyDescent="0.25">
      <c r="A396" s="5">
        <v>386</v>
      </c>
      <c r="B396" s="5" t="s">
        <v>543</v>
      </c>
      <c r="C396" s="5">
        <v>16</v>
      </c>
      <c r="D396" s="5">
        <v>170</v>
      </c>
      <c r="E396" s="5">
        <v>170</v>
      </c>
      <c r="F396" s="5" t="s">
        <v>77</v>
      </c>
      <c r="G396" s="5" t="s">
        <v>746</v>
      </c>
      <c r="H396" s="5">
        <v>4</v>
      </c>
      <c r="I396" s="5">
        <v>14.42</v>
      </c>
      <c r="J396" s="5" t="s">
        <v>839</v>
      </c>
      <c r="K396" s="5" t="s">
        <v>812</v>
      </c>
      <c r="L396" s="5"/>
      <c r="M396" s="5" t="s">
        <v>747</v>
      </c>
      <c r="N396" s="5"/>
      <c r="O396" s="20"/>
      <c r="P396" s="20" t="str">
        <f t="shared" si="6"/>
        <v/>
      </c>
      <c r="Q396" s="20" t="s">
        <v>26</v>
      </c>
      <c r="R396" s="20" t="s">
        <v>81</v>
      </c>
      <c r="S396" s="20"/>
      <c r="T396" s="20"/>
      <c r="U396" s="20"/>
      <c r="V396" s="20"/>
      <c r="W396" s="20">
        <v>1</v>
      </c>
      <c r="X396" s="21" t="s">
        <v>37</v>
      </c>
      <c r="Y396" s="5"/>
      <c r="Z396" s="5" t="s">
        <v>38</v>
      </c>
      <c r="AA396" s="5"/>
      <c r="AB396" s="5" t="str">
        <f>IF(LEN('List chi tiet'!$B$3)=0,"",'List chi tiet'!$B$3)</f>
        <v>TCTN.DNS-26004</v>
      </c>
      <c r="AC396" s="5" t="s">
        <v>513</v>
      </c>
      <c r="AD396" s="5" t="s">
        <v>39</v>
      </c>
    </row>
    <row r="397" spans="1:30" hidden="1" x14ac:dyDescent="0.25">
      <c r="A397" s="5">
        <v>387</v>
      </c>
      <c r="B397" s="5" t="s">
        <v>544</v>
      </c>
      <c r="C397" s="5">
        <v>16</v>
      </c>
      <c r="D397" s="5">
        <v>170</v>
      </c>
      <c r="E397" s="5">
        <v>170</v>
      </c>
      <c r="F397" s="5" t="s">
        <v>77</v>
      </c>
      <c r="G397" s="5" t="s">
        <v>746</v>
      </c>
      <c r="H397" s="5">
        <v>4</v>
      </c>
      <c r="I397" s="5">
        <v>14.42</v>
      </c>
      <c r="J397" s="5" t="s">
        <v>839</v>
      </c>
      <c r="K397" s="5" t="s">
        <v>812</v>
      </c>
      <c r="L397" s="5"/>
      <c r="M397" s="5" t="s">
        <v>747</v>
      </c>
      <c r="N397" s="5"/>
      <c r="O397" s="20"/>
      <c r="P397" s="20" t="str">
        <f t="shared" si="6"/>
        <v/>
      </c>
      <c r="Q397" s="20" t="s">
        <v>26</v>
      </c>
      <c r="R397" s="20" t="s">
        <v>81</v>
      </c>
      <c r="S397" s="20"/>
      <c r="T397" s="20"/>
      <c r="U397" s="20"/>
      <c r="V397" s="20"/>
      <c r="W397" s="20">
        <v>1</v>
      </c>
      <c r="X397" s="21" t="s">
        <v>37</v>
      </c>
      <c r="Y397" s="5"/>
      <c r="Z397" s="5" t="s">
        <v>38</v>
      </c>
      <c r="AA397" s="5"/>
      <c r="AB397" s="5" t="str">
        <f>IF(LEN('List chi tiet'!$B$3)=0,"",'List chi tiet'!$B$3)</f>
        <v>TCTN.DNS-26004</v>
      </c>
      <c r="AC397" s="5" t="s">
        <v>513</v>
      </c>
      <c r="AD397" s="5" t="s">
        <v>39</v>
      </c>
    </row>
    <row r="398" spans="1:30" hidden="1" x14ac:dyDescent="0.25">
      <c r="A398" s="5">
        <v>388</v>
      </c>
      <c r="B398" s="5" t="s">
        <v>545</v>
      </c>
      <c r="C398" s="5">
        <v>16</v>
      </c>
      <c r="D398" s="5">
        <v>170</v>
      </c>
      <c r="E398" s="5">
        <v>170</v>
      </c>
      <c r="F398" s="5" t="s">
        <v>77</v>
      </c>
      <c r="G398" s="5" t="s">
        <v>746</v>
      </c>
      <c r="H398" s="5">
        <v>4</v>
      </c>
      <c r="I398" s="5">
        <v>14.42</v>
      </c>
      <c r="J398" s="5" t="s">
        <v>839</v>
      </c>
      <c r="K398" s="5" t="s">
        <v>812</v>
      </c>
      <c r="L398" s="5"/>
      <c r="M398" s="5" t="s">
        <v>747</v>
      </c>
      <c r="N398" s="5"/>
      <c r="O398" s="20"/>
      <c r="P398" s="20" t="str">
        <f t="shared" si="6"/>
        <v/>
      </c>
      <c r="Q398" s="20" t="s">
        <v>26</v>
      </c>
      <c r="R398" s="20" t="s">
        <v>81</v>
      </c>
      <c r="S398" s="20"/>
      <c r="T398" s="20"/>
      <c r="U398" s="20"/>
      <c r="V398" s="20"/>
      <c r="W398" s="20">
        <v>1</v>
      </c>
      <c r="X398" s="21" t="s">
        <v>37</v>
      </c>
      <c r="Y398" s="5"/>
      <c r="Z398" s="5" t="s">
        <v>38</v>
      </c>
      <c r="AA398" s="5"/>
      <c r="AB398" s="5" t="str">
        <f>IF(LEN('List chi tiet'!$B$3)=0,"",'List chi tiet'!$B$3)</f>
        <v>TCTN.DNS-26004</v>
      </c>
      <c r="AC398" s="5" t="s">
        <v>513</v>
      </c>
      <c r="AD398" s="5" t="s">
        <v>39</v>
      </c>
    </row>
    <row r="399" spans="1:30" hidden="1" x14ac:dyDescent="0.25">
      <c r="A399" s="5">
        <v>389</v>
      </c>
      <c r="B399" s="5" t="s">
        <v>546</v>
      </c>
      <c r="C399" s="5">
        <v>16</v>
      </c>
      <c r="D399" s="5">
        <v>170</v>
      </c>
      <c r="E399" s="5">
        <v>170</v>
      </c>
      <c r="F399" s="5" t="s">
        <v>77</v>
      </c>
      <c r="G399" s="5" t="s">
        <v>746</v>
      </c>
      <c r="H399" s="5">
        <v>6</v>
      </c>
      <c r="I399" s="5">
        <v>21.63</v>
      </c>
      <c r="J399" s="5" t="s">
        <v>839</v>
      </c>
      <c r="K399" s="5" t="s">
        <v>812</v>
      </c>
      <c r="L399" s="5"/>
      <c r="M399" s="5" t="s">
        <v>747</v>
      </c>
      <c r="N399" s="5"/>
      <c r="O399" s="20"/>
      <c r="P399" s="20" t="str">
        <f t="shared" si="6"/>
        <v/>
      </c>
      <c r="Q399" s="20" t="s">
        <v>26</v>
      </c>
      <c r="R399" s="20" t="s">
        <v>81</v>
      </c>
      <c r="S399" s="20"/>
      <c r="T399" s="20"/>
      <c r="U399" s="20"/>
      <c r="V399" s="20"/>
      <c r="W399" s="20">
        <v>1</v>
      </c>
      <c r="X399" s="21" t="s">
        <v>37</v>
      </c>
      <c r="Y399" s="5"/>
      <c r="Z399" s="5" t="s">
        <v>38</v>
      </c>
      <c r="AA399" s="5"/>
      <c r="AB399" s="5" t="str">
        <f>IF(LEN('List chi tiet'!$B$3)=0,"",'List chi tiet'!$B$3)</f>
        <v>TCTN.DNS-26004</v>
      </c>
      <c r="AC399" s="5" t="s">
        <v>513</v>
      </c>
      <c r="AD399" s="5" t="s">
        <v>39</v>
      </c>
    </row>
    <row r="400" spans="1:30" hidden="1" x14ac:dyDescent="0.25">
      <c r="A400" s="5">
        <v>390</v>
      </c>
      <c r="B400" s="5" t="s">
        <v>547</v>
      </c>
      <c r="C400" s="5">
        <v>16</v>
      </c>
      <c r="D400" s="5">
        <v>275</v>
      </c>
      <c r="E400" s="5">
        <v>11976</v>
      </c>
      <c r="F400" s="5" t="s">
        <v>77</v>
      </c>
      <c r="G400" s="5" t="s">
        <v>746</v>
      </c>
      <c r="H400" s="5">
        <v>1</v>
      </c>
      <c r="I400" s="5">
        <v>413.65</v>
      </c>
      <c r="J400" s="5" t="s">
        <v>839</v>
      </c>
      <c r="K400" s="5" t="s">
        <v>812</v>
      </c>
      <c r="L400" s="5"/>
      <c r="M400" s="5" t="s">
        <v>747</v>
      </c>
      <c r="N400" s="5"/>
      <c r="O400" s="20"/>
      <c r="P400" s="20" t="str">
        <f t="shared" si="6"/>
        <v/>
      </c>
      <c r="Q400" s="20" t="s">
        <v>28</v>
      </c>
      <c r="R400" s="20" t="s">
        <v>81</v>
      </c>
      <c r="S400" s="20"/>
      <c r="T400" s="20"/>
      <c r="U400" s="20" t="s">
        <v>81</v>
      </c>
      <c r="V400" s="20"/>
      <c r="W400" s="20">
        <v>1</v>
      </c>
      <c r="X400" s="21" t="s">
        <v>37</v>
      </c>
      <c r="Y400" s="5"/>
      <c r="Z400" s="5" t="s">
        <v>38</v>
      </c>
      <c r="AA400" s="5"/>
      <c r="AB400" s="5" t="str">
        <f>IF(LEN('List chi tiet'!$B$3)=0,"",'List chi tiet'!$B$3)</f>
        <v>TCTN.DNS-26004</v>
      </c>
      <c r="AC400" s="5" t="s">
        <v>548</v>
      </c>
      <c r="AD400" s="5" t="s">
        <v>39</v>
      </c>
    </row>
    <row r="401" spans="1:30" hidden="1" x14ac:dyDescent="0.25">
      <c r="A401" s="5">
        <v>391</v>
      </c>
      <c r="B401" s="5" t="s">
        <v>550</v>
      </c>
      <c r="C401" s="5">
        <v>16</v>
      </c>
      <c r="D401" s="5">
        <v>275</v>
      </c>
      <c r="E401" s="5">
        <v>11978</v>
      </c>
      <c r="F401" s="5" t="s">
        <v>77</v>
      </c>
      <c r="G401" s="5" t="s">
        <v>746</v>
      </c>
      <c r="H401" s="5">
        <v>1</v>
      </c>
      <c r="I401" s="5">
        <v>413.72</v>
      </c>
      <c r="J401" s="5" t="s">
        <v>839</v>
      </c>
      <c r="K401" s="5" t="s">
        <v>812</v>
      </c>
      <c r="L401" s="5"/>
      <c r="M401" s="5" t="s">
        <v>747</v>
      </c>
      <c r="N401" s="5"/>
      <c r="O401" s="20"/>
      <c r="P401" s="20" t="str">
        <f t="shared" si="6"/>
        <v/>
      </c>
      <c r="Q401" s="20" t="s">
        <v>28</v>
      </c>
      <c r="R401" s="20" t="s">
        <v>81</v>
      </c>
      <c r="S401" s="20"/>
      <c r="T401" s="20"/>
      <c r="U401" s="20" t="s">
        <v>81</v>
      </c>
      <c r="V401" s="20"/>
      <c r="W401" s="20">
        <v>1</v>
      </c>
      <c r="X401" s="21" t="s">
        <v>37</v>
      </c>
      <c r="Y401" s="5"/>
      <c r="Z401" s="5" t="s">
        <v>38</v>
      </c>
      <c r="AA401" s="5"/>
      <c r="AB401" s="5" t="str">
        <f>IF(LEN('List chi tiet'!$B$3)=0,"",'List chi tiet'!$B$3)</f>
        <v>TCTN.DNS-26004</v>
      </c>
      <c r="AC401" s="5" t="s">
        <v>548</v>
      </c>
      <c r="AD401" s="5" t="s">
        <v>39</v>
      </c>
    </row>
    <row r="402" spans="1:30" hidden="1" x14ac:dyDescent="0.25">
      <c r="A402" s="5">
        <v>392</v>
      </c>
      <c r="B402" s="5" t="s">
        <v>552</v>
      </c>
      <c r="C402" s="5">
        <v>16</v>
      </c>
      <c r="D402" s="5">
        <v>275</v>
      </c>
      <c r="E402" s="5">
        <v>12007</v>
      </c>
      <c r="F402" s="5" t="s">
        <v>77</v>
      </c>
      <c r="G402" s="5" t="s">
        <v>746</v>
      </c>
      <c r="H402" s="5">
        <v>1</v>
      </c>
      <c r="I402" s="5">
        <v>414.72</v>
      </c>
      <c r="J402" s="5" t="s">
        <v>839</v>
      </c>
      <c r="K402" s="5" t="s">
        <v>812</v>
      </c>
      <c r="L402" s="5"/>
      <c r="M402" s="5" t="s">
        <v>747</v>
      </c>
      <c r="N402" s="5"/>
      <c r="O402" s="20"/>
      <c r="P402" s="20" t="str">
        <f t="shared" si="6"/>
        <v/>
      </c>
      <c r="Q402" s="20" t="s">
        <v>28</v>
      </c>
      <c r="R402" s="20" t="s">
        <v>81</v>
      </c>
      <c r="S402" s="20"/>
      <c r="T402" s="20"/>
      <c r="U402" s="20" t="s">
        <v>81</v>
      </c>
      <c r="V402" s="20"/>
      <c r="W402" s="20">
        <v>1</v>
      </c>
      <c r="X402" s="21" t="s">
        <v>37</v>
      </c>
      <c r="Y402" s="5"/>
      <c r="Z402" s="5" t="s">
        <v>38</v>
      </c>
      <c r="AA402" s="5"/>
      <c r="AB402" s="5" t="str">
        <f>IF(LEN('List chi tiet'!$B$3)=0,"",'List chi tiet'!$B$3)</f>
        <v>TCTN.DNS-26004</v>
      </c>
      <c r="AC402" s="5" t="s">
        <v>548</v>
      </c>
      <c r="AD402" s="5" t="s">
        <v>39</v>
      </c>
    </row>
    <row r="403" spans="1:30" hidden="1" x14ac:dyDescent="0.25">
      <c r="A403" s="5">
        <v>393</v>
      </c>
      <c r="B403" s="5" t="s">
        <v>554</v>
      </c>
      <c r="C403" s="5">
        <v>16</v>
      </c>
      <c r="D403" s="5">
        <v>275</v>
      </c>
      <c r="E403" s="5">
        <v>12005</v>
      </c>
      <c r="F403" s="5" t="s">
        <v>77</v>
      </c>
      <c r="G403" s="5" t="s">
        <v>746</v>
      </c>
      <c r="H403" s="5">
        <v>1</v>
      </c>
      <c r="I403" s="5">
        <v>414.65</v>
      </c>
      <c r="J403" s="5" t="s">
        <v>839</v>
      </c>
      <c r="K403" s="5" t="s">
        <v>812</v>
      </c>
      <c r="L403" s="5"/>
      <c r="M403" s="5" t="s">
        <v>747</v>
      </c>
      <c r="N403" s="5"/>
      <c r="O403" s="20"/>
      <c r="P403" s="20" t="str">
        <f t="shared" si="6"/>
        <v/>
      </c>
      <c r="Q403" s="20" t="s">
        <v>28</v>
      </c>
      <c r="R403" s="20" t="s">
        <v>81</v>
      </c>
      <c r="S403" s="20"/>
      <c r="T403" s="20"/>
      <c r="U403" s="20" t="s">
        <v>81</v>
      </c>
      <c r="V403" s="20"/>
      <c r="W403" s="20">
        <v>1</v>
      </c>
      <c r="X403" s="21" t="s">
        <v>37</v>
      </c>
      <c r="Y403" s="5"/>
      <c r="Z403" s="5" t="s">
        <v>38</v>
      </c>
      <c r="AA403" s="5"/>
      <c r="AB403" s="5" t="str">
        <f>IF(LEN('List chi tiet'!$B$3)=0,"",'List chi tiet'!$B$3)</f>
        <v>TCTN.DNS-26004</v>
      </c>
      <c r="AC403" s="5" t="s">
        <v>548</v>
      </c>
      <c r="AD403" s="5" t="s">
        <v>39</v>
      </c>
    </row>
    <row r="404" spans="1:30" hidden="1" x14ac:dyDescent="0.25">
      <c r="A404" s="5">
        <v>394</v>
      </c>
      <c r="B404" s="5" t="s">
        <v>556</v>
      </c>
      <c r="C404" s="5">
        <v>16</v>
      </c>
      <c r="D404" s="5">
        <v>275</v>
      </c>
      <c r="E404" s="5">
        <v>11978</v>
      </c>
      <c r="F404" s="5" t="s">
        <v>77</v>
      </c>
      <c r="G404" s="5" t="s">
        <v>746</v>
      </c>
      <c r="H404" s="5">
        <v>1</v>
      </c>
      <c r="I404" s="5">
        <v>413.72</v>
      </c>
      <c r="J404" s="5" t="s">
        <v>839</v>
      </c>
      <c r="K404" s="5" t="s">
        <v>812</v>
      </c>
      <c r="L404" s="5"/>
      <c r="M404" s="5" t="s">
        <v>747</v>
      </c>
      <c r="N404" s="5"/>
      <c r="O404" s="20"/>
      <c r="P404" s="20" t="str">
        <f t="shared" si="6"/>
        <v/>
      </c>
      <c r="Q404" s="20" t="s">
        <v>28</v>
      </c>
      <c r="R404" s="20" t="s">
        <v>81</v>
      </c>
      <c r="S404" s="20"/>
      <c r="T404" s="20"/>
      <c r="U404" s="20" t="s">
        <v>81</v>
      </c>
      <c r="V404" s="20"/>
      <c r="W404" s="20">
        <v>1</v>
      </c>
      <c r="X404" s="21" t="s">
        <v>37</v>
      </c>
      <c r="Y404" s="5"/>
      <c r="Z404" s="5" t="s">
        <v>38</v>
      </c>
      <c r="AA404" s="5"/>
      <c r="AB404" s="5" t="str">
        <f>IF(LEN('List chi tiet'!$B$3)=0,"",'List chi tiet'!$B$3)</f>
        <v>TCTN.DNS-26004</v>
      </c>
      <c r="AC404" s="5" t="s">
        <v>548</v>
      </c>
      <c r="AD404" s="5" t="s">
        <v>39</v>
      </c>
    </row>
    <row r="405" spans="1:30" hidden="1" x14ac:dyDescent="0.25">
      <c r="A405" s="5">
        <v>395</v>
      </c>
      <c r="B405" s="5" t="s">
        <v>557</v>
      </c>
      <c r="C405" s="5">
        <v>16</v>
      </c>
      <c r="D405" s="5">
        <v>275</v>
      </c>
      <c r="E405" s="5">
        <v>12007</v>
      </c>
      <c r="F405" s="5" t="s">
        <v>77</v>
      </c>
      <c r="G405" s="5" t="s">
        <v>746</v>
      </c>
      <c r="H405" s="5">
        <v>1</v>
      </c>
      <c r="I405" s="5">
        <v>414.72</v>
      </c>
      <c r="J405" s="5" t="s">
        <v>839</v>
      </c>
      <c r="K405" s="5" t="s">
        <v>812</v>
      </c>
      <c r="L405" s="5"/>
      <c r="M405" s="5" t="s">
        <v>747</v>
      </c>
      <c r="N405" s="5"/>
      <c r="O405" s="20"/>
      <c r="P405" s="20" t="str">
        <f t="shared" si="6"/>
        <v/>
      </c>
      <c r="Q405" s="20" t="s">
        <v>28</v>
      </c>
      <c r="R405" s="20" t="s">
        <v>81</v>
      </c>
      <c r="S405" s="20"/>
      <c r="T405" s="20"/>
      <c r="U405" s="20" t="s">
        <v>81</v>
      </c>
      <c r="V405" s="20"/>
      <c r="W405" s="20">
        <v>1</v>
      </c>
      <c r="X405" s="21" t="s">
        <v>37</v>
      </c>
      <c r="Y405" s="5"/>
      <c r="Z405" s="5" t="s">
        <v>38</v>
      </c>
      <c r="AA405" s="5"/>
      <c r="AB405" s="5" t="str">
        <f>IF(LEN('List chi tiet'!$B$3)=0,"",'List chi tiet'!$B$3)</f>
        <v>TCTN.DNS-26004</v>
      </c>
      <c r="AC405" s="5" t="s">
        <v>548</v>
      </c>
      <c r="AD405" s="5" t="s">
        <v>39</v>
      </c>
    </row>
    <row r="406" spans="1:30" hidden="1" x14ac:dyDescent="0.25">
      <c r="A406" s="5">
        <v>396</v>
      </c>
      <c r="B406" s="5" t="s">
        <v>558</v>
      </c>
      <c r="C406" s="5">
        <v>16</v>
      </c>
      <c r="D406" s="5">
        <v>275</v>
      </c>
      <c r="E406" s="5">
        <v>12005</v>
      </c>
      <c r="F406" s="5" t="s">
        <v>77</v>
      </c>
      <c r="G406" s="5" t="s">
        <v>746</v>
      </c>
      <c r="H406" s="5">
        <v>1</v>
      </c>
      <c r="I406" s="5">
        <v>414.65</v>
      </c>
      <c r="J406" s="5" t="s">
        <v>839</v>
      </c>
      <c r="K406" s="5" t="s">
        <v>812</v>
      </c>
      <c r="L406" s="5"/>
      <c r="M406" s="5" t="s">
        <v>747</v>
      </c>
      <c r="N406" s="5"/>
      <c r="O406" s="20"/>
      <c r="P406" s="20" t="str">
        <f t="shared" si="6"/>
        <v/>
      </c>
      <c r="Q406" s="20" t="s">
        <v>28</v>
      </c>
      <c r="R406" s="20" t="s">
        <v>81</v>
      </c>
      <c r="S406" s="20"/>
      <c r="T406" s="20"/>
      <c r="U406" s="20" t="s">
        <v>81</v>
      </c>
      <c r="V406" s="20"/>
      <c r="W406" s="20">
        <v>1</v>
      </c>
      <c r="X406" s="21" t="s">
        <v>37</v>
      </c>
      <c r="Y406" s="5"/>
      <c r="Z406" s="5" t="s">
        <v>38</v>
      </c>
      <c r="AA406" s="5"/>
      <c r="AB406" s="5" t="str">
        <f>IF(LEN('List chi tiet'!$B$3)=0,"",'List chi tiet'!$B$3)</f>
        <v>TCTN.DNS-26004</v>
      </c>
      <c r="AC406" s="5" t="s">
        <v>548</v>
      </c>
      <c r="AD406" s="5" t="s">
        <v>39</v>
      </c>
    </row>
    <row r="407" spans="1:30" hidden="1" x14ac:dyDescent="0.25">
      <c r="A407" s="5">
        <v>397</v>
      </c>
      <c r="B407" s="5" t="s">
        <v>559</v>
      </c>
      <c r="C407" s="5">
        <v>16</v>
      </c>
      <c r="D407" s="5">
        <v>275</v>
      </c>
      <c r="E407" s="5">
        <v>7588</v>
      </c>
      <c r="F407" s="5" t="s">
        <v>77</v>
      </c>
      <c r="G407" s="5" t="s">
        <v>746</v>
      </c>
      <c r="H407" s="5">
        <v>1</v>
      </c>
      <c r="I407" s="5">
        <v>262.08999999999997</v>
      </c>
      <c r="J407" s="5" t="s">
        <v>839</v>
      </c>
      <c r="K407" s="5" t="s">
        <v>812</v>
      </c>
      <c r="L407" s="5"/>
      <c r="M407" s="5" t="s">
        <v>747</v>
      </c>
      <c r="N407" s="5"/>
      <c r="O407" s="20"/>
      <c r="P407" s="20" t="str">
        <f t="shared" si="6"/>
        <v/>
      </c>
      <c r="Q407" s="20" t="s">
        <v>28</v>
      </c>
      <c r="R407" s="20" t="s">
        <v>81</v>
      </c>
      <c r="S407" s="20"/>
      <c r="T407" s="20"/>
      <c r="U407" s="20" t="s">
        <v>81</v>
      </c>
      <c r="V407" s="20"/>
      <c r="W407" s="20">
        <v>1</v>
      </c>
      <c r="X407" s="21" t="s">
        <v>37</v>
      </c>
      <c r="Y407" s="5"/>
      <c r="Z407" s="5" t="s">
        <v>38</v>
      </c>
      <c r="AA407" s="5"/>
      <c r="AB407" s="5" t="str">
        <f>IF(LEN('List chi tiet'!$B$3)=0,"",'List chi tiet'!$B$3)</f>
        <v>TCTN.DNS-26004</v>
      </c>
      <c r="AC407" s="5" t="s">
        <v>561</v>
      </c>
      <c r="AD407" s="5" t="s">
        <v>39</v>
      </c>
    </row>
    <row r="408" spans="1:30" hidden="1" x14ac:dyDescent="0.25">
      <c r="A408" s="5">
        <v>398</v>
      </c>
      <c r="B408" s="5" t="s">
        <v>563</v>
      </c>
      <c r="C408" s="5">
        <v>16</v>
      </c>
      <c r="D408" s="5">
        <v>275</v>
      </c>
      <c r="E408" s="5">
        <v>7583</v>
      </c>
      <c r="F408" s="5" t="s">
        <v>77</v>
      </c>
      <c r="G408" s="5" t="s">
        <v>746</v>
      </c>
      <c r="H408" s="5">
        <v>1</v>
      </c>
      <c r="I408" s="5">
        <v>261.92</v>
      </c>
      <c r="J408" s="5" t="s">
        <v>839</v>
      </c>
      <c r="K408" s="5" t="s">
        <v>812</v>
      </c>
      <c r="L408" s="5"/>
      <c r="M408" s="5" t="s">
        <v>747</v>
      </c>
      <c r="N408" s="5"/>
      <c r="O408" s="20"/>
      <c r="P408" s="20" t="str">
        <f t="shared" si="6"/>
        <v/>
      </c>
      <c r="Q408" s="20" t="s">
        <v>28</v>
      </c>
      <c r="R408" s="20" t="s">
        <v>81</v>
      </c>
      <c r="S408" s="20"/>
      <c r="T408" s="20"/>
      <c r="U408" s="20" t="s">
        <v>81</v>
      </c>
      <c r="V408" s="20"/>
      <c r="W408" s="20">
        <v>1</v>
      </c>
      <c r="X408" s="21" t="s">
        <v>37</v>
      </c>
      <c r="Y408" s="5"/>
      <c r="Z408" s="5" t="s">
        <v>38</v>
      </c>
      <c r="AA408" s="5"/>
      <c r="AB408" s="5" t="str">
        <f>IF(LEN('List chi tiet'!$B$3)=0,"",'List chi tiet'!$B$3)</f>
        <v>TCTN.DNS-26004</v>
      </c>
      <c r="AC408" s="5" t="s">
        <v>561</v>
      </c>
      <c r="AD408" s="5" t="s">
        <v>39</v>
      </c>
    </row>
    <row r="409" spans="1:30" hidden="1" x14ac:dyDescent="0.25">
      <c r="A409" s="5">
        <v>399</v>
      </c>
      <c r="B409" s="5" t="s">
        <v>564</v>
      </c>
      <c r="C409" s="5">
        <v>16</v>
      </c>
      <c r="D409" s="5">
        <v>240</v>
      </c>
      <c r="E409" s="5">
        <v>240</v>
      </c>
      <c r="F409" s="5" t="s">
        <v>77</v>
      </c>
      <c r="G409" s="5" t="s">
        <v>746</v>
      </c>
      <c r="H409" s="5">
        <v>2</v>
      </c>
      <c r="I409" s="5">
        <v>8.0299999999999994</v>
      </c>
      <c r="J409" s="5" t="s">
        <v>839</v>
      </c>
      <c r="K409" s="5" t="s">
        <v>812</v>
      </c>
      <c r="L409" s="5"/>
      <c r="M409" s="5" t="s">
        <v>747</v>
      </c>
      <c r="N409" s="5"/>
      <c r="O409" s="20" t="s">
        <v>228</v>
      </c>
      <c r="P409" s="20" t="str">
        <f t="shared" si="6"/>
        <v/>
      </c>
      <c r="Q409" s="20" t="s">
        <v>27</v>
      </c>
      <c r="R409" s="20" t="s">
        <v>81</v>
      </c>
      <c r="S409" s="20"/>
      <c r="T409" s="20"/>
      <c r="U409" s="20"/>
      <c r="V409" s="20"/>
      <c r="W409" s="20">
        <v>1</v>
      </c>
      <c r="X409" s="21" t="s">
        <v>37</v>
      </c>
      <c r="Y409" s="5"/>
      <c r="Z409" s="5" t="s">
        <v>38</v>
      </c>
      <c r="AA409" s="5"/>
      <c r="AB409" s="5" t="str">
        <f>IF(LEN('List chi tiet'!$B$3)=0,"",'List chi tiet'!$B$3)</f>
        <v>TCTN.DNS-26004</v>
      </c>
      <c r="AC409" s="5" t="s">
        <v>561</v>
      </c>
      <c r="AD409" s="5" t="s">
        <v>39</v>
      </c>
    </row>
    <row r="410" spans="1:30" hidden="1" x14ac:dyDescent="0.25">
      <c r="A410" s="5">
        <v>400</v>
      </c>
      <c r="B410" s="5" t="s">
        <v>565</v>
      </c>
      <c r="C410" s="5">
        <v>16</v>
      </c>
      <c r="D410" s="5">
        <v>240</v>
      </c>
      <c r="E410" s="5">
        <v>240</v>
      </c>
      <c r="F410" s="5" t="s">
        <v>77</v>
      </c>
      <c r="G410" s="5" t="s">
        <v>746</v>
      </c>
      <c r="H410" s="5">
        <v>4</v>
      </c>
      <c r="I410" s="5">
        <v>16.05</v>
      </c>
      <c r="J410" s="5" t="s">
        <v>839</v>
      </c>
      <c r="K410" s="5" t="s">
        <v>812</v>
      </c>
      <c r="L410" s="5"/>
      <c r="M410" s="5" t="s">
        <v>747</v>
      </c>
      <c r="N410" s="5"/>
      <c r="O410" s="20" t="s">
        <v>228</v>
      </c>
      <c r="P410" s="20" t="str">
        <f t="shared" si="6"/>
        <v/>
      </c>
      <c r="Q410" s="20" t="s">
        <v>27</v>
      </c>
      <c r="R410" s="20" t="s">
        <v>81</v>
      </c>
      <c r="S410" s="20"/>
      <c r="T410" s="20"/>
      <c r="U410" s="20"/>
      <c r="V410" s="20"/>
      <c r="W410" s="20">
        <v>1</v>
      </c>
      <c r="X410" s="21" t="s">
        <v>37</v>
      </c>
      <c r="Y410" s="5"/>
      <c r="Z410" s="5" t="s">
        <v>38</v>
      </c>
      <c r="AA410" s="5"/>
      <c r="AB410" s="5" t="str">
        <f>IF(LEN('List chi tiet'!$B$3)=0,"",'List chi tiet'!$B$3)</f>
        <v>TCTN.DNS-26004</v>
      </c>
      <c r="AC410" s="5" t="s">
        <v>561</v>
      </c>
      <c r="AD410" s="5" t="s">
        <v>39</v>
      </c>
    </row>
    <row r="411" spans="1:30" hidden="1" x14ac:dyDescent="0.25">
      <c r="A411" s="5">
        <v>401</v>
      </c>
      <c r="B411" s="5" t="s">
        <v>566</v>
      </c>
      <c r="C411" s="5">
        <v>20</v>
      </c>
      <c r="D411" s="5">
        <v>240</v>
      </c>
      <c r="E411" s="5">
        <v>250</v>
      </c>
      <c r="F411" s="5" t="s">
        <v>77</v>
      </c>
      <c r="G411" s="5" t="s">
        <v>746</v>
      </c>
      <c r="H411" s="5">
        <v>8</v>
      </c>
      <c r="I411" s="5">
        <v>53.41</v>
      </c>
      <c r="J411" s="5" t="s">
        <v>839</v>
      </c>
      <c r="K411" s="5" t="s">
        <v>812</v>
      </c>
      <c r="L411" s="5"/>
      <c r="M411" s="5" t="s">
        <v>747</v>
      </c>
      <c r="N411" s="5"/>
      <c r="O411" s="20" t="s">
        <v>228</v>
      </c>
      <c r="P411" s="20" t="str">
        <f t="shared" si="6"/>
        <v/>
      </c>
      <c r="Q411" s="20" t="s">
        <v>27</v>
      </c>
      <c r="R411" s="20" t="s">
        <v>81</v>
      </c>
      <c r="S411" s="20"/>
      <c r="T411" s="20"/>
      <c r="U411" s="20"/>
      <c r="V411" s="20"/>
      <c r="W411" s="20">
        <v>1</v>
      </c>
      <c r="X411" s="21" t="s">
        <v>37</v>
      </c>
      <c r="Y411" s="5"/>
      <c r="Z411" s="5" t="s">
        <v>38</v>
      </c>
      <c r="AA411" s="5"/>
      <c r="AB411" s="5" t="str">
        <f>IF(LEN('List chi tiet'!$B$3)=0,"",'List chi tiet'!$B$3)</f>
        <v>TCTN.DNS-26004</v>
      </c>
      <c r="AC411" s="5" t="s">
        <v>569</v>
      </c>
      <c r="AD411" s="5" t="s">
        <v>39</v>
      </c>
    </row>
    <row r="412" spans="1:30" hidden="1" x14ac:dyDescent="0.25">
      <c r="A412" s="5">
        <v>402</v>
      </c>
      <c r="B412" s="5" t="s">
        <v>571</v>
      </c>
      <c r="C412" s="5">
        <v>20</v>
      </c>
      <c r="D412" s="5">
        <v>400</v>
      </c>
      <c r="E412" s="5">
        <v>780</v>
      </c>
      <c r="F412" s="5" t="s">
        <v>77</v>
      </c>
      <c r="G412" s="5" t="s">
        <v>746</v>
      </c>
      <c r="H412" s="5">
        <v>8</v>
      </c>
      <c r="I412" s="5">
        <v>383.87</v>
      </c>
      <c r="J412" s="5" t="s">
        <v>839</v>
      </c>
      <c r="K412" s="5" t="s">
        <v>812</v>
      </c>
      <c r="L412" s="5"/>
      <c r="M412" s="5" t="s">
        <v>747</v>
      </c>
      <c r="N412" s="5"/>
      <c r="O412" s="20" t="s">
        <v>228</v>
      </c>
      <c r="P412" s="20" t="str">
        <f t="shared" si="6"/>
        <v/>
      </c>
      <c r="Q412" s="20" t="s">
        <v>27</v>
      </c>
      <c r="R412" s="20" t="s">
        <v>81</v>
      </c>
      <c r="S412" s="20"/>
      <c r="T412" s="20"/>
      <c r="U412" s="20"/>
      <c r="V412" s="20"/>
      <c r="W412" s="20">
        <v>1</v>
      </c>
      <c r="X412" s="21" t="s">
        <v>37</v>
      </c>
      <c r="Y412" s="5"/>
      <c r="Z412" s="5" t="s">
        <v>38</v>
      </c>
      <c r="AA412" s="5"/>
      <c r="AB412" s="5" t="str">
        <f>IF(LEN('List chi tiet'!$B$3)=0,"",'List chi tiet'!$B$3)</f>
        <v>TCTN.DNS-26004</v>
      </c>
      <c r="AC412" s="5" t="s">
        <v>569</v>
      </c>
      <c r="AD412" s="5" t="s">
        <v>39</v>
      </c>
    </row>
    <row r="413" spans="1:30" hidden="1" x14ac:dyDescent="0.25">
      <c r="A413" s="5">
        <v>403</v>
      </c>
      <c r="B413" s="5" t="s">
        <v>573</v>
      </c>
      <c r="C413" s="5">
        <v>20</v>
      </c>
      <c r="D413" s="5">
        <v>400</v>
      </c>
      <c r="E413" s="5">
        <v>780</v>
      </c>
      <c r="F413" s="5" t="s">
        <v>77</v>
      </c>
      <c r="G413" s="5" t="s">
        <v>746</v>
      </c>
      <c r="H413" s="5">
        <v>4</v>
      </c>
      <c r="I413" s="5">
        <v>191.93</v>
      </c>
      <c r="J413" s="5" t="s">
        <v>839</v>
      </c>
      <c r="K413" s="5" t="s">
        <v>812</v>
      </c>
      <c r="L413" s="5"/>
      <c r="M413" s="5" t="s">
        <v>747</v>
      </c>
      <c r="N413" s="5"/>
      <c r="O413" s="20" t="s">
        <v>228</v>
      </c>
      <c r="P413" s="20" t="str">
        <f t="shared" si="6"/>
        <v/>
      </c>
      <c r="Q413" s="20" t="s">
        <v>27</v>
      </c>
      <c r="R413" s="20" t="s">
        <v>81</v>
      </c>
      <c r="S413" s="20"/>
      <c r="T413" s="20"/>
      <c r="U413" s="20"/>
      <c r="V413" s="20"/>
      <c r="W413" s="20">
        <v>1</v>
      </c>
      <c r="X413" s="21" t="s">
        <v>37</v>
      </c>
      <c r="Y413" s="5"/>
      <c r="Z413" s="5" t="s">
        <v>38</v>
      </c>
      <c r="AA413" s="5"/>
      <c r="AB413" s="5" t="str">
        <f>IF(LEN('List chi tiet'!$B$3)=0,"",'List chi tiet'!$B$3)</f>
        <v>TCTN.DNS-26004</v>
      </c>
      <c r="AC413" s="5" t="s">
        <v>569</v>
      </c>
      <c r="AD413" s="5" t="s">
        <v>39</v>
      </c>
    </row>
    <row r="414" spans="1:30" hidden="1" x14ac:dyDescent="0.25">
      <c r="A414" s="5">
        <v>404</v>
      </c>
      <c r="B414" s="5" t="s">
        <v>574</v>
      </c>
      <c r="C414" s="5">
        <v>20</v>
      </c>
      <c r="D414" s="5">
        <v>400</v>
      </c>
      <c r="E414" s="5">
        <v>780</v>
      </c>
      <c r="F414" s="5" t="s">
        <v>77</v>
      </c>
      <c r="G414" s="5" t="s">
        <v>746</v>
      </c>
      <c r="H414" s="5">
        <v>4</v>
      </c>
      <c r="I414" s="5">
        <v>191.93</v>
      </c>
      <c r="J414" s="5" t="s">
        <v>839</v>
      </c>
      <c r="K414" s="5" t="s">
        <v>812</v>
      </c>
      <c r="L414" s="5"/>
      <c r="M414" s="5" t="s">
        <v>747</v>
      </c>
      <c r="N414" s="5"/>
      <c r="O414" s="20" t="s">
        <v>228</v>
      </c>
      <c r="P414" s="20" t="str">
        <f t="shared" si="6"/>
        <v/>
      </c>
      <c r="Q414" s="20" t="s">
        <v>27</v>
      </c>
      <c r="R414" s="20" t="s">
        <v>81</v>
      </c>
      <c r="S414" s="20"/>
      <c r="T414" s="20"/>
      <c r="U414" s="20"/>
      <c r="V414" s="20"/>
      <c r="W414" s="20">
        <v>1</v>
      </c>
      <c r="X414" s="21" t="s">
        <v>37</v>
      </c>
      <c r="Y414" s="5"/>
      <c r="Z414" s="5" t="s">
        <v>38</v>
      </c>
      <c r="AA414" s="5"/>
      <c r="AB414" s="5" t="str">
        <f>IF(LEN('List chi tiet'!$B$3)=0,"",'List chi tiet'!$B$3)</f>
        <v>TCTN.DNS-26004</v>
      </c>
      <c r="AC414" s="5" t="s">
        <v>569</v>
      </c>
      <c r="AD414" s="5" t="s">
        <v>39</v>
      </c>
    </row>
    <row r="415" spans="1:30" hidden="1" x14ac:dyDescent="0.25">
      <c r="A415" s="5">
        <v>405</v>
      </c>
      <c r="B415" s="5" t="s">
        <v>575</v>
      </c>
      <c r="C415" s="5">
        <v>20</v>
      </c>
      <c r="D415" s="5">
        <v>326</v>
      </c>
      <c r="E415" s="5">
        <v>525</v>
      </c>
      <c r="F415" s="5" t="s">
        <v>77</v>
      </c>
      <c r="G415" s="5" t="s">
        <v>746</v>
      </c>
      <c r="H415" s="5">
        <v>4</v>
      </c>
      <c r="I415" s="5">
        <v>94.66</v>
      </c>
      <c r="J415" s="5" t="s">
        <v>839</v>
      </c>
      <c r="K415" s="5" t="s">
        <v>812</v>
      </c>
      <c r="L415" s="5"/>
      <c r="M415" s="5" t="s">
        <v>747</v>
      </c>
      <c r="N415" s="5"/>
      <c r="O415" s="20" t="s">
        <v>228</v>
      </c>
      <c r="P415" s="20" t="str">
        <f t="shared" si="6"/>
        <v/>
      </c>
      <c r="Q415" s="20" t="s">
        <v>27</v>
      </c>
      <c r="R415" s="20" t="s">
        <v>81</v>
      </c>
      <c r="S415" s="20"/>
      <c r="T415" s="20"/>
      <c r="U415" s="20"/>
      <c r="V415" s="20"/>
      <c r="W415" s="20">
        <v>1</v>
      </c>
      <c r="X415" s="21" t="s">
        <v>37</v>
      </c>
      <c r="Y415" s="5"/>
      <c r="Z415" s="5" t="s">
        <v>38</v>
      </c>
      <c r="AA415" s="5"/>
      <c r="AB415" s="5" t="str">
        <f>IF(LEN('List chi tiet'!$B$3)=0,"",'List chi tiet'!$B$3)</f>
        <v>TCTN.DNS-26004</v>
      </c>
      <c r="AC415" s="5" t="s">
        <v>569</v>
      </c>
      <c r="AD415" s="5" t="s">
        <v>39</v>
      </c>
    </row>
    <row r="416" spans="1:30" hidden="1" x14ac:dyDescent="0.25">
      <c r="A416" s="5">
        <v>406</v>
      </c>
      <c r="B416" s="5" t="s">
        <v>577</v>
      </c>
      <c r="C416" s="5">
        <v>20</v>
      </c>
      <c r="D416" s="5">
        <v>175</v>
      </c>
      <c r="E416" s="5">
        <v>180</v>
      </c>
      <c r="F416" s="5" t="s">
        <v>77</v>
      </c>
      <c r="G416" s="5" t="s">
        <v>746</v>
      </c>
      <c r="H416" s="5">
        <v>8</v>
      </c>
      <c r="I416" s="5">
        <v>35.51</v>
      </c>
      <c r="J416" s="5" t="s">
        <v>839</v>
      </c>
      <c r="K416" s="5" t="s">
        <v>812</v>
      </c>
      <c r="L416" s="5"/>
      <c r="M416" s="5" t="s">
        <v>747</v>
      </c>
      <c r="N416" s="5"/>
      <c r="O416" s="20" t="s">
        <v>228</v>
      </c>
      <c r="P416" s="20" t="str">
        <f t="shared" si="6"/>
        <v/>
      </c>
      <c r="Q416" s="20" t="s">
        <v>27</v>
      </c>
      <c r="R416" s="20" t="s">
        <v>81</v>
      </c>
      <c r="S416" s="20"/>
      <c r="T416" s="20"/>
      <c r="U416" s="20"/>
      <c r="V416" s="20"/>
      <c r="W416" s="20">
        <v>1</v>
      </c>
      <c r="X416" s="21" t="s">
        <v>37</v>
      </c>
      <c r="Y416" s="5"/>
      <c r="Z416" s="5" t="s">
        <v>38</v>
      </c>
      <c r="AA416" s="5"/>
      <c r="AB416" s="5" t="str">
        <f>IF(LEN('List chi tiet'!$B$3)=0,"",'List chi tiet'!$B$3)</f>
        <v>TCTN.DNS-26004</v>
      </c>
      <c r="AC416" s="5" t="s">
        <v>569</v>
      </c>
      <c r="AD416" s="5" t="s">
        <v>39</v>
      </c>
    </row>
    <row r="417" spans="1:30" hidden="1" x14ac:dyDescent="0.25">
      <c r="A417" s="5">
        <v>407</v>
      </c>
      <c r="B417" s="5" t="s">
        <v>579</v>
      </c>
      <c r="C417" s="5">
        <v>20</v>
      </c>
      <c r="D417" s="5">
        <v>180</v>
      </c>
      <c r="E417" s="5">
        <v>300</v>
      </c>
      <c r="F417" s="5" t="s">
        <v>77</v>
      </c>
      <c r="G417" s="5" t="s">
        <v>746</v>
      </c>
      <c r="H417" s="5">
        <v>1</v>
      </c>
      <c r="I417" s="5">
        <v>8.48</v>
      </c>
      <c r="J417" s="5" t="s">
        <v>839</v>
      </c>
      <c r="K417" s="5" t="s">
        <v>812</v>
      </c>
      <c r="L417" s="5"/>
      <c r="M417" s="5" t="s">
        <v>747</v>
      </c>
      <c r="N417" s="5"/>
      <c r="O417" s="20"/>
      <c r="P417" s="20" t="str">
        <f t="shared" si="6"/>
        <v/>
      </c>
      <c r="Q417" s="20" t="s">
        <v>26</v>
      </c>
      <c r="R417" s="20" t="s">
        <v>81</v>
      </c>
      <c r="S417" s="20"/>
      <c r="T417" s="20"/>
      <c r="U417" s="20"/>
      <c r="V417" s="20"/>
      <c r="W417" s="20">
        <v>1</v>
      </c>
      <c r="X417" s="21" t="s">
        <v>37</v>
      </c>
      <c r="Y417" s="5"/>
      <c r="Z417" s="5" t="s">
        <v>38</v>
      </c>
      <c r="AA417" s="5"/>
      <c r="AB417" s="5" t="str">
        <f>IF(LEN('List chi tiet'!$B$3)=0,"",'List chi tiet'!$B$3)</f>
        <v>TCTN.DNS-26004</v>
      </c>
      <c r="AC417" s="5" t="s">
        <v>569</v>
      </c>
      <c r="AD417" s="5" t="s">
        <v>39</v>
      </c>
    </row>
    <row r="418" spans="1:30" hidden="1" x14ac:dyDescent="0.25">
      <c r="A418" s="5">
        <v>408</v>
      </c>
      <c r="B418" s="5" t="s">
        <v>581</v>
      </c>
      <c r="C418" s="5">
        <v>20</v>
      </c>
      <c r="D418" s="5">
        <v>326</v>
      </c>
      <c r="E418" s="5">
        <v>525</v>
      </c>
      <c r="F418" s="5" t="s">
        <v>77</v>
      </c>
      <c r="G418" s="5" t="s">
        <v>746</v>
      </c>
      <c r="H418" s="5">
        <v>4</v>
      </c>
      <c r="I418" s="5">
        <v>107.48</v>
      </c>
      <c r="J418" s="5" t="s">
        <v>839</v>
      </c>
      <c r="K418" s="5" t="s">
        <v>812</v>
      </c>
      <c r="L418" s="5"/>
      <c r="M418" s="5" t="s">
        <v>747</v>
      </c>
      <c r="N418" s="5"/>
      <c r="O418" s="20"/>
      <c r="P418" s="20" t="str">
        <f t="shared" si="6"/>
        <v/>
      </c>
      <c r="Q418" s="20" t="s">
        <v>26</v>
      </c>
      <c r="R418" s="20" t="s">
        <v>81</v>
      </c>
      <c r="S418" s="20"/>
      <c r="T418" s="20"/>
      <c r="U418" s="20"/>
      <c r="V418" s="20"/>
      <c r="W418" s="20">
        <v>1</v>
      </c>
      <c r="X418" s="21" t="s">
        <v>37</v>
      </c>
      <c r="Y418" s="5"/>
      <c r="Z418" s="5" t="s">
        <v>38</v>
      </c>
      <c r="AA418" s="5"/>
      <c r="AB418" s="5" t="str">
        <f>IF(LEN('List chi tiet'!$B$3)=0,"",'List chi tiet'!$B$3)</f>
        <v>TCTN.DNS-26004</v>
      </c>
      <c r="AC418" s="5" t="s">
        <v>569</v>
      </c>
      <c r="AD418" s="5" t="s">
        <v>39</v>
      </c>
    </row>
    <row r="419" spans="1:30" hidden="1" x14ac:dyDescent="0.25">
      <c r="A419" s="5">
        <v>409</v>
      </c>
      <c r="B419" s="5" t="s">
        <v>582</v>
      </c>
      <c r="C419" s="5">
        <v>20</v>
      </c>
      <c r="D419" s="5">
        <v>200</v>
      </c>
      <c r="E419" s="5">
        <v>200</v>
      </c>
      <c r="F419" s="5" t="s">
        <v>77</v>
      </c>
      <c r="G419" s="5" t="s">
        <v>746</v>
      </c>
      <c r="H419" s="5">
        <v>2</v>
      </c>
      <c r="I419" s="5">
        <v>12.56</v>
      </c>
      <c r="J419" s="5" t="s">
        <v>839</v>
      </c>
      <c r="K419" s="5" t="s">
        <v>812</v>
      </c>
      <c r="L419" s="5"/>
      <c r="M419" s="5" t="s">
        <v>747</v>
      </c>
      <c r="N419" s="5"/>
      <c r="O419" s="20"/>
      <c r="P419" s="20" t="str">
        <f t="shared" si="6"/>
        <v/>
      </c>
      <c r="Q419" s="20" t="s">
        <v>26</v>
      </c>
      <c r="R419" s="20" t="s">
        <v>81</v>
      </c>
      <c r="S419" s="20"/>
      <c r="T419" s="20"/>
      <c r="U419" s="20"/>
      <c r="V419" s="20"/>
      <c r="W419" s="20">
        <v>1</v>
      </c>
      <c r="X419" s="21" t="s">
        <v>37</v>
      </c>
      <c r="Y419" s="5"/>
      <c r="Z419" s="5" t="s">
        <v>38</v>
      </c>
      <c r="AA419" s="5"/>
      <c r="AB419" s="5" t="str">
        <f>IF(LEN('List chi tiet'!$B$3)=0,"",'List chi tiet'!$B$3)</f>
        <v>TCTN.DNS-26004</v>
      </c>
      <c r="AC419" s="5" t="s">
        <v>569</v>
      </c>
      <c r="AD419" s="5" t="s">
        <v>39</v>
      </c>
    </row>
    <row r="420" spans="1:30" hidden="1" x14ac:dyDescent="0.25">
      <c r="A420" s="5">
        <v>410</v>
      </c>
      <c r="B420" s="5" t="s">
        <v>584</v>
      </c>
      <c r="C420" s="5">
        <v>20</v>
      </c>
      <c r="D420" s="5">
        <v>400</v>
      </c>
      <c r="E420" s="5">
        <v>780</v>
      </c>
      <c r="F420" s="5" t="s">
        <v>77</v>
      </c>
      <c r="G420" s="5" t="s">
        <v>746</v>
      </c>
      <c r="H420" s="5">
        <v>2</v>
      </c>
      <c r="I420" s="5">
        <v>95.97</v>
      </c>
      <c r="J420" s="5" t="s">
        <v>839</v>
      </c>
      <c r="K420" s="5" t="s">
        <v>812</v>
      </c>
      <c r="L420" s="5"/>
      <c r="M420" s="5" t="s">
        <v>747</v>
      </c>
      <c r="N420" s="5"/>
      <c r="O420" s="20" t="s">
        <v>228</v>
      </c>
      <c r="P420" s="20" t="str">
        <f t="shared" si="6"/>
        <v/>
      </c>
      <c r="Q420" s="20" t="s">
        <v>27</v>
      </c>
      <c r="R420" s="20" t="s">
        <v>81</v>
      </c>
      <c r="S420" s="20"/>
      <c r="T420" s="20"/>
      <c r="U420" s="20"/>
      <c r="V420" s="20"/>
      <c r="W420" s="20">
        <v>1</v>
      </c>
      <c r="X420" s="21" t="s">
        <v>37</v>
      </c>
      <c r="Y420" s="5"/>
      <c r="Z420" s="5" t="s">
        <v>38</v>
      </c>
      <c r="AA420" s="5"/>
      <c r="AB420" s="5" t="str">
        <f>IF(LEN('List chi tiet'!$B$3)=0,"",'List chi tiet'!$B$3)</f>
        <v>TCTN.DNS-26004</v>
      </c>
      <c r="AC420" s="5" t="s">
        <v>569</v>
      </c>
      <c r="AD420" s="5" t="s">
        <v>39</v>
      </c>
    </row>
    <row r="421" spans="1:30" hidden="1" x14ac:dyDescent="0.25">
      <c r="A421" s="5">
        <v>411</v>
      </c>
      <c r="B421" s="5" t="s">
        <v>585</v>
      </c>
      <c r="C421" s="5">
        <v>20</v>
      </c>
      <c r="D421" s="5">
        <v>175</v>
      </c>
      <c r="E421" s="5">
        <v>180</v>
      </c>
      <c r="F421" s="5" t="s">
        <v>77</v>
      </c>
      <c r="G421" s="5" t="s">
        <v>746</v>
      </c>
      <c r="H421" s="5">
        <v>4</v>
      </c>
      <c r="I421" s="5">
        <v>17.760000000000002</v>
      </c>
      <c r="J421" s="5" t="s">
        <v>839</v>
      </c>
      <c r="K421" s="5" t="s">
        <v>812</v>
      </c>
      <c r="L421" s="5"/>
      <c r="M421" s="5" t="s">
        <v>747</v>
      </c>
      <c r="N421" s="5"/>
      <c r="O421" s="20" t="s">
        <v>228</v>
      </c>
      <c r="P421" s="20" t="str">
        <f t="shared" si="6"/>
        <v/>
      </c>
      <c r="Q421" s="20" t="s">
        <v>27</v>
      </c>
      <c r="R421" s="20" t="s">
        <v>81</v>
      </c>
      <c r="S421" s="20"/>
      <c r="T421" s="20"/>
      <c r="U421" s="20"/>
      <c r="V421" s="20"/>
      <c r="W421" s="20">
        <v>1</v>
      </c>
      <c r="X421" s="21" t="s">
        <v>37</v>
      </c>
      <c r="Y421" s="5"/>
      <c r="Z421" s="5" t="s">
        <v>38</v>
      </c>
      <c r="AA421" s="5"/>
      <c r="AB421" s="5" t="str">
        <f>IF(LEN('List chi tiet'!$B$3)=0,"",'List chi tiet'!$B$3)</f>
        <v>TCTN.DNS-26004</v>
      </c>
      <c r="AC421" s="5" t="s">
        <v>569</v>
      </c>
      <c r="AD421" s="5" t="s">
        <v>39</v>
      </c>
    </row>
    <row r="422" spans="1:30" hidden="1" x14ac:dyDescent="0.25">
      <c r="A422" s="5">
        <v>412</v>
      </c>
      <c r="B422" s="5" t="s">
        <v>586</v>
      </c>
      <c r="C422" s="5">
        <v>20</v>
      </c>
      <c r="D422" s="5">
        <v>180</v>
      </c>
      <c r="E422" s="5">
        <v>300</v>
      </c>
      <c r="F422" s="5" t="s">
        <v>77</v>
      </c>
      <c r="G422" s="5" t="s">
        <v>746</v>
      </c>
      <c r="H422" s="5">
        <v>1</v>
      </c>
      <c r="I422" s="5">
        <v>8.48</v>
      </c>
      <c r="J422" s="5" t="s">
        <v>839</v>
      </c>
      <c r="K422" s="5" t="s">
        <v>812</v>
      </c>
      <c r="L422" s="5"/>
      <c r="M422" s="5" t="s">
        <v>747</v>
      </c>
      <c r="N422" s="5"/>
      <c r="O422" s="20"/>
      <c r="P422" s="20" t="str">
        <f t="shared" si="6"/>
        <v/>
      </c>
      <c r="Q422" s="20" t="s">
        <v>26</v>
      </c>
      <c r="R422" s="20" t="s">
        <v>81</v>
      </c>
      <c r="S422" s="20"/>
      <c r="T422" s="20"/>
      <c r="U422" s="20"/>
      <c r="V422" s="20"/>
      <c r="W422" s="20">
        <v>1</v>
      </c>
      <c r="X422" s="21" t="s">
        <v>37</v>
      </c>
      <c r="Y422" s="5"/>
      <c r="Z422" s="5" t="s">
        <v>38</v>
      </c>
      <c r="AA422" s="5"/>
      <c r="AB422" s="5" t="str">
        <f>IF(LEN('List chi tiet'!$B$3)=0,"",'List chi tiet'!$B$3)</f>
        <v>TCTN.DNS-26004</v>
      </c>
      <c r="AC422" s="5" t="s">
        <v>569</v>
      </c>
      <c r="AD422" s="5" t="s">
        <v>39</v>
      </c>
    </row>
    <row r="423" spans="1:30" hidden="1" x14ac:dyDescent="0.25">
      <c r="A423" s="5">
        <v>413</v>
      </c>
      <c r="B423" s="5" t="s">
        <v>587</v>
      </c>
      <c r="C423" s="5">
        <v>20</v>
      </c>
      <c r="D423" s="5">
        <v>326</v>
      </c>
      <c r="E423" s="5">
        <v>500</v>
      </c>
      <c r="F423" s="5" t="s">
        <v>77</v>
      </c>
      <c r="G423" s="5" t="s">
        <v>746</v>
      </c>
      <c r="H423" s="5">
        <v>2</v>
      </c>
      <c r="I423" s="5">
        <v>42.39</v>
      </c>
      <c r="J423" s="5" t="s">
        <v>839</v>
      </c>
      <c r="K423" s="5" t="s">
        <v>812</v>
      </c>
      <c r="L423" s="5"/>
      <c r="M423" s="5" t="s">
        <v>747</v>
      </c>
      <c r="N423" s="5"/>
      <c r="O423" s="20"/>
      <c r="P423" s="20" t="str">
        <f t="shared" si="6"/>
        <v/>
      </c>
      <c r="Q423" s="20" t="s">
        <v>26</v>
      </c>
      <c r="R423" s="20" t="s">
        <v>81</v>
      </c>
      <c r="S423" s="20"/>
      <c r="T423" s="20"/>
      <c r="U423" s="20"/>
      <c r="V423" s="20"/>
      <c r="W423" s="20">
        <v>1</v>
      </c>
      <c r="X423" s="21" t="s">
        <v>37</v>
      </c>
      <c r="Y423" s="5"/>
      <c r="Z423" s="5" t="s">
        <v>38</v>
      </c>
      <c r="AA423" s="5"/>
      <c r="AB423" s="5" t="str">
        <f>IF(LEN('List chi tiet'!$B$3)=0,"",'List chi tiet'!$B$3)</f>
        <v>TCTN.DNS-26004</v>
      </c>
      <c r="AC423" s="5" t="s">
        <v>569</v>
      </c>
      <c r="AD423" s="5" t="s">
        <v>39</v>
      </c>
    </row>
    <row r="424" spans="1:30" hidden="1" x14ac:dyDescent="0.25">
      <c r="A424" s="5">
        <v>414</v>
      </c>
      <c r="B424" s="5" t="s">
        <v>589</v>
      </c>
      <c r="C424" s="5">
        <v>20</v>
      </c>
      <c r="D424" s="5">
        <v>326</v>
      </c>
      <c r="E424" s="5">
        <v>500</v>
      </c>
      <c r="F424" s="5" t="s">
        <v>77</v>
      </c>
      <c r="G424" s="5" t="s">
        <v>746</v>
      </c>
      <c r="H424" s="5">
        <v>2</v>
      </c>
      <c r="I424" s="5">
        <v>51.18</v>
      </c>
      <c r="J424" s="5" t="s">
        <v>839</v>
      </c>
      <c r="K424" s="5" t="s">
        <v>812</v>
      </c>
      <c r="L424" s="5"/>
      <c r="M424" s="5" t="s">
        <v>747</v>
      </c>
      <c r="N424" s="5"/>
      <c r="O424" s="20"/>
      <c r="P424" s="20" t="str">
        <f t="shared" si="6"/>
        <v/>
      </c>
      <c r="Q424" s="20" t="s">
        <v>26</v>
      </c>
      <c r="R424" s="20" t="s">
        <v>81</v>
      </c>
      <c r="S424" s="20"/>
      <c r="T424" s="20"/>
      <c r="U424" s="20"/>
      <c r="V424" s="20"/>
      <c r="W424" s="20">
        <v>1</v>
      </c>
      <c r="X424" s="21" t="s">
        <v>37</v>
      </c>
      <c r="Y424" s="5"/>
      <c r="Z424" s="5" t="s">
        <v>38</v>
      </c>
      <c r="AA424" s="5"/>
      <c r="AB424" s="5" t="str">
        <f>IF(LEN('List chi tiet'!$B$3)=0,"",'List chi tiet'!$B$3)</f>
        <v>TCTN.DNS-26004</v>
      </c>
      <c r="AC424" s="5" t="s">
        <v>569</v>
      </c>
      <c r="AD424" s="5" t="s">
        <v>39</v>
      </c>
    </row>
    <row r="425" spans="1:30" hidden="1" x14ac:dyDescent="0.25">
      <c r="A425" s="5">
        <v>415</v>
      </c>
      <c r="B425" s="5" t="s">
        <v>590</v>
      </c>
      <c r="C425" s="5">
        <v>20</v>
      </c>
      <c r="D425" s="5">
        <v>200</v>
      </c>
      <c r="E425" s="5">
        <v>200</v>
      </c>
      <c r="F425" s="5" t="s">
        <v>77</v>
      </c>
      <c r="G425" s="5" t="s">
        <v>746</v>
      </c>
      <c r="H425" s="5">
        <v>2</v>
      </c>
      <c r="I425" s="5">
        <v>12.56</v>
      </c>
      <c r="J425" s="5" t="s">
        <v>839</v>
      </c>
      <c r="K425" s="5" t="s">
        <v>812</v>
      </c>
      <c r="L425" s="5"/>
      <c r="M425" s="5" t="s">
        <v>747</v>
      </c>
      <c r="N425" s="5"/>
      <c r="O425" s="20"/>
      <c r="P425" s="20" t="str">
        <f t="shared" si="6"/>
        <v/>
      </c>
      <c r="Q425" s="20" t="s">
        <v>26</v>
      </c>
      <c r="R425" s="20" t="s">
        <v>81</v>
      </c>
      <c r="S425" s="20"/>
      <c r="T425" s="20"/>
      <c r="U425" s="20"/>
      <c r="V425" s="20"/>
      <c r="W425" s="20">
        <v>1</v>
      </c>
      <c r="X425" s="21" t="s">
        <v>37</v>
      </c>
      <c r="Y425" s="5"/>
      <c r="Z425" s="5" t="s">
        <v>38</v>
      </c>
      <c r="AA425" s="5"/>
      <c r="AB425" s="5" t="str">
        <f>IF(LEN('List chi tiet'!$B$3)=0,"",'List chi tiet'!$B$3)</f>
        <v>TCTN.DNS-26004</v>
      </c>
      <c r="AC425" s="5" t="s">
        <v>569</v>
      </c>
      <c r="AD425" s="5" t="s">
        <v>39</v>
      </c>
    </row>
    <row r="426" spans="1:30" hidden="1" x14ac:dyDescent="0.25">
      <c r="A426" s="5">
        <v>416</v>
      </c>
      <c r="B426" s="5" t="s">
        <v>591</v>
      </c>
      <c r="C426" s="5">
        <v>20</v>
      </c>
      <c r="D426" s="5">
        <v>326</v>
      </c>
      <c r="E426" s="5">
        <v>550</v>
      </c>
      <c r="F426" s="5" t="s">
        <v>77</v>
      </c>
      <c r="G426" s="5" t="s">
        <v>746</v>
      </c>
      <c r="H426" s="5">
        <v>4</v>
      </c>
      <c r="I426" s="5">
        <v>99.78</v>
      </c>
      <c r="J426" s="5" t="s">
        <v>839</v>
      </c>
      <c r="K426" s="5" t="s">
        <v>812</v>
      </c>
      <c r="L426" s="5"/>
      <c r="M426" s="5" t="s">
        <v>747</v>
      </c>
      <c r="N426" s="5"/>
      <c r="O426" s="20" t="s">
        <v>228</v>
      </c>
      <c r="P426" s="20" t="str">
        <f t="shared" si="6"/>
        <v/>
      </c>
      <c r="Q426" s="20" t="s">
        <v>27</v>
      </c>
      <c r="R426" s="20" t="s">
        <v>81</v>
      </c>
      <c r="S426" s="20"/>
      <c r="T426" s="20"/>
      <c r="U426" s="20"/>
      <c r="V426" s="20"/>
      <c r="W426" s="20">
        <v>1</v>
      </c>
      <c r="X426" s="21" t="s">
        <v>37</v>
      </c>
      <c r="Y426" s="5"/>
      <c r="Z426" s="5" t="s">
        <v>38</v>
      </c>
      <c r="AA426" s="5"/>
      <c r="AB426" s="5" t="str">
        <f>IF(LEN('List chi tiet'!$B$3)=0,"",'List chi tiet'!$B$3)</f>
        <v>TCTN.DNS-26004</v>
      </c>
      <c r="AC426" s="5" t="s">
        <v>569</v>
      </c>
      <c r="AD426" s="5" t="s">
        <v>39</v>
      </c>
    </row>
    <row r="427" spans="1:30" hidden="1" x14ac:dyDescent="0.25">
      <c r="A427" s="5">
        <v>417</v>
      </c>
      <c r="B427" s="5" t="s">
        <v>593</v>
      </c>
      <c r="C427" s="5">
        <v>20</v>
      </c>
      <c r="D427" s="5">
        <v>326</v>
      </c>
      <c r="E427" s="5">
        <v>550</v>
      </c>
      <c r="F427" s="5" t="s">
        <v>77</v>
      </c>
      <c r="G427" s="5" t="s">
        <v>746</v>
      </c>
      <c r="H427" s="5">
        <v>4</v>
      </c>
      <c r="I427" s="5">
        <v>112.6</v>
      </c>
      <c r="J427" s="5" t="s">
        <v>839</v>
      </c>
      <c r="K427" s="5" t="s">
        <v>812</v>
      </c>
      <c r="L427" s="5"/>
      <c r="M427" s="5" t="s">
        <v>747</v>
      </c>
      <c r="N427" s="5"/>
      <c r="O427" s="20"/>
      <c r="P427" s="20" t="str">
        <f t="shared" si="6"/>
        <v/>
      </c>
      <c r="Q427" s="20" t="s">
        <v>26</v>
      </c>
      <c r="R427" s="20" t="s">
        <v>81</v>
      </c>
      <c r="S427" s="20"/>
      <c r="T427" s="20"/>
      <c r="U427" s="20"/>
      <c r="V427" s="20"/>
      <c r="W427" s="20">
        <v>1</v>
      </c>
      <c r="X427" s="21" t="s">
        <v>37</v>
      </c>
      <c r="Y427" s="5"/>
      <c r="Z427" s="5" t="s">
        <v>38</v>
      </c>
      <c r="AA427" s="5"/>
      <c r="AB427" s="5" t="str">
        <f>IF(LEN('List chi tiet'!$B$3)=0,"",'List chi tiet'!$B$3)</f>
        <v>TCTN.DNS-26004</v>
      </c>
      <c r="AC427" s="5" t="s">
        <v>569</v>
      </c>
      <c r="AD427" s="5" t="s">
        <v>39</v>
      </c>
    </row>
    <row r="428" spans="1:30" hidden="1" x14ac:dyDescent="0.25">
      <c r="A428" s="5">
        <v>418</v>
      </c>
      <c r="B428" s="5" t="s">
        <v>594</v>
      </c>
      <c r="C428" s="5">
        <v>20</v>
      </c>
      <c r="D428" s="5">
        <v>400</v>
      </c>
      <c r="E428" s="5">
        <v>780</v>
      </c>
      <c r="F428" s="5" t="s">
        <v>77</v>
      </c>
      <c r="G428" s="5" t="s">
        <v>746</v>
      </c>
      <c r="H428" s="5">
        <v>4</v>
      </c>
      <c r="I428" s="5">
        <v>191.93</v>
      </c>
      <c r="J428" s="5" t="s">
        <v>839</v>
      </c>
      <c r="K428" s="5" t="s">
        <v>812</v>
      </c>
      <c r="L428" s="5"/>
      <c r="M428" s="5" t="s">
        <v>747</v>
      </c>
      <c r="N428" s="5"/>
      <c r="O428" s="20" t="s">
        <v>228</v>
      </c>
      <c r="P428" s="20" t="str">
        <f t="shared" si="6"/>
        <v/>
      </c>
      <c r="Q428" s="20" t="s">
        <v>27</v>
      </c>
      <c r="R428" s="20" t="s">
        <v>81</v>
      </c>
      <c r="S428" s="20"/>
      <c r="T428" s="20"/>
      <c r="U428" s="20"/>
      <c r="V428" s="20"/>
      <c r="W428" s="20">
        <v>1</v>
      </c>
      <c r="X428" s="21" t="s">
        <v>37</v>
      </c>
      <c r="Y428" s="5"/>
      <c r="Z428" s="5" t="s">
        <v>38</v>
      </c>
      <c r="AA428" s="5"/>
      <c r="AB428" s="5" t="str">
        <f>IF(LEN('List chi tiet'!$B$3)=0,"",'List chi tiet'!$B$3)</f>
        <v>TCTN.DNS-26004</v>
      </c>
      <c r="AC428" s="5" t="s">
        <v>569</v>
      </c>
      <c r="AD428" s="5" t="s">
        <v>39</v>
      </c>
    </row>
    <row r="429" spans="1:30" hidden="1" x14ac:dyDescent="0.25">
      <c r="A429" s="5">
        <v>419</v>
      </c>
      <c r="B429" s="5" t="s">
        <v>595</v>
      </c>
      <c r="C429" s="5">
        <v>20</v>
      </c>
      <c r="D429" s="5">
        <v>326</v>
      </c>
      <c r="E429" s="5">
        <v>525</v>
      </c>
      <c r="F429" s="5" t="s">
        <v>77</v>
      </c>
      <c r="G429" s="5" t="s">
        <v>746</v>
      </c>
      <c r="H429" s="5">
        <v>4</v>
      </c>
      <c r="I429" s="5">
        <v>94.66</v>
      </c>
      <c r="J429" s="5" t="s">
        <v>839</v>
      </c>
      <c r="K429" s="5" t="s">
        <v>812</v>
      </c>
      <c r="L429" s="5"/>
      <c r="M429" s="5" t="s">
        <v>747</v>
      </c>
      <c r="N429" s="5"/>
      <c r="O429" s="20" t="s">
        <v>228</v>
      </c>
      <c r="P429" s="20" t="str">
        <f t="shared" si="6"/>
        <v/>
      </c>
      <c r="Q429" s="20" t="s">
        <v>27</v>
      </c>
      <c r="R429" s="20" t="s">
        <v>81</v>
      </c>
      <c r="S429" s="20"/>
      <c r="T429" s="20"/>
      <c r="U429" s="20"/>
      <c r="V429" s="20"/>
      <c r="W429" s="20">
        <v>1</v>
      </c>
      <c r="X429" s="21" t="s">
        <v>37</v>
      </c>
      <c r="Y429" s="5"/>
      <c r="Z429" s="5" t="s">
        <v>38</v>
      </c>
      <c r="AA429" s="5"/>
      <c r="AB429" s="5" t="str">
        <f>IF(LEN('List chi tiet'!$B$3)=0,"",'List chi tiet'!$B$3)</f>
        <v>TCTN.DNS-26004</v>
      </c>
      <c r="AC429" s="5" t="s">
        <v>569</v>
      </c>
      <c r="AD429" s="5" t="s">
        <v>39</v>
      </c>
    </row>
    <row r="430" spans="1:30" hidden="1" x14ac:dyDescent="0.25">
      <c r="A430" s="5">
        <v>420</v>
      </c>
      <c r="B430" s="5" t="s">
        <v>596</v>
      </c>
      <c r="C430" s="5">
        <v>20</v>
      </c>
      <c r="D430" s="5">
        <v>175</v>
      </c>
      <c r="E430" s="5">
        <v>180</v>
      </c>
      <c r="F430" s="5" t="s">
        <v>77</v>
      </c>
      <c r="G430" s="5" t="s">
        <v>746</v>
      </c>
      <c r="H430" s="5">
        <v>8</v>
      </c>
      <c r="I430" s="5">
        <v>35.51</v>
      </c>
      <c r="J430" s="5" t="s">
        <v>839</v>
      </c>
      <c r="K430" s="5" t="s">
        <v>812</v>
      </c>
      <c r="L430" s="5"/>
      <c r="M430" s="5" t="s">
        <v>747</v>
      </c>
      <c r="N430" s="5"/>
      <c r="O430" s="20" t="s">
        <v>228</v>
      </c>
      <c r="P430" s="20" t="str">
        <f t="shared" si="6"/>
        <v/>
      </c>
      <c r="Q430" s="20" t="s">
        <v>27</v>
      </c>
      <c r="R430" s="20" t="s">
        <v>81</v>
      </c>
      <c r="S430" s="20"/>
      <c r="T430" s="20"/>
      <c r="U430" s="20"/>
      <c r="V430" s="20"/>
      <c r="W430" s="20">
        <v>1</v>
      </c>
      <c r="X430" s="21" t="s">
        <v>37</v>
      </c>
      <c r="Y430" s="5"/>
      <c r="Z430" s="5" t="s">
        <v>38</v>
      </c>
      <c r="AA430" s="5"/>
      <c r="AB430" s="5" t="str">
        <f>IF(LEN('List chi tiet'!$B$3)=0,"",'List chi tiet'!$B$3)</f>
        <v>TCTN.DNS-26004</v>
      </c>
      <c r="AC430" s="5" t="s">
        <v>569</v>
      </c>
      <c r="AD430" s="5" t="s">
        <v>39</v>
      </c>
    </row>
    <row r="431" spans="1:30" hidden="1" x14ac:dyDescent="0.25">
      <c r="A431" s="5">
        <v>421</v>
      </c>
      <c r="B431" s="5" t="s">
        <v>597</v>
      </c>
      <c r="C431" s="5">
        <v>20</v>
      </c>
      <c r="D431" s="5">
        <v>180</v>
      </c>
      <c r="E431" s="5">
        <v>300</v>
      </c>
      <c r="F431" s="5" t="s">
        <v>77</v>
      </c>
      <c r="G431" s="5" t="s">
        <v>746</v>
      </c>
      <c r="H431" s="5">
        <v>1</v>
      </c>
      <c r="I431" s="5">
        <v>8.48</v>
      </c>
      <c r="J431" s="5" t="s">
        <v>839</v>
      </c>
      <c r="K431" s="5" t="s">
        <v>812</v>
      </c>
      <c r="L431" s="5"/>
      <c r="M431" s="5" t="s">
        <v>747</v>
      </c>
      <c r="N431" s="5"/>
      <c r="O431" s="20"/>
      <c r="P431" s="20" t="str">
        <f t="shared" si="6"/>
        <v/>
      </c>
      <c r="Q431" s="20" t="s">
        <v>26</v>
      </c>
      <c r="R431" s="20" t="s">
        <v>81</v>
      </c>
      <c r="S431" s="20"/>
      <c r="T431" s="20"/>
      <c r="U431" s="20"/>
      <c r="V431" s="20"/>
      <c r="W431" s="20">
        <v>1</v>
      </c>
      <c r="X431" s="21" t="s">
        <v>37</v>
      </c>
      <c r="Y431" s="5"/>
      <c r="Z431" s="5" t="s">
        <v>38</v>
      </c>
      <c r="AA431" s="5"/>
      <c r="AB431" s="5" t="str">
        <f>IF(LEN('List chi tiet'!$B$3)=0,"",'List chi tiet'!$B$3)</f>
        <v>TCTN.DNS-26004</v>
      </c>
      <c r="AC431" s="5" t="s">
        <v>569</v>
      </c>
      <c r="AD431" s="5" t="s">
        <v>39</v>
      </c>
    </row>
    <row r="432" spans="1:30" hidden="1" x14ac:dyDescent="0.25">
      <c r="A432" s="5">
        <v>422</v>
      </c>
      <c r="B432" s="5" t="s">
        <v>598</v>
      </c>
      <c r="C432" s="5">
        <v>20</v>
      </c>
      <c r="D432" s="5">
        <v>326</v>
      </c>
      <c r="E432" s="5">
        <v>525</v>
      </c>
      <c r="F432" s="5" t="s">
        <v>77</v>
      </c>
      <c r="G432" s="5" t="s">
        <v>746</v>
      </c>
      <c r="H432" s="5">
        <v>4</v>
      </c>
      <c r="I432" s="5">
        <v>107.48</v>
      </c>
      <c r="J432" s="5" t="s">
        <v>839</v>
      </c>
      <c r="K432" s="5" t="s">
        <v>812</v>
      </c>
      <c r="L432" s="5"/>
      <c r="M432" s="5" t="s">
        <v>747</v>
      </c>
      <c r="N432" s="5"/>
      <c r="O432" s="20"/>
      <c r="P432" s="20" t="str">
        <f t="shared" si="6"/>
        <v/>
      </c>
      <c r="Q432" s="20" t="s">
        <v>26</v>
      </c>
      <c r="R432" s="20" t="s">
        <v>81</v>
      </c>
      <c r="S432" s="20"/>
      <c r="T432" s="20"/>
      <c r="U432" s="20"/>
      <c r="V432" s="20"/>
      <c r="W432" s="20">
        <v>1</v>
      </c>
      <c r="X432" s="21" t="s">
        <v>37</v>
      </c>
      <c r="Y432" s="5"/>
      <c r="Z432" s="5" t="s">
        <v>38</v>
      </c>
      <c r="AA432" s="5"/>
      <c r="AB432" s="5" t="str">
        <f>IF(LEN('List chi tiet'!$B$3)=0,"",'List chi tiet'!$B$3)</f>
        <v>TCTN.DNS-26004</v>
      </c>
      <c r="AC432" s="5" t="s">
        <v>569</v>
      </c>
      <c r="AD432" s="5" t="s">
        <v>39</v>
      </c>
    </row>
    <row r="433" spans="1:30" hidden="1" x14ac:dyDescent="0.25">
      <c r="A433" s="5">
        <v>423</v>
      </c>
      <c r="B433" s="5" t="s">
        <v>599</v>
      </c>
      <c r="C433" s="5">
        <v>20</v>
      </c>
      <c r="D433" s="5">
        <v>200</v>
      </c>
      <c r="E433" s="5">
        <v>200</v>
      </c>
      <c r="F433" s="5" t="s">
        <v>77</v>
      </c>
      <c r="G433" s="5" t="s">
        <v>746</v>
      </c>
      <c r="H433" s="5">
        <v>2</v>
      </c>
      <c r="I433" s="5">
        <v>12.56</v>
      </c>
      <c r="J433" s="5" t="s">
        <v>839</v>
      </c>
      <c r="K433" s="5" t="s">
        <v>812</v>
      </c>
      <c r="L433" s="5"/>
      <c r="M433" s="5" t="s">
        <v>747</v>
      </c>
      <c r="N433" s="5"/>
      <c r="O433" s="20"/>
      <c r="P433" s="20" t="str">
        <f t="shared" si="6"/>
        <v/>
      </c>
      <c r="Q433" s="20" t="s">
        <v>26</v>
      </c>
      <c r="R433" s="20" t="s">
        <v>81</v>
      </c>
      <c r="S433" s="20"/>
      <c r="T433" s="20"/>
      <c r="U433" s="20"/>
      <c r="V433" s="20"/>
      <c r="W433" s="20">
        <v>1</v>
      </c>
      <c r="X433" s="21" t="s">
        <v>37</v>
      </c>
      <c r="Y433" s="5"/>
      <c r="Z433" s="5" t="s">
        <v>38</v>
      </c>
      <c r="AA433" s="5"/>
      <c r="AB433" s="5" t="str">
        <f>IF(LEN('List chi tiet'!$B$3)=0,"",'List chi tiet'!$B$3)</f>
        <v>TCTN.DNS-26004</v>
      </c>
      <c r="AC433" s="5" t="s">
        <v>569</v>
      </c>
      <c r="AD433" s="5" t="s">
        <v>39</v>
      </c>
    </row>
    <row r="434" spans="1:30" hidden="1" x14ac:dyDescent="0.25">
      <c r="A434" s="5">
        <v>424</v>
      </c>
      <c r="B434" s="5" t="s">
        <v>600</v>
      </c>
      <c r="C434" s="5">
        <v>20</v>
      </c>
      <c r="D434" s="5">
        <v>400</v>
      </c>
      <c r="E434" s="5">
        <v>780</v>
      </c>
      <c r="F434" s="5" t="s">
        <v>77</v>
      </c>
      <c r="G434" s="5" t="s">
        <v>746</v>
      </c>
      <c r="H434" s="5">
        <v>2</v>
      </c>
      <c r="I434" s="5">
        <v>95.97</v>
      </c>
      <c r="J434" s="5" t="s">
        <v>839</v>
      </c>
      <c r="K434" s="5" t="s">
        <v>812</v>
      </c>
      <c r="L434" s="5"/>
      <c r="M434" s="5" t="s">
        <v>747</v>
      </c>
      <c r="N434" s="5"/>
      <c r="O434" s="20" t="s">
        <v>228</v>
      </c>
      <c r="P434" s="20" t="str">
        <f t="shared" si="6"/>
        <v/>
      </c>
      <c r="Q434" s="20" t="s">
        <v>27</v>
      </c>
      <c r="R434" s="20" t="s">
        <v>81</v>
      </c>
      <c r="S434" s="20"/>
      <c r="T434" s="20"/>
      <c r="U434" s="20"/>
      <c r="V434" s="20"/>
      <c r="W434" s="20">
        <v>1</v>
      </c>
      <c r="X434" s="21" t="s">
        <v>37</v>
      </c>
      <c r="Y434" s="5"/>
      <c r="Z434" s="5" t="s">
        <v>38</v>
      </c>
      <c r="AA434" s="5"/>
      <c r="AB434" s="5" t="str">
        <f>IF(LEN('List chi tiet'!$B$3)=0,"",'List chi tiet'!$B$3)</f>
        <v>TCTN.DNS-26004</v>
      </c>
      <c r="AC434" s="5" t="s">
        <v>569</v>
      </c>
      <c r="AD434" s="5" t="s">
        <v>39</v>
      </c>
    </row>
    <row r="435" spans="1:30" hidden="1" x14ac:dyDescent="0.25">
      <c r="A435" s="5">
        <v>425</v>
      </c>
      <c r="B435" s="5" t="s">
        <v>601</v>
      </c>
      <c r="C435" s="5">
        <v>20</v>
      </c>
      <c r="D435" s="5">
        <v>175</v>
      </c>
      <c r="E435" s="5">
        <v>180</v>
      </c>
      <c r="F435" s="5" t="s">
        <v>77</v>
      </c>
      <c r="G435" s="5" t="s">
        <v>746</v>
      </c>
      <c r="H435" s="5">
        <v>4</v>
      </c>
      <c r="I435" s="5">
        <v>17.760000000000002</v>
      </c>
      <c r="J435" s="5" t="s">
        <v>839</v>
      </c>
      <c r="K435" s="5" t="s">
        <v>812</v>
      </c>
      <c r="L435" s="5"/>
      <c r="M435" s="5" t="s">
        <v>747</v>
      </c>
      <c r="N435" s="5"/>
      <c r="O435" s="20" t="s">
        <v>228</v>
      </c>
      <c r="P435" s="20" t="str">
        <f t="shared" si="6"/>
        <v/>
      </c>
      <c r="Q435" s="20" t="s">
        <v>27</v>
      </c>
      <c r="R435" s="20" t="s">
        <v>81</v>
      </c>
      <c r="S435" s="20"/>
      <c r="T435" s="20"/>
      <c r="U435" s="20"/>
      <c r="V435" s="20"/>
      <c r="W435" s="20">
        <v>1</v>
      </c>
      <c r="X435" s="21" t="s">
        <v>37</v>
      </c>
      <c r="Y435" s="5"/>
      <c r="Z435" s="5" t="s">
        <v>38</v>
      </c>
      <c r="AA435" s="5"/>
      <c r="AB435" s="5" t="str">
        <f>IF(LEN('List chi tiet'!$B$3)=0,"",'List chi tiet'!$B$3)</f>
        <v>TCTN.DNS-26004</v>
      </c>
      <c r="AC435" s="5" t="s">
        <v>569</v>
      </c>
      <c r="AD435" s="5" t="s">
        <v>39</v>
      </c>
    </row>
    <row r="436" spans="1:30" hidden="1" x14ac:dyDescent="0.25">
      <c r="A436" s="5">
        <v>426</v>
      </c>
      <c r="B436" s="5" t="s">
        <v>602</v>
      </c>
      <c r="C436" s="5">
        <v>20</v>
      </c>
      <c r="D436" s="5">
        <v>180</v>
      </c>
      <c r="E436" s="5">
        <v>300</v>
      </c>
      <c r="F436" s="5" t="s">
        <v>77</v>
      </c>
      <c r="G436" s="5" t="s">
        <v>746</v>
      </c>
      <c r="H436" s="5">
        <v>1</v>
      </c>
      <c r="I436" s="5">
        <v>8.48</v>
      </c>
      <c r="J436" s="5" t="s">
        <v>839</v>
      </c>
      <c r="K436" s="5" t="s">
        <v>812</v>
      </c>
      <c r="L436" s="5"/>
      <c r="M436" s="5" t="s">
        <v>747</v>
      </c>
      <c r="N436" s="5"/>
      <c r="O436" s="20"/>
      <c r="P436" s="20" t="str">
        <f t="shared" si="6"/>
        <v/>
      </c>
      <c r="Q436" s="20" t="s">
        <v>26</v>
      </c>
      <c r="R436" s="20" t="s">
        <v>81</v>
      </c>
      <c r="S436" s="20"/>
      <c r="T436" s="20"/>
      <c r="U436" s="20"/>
      <c r="V436" s="20"/>
      <c r="W436" s="20">
        <v>1</v>
      </c>
      <c r="X436" s="21" t="s">
        <v>37</v>
      </c>
      <c r="Y436" s="5"/>
      <c r="Z436" s="5" t="s">
        <v>38</v>
      </c>
      <c r="AA436" s="5"/>
      <c r="AB436" s="5" t="str">
        <f>IF(LEN('List chi tiet'!$B$3)=0,"",'List chi tiet'!$B$3)</f>
        <v>TCTN.DNS-26004</v>
      </c>
      <c r="AC436" s="5" t="s">
        <v>569</v>
      </c>
      <c r="AD436" s="5" t="s">
        <v>39</v>
      </c>
    </row>
    <row r="437" spans="1:30" hidden="1" x14ac:dyDescent="0.25">
      <c r="A437" s="5">
        <v>427</v>
      </c>
      <c r="B437" s="5" t="s">
        <v>603</v>
      </c>
      <c r="C437" s="5">
        <v>20</v>
      </c>
      <c r="D437" s="5">
        <v>326</v>
      </c>
      <c r="E437" s="5">
        <v>500</v>
      </c>
      <c r="F437" s="5" t="s">
        <v>77</v>
      </c>
      <c r="G437" s="5" t="s">
        <v>746</v>
      </c>
      <c r="H437" s="5">
        <v>2</v>
      </c>
      <c r="I437" s="5">
        <v>42.39</v>
      </c>
      <c r="J437" s="5" t="s">
        <v>839</v>
      </c>
      <c r="K437" s="5" t="s">
        <v>812</v>
      </c>
      <c r="L437" s="5"/>
      <c r="M437" s="5" t="s">
        <v>747</v>
      </c>
      <c r="N437" s="5"/>
      <c r="O437" s="20"/>
      <c r="P437" s="20" t="str">
        <f t="shared" si="6"/>
        <v/>
      </c>
      <c r="Q437" s="20" t="s">
        <v>26</v>
      </c>
      <c r="R437" s="20" t="s">
        <v>81</v>
      </c>
      <c r="S437" s="20"/>
      <c r="T437" s="20"/>
      <c r="U437" s="20"/>
      <c r="V437" s="20"/>
      <c r="W437" s="20">
        <v>1</v>
      </c>
      <c r="X437" s="21" t="s">
        <v>37</v>
      </c>
      <c r="Y437" s="5"/>
      <c r="Z437" s="5" t="s">
        <v>38</v>
      </c>
      <c r="AA437" s="5"/>
      <c r="AB437" s="5" t="str">
        <f>IF(LEN('List chi tiet'!$B$3)=0,"",'List chi tiet'!$B$3)</f>
        <v>TCTN.DNS-26004</v>
      </c>
      <c r="AC437" s="5" t="s">
        <v>569</v>
      </c>
      <c r="AD437" s="5" t="s">
        <v>39</v>
      </c>
    </row>
    <row r="438" spans="1:30" hidden="1" x14ac:dyDescent="0.25">
      <c r="A438" s="5">
        <v>428</v>
      </c>
      <c r="B438" s="5" t="s">
        <v>604</v>
      </c>
      <c r="C438" s="5">
        <v>20</v>
      </c>
      <c r="D438" s="5">
        <v>326</v>
      </c>
      <c r="E438" s="5">
        <v>500</v>
      </c>
      <c r="F438" s="5" t="s">
        <v>77</v>
      </c>
      <c r="G438" s="5" t="s">
        <v>746</v>
      </c>
      <c r="H438" s="5">
        <v>2</v>
      </c>
      <c r="I438" s="5">
        <v>51.18</v>
      </c>
      <c r="J438" s="5" t="s">
        <v>839</v>
      </c>
      <c r="K438" s="5" t="s">
        <v>812</v>
      </c>
      <c r="L438" s="5"/>
      <c r="M438" s="5" t="s">
        <v>747</v>
      </c>
      <c r="N438" s="5"/>
      <c r="O438" s="20"/>
      <c r="P438" s="20" t="str">
        <f t="shared" si="6"/>
        <v/>
      </c>
      <c r="Q438" s="20" t="s">
        <v>26</v>
      </c>
      <c r="R438" s="20" t="s">
        <v>81</v>
      </c>
      <c r="S438" s="20"/>
      <c r="T438" s="20"/>
      <c r="U438" s="20"/>
      <c r="V438" s="20"/>
      <c r="W438" s="20">
        <v>1</v>
      </c>
      <c r="X438" s="21" t="s">
        <v>37</v>
      </c>
      <c r="Y438" s="5"/>
      <c r="Z438" s="5" t="s">
        <v>38</v>
      </c>
      <c r="AA438" s="5"/>
      <c r="AB438" s="5" t="str">
        <f>IF(LEN('List chi tiet'!$B$3)=0,"",'List chi tiet'!$B$3)</f>
        <v>TCTN.DNS-26004</v>
      </c>
      <c r="AC438" s="5" t="s">
        <v>569</v>
      </c>
      <c r="AD438" s="5" t="s">
        <v>39</v>
      </c>
    </row>
    <row r="439" spans="1:30" hidden="1" x14ac:dyDescent="0.25">
      <c r="A439" s="5">
        <v>429</v>
      </c>
      <c r="B439" s="5" t="s">
        <v>605</v>
      </c>
      <c r="C439" s="5">
        <v>20</v>
      </c>
      <c r="D439" s="5">
        <v>200</v>
      </c>
      <c r="E439" s="5">
        <v>200</v>
      </c>
      <c r="F439" s="5" t="s">
        <v>77</v>
      </c>
      <c r="G439" s="5" t="s">
        <v>746</v>
      </c>
      <c r="H439" s="5">
        <v>2</v>
      </c>
      <c r="I439" s="5">
        <v>12.56</v>
      </c>
      <c r="J439" s="5" t="s">
        <v>839</v>
      </c>
      <c r="K439" s="5" t="s">
        <v>812</v>
      </c>
      <c r="L439" s="5"/>
      <c r="M439" s="5" t="s">
        <v>747</v>
      </c>
      <c r="N439" s="5"/>
      <c r="O439" s="20"/>
      <c r="P439" s="20" t="str">
        <f t="shared" si="6"/>
        <v/>
      </c>
      <c r="Q439" s="20" t="s">
        <v>26</v>
      </c>
      <c r="R439" s="20" t="s">
        <v>81</v>
      </c>
      <c r="S439" s="20"/>
      <c r="T439" s="20"/>
      <c r="U439" s="20"/>
      <c r="V439" s="20"/>
      <c r="W439" s="20">
        <v>1</v>
      </c>
      <c r="X439" s="21" t="s">
        <v>37</v>
      </c>
      <c r="Y439" s="5"/>
      <c r="Z439" s="5" t="s">
        <v>38</v>
      </c>
      <c r="AA439" s="5"/>
      <c r="AB439" s="5" t="str">
        <f>IF(LEN('List chi tiet'!$B$3)=0,"",'List chi tiet'!$B$3)</f>
        <v>TCTN.DNS-26004</v>
      </c>
      <c r="AC439" s="5" t="s">
        <v>569</v>
      </c>
      <c r="AD439" s="5" t="s">
        <v>39</v>
      </c>
    </row>
    <row r="440" spans="1:30" hidden="1" x14ac:dyDescent="0.25">
      <c r="A440" s="5">
        <v>430</v>
      </c>
      <c r="B440" s="5" t="s">
        <v>606</v>
      </c>
      <c r="C440" s="5">
        <v>20</v>
      </c>
      <c r="D440" s="5">
        <v>326</v>
      </c>
      <c r="E440" s="5">
        <v>550</v>
      </c>
      <c r="F440" s="5" t="s">
        <v>77</v>
      </c>
      <c r="G440" s="5" t="s">
        <v>746</v>
      </c>
      <c r="H440" s="5">
        <v>4</v>
      </c>
      <c r="I440" s="5">
        <v>99.78</v>
      </c>
      <c r="J440" s="5" t="s">
        <v>839</v>
      </c>
      <c r="K440" s="5" t="s">
        <v>812</v>
      </c>
      <c r="L440" s="5"/>
      <c r="M440" s="5" t="s">
        <v>747</v>
      </c>
      <c r="N440" s="5"/>
      <c r="O440" s="20" t="s">
        <v>228</v>
      </c>
      <c r="P440" s="20" t="str">
        <f t="shared" si="6"/>
        <v/>
      </c>
      <c r="Q440" s="20" t="s">
        <v>27</v>
      </c>
      <c r="R440" s="20" t="s">
        <v>81</v>
      </c>
      <c r="S440" s="20"/>
      <c r="T440" s="20"/>
      <c r="U440" s="20"/>
      <c r="V440" s="20"/>
      <c r="W440" s="20">
        <v>1</v>
      </c>
      <c r="X440" s="21" t="s">
        <v>37</v>
      </c>
      <c r="Y440" s="5"/>
      <c r="Z440" s="5" t="s">
        <v>38</v>
      </c>
      <c r="AA440" s="5"/>
      <c r="AB440" s="5" t="str">
        <f>IF(LEN('List chi tiet'!$B$3)=0,"",'List chi tiet'!$B$3)</f>
        <v>TCTN.DNS-26004</v>
      </c>
      <c r="AC440" s="5" t="s">
        <v>569</v>
      </c>
      <c r="AD440" s="5" t="s">
        <v>39</v>
      </c>
    </row>
    <row r="441" spans="1:30" hidden="1" x14ac:dyDescent="0.25">
      <c r="A441" s="5">
        <v>431</v>
      </c>
      <c r="B441" s="5" t="s">
        <v>607</v>
      </c>
      <c r="C441" s="5">
        <v>20</v>
      </c>
      <c r="D441" s="5">
        <v>326</v>
      </c>
      <c r="E441" s="5">
        <v>550</v>
      </c>
      <c r="F441" s="5" t="s">
        <v>77</v>
      </c>
      <c r="G441" s="5" t="s">
        <v>746</v>
      </c>
      <c r="H441" s="5">
        <v>4</v>
      </c>
      <c r="I441" s="5">
        <v>112.6</v>
      </c>
      <c r="J441" s="5" t="s">
        <v>839</v>
      </c>
      <c r="K441" s="5" t="s">
        <v>812</v>
      </c>
      <c r="L441" s="5"/>
      <c r="M441" s="5" t="s">
        <v>747</v>
      </c>
      <c r="N441" s="5"/>
      <c r="O441" s="20"/>
      <c r="P441" s="20" t="str">
        <f t="shared" si="6"/>
        <v/>
      </c>
      <c r="Q441" s="20" t="s">
        <v>26</v>
      </c>
      <c r="R441" s="20" t="s">
        <v>81</v>
      </c>
      <c r="S441" s="20"/>
      <c r="T441" s="20"/>
      <c r="U441" s="20"/>
      <c r="V441" s="20"/>
      <c r="W441" s="20">
        <v>1</v>
      </c>
      <c r="X441" s="21" t="s">
        <v>37</v>
      </c>
      <c r="Y441" s="5"/>
      <c r="Z441" s="5" t="s">
        <v>38</v>
      </c>
      <c r="AA441" s="5"/>
      <c r="AB441" s="5" t="str">
        <f>IF(LEN('List chi tiet'!$B$3)=0,"",'List chi tiet'!$B$3)</f>
        <v>TCTN.DNS-26004</v>
      </c>
      <c r="AC441" s="5" t="s">
        <v>569</v>
      </c>
      <c r="AD441" s="5" t="s">
        <v>39</v>
      </c>
    </row>
    <row r="442" spans="1:30" hidden="1" x14ac:dyDescent="0.25">
      <c r="A442" s="5">
        <v>432</v>
      </c>
      <c r="B442" s="5" t="s">
        <v>608</v>
      </c>
      <c r="C442" s="5">
        <v>20</v>
      </c>
      <c r="D442" s="5">
        <v>348</v>
      </c>
      <c r="E442" s="5">
        <v>350</v>
      </c>
      <c r="F442" s="5" t="s">
        <v>77</v>
      </c>
      <c r="G442" s="5" t="s">
        <v>746</v>
      </c>
      <c r="H442" s="5">
        <v>2</v>
      </c>
      <c r="I442" s="5">
        <v>28.83</v>
      </c>
      <c r="J442" s="5" t="s">
        <v>839</v>
      </c>
      <c r="K442" s="5" t="s">
        <v>812</v>
      </c>
      <c r="L442" s="5"/>
      <c r="M442" s="5" t="s">
        <v>747</v>
      </c>
      <c r="N442" s="5"/>
      <c r="O442" s="20" t="s">
        <v>228</v>
      </c>
      <c r="P442" s="20" t="str">
        <f t="shared" si="6"/>
        <v/>
      </c>
      <c r="Q442" s="20" t="s">
        <v>27</v>
      </c>
      <c r="R442" s="20" t="s">
        <v>81</v>
      </c>
      <c r="S442" s="20"/>
      <c r="T442" s="20"/>
      <c r="U442" s="20"/>
      <c r="V442" s="20"/>
      <c r="W442" s="20">
        <v>1</v>
      </c>
      <c r="X442" s="21" t="s">
        <v>37</v>
      </c>
      <c r="Y442" s="5"/>
      <c r="Z442" s="5" t="s">
        <v>38</v>
      </c>
      <c r="AA442" s="5"/>
      <c r="AB442" s="5" t="str">
        <f>IF(LEN('List chi tiet'!$B$3)=0,"",'List chi tiet'!$B$3)</f>
        <v>TCTN.DNS-26004</v>
      </c>
      <c r="AC442" s="5" t="s">
        <v>569</v>
      </c>
      <c r="AD442" s="5" t="s">
        <v>39</v>
      </c>
    </row>
    <row r="443" spans="1:30" hidden="1" x14ac:dyDescent="0.25">
      <c r="A443" s="5">
        <v>433</v>
      </c>
      <c r="B443" s="5" t="s">
        <v>610</v>
      </c>
      <c r="C443" s="5">
        <v>20</v>
      </c>
      <c r="D443" s="5">
        <v>240</v>
      </c>
      <c r="E443" s="5">
        <v>250</v>
      </c>
      <c r="F443" s="5" t="s">
        <v>77</v>
      </c>
      <c r="G443" s="5" t="s">
        <v>746</v>
      </c>
      <c r="H443" s="5">
        <v>12</v>
      </c>
      <c r="I443" s="5">
        <v>80.11</v>
      </c>
      <c r="J443" s="5" t="s">
        <v>839</v>
      </c>
      <c r="K443" s="5" t="s">
        <v>812</v>
      </c>
      <c r="L443" s="5"/>
      <c r="M443" s="5" t="s">
        <v>747</v>
      </c>
      <c r="N443" s="5"/>
      <c r="O443" s="20" t="s">
        <v>228</v>
      </c>
      <c r="P443" s="20" t="str">
        <f t="shared" si="6"/>
        <v/>
      </c>
      <c r="Q443" s="20" t="s">
        <v>27</v>
      </c>
      <c r="R443" s="20" t="s">
        <v>81</v>
      </c>
      <c r="S443" s="20"/>
      <c r="T443" s="20"/>
      <c r="U443" s="20"/>
      <c r="V443" s="20"/>
      <c r="W443" s="20">
        <v>1</v>
      </c>
      <c r="X443" s="21" t="s">
        <v>37</v>
      </c>
      <c r="Y443" s="5"/>
      <c r="Z443" s="5" t="s">
        <v>38</v>
      </c>
      <c r="AA443" s="5"/>
      <c r="AB443" s="5" t="str">
        <f>IF(LEN('List chi tiet'!$B$3)=0,"",'List chi tiet'!$B$3)</f>
        <v>TCTN.DNS-26004</v>
      </c>
      <c r="AC443" s="5" t="s">
        <v>569</v>
      </c>
      <c r="AD443" s="5" t="s">
        <v>39</v>
      </c>
    </row>
    <row r="444" spans="1:30" hidden="1" x14ac:dyDescent="0.25">
      <c r="A444" s="5">
        <v>434</v>
      </c>
      <c r="B444" s="5" t="s">
        <v>611</v>
      </c>
      <c r="C444" s="5">
        <v>20</v>
      </c>
      <c r="D444" s="5">
        <v>348</v>
      </c>
      <c r="E444" s="5">
        <v>350</v>
      </c>
      <c r="F444" s="5" t="s">
        <v>77</v>
      </c>
      <c r="G444" s="5" t="s">
        <v>746</v>
      </c>
      <c r="H444" s="5">
        <v>4</v>
      </c>
      <c r="I444" s="5">
        <v>57.65</v>
      </c>
      <c r="J444" s="5" t="s">
        <v>839</v>
      </c>
      <c r="K444" s="5" t="s">
        <v>812</v>
      </c>
      <c r="L444" s="5"/>
      <c r="M444" s="5" t="s">
        <v>747</v>
      </c>
      <c r="N444" s="5"/>
      <c r="O444" s="20" t="s">
        <v>228</v>
      </c>
      <c r="P444" s="20" t="str">
        <f t="shared" si="6"/>
        <v/>
      </c>
      <c r="Q444" s="20" t="s">
        <v>27</v>
      </c>
      <c r="R444" s="20" t="s">
        <v>81</v>
      </c>
      <c r="S444" s="20"/>
      <c r="T444" s="20"/>
      <c r="U444" s="20"/>
      <c r="V444" s="20"/>
      <c r="W444" s="20">
        <v>1</v>
      </c>
      <c r="X444" s="21" t="s">
        <v>37</v>
      </c>
      <c r="Y444" s="5"/>
      <c r="Z444" s="5" t="s">
        <v>38</v>
      </c>
      <c r="AA444" s="5"/>
      <c r="AB444" s="5" t="str">
        <f>IF(LEN('List chi tiet'!$B$3)=0,"",'List chi tiet'!$B$3)</f>
        <v>TCTN.DNS-26004</v>
      </c>
      <c r="AC444" s="5" t="s">
        <v>569</v>
      </c>
      <c r="AD444" s="5" t="s">
        <v>39</v>
      </c>
    </row>
    <row r="445" spans="1:30" hidden="1" x14ac:dyDescent="0.25">
      <c r="A445" s="5">
        <v>435</v>
      </c>
      <c r="B445" s="5" t="s">
        <v>612</v>
      </c>
      <c r="C445" s="5">
        <v>20</v>
      </c>
      <c r="D445" s="5">
        <v>240</v>
      </c>
      <c r="E445" s="5">
        <v>250</v>
      </c>
      <c r="F445" s="5" t="s">
        <v>77</v>
      </c>
      <c r="G445" s="5" t="s">
        <v>746</v>
      </c>
      <c r="H445" s="5">
        <v>16</v>
      </c>
      <c r="I445" s="5">
        <v>106.81</v>
      </c>
      <c r="J445" s="5" t="s">
        <v>839</v>
      </c>
      <c r="K445" s="5" t="s">
        <v>812</v>
      </c>
      <c r="L445" s="5"/>
      <c r="M445" s="5" t="s">
        <v>747</v>
      </c>
      <c r="N445" s="5"/>
      <c r="O445" s="20" t="s">
        <v>228</v>
      </c>
      <c r="P445" s="20" t="str">
        <f t="shared" si="6"/>
        <v/>
      </c>
      <c r="Q445" s="20" t="s">
        <v>27</v>
      </c>
      <c r="R445" s="20" t="s">
        <v>81</v>
      </c>
      <c r="S445" s="20"/>
      <c r="T445" s="20"/>
      <c r="U445" s="20"/>
      <c r="V445" s="20"/>
      <c r="W445" s="20">
        <v>1</v>
      </c>
      <c r="X445" s="21" t="s">
        <v>37</v>
      </c>
      <c r="Y445" s="5"/>
      <c r="Z445" s="5" t="s">
        <v>38</v>
      </c>
      <c r="AA445" s="5"/>
      <c r="AB445" s="5" t="str">
        <f>IF(LEN('List chi tiet'!$B$3)=0,"",'List chi tiet'!$B$3)</f>
        <v>TCTN.DNS-26004</v>
      </c>
      <c r="AC445" s="5" t="s">
        <v>569</v>
      </c>
      <c r="AD445" s="5" t="s">
        <v>39</v>
      </c>
    </row>
    <row r="446" spans="1:30" hidden="1" x14ac:dyDescent="0.25">
      <c r="A446" s="5">
        <v>436</v>
      </c>
      <c r="B446" s="5" t="s">
        <v>613</v>
      </c>
      <c r="C446" s="5">
        <v>20</v>
      </c>
      <c r="D446" s="5">
        <v>348</v>
      </c>
      <c r="E446" s="5">
        <v>350</v>
      </c>
      <c r="F446" s="5" t="s">
        <v>77</v>
      </c>
      <c r="G446" s="5" t="s">
        <v>746</v>
      </c>
      <c r="H446" s="5">
        <v>2</v>
      </c>
      <c r="I446" s="5">
        <v>28.83</v>
      </c>
      <c r="J446" s="5" t="s">
        <v>839</v>
      </c>
      <c r="K446" s="5" t="s">
        <v>812</v>
      </c>
      <c r="L446" s="5"/>
      <c r="M446" s="5" t="s">
        <v>747</v>
      </c>
      <c r="N446" s="5"/>
      <c r="O446" s="20" t="s">
        <v>228</v>
      </c>
      <c r="P446" s="20" t="str">
        <f t="shared" si="6"/>
        <v/>
      </c>
      <c r="Q446" s="20" t="s">
        <v>27</v>
      </c>
      <c r="R446" s="20" t="s">
        <v>81</v>
      </c>
      <c r="S446" s="20"/>
      <c r="T446" s="20"/>
      <c r="U446" s="20"/>
      <c r="V446" s="20"/>
      <c r="W446" s="20">
        <v>1</v>
      </c>
      <c r="X446" s="21" t="s">
        <v>37</v>
      </c>
      <c r="Y446" s="5"/>
      <c r="Z446" s="5" t="s">
        <v>38</v>
      </c>
      <c r="AA446" s="5"/>
      <c r="AB446" s="5" t="str">
        <f>IF(LEN('List chi tiet'!$B$3)=0,"",'List chi tiet'!$B$3)</f>
        <v>TCTN.DNS-26004</v>
      </c>
      <c r="AC446" s="5" t="s">
        <v>569</v>
      </c>
      <c r="AD446" s="5" t="s">
        <v>39</v>
      </c>
    </row>
    <row r="447" spans="1:30" hidden="1" x14ac:dyDescent="0.25">
      <c r="A447" s="5">
        <v>437</v>
      </c>
      <c r="B447" s="5" t="s">
        <v>614</v>
      </c>
      <c r="C447" s="5">
        <v>20</v>
      </c>
      <c r="D447" s="5">
        <v>240</v>
      </c>
      <c r="E447" s="5">
        <v>250</v>
      </c>
      <c r="F447" s="5" t="s">
        <v>77</v>
      </c>
      <c r="G447" s="5" t="s">
        <v>746</v>
      </c>
      <c r="H447" s="5">
        <v>12</v>
      </c>
      <c r="I447" s="5">
        <v>80.11</v>
      </c>
      <c r="J447" s="5" t="s">
        <v>839</v>
      </c>
      <c r="K447" s="5" t="s">
        <v>812</v>
      </c>
      <c r="L447" s="5"/>
      <c r="M447" s="5" t="s">
        <v>747</v>
      </c>
      <c r="N447" s="5"/>
      <c r="O447" s="20" t="s">
        <v>228</v>
      </c>
      <c r="P447" s="20" t="str">
        <f t="shared" si="6"/>
        <v/>
      </c>
      <c r="Q447" s="20" t="s">
        <v>27</v>
      </c>
      <c r="R447" s="20" t="s">
        <v>81</v>
      </c>
      <c r="S447" s="20"/>
      <c r="T447" s="20"/>
      <c r="U447" s="20"/>
      <c r="V447" s="20"/>
      <c r="W447" s="20">
        <v>1</v>
      </c>
      <c r="X447" s="21" t="s">
        <v>37</v>
      </c>
      <c r="Y447" s="5"/>
      <c r="Z447" s="5" t="s">
        <v>38</v>
      </c>
      <c r="AA447" s="5"/>
      <c r="AB447" s="5" t="str">
        <f>IF(LEN('List chi tiet'!$B$3)=0,"",'List chi tiet'!$B$3)</f>
        <v>TCTN.DNS-26004</v>
      </c>
      <c r="AC447" s="5" t="s">
        <v>569</v>
      </c>
      <c r="AD447" s="5" t="s">
        <v>39</v>
      </c>
    </row>
    <row r="448" spans="1:30" hidden="1" x14ac:dyDescent="0.25">
      <c r="A448" s="5">
        <v>438</v>
      </c>
      <c r="B448" s="5" t="s">
        <v>615</v>
      </c>
      <c r="C448" s="5">
        <v>20</v>
      </c>
      <c r="D448" s="5">
        <v>240</v>
      </c>
      <c r="E448" s="5">
        <v>250</v>
      </c>
      <c r="F448" s="5" t="s">
        <v>77</v>
      </c>
      <c r="G448" s="5" t="s">
        <v>746</v>
      </c>
      <c r="H448" s="5">
        <v>8</v>
      </c>
      <c r="I448" s="5">
        <v>53.41</v>
      </c>
      <c r="J448" s="5" t="s">
        <v>839</v>
      </c>
      <c r="K448" s="5" t="s">
        <v>812</v>
      </c>
      <c r="L448" s="5"/>
      <c r="M448" s="5" t="s">
        <v>747</v>
      </c>
      <c r="N448" s="5"/>
      <c r="O448" s="20" t="s">
        <v>228</v>
      </c>
      <c r="P448" s="20" t="str">
        <f t="shared" si="6"/>
        <v/>
      </c>
      <c r="Q448" s="20" t="s">
        <v>27</v>
      </c>
      <c r="R448" s="20" t="s">
        <v>81</v>
      </c>
      <c r="S448" s="20"/>
      <c r="T448" s="20"/>
      <c r="U448" s="20"/>
      <c r="V448" s="20"/>
      <c r="W448" s="20">
        <v>1</v>
      </c>
      <c r="X448" s="21" t="s">
        <v>37</v>
      </c>
      <c r="Y448" s="5"/>
      <c r="Z448" s="5" t="s">
        <v>38</v>
      </c>
      <c r="AA448" s="5"/>
      <c r="AB448" s="5" t="str">
        <f>IF(LEN('List chi tiet'!$B$3)=0,"",'List chi tiet'!$B$3)</f>
        <v>TCTN.DNS-26004</v>
      </c>
      <c r="AC448" s="5" t="s">
        <v>569</v>
      </c>
      <c r="AD448" s="5" t="s">
        <v>39</v>
      </c>
    </row>
    <row r="449" spans="1:30" hidden="1" x14ac:dyDescent="0.25">
      <c r="A449" s="5">
        <v>439</v>
      </c>
      <c r="B449" s="5" t="s">
        <v>616</v>
      </c>
      <c r="C449" s="5">
        <v>20</v>
      </c>
      <c r="D449" s="5">
        <v>140</v>
      </c>
      <c r="E449" s="5">
        <v>200</v>
      </c>
      <c r="F449" s="5" t="s">
        <v>77</v>
      </c>
      <c r="G449" s="5" t="s">
        <v>746</v>
      </c>
      <c r="H449" s="5">
        <v>12</v>
      </c>
      <c r="I449" s="5">
        <v>45.73</v>
      </c>
      <c r="J449" s="5" t="s">
        <v>839</v>
      </c>
      <c r="K449" s="5" t="s">
        <v>812</v>
      </c>
      <c r="L449" s="5"/>
      <c r="M449" s="5" t="s">
        <v>747</v>
      </c>
      <c r="N449" s="5"/>
      <c r="O449" s="20" t="s">
        <v>228</v>
      </c>
      <c r="P449" s="20" t="str">
        <f t="shared" si="6"/>
        <v/>
      </c>
      <c r="Q449" s="20" t="s">
        <v>27</v>
      </c>
      <c r="R449" s="20" t="s">
        <v>81</v>
      </c>
      <c r="S449" s="20"/>
      <c r="T449" s="20"/>
      <c r="U449" s="20"/>
      <c r="V449" s="20"/>
      <c r="W449" s="20">
        <v>1</v>
      </c>
      <c r="X449" s="21" t="s">
        <v>37</v>
      </c>
      <c r="Y449" s="5"/>
      <c r="Z449" s="5" t="s">
        <v>38</v>
      </c>
      <c r="AA449" s="5"/>
      <c r="AB449" s="5" t="str">
        <f>IF(LEN('List chi tiet'!$B$3)=0,"",'List chi tiet'!$B$3)</f>
        <v>TCTN.DNS-26004</v>
      </c>
      <c r="AC449" s="5" t="s">
        <v>569</v>
      </c>
      <c r="AD449" s="5" t="s">
        <v>39</v>
      </c>
    </row>
    <row r="450" spans="1:30" hidden="1" x14ac:dyDescent="0.25">
      <c r="A450" s="5">
        <v>440</v>
      </c>
      <c r="B450" s="5" t="s">
        <v>618</v>
      </c>
      <c r="C450" s="5">
        <v>20</v>
      </c>
      <c r="D450" s="5">
        <v>140</v>
      </c>
      <c r="E450" s="5">
        <v>200</v>
      </c>
      <c r="F450" s="5" t="s">
        <v>77</v>
      </c>
      <c r="G450" s="5" t="s">
        <v>746</v>
      </c>
      <c r="H450" s="5">
        <v>8</v>
      </c>
      <c r="I450" s="5">
        <v>30.49</v>
      </c>
      <c r="J450" s="5" t="s">
        <v>839</v>
      </c>
      <c r="K450" s="5" t="s">
        <v>812</v>
      </c>
      <c r="L450" s="5"/>
      <c r="M450" s="5" t="s">
        <v>747</v>
      </c>
      <c r="N450" s="5"/>
      <c r="O450" s="20" t="s">
        <v>228</v>
      </c>
      <c r="P450" s="20" t="str">
        <f t="shared" si="6"/>
        <v/>
      </c>
      <c r="Q450" s="20" t="s">
        <v>27</v>
      </c>
      <c r="R450" s="20" t="s">
        <v>81</v>
      </c>
      <c r="S450" s="20"/>
      <c r="T450" s="20"/>
      <c r="U450" s="20"/>
      <c r="V450" s="20"/>
      <c r="W450" s="20">
        <v>1</v>
      </c>
      <c r="X450" s="21" t="s">
        <v>37</v>
      </c>
      <c r="Y450" s="5"/>
      <c r="Z450" s="5" t="s">
        <v>38</v>
      </c>
      <c r="AA450" s="5"/>
      <c r="AB450" s="5" t="str">
        <f>IF(LEN('List chi tiet'!$B$3)=0,"",'List chi tiet'!$B$3)</f>
        <v>TCTN.DNS-26004</v>
      </c>
      <c r="AC450" s="5" t="s">
        <v>569</v>
      </c>
      <c r="AD450" s="5" t="s">
        <v>39</v>
      </c>
    </row>
    <row r="451" spans="1:30" hidden="1" x14ac:dyDescent="0.25">
      <c r="A451" s="5">
        <v>441</v>
      </c>
      <c r="B451" s="5" t="s">
        <v>619</v>
      </c>
      <c r="C451" s="5">
        <v>20</v>
      </c>
      <c r="D451" s="5">
        <v>140</v>
      </c>
      <c r="E451" s="5">
        <v>200</v>
      </c>
      <c r="F451" s="5" t="s">
        <v>77</v>
      </c>
      <c r="G451" s="5" t="s">
        <v>746</v>
      </c>
      <c r="H451" s="5">
        <v>8</v>
      </c>
      <c r="I451" s="5">
        <v>30.49</v>
      </c>
      <c r="J451" s="5" t="s">
        <v>839</v>
      </c>
      <c r="K451" s="5" t="s">
        <v>812</v>
      </c>
      <c r="L451" s="5"/>
      <c r="M451" s="5" t="s">
        <v>747</v>
      </c>
      <c r="N451" s="5"/>
      <c r="O451" s="20" t="s">
        <v>228</v>
      </c>
      <c r="P451" s="20" t="str">
        <f t="shared" si="6"/>
        <v/>
      </c>
      <c r="Q451" s="20" t="s">
        <v>27</v>
      </c>
      <c r="R451" s="20" t="s">
        <v>81</v>
      </c>
      <c r="S451" s="20"/>
      <c r="T451" s="20"/>
      <c r="U451" s="20"/>
      <c r="V451" s="20"/>
      <c r="W451" s="20">
        <v>1</v>
      </c>
      <c r="X451" s="21" t="s">
        <v>37</v>
      </c>
      <c r="Y451" s="5"/>
      <c r="Z451" s="5" t="s">
        <v>38</v>
      </c>
      <c r="AA451" s="5"/>
      <c r="AB451" s="5" t="str">
        <f>IF(LEN('List chi tiet'!$B$3)=0,"",'List chi tiet'!$B$3)</f>
        <v>TCTN.DNS-26004</v>
      </c>
      <c r="AC451" s="5" t="s">
        <v>569</v>
      </c>
      <c r="AD451" s="5" t="s">
        <v>39</v>
      </c>
    </row>
    <row r="452" spans="1:30" hidden="1" x14ac:dyDescent="0.25">
      <c r="A452" s="5">
        <v>442</v>
      </c>
      <c r="B452" s="5" t="s">
        <v>620</v>
      </c>
      <c r="C452" s="5">
        <v>20</v>
      </c>
      <c r="D452" s="5">
        <v>140</v>
      </c>
      <c r="E452" s="5">
        <v>200</v>
      </c>
      <c r="F452" s="5" t="s">
        <v>77</v>
      </c>
      <c r="G452" s="5" t="s">
        <v>746</v>
      </c>
      <c r="H452" s="5">
        <v>8</v>
      </c>
      <c r="I452" s="5">
        <v>30.49</v>
      </c>
      <c r="J452" s="5" t="s">
        <v>839</v>
      </c>
      <c r="K452" s="5" t="s">
        <v>812</v>
      </c>
      <c r="L452" s="5"/>
      <c r="M452" s="5" t="s">
        <v>747</v>
      </c>
      <c r="N452" s="5"/>
      <c r="O452" s="20" t="s">
        <v>228</v>
      </c>
      <c r="P452" s="20" t="str">
        <f t="shared" si="6"/>
        <v/>
      </c>
      <c r="Q452" s="20" t="s">
        <v>27</v>
      </c>
      <c r="R452" s="20" t="s">
        <v>81</v>
      </c>
      <c r="S452" s="20"/>
      <c r="T452" s="20"/>
      <c r="U452" s="20"/>
      <c r="V452" s="20"/>
      <c r="W452" s="20">
        <v>1</v>
      </c>
      <c r="X452" s="21" t="s">
        <v>37</v>
      </c>
      <c r="Y452" s="5"/>
      <c r="Z452" s="5" t="s">
        <v>38</v>
      </c>
      <c r="AA452" s="5"/>
      <c r="AB452" s="5" t="str">
        <f>IF(LEN('List chi tiet'!$B$3)=0,"",'List chi tiet'!$B$3)</f>
        <v>TCTN.DNS-26004</v>
      </c>
      <c r="AC452" s="5" t="s">
        <v>569</v>
      </c>
      <c r="AD452" s="5" t="s">
        <v>39</v>
      </c>
    </row>
    <row r="453" spans="1:30" hidden="1" x14ac:dyDescent="0.25">
      <c r="A453" s="5">
        <v>443</v>
      </c>
      <c r="B453" s="5" t="s">
        <v>621</v>
      </c>
      <c r="C453" s="5">
        <v>20</v>
      </c>
      <c r="D453" s="5">
        <v>140</v>
      </c>
      <c r="E453" s="5">
        <v>200</v>
      </c>
      <c r="F453" s="5" t="s">
        <v>77</v>
      </c>
      <c r="G453" s="5" t="s">
        <v>746</v>
      </c>
      <c r="H453" s="5">
        <v>8</v>
      </c>
      <c r="I453" s="5">
        <v>30.49</v>
      </c>
      <c r="J453" s="5" t="s">
        <v>839</v>
      </c>
      <c r="K453" s="5" t="s">
        <v>812</v>
      </c>
      <c r="L453" s="5"/>
      <c r="M453" s="5" t="s">
        <v>747</v>
      </c>
      <c r="N453" s="5"/>
      <c r="O453" s="20" t="s">
        <v>228</v>
      </c>
      <c r="P453" s="20" t="str">
        <f t="shared" si="6"/>
        <v/>
      </c>
      <c r="Q453" s="20" t="s">
        <v>27</v>
      </c>
      <c r="R453" s="20" t="s">
        <v>81</v>
      </c>
      <c r="S453" s="20"/>
      <c r="T453" s="20"/>
      <c r="U453" s="20"/>
      <c r="V453" s="20"/>
      <c r="W453" s="20">
        <v>1</v>
      </c>
      <c r="X453" s="21" t="s">
        <v>37</v>
      </c>
      <c r="Y453" s="5"/>
      <c r="Z453" s="5" t="s">
        <v>38</v>
      </c>
      <c r="AA453" s="5"/>
      <c r="AB453" s="5" t="str">
        <f>IF(LEN('List chi tiet'!$B$3)=0,"",'List chi tiet'!$B$3)</f>
        <v>TCTN.DNS-26004</v>
      </c>
      <c r="AC453" s="5" t="s">
        <v>569</v>
      </c>
      <c r="AD453" s="5" t="s">
        <v>39</v>
      </c>
    </row>
    <row r="454" spans="1:30" hidden="1" x14ac:dyDescent="0.25">
      <c r="A454" s="5">
        <v>444</v>
      </c>
      <c r="B454" s="5" t="s">
        <v>622</v>
      </c>
      <c r="C454" s="5">
        <v>20</v>
      </c>
      <c r="D454" s="5">
        <v>140</v>
      </c>
      <c r="E454" s="5">
        <v>200</v>
      </c>
      <c r="F454" s="5" t="s">
        <v>77</v>
      </c>
      <c r="G454" s="5" t="s">
        <v>746</v>
      </c>
      <c r="H454" s="5">
        <v>8</v>
      </c>
      <c r="I454" s="5">
        <v>30.49</v>
      </c>
      <c r="J454" s="5" t="s">
        <v>839</v>
      </c>
      <c r="K454" s="5" t="s">
        <v>812</v>
      </c>
      <c r="L454" s="5"/>
      <c r="M454" s="5" t="s">
        <v>747</v>
      </c>
      <c r="N454" s="5"/>
      <c r="O454" s="20" t="s">
        <v>228</v>
      </c>
      <c r="P454" s="20" t="str">
        <f t="shared" si="6"/>
        <v/>
      </c>
      <c r="Q454" s="20" t="s">
        <v>27</v>
      </c>
      <c r="R454" s="20" t="s">
        <v>81</v>
      </c>
      <c r="S454" s="20"/>
      <c r="T454" s="20"/>
      <c r="U454" s="20"/>
      <c r="V454" s="20"/>
      <c r="W454" s="20">
        <v>1</v>
      </c>
      <c r="X454" s="21" t="s">
        <v>37</v>
      </c>
      <c r="Y454" s="5"/>
      <c r="Z454" s="5" t="s">
        <v>38</v>
      </c>
      <c r="AA454" s="5"/>
      <c r="AB454" s="5" t="str">
        <f>IF(LEN('List chi tiet'!$B$3)=0,"",'List chi tiet'!$B$3)</f>
        <v>TCTN.DNS-26004</v>
      </c>
      <c r="AC454" s="5" t="s">
        <v>569</v>
      </c>
      <c r="AD454" s="5" t="s">
        <v>39</v>
      </c>
    </row>
    <row r="455" spans="1:30" hidden="1" x14ac:dyDescent="0.25">
      <c r="A455" s="5">
        <v>445</v>
      </c>
      <c r="B455" s="5" t="s">
        <v>623</v>
      </c>
      <c r="C455" s="5">
        <v>20</v>
      </c>
      <c r="D455" s="5">
        <v>140</v>
      </c>
      <c r="E455" s="5">
        <v>200</v>
      </c>
      <c r="F455" s="5" t="s">
        <v>77</v>
      </c>
      <c r="G455" s="5" t="s">
        <v>746</v>
      </c>
      <c r="H455" s="5">
        <v>8</v>
      </c>
      <c r="I455" s="5">
        <v>30.49</v>
      </c>
      <c r="J455" s="5" t="s">
        <v>839</v>
      </c>
      <c r="K455" s="5" t="s">
        <v>812</v>
      </c>
      <c r="L455" s="5"/>
      <c r="M455" s="5" t="s">
        <v>747</v>
      </c>
      <c r="N455" s="5"/>
      <c r="O455" s="20" t="s">
        <v>228</v>
      </c>
      <c r="P455" s="20" t="str">
        <f t="shared" si="6"/>
        <v/>
      </c>
      <c r="Q455" s="20" t="s">
        <v>27</v>
      </c>
      <c r="R455" s="20" t="s">
        <v>81</v>
      </c>
      <c r="S455" s="20"/>
      <c r="T455" s="20"/>
      <c r="U455" s="20"/>
      <c r="V455" s="20"/>
      <c r="W455" s="20">
        <v>1</v>
      </c>
      <c r="X455" s="21" t="s">
        <v>37</v>
      </c>
      <c r="Y455" s="5"/>
      <c r="Z455" s="5" t="s">
        <v>38</v>
      </c>
      <c r="AA455" s="5"/>
      <c r="AB455" s="5" t="str">
        <f>IF(LEN('List chi tiet'!$B$3)=0,"",'List chi tiet'!$B$3)</f>
        <v>TCTN.DNS-26004</v>
      </c>
      <c r="AC455" s="5" t="s">
        <v>569</v>
      </c>
      <c r="AD455" s="5" t="s">
        <v>39</v>
      </c>
    </row>
    <row r="456" spans="1:30" hidden="1" x14ac:dyDescent="0.25">
      <c r="A456" s="5">
        <v>446</v>
      </c>
      <c r="B456" s="5" t="s">
        <v>624</v>
      </c>
      <c r="C456" s="5">
        <v>20</v>
      </c>
      <c r="D456" s="5">
        <v>140</v>
      </c>
      <c r="E456" s="5">
        <v>200</v>
      </c>
      <c r="F456" s="5" t="s">
        <v>77</v>
      </c>
      <c r="G456" s="5" t="s">
        <v>746</v>
      </c>
      <c r="H456" s="5">
        <v>8</v>
      </c>
      <c r="I456" s="5">
        <v>30.49</v>
      </c>
      <c r="J456" s="5" t="s">
        <v>839</v>
      </c>
      <c r="K456" s="5" t="s">
        <v>812</v>
      </c>
      <c r="L456" s="5"/>
      <c r="M456" s="5" t="s">
        <v>747</v>
      </c>
      <c r="N456" s="5"/>
      <c r="O456" s="20" t="s">
        <v>228</v>
      </c>
      <c r="P456" s="20" t="str">
        <f t="shared" si="6"/>
        <v/>
      </c>
      <c r="Q456" s="20" t="s">
        <v>27</v>
      </c>
      <c r="R456" s="20" t="s">
        <v>81</v>
      </c>
      <c r="S456" s="20"/>
      <c r="T456" s="20"/>
      <c r="U456" s="20"/>
      <c r="V456" s="20"/>
      <c r="W456" s="20">
        <v>1</v>
      </c>
      <c r="X456" s="21" t="s">
        <v>37</v>
      </c>
      <c r="Y456" s="5"/>
      <c r="Z456" s="5" t="s">
        <v>38</v>
      </c>
      <c r="AA456" s="5"/>
      <c r="AB456" s="5" t="str">
        <f>IF(LEN('List chi tiet'!$B$3)=0,"",'List chi tiet'!$B$3)</f>
        <v>TCTN.DNS-26004</v>
      </c>
      <c r="AC456" s="5" t="s">
        <v>569</v>
      </c>
      <c r="AD456" s="5" t="s">
        <v>39</v>
      </c>
    </row>
    <row r="457" spans="1:30" hidden="1" x14ac:dyDescent="0.25">
      <c r="A457" s="5">
        <v>447</v>
      </c>
      <c r="B457" s="5" t="s">
        <v>625</v>
      </c>
      <c r="C457" s="5">
        <v>20</v>
      </c>
      <c r="D457" s="5">
        <v>140</v>
      </c>
      <c r="E457" s="5">
        <v>200</v>
      </c>
      <c r="F457" s="5" t="s">
        <v>77</v>
      </c>
      <c r="G457" s="5" t="s">
        <v>746</v>
      </c>
      <c r="H457" s="5">
        <v>8</v>
      </c>
      <c r="I457" s="5">
        <v>30.49</v>
      </c>
      <c r="J457" s="5" t="s">
        <v>839</v>
      </c>
      <c r="K457" s="5" t="s">
        <v>812</v>
      </c>
      <c r="L457" s="5"/>
      <c r="M457" s="5" t="s">
        <v>747</v>
      </c>
      <c r="N457" s="5"/>
      <c r="O457" s="20" t="s">
        <v>228</v>
      </c>
      <c r="P457" s="20" t="str">
        <f t="shared" si="6"/>
        <v/>
      </c>
      <c r="Q457" s="20" t="s">
        <v>27</v>
      </c>
      <c r="R457" s="20" t="s">
        <v>81</v>
      </c>
      <c r="S457" s="20"/>
      <c r="T457" s="20"/>
      <c r="U457" s="20"/>
      <c r="V457" s="20"/>
      <c r="W457" s="20">
        <v>1</v>
      </c>
      <c r="X457" s="21" t="s">
        <v>37</v>
      </c>
      <c r="Y457" s="5"/>
      <c r="Z457" s="5" t="s">
        <v>38</v>
      </c>
      <c r="AA457" s="5"/>
      <c r="AB457" s="5" t="str">
        <f>IF(LEN('List chi tiet'!$B$3)=0,"",'List chi tiet'!$B$3)</f>
        <v>TCTN.DNS-26004</v>
      </c>
      <c r="AC457" s="5" t="s">
        <v>569</v>
      </c>
      <c r="AD457" s="5" t="s">
        <v>39</v>
      </c>
    </row>
    <row r="458" spans="1:30" hidden="1" x14ac:dyDescent="0.25">
      <c r="A458" s="5">
        <v>448</v>
      </c>
      <c r="B458" s="5" t="s">
        <v>626</v>
      </c>
      <c r="C458" s="5">
        <v>20</v>
      </c>
      <c r="D458" s="5">
        <v>140</v>
      </c>
      <c r="E458" s="5">
        <v>200</v>
      </c>
      <c r="F458" s="5" t="s">
        <v>77</v>
      </c>
      <c r="G458" s="5" t="s">
        <v>746</v>
      </c>
      <c r="H458" s="5">
        <v>12</v>
      </c>
      <c r="I458" s="5">
        <v>45.73</v>
      </c>
      <c r="J458" s="5" t="s">
        <v>839</v>
      </c>
      <c r="K458" s="5" t="s">
        <v>812</v>
      </c>
      <c r="L458" s="5"/>
      <c r="M458" s="5" t="s">
        <v>747</v>
      </c>
      <c r="N458" s="5"/>
      <c r="O458" s="20" t="s">
        <v>228</v>
      </c>
      <c r="P458" s="20" t="str">
        <f t="shared" si="6"/>
        <v/>
      </c>
      <c r="Q458" s="20" t="s">
        <v>27</v>
      </c>
      <c r="R458" s="20" t="s">
        <v>81</v>
      </c>
      <c r="S458" s="20"/>
      <c r="T458" s="20"/>
      <c r="U458" s="20"/>
      <c r="V458" s="20"/>
      <c r="W458" s="20">
        <v>1</v>
      </c>
      <c r="X458" s="21" t="s">
        <v>37</v>
      </c>
      <c r="Y458" s="5"/>
      <c r="Z458" s="5" t="s">
        <v>38</v>
      </c>
      <c r="AA458" s="5"/>
      <c r="AB458" s="5" t="str">
        <f>IF(LEN('List chi tiet'!$B$3)=0,"",'List chi tiet'!$B$3)</f>
        <v>TCTN.DNS-26004</v>
      </c>
      <c r="AC458" s="5" t="s">
        <v>569</v>
      </c>
      <c r="AD458" s="5" t="s">
        <v>39</v>
      </c>
    </row>
    <row r="459" spans="1:30" hidden="1" x14ac:dyDescent="0.25">
      <c r="A459" s="5">
        <v>449</v>
      </c>
      <c r="B459" s="5" t="s">
        <v>627</v>
      </c>
      <c r="C459" s="5">
        <v>25</v>
      </c>
      <c r="D459" s="5">
        <v>486</v>
      </c>
      <c r="E459" s="5">
        <v>770</v>
      </c>
      <c r="F459" s="5" t="s">
        <v>77</v>
      </c>
      <c r="G459" s="5" t="s">
        <v>746</v>
      </c>
      <c r="H459" s="5">
        <v>4</v>
      </c>
      <c r="I459" s="5">
        <v>179.95</v>
      </c>
      <c r="J459" s="5" t="s">
        <v>839</v>
      </c>
      <c r="K459" s="5" t="s">
        <v>812</v>
      </c>
      <c r="L459" s="5"/>
      <c r="M459" s="5" t="s">
        <v>747</v>
      </c>
      <c r="N459" s="5"/>
      <c r="O459" s="20" t="s">
        <v>228</v>
      </c>
      <c r="P459" s="20" t="str">
        <f t="shared" ref="P459:P516" si="7">IF(LEN($B$4)=0,"",$B$4)</f>
        <v/>
      </c>
      <c r="Q459" s="20" t="s">
        <v>27</v>
      </c>
      <c r="R459" s="20" t="s">
        <v>81</v>
      </c>
      <c r="S459" s="20"/>
      <c r="T459" s="20"/>
      <c r="U459" s="20"/>
      <c r="V459" s="20"/>
      <c r="W459" s="20">
        <v>1</v>
      </c>
      <c r="X459" s="21" t="s">
        <v>37</v>
      </c>
      <c r="Y459" s="5"/>
      <c r="Z459" s="5" t="s">
        <v>38</v>
      </c>
      <c r="AA459" s="5"/>
      <c r="AB459" s="5" t="str">
        <f>IF(LEN('List chi tiet'!$B$3)=0,"",'List chi tiet'!$B$3)</f>
        <v>TCTN.DNS-26004</v>
      </c>
      <c r="AC459" s="5" t="s">
        <v>630</v>
      </c>
      <c r="AD459" s="5" t="s">
        <v>39</v>
      </c>
    </row>
    <row r="460" spans="1:30" hidden="1" x14ac:dyDescent="0.25">
      <c r="A460" s="5">
        <v>450</v>
      </c>
      <c r="B460" s="5" t="s">
        <v>632</v>
      </c>
      <c r="C460" s="5">
        <v>25</v>
      </c>
      <c r="D460" s="5">
        <v>500</v>
      </c>
      <c r="E460" s="5">
        <v>550</v>
      </c>
      <c r="F460" s="5" t="s">
        <v>77</v>
      </c>
      <c r="G460" s="5" t="s">
        <v>746</v>
      </c>
      <c r="H460" s="5">
        <v>1</v>
      </c>
      <c r="I460" s="5">
        <v>52.99</v>
      </c>
      <c r="J460" s="5" t="s">
        <v>839</v>
      </c>
      <c r="K460" s="5" t="s">
        <v>812</v>
      </c>
      <c r="L460" s="5"/>
      <c r="M460" s="5" t="s">
        <v>747</v>
      </c>
      <c r="N460" s="5"/>
      <c r="O460" s="20"/>
      <c r="P460" s="20" t="str">
        <f t="shared" si="7"/>
        <v/>
      </c>
      <c r="Q460" s="20" t="s">
        <v>26</v>
      </c>
      <c r="R460" s="20" t="s">
        <v>81</v>
      </c>
      <c r="S460" s="20"/>
      <c r="T460" s="20"/>
      <c r="U460" s="20"/>
      <c r="V460" s="20"/>
      <c r="W460" s="20">
        <v>1</v>
      </c>
      <c r="X460" s="21" t="s">
        <v>37</v>
      </c>
      <c r="Y460" s="5"/>
      <c r="Z460" s="5" t="s">
        <v>38</v>
      </c>
      <c r="AA460" s="5"/>
      <c r="AB460" s="5" t="str">
        <f>IF(LEN('List chi tiet'!$B$3)=0,"",'List chi tiet'!$B$3)</f>
        <v>TCTN.DNS-26004</v>
      </c>
      <c r="AC460" s="5" t="s">
        <v>630</v>
      </c>
      <c r="AD460" s="5" t="s">
        <v>39</v>
      </c>
    </row>
    <row r="461" spans="1:30" hidden="1" x14ac:dyDescent="0.25">
      <c r="A461" s="5">
        <v>451</v>
      </c>
      <c r="B461" s="5" t="s">
        <v>634</v>
      </c>
      <c r="C461" s="5">
        <v>25</v>
      </c>
      <c r="D461" s="5">
        <v>120</v>
      </c>
      <c r="E461" s="5">
        <v>240</v>
      </c>
      <c r="F461" s="5" t="s">
        <v>77</v>
      </c>
      <c r="G461" s="5" t="s">
        <v>746</v>
      </c>
      <c r="H461" s="5">
        <v>8</v>
      </c>
      <c r="I461" s="5">
        <v>40.78</v>
      </c>
      <c r="J461" s="5" t="s">
        <v>839</v>
      </c>
      <c r="K461" s="5" t="s">
        <v>812</v>
      </c>
      <c r="L461" s="5"/>
      <c r="M461" s="5" t="s">
        <v>747</v>
      </c>
      <c r="N461" s="5"/>
      <c r="O461" s="20"/>
      <c r="P461" s="20" t="str">
        <f t="shared" si="7"/>
        <v/>
      </c>
      <c r="Q461" s="20" t="s">
        <v>27</v>
      </c>
      <c r="R461" s="20" t="s">
        <v>81</v>
      </c>
      <c r="S461" s="20"/>
      <c r="T461" s="20"/>
      <c r="U461" s="20"/>
      <c r="V461" s="20"/>
      <c r="W461" s="20">
        <v>1</v>
      </c>
      <c r="X461" s="21" t="s">
        <v>37</v>
      </c>
      <c r="Y461" s="5"/>
      <c r="Z461" s="5" t="s">
        <v>38</v>
      </c>
      <c r="AA461" s="5"/>
      <c r="AB461" s="5" t="str">
        <f>IF(LEN('List chi tiet'!$B$3)=0,"",'List chi tiet'!$B$3)</f>
        <v>TCTN.DNS-26004</v>
      </c>
      <c r="AC461" s="5" t="s">
        <v>630</v>
      </c>
      <c r="AD461" s="5" t="s">
        <v>39</v>
      </c>
    </row>
    <row r="462" spans="1:30" hidden="1" x14ac:dyDescent="0.25">
      <c r="A462" s="5">
        <v>452</v>
      </c>
      <c r="B462" s="5" t="s">
        <v>636</v>
      </c>
      <c r="C462" s="5">
        <v>25</v>
      </c>
      <c r="D462" s="5">
        <v>500</v>
      </c>
      <c r="E462" s="5">
        <v>550</v>
      </c>
      <c r="F462" s="5" t="s">
        <v>77</v>
      </c>
      <c r="G462" s="5" t="s">
        <v>746</v>
      </c>
      <c r="H462" s="5">
        <v>2</v>
      </c>
      <c r="I462" s="5">
        <v>105.97</v>
      </c>
      <c r="J462" s="5" t="s">
        <v>839</v>
      </c>
      <c r="K462" s="5" t="s">
        <v>812</v>
      </c>
      <c r="L462" s="5"/>
      <c r="M462" s="5" t="s">
        <v>747</v>
      </c>
      <c r="N462" s="5"/>
      <c r="O462" s="20"/>
      <c r="P462" s="20" t="str">
        <f t="shared" si="7"/>
        <v/>
      </c>
      <c r="Q462" s="20" t="s">
        <v>26</v>
      </c>
      <c r="R462" s="20" t="s">
        <v>81</v>
      </c>
      <c r="S462" s="20"/>
      <c r="T462" s="20"/>
      <c r="U462" s="20"/>
      <c r="V462" s="20"/>
      <c r="W462" s="20">
        <v>1</v>
      </c>
      <c r="X462" s="21" t="s">
        <v>37</v>
      </c>
      <c r="Y462" s="5"/>
      <c r="Z462" s="5" t="s">
        <v>38</v>
      </c>
      <c r="AA462" s="5"/>
      <c r="AB462" s="5" t="str">
        <f>IF(LEN('List chi tiet'!$B$3)=0,"",'List chi tiet'!$B$3)</f>
        <v>TCTN.DNS-26004</v>
      </c>
      <c r="AC462" s="5" t="s">
        <v>630</v>
      </c>
      <c r="AD462" s="5" t="s">
        <v>39</v>
      </c>
    </row>
    <row r="463" spans="1:30" hidden="1" x14ac:dyDescent="0.25">
      <c r="A463" s="5">
        <v>453</v>
      </c>
      <c r="B463" s="5" t="s">
        <v>637</v>
      </c>
      <c r="C463" s="5">
        <v>25</v>
      </c>
      <c r="D463" s="5">
        <v>120</v>
      </c>
      <c r="E463" s="5">
        <v>240</v>
      </c>
      <c r="F463" s="5" t="s">
        <v>77</v>
      </c>
      <c r="G463" s="5" t="s">
        <v>746</v>
      </c>
      <c r="H463" s="5">
        <v>4</v>
      </c>
      <c r="I463" s="5">
        <v>20.39</v>
      </c>
      <c r="J463" s="5" t="s">
        <v>839</v>
      </c>
      <c r="K463" s="5" t="s">
        <v>812</v>
      </c>
      <c r="L463" s="5"/>
      <c r="M463" s="5" t="s">
        <v>747</v>
      </c>
      <c r="N463" s="5"/>
      <c r="O463" s="20"/>
      <c r="P463" s="20" t="str">
        <f t="shared" si="7"/>
        <v/>
      </c>
      <c r="Q463" s="20" t="s">
        <v>27</v>
      </c>
      <c r="R463" s="20" t="s">
        <v>81</v>
      </c>
      <c r="S463" s="20"/>
      <c r="T463" s="20"/>
      <c r="U463" s="20"/>
      <c r="V463" s="20"/>
      <c r="W463" s="20">
        <v>1</v>
      </c>
      <c r="X463" s="21" t="s">
        <v>37</v>
      </c>
      <c r="Y463" s="5"/>
      <c r="Z463" s="5" t="s">
        <v>38</v>
      </c>
      <c r="AA463" s="5"/>
      <c r="AB463" s="5" t="str">
        <f>IF(LEN('List chi tiet'!$B$3)=0,"",'List chi tiet'!$B$3)</f>
        <v>TCTN.DNS-26004</v>
      </c>
      <c r="AC463" s="5" t="s">
        <v>630</v>
      </c>
      <c r="AD463" s="5" t="s">
        <v>39</v>
      </c>
    </row>
    <row r="464" spans="1:30" hidden="1" x14ac:dyDescent="0.25">
      <c r="A464" s="5">
        <v>454</v>
      </c>
      <c r="B464" s="5" t="s">
        <v>638</v>
      </c>
      <c r="C464" s="5">
        <v>25</v>
      </c>
      <c r="D464" s="5">
        <v>486</v>
      </c>
      <c r="E464" s="5">
        <v>770</v>
      </c>
      <c r="F464" s="5" t="s">
        <v>77</v>
      </c>
      <c r="G464" s="5" t="s">
        <v>746</v>
      </c>
      <c r="H464" s="5">
        <v>4</v>
      </c>
      <c r="I464" s="5">
        <v>179.95</v>
      </c>
      <c r="J464" s="5" t="s">
        <v>839</v>
      </c>
      <c r="K464" s="5" t="s">
        <v>812</v>
      </c>
      <c r="L464" s="5"/>
      <c r="M464" s="5" t="s">
        <v>747</v>
      </c>
      <c r="N464" s="5"/>
      <c r="O464" s="20" t="s">
        <v>228</v>
      </c>
      <c r="P464" s="20" t="str">
        <f t="shared" si="7"/>
        <v/>
      </c>
      <c r="Q464" s="20" t="s">
        <v>27</v>
      </c>
      <c r="R464" s="20" t="s">
        <v>81</v>
      </c>
      <c r="S464" s="20"/>
      <c r="T464" s="20"/>
      <c r="U464" s="20"/>
      <c r="V464" s="20"/>
      <c r="W464" s="20">
        <v>1</v>
      </c>
      <c r="X464" s="21" t="s">
        <v>37</v>
      </c>
      <c r="Y464" s="5"/>
      <c r="Z464" s="5" t="s">
        <v>38</v>
      </c>
      <c r="AA464" s="5"/>
      <c r="AB464" s="5" t="str">
        <f>IF(LEN('List chi tiet'!$B$3)=0,"",'List chi tiet'!$B$3)</f>
        <v>TCTN.DNS-26004</v>
      </c>
      <c r="AC464" s="5" t="s">
        <v>630</v>
      </c>
      <c r="AD464" s="5" t="s">
        <v>39</v>
      </c>
    </row>
    <row r="465" spans="1:30" hidden="1" x14ac:dyDescent="0.25">
      <c r="A465" s="5">
        <v>455</v>
      </c>
      <c r="B465" s="5" t="s">
        <v>639</v>
      </c>
      <c r="C465" s="5">
        <v>25</v>
      </c>
      <c r="D465" s="5">
        <v>443</v>
      </c>
      <c r="E465" s="5">
        <v>525</v>
      </c>
      <c r="F465" s="5" t="s">
        <v>77</v>
      </c>
      <c r="G465" s="5" t="s">
        <v>746</v>
      </c>
      <c r="H465" s="5">
        <v>2</v>
      </c>
      <c r="I465" s="5">
        <v>91.29</v>
      </c>
      <c r="J465" s="5" t="s">
        <v>839</v>
      </c>
      <c r="K465" s="5" t="s">
        <v>812</v>
      </c>
      <c r="L465" s="5"/>
      <c r="M465" s="5" t="s">
        <v>747</v>
      </c>
      <c r="N465" s="5"/>
      <c r="O465" s="20"/>
      <c r="P465" s="20" t="str">
        <f t="shared" si="7"/>
        <v/>
      </c>
      <c r="Q465" s="20" t="s">
        <v>26</v>
      </c>
      <c r="R465" s="20" t="s">
        <v>81</v>
      </c>
      <c r="S465" s="20"/>
      <c r="T465" s="20"/>
      <c r="U465" s="20"/>
      <c r="V465" s="20"/>
      <c r="W465" s="20">
        <v>1</v>
      </c>
      <c r="X465" s="21" t="s">
        <v>37</v>
      </c>
      <c r="Y465" s="5"/>
      <c r="Z465" s="5" t="s">
        <v>38</v>
      </c>
      <c r="AA465" s="5"/>
      <c r="AB465" s="5" t="str">
        <f>IF(LEN('List chi tiet'!$B$3)=0,"",'List chi tiet'!$B$3)</f>
        <v>TCTN.DNS-26004</v>
      </c>
      <c r="AC465" s="5" t="s">
        <v>630</v>
      </c>
      <c r="AD465" s="5" t="s">
        <v>39</v>
      </c>
    </row>
    <row r="466" spans="1:30" hidden="1" x14ac:dyDescent="0.25">
      <c r="A466" s="5">
        <v>456</v>
      </c>
      <c r="B466" s="5" t="s">
        <v>641</v>
      </c>
      <c r="C466" s="5">
        <v>25</v>
      </c>
      <c r="D466" s="5">
        <v>486</v>
      </c>
      <c r="E466" s="5">
        <v>770</v>
      </c>
      <c r="F466" s="5" t="s">
        <v>77</v>
      </c>
      <c r="G466" s="5" t="s">
        <v>746</v>
      </c>
      <c r="H466" s="5">
        <v>2</v>
      </c>
      <c r="I466" s="5">
        <v>89.97</v>
      </c>
      <c r="J466" s="5" t="s">
        <v>839</v>
      </c>
      <c r="K466" s="5" t="s">
        <v>812</v>
      </c>
      <c r="L466" s="5"/>
      <c r="M466" s="5" t="s">
        <v>747</v>
      </c>
      <c r="N466" s="5"/>
      <c r="O466" s="20" t="s">
        <v>228</v>
      </c>
      <c r="P466" s="20" t="str">
        <f t="shared" si="7"/>
        <v/>
      </c>
      <c r="Q466" s="20" t="s">
        <v>27</v>
      </c>
      <c r="R466" s="20" t="s">
        <v>81</v>
      </c>
      <c r="S466" s="20"/>
      <c r="T466" s="20"/>
      <c r="U466" s="20"/>
      <c r="V466" s="20"/>
      <c r="W466" s="20">
        <v>1</v>
      </c>
      <c r="X466" s="21" t="s">
        <v>37</v>
      </c>
      <c r="Y466" s="5"/>
      <c r="Z466" s="5" t="s">
        <v>38</v>
      </c>
      <c r="AA466" s="5"/>
      <c r="AB466" s="5" t="str">
        <f>IF(LEN('List chi tiet'!$B$3)=0,"",'List chi tiet'!$B$3)</f>
        <v>TCTN.DNS-26004</v>
      </c>
      <c r="AC466" s="5" t="s">
        <v>630</v>
      </c>
      <c r="AD466" s="5" t="s">
        <v>39</v>
      </c>
    </row>
    <row r="467" spans="1:30" hidden="1" x14ac:dyDescent="0.25">
      <c r="A467" s="5">
        <v>457</v>
      </c>
      <c r="B467" s="5" t="s">
        <v>642</v>
      </c>
      <c r="C467" s="5">
        <v>25</v>
      </c>
      <c r="D467" s="5">
        <v>443</v>
      </c>
      <c r="E467" s="5">
        <v>550</v>
      </c>
      <c r="F467" s="5" t="s">
        <v>77</v>
      </c>
      <c r="G467" s="5" t="s">
        <v>746</v>
      </c>
      <c r="H467" s="5">
        <v>2</v>
      </c>
      <c r="I467" s="5">
        <v>95.63</v>
      </c>
      <c r="J467" s="5" t="s">
        <v>839</v>
      </c>
      <c r="K467" s="5" t="s">
        <v>812</v>
      </c>
      <c r="L467" s="5"/>
      <c r="M467" s="5" t="s">
        <v>747</v>
      </c>
      <c r="N467" s="5"/>
      <c r="O467" s="20"/>
      <c r="P467" s="20" t="str">
        <f t="shared" si="7"/>
        <v/>
      </c>
      <c r="Q467" s="20" t="s">
        <v>26</v>
      </c>
      <c r="R467" s="20" t="s">
        <v>81</v>
      </c>
      <c r="S467" s="20"/>
      <c r="T467" s="20"/>
      <c r="U467" s="20"/>
      <c r="V467" s="20"/>
      <c r="W467" s="20">
        <v>1</v>
      </c>
      <c r="X467" s="21" t="s">
        <v>37</v>
      </c>
      <c r="Y467" s="5"/>
      <c r="Z467" s="5" t="s">
        <v>38</v>
      </c>
      <c r="AA467" s="5"/>
      <c r="AB467" s="5" t="str">
        <f>IF(LEN('List chi tiet'!$B$3)=0,"",'List chi tiet'!$B$3)</f>
        <v>TCTN.DNS-26004</v>
      </c>
      <c r="AC467" s="5" t="s">
        <v>630</v>
      </c>
      <c r="AD467" s="5" t="s">
        <v>39</v>
      </c>
    </row>
    <row r="468" spans="1:30" hidden="1" x14ac:dyDescent="0.25">
      <c r="A468" s="5">
        <v>458</v>
      </c>
      <c r="B468" s="5" t="s">
        <v>644</v>
      </c>
      <c r="C468" s="5">
        <v>25</v>
      </c>
      <c r="D468" s="5">
        <v>443</v>
      </c>
      <c r="E468" s="5">
        <v>550</v>
      </c>
      <c r="F468" s="5" t="s">
        <v>77</v>
      </c>
      <c r="G468" s="5" t="s">
        <v>746</v>
      </c>
      <c r="H468" s="5">
        <v>2</v>
      </c>
      <c r="I468" s="5">
        <v>87.62</v>
      </c>
      <c r="J468" s="5" t="s">
        <v>839</v>
      </c>
      <c r="K468" s="5" t="s">
        <v>812</v>
      </c>
      <c r="L468" s="5"/>
      <c r="M468" s="5" t="s">
        <v>747</v>
      </c>
      <c r="N468" s="5"/>
      <c r="O468" s="20" t="s">
        <v>228</v>
      </c>
      <c r="P468" s="20" t="str">
        <f t="shared" si="7"/>
        <v/>
      </c>
      <c r="Q468" s="20" t="s">
        <v>27</v>
      </c>
      <c r="R468" s="20" t="s">
        <v>81</v>
      </c>
      <c r="S468" s="20"/>
      <c r="T468" s="20"/>
      <c r="U468" s="20"/>
      <c r="V468" s="20"/>
      <c r="W468" s="20">
        <v>1</v>
      </c>
      <c r="X468" s="21" t="s">
        <v>37</v>
      </c>
      <c r="Y468" s="5"/>
      <c r="Z468" s="5" t="s">
        <v>38</v>
      </c>
      <c r="AA468" s="5"/>
      <c r="AB468" s="5" t="str">
        <f>IF(LEN('List chi tiet'!$B$3)=0,"",'List chi tiet'!$B$3)</f>
        <v>TCTN.DNS-26004</v>
      </c>
      <c r="AC468" s="5" t="s">
        <v>630</v>
      </c>
      <c r="AD468" s="5" t="s">
        <v>39</v>
      </c>
    </row>
    <row r="469" spans="1:30" hidden="1" x14ac:dyDescent="0.25">
      <c r="A469" s="5">
        <v>459</v>
      </c>
      <c r="B469" s="5" t="s">
        <v>645</v>
      </c>
      <c r="C469" s="5">
        <v>25</v>
      </c>
      <c r="D469" s="5">
        <v>443</v>
      </c>
      <c r="E469" s="5">
        <v>550</v>
      </c>
      <c r="F469" s="5" t="s">
        <v>77</v>
      </c>
      <c r="G469" s="5" t="s">
        <v>746</v>
      </c>
      <c r="H469" s="5">
        <v>2</v>
      </c>
      <c r="I469" s="5">
        <v>95.63</v>
      </c>
      <c r="J469" s="5" t="s">
        <v>839</v>
      </c>
      <c r="K469" s="5" t="s">
        <v>812</v>
      </c>
      <c r="L469" s="5"/>
      <c r="M469" s="5" t="s">
        <v>747</v>
      </c>
      <c r="N469" s="5"/>
      <c r="O469" s="20"/>
      <c r="P469" s="20" t="str">
        <f t="shared" si="7"/>
        <v/>
      </c>
      <c r="Q469" s="20" t="s">
        <v>26</v>
      </c>
      <c r="R469" s="20" t="s">
        <v>81</v>
      </c>
      <c r="S469" s="20"/>
      <c r="T469" s="20"/>
      <c r="U469" s="20"/>
      <c r="V469" s="20"/>
      <c r="W469" s="20">
        <v>1</v>
      </c>
      <c r="X469" s="21" t="s">
        <v>37</v>
      </c>
      <c r="Y469" s="5"/>
      <c r="Z469" s="5" t="s">
        <v>38</v>
      </c>
      <c r="AA469" s="5"/>
      <c r="AB469" s="5" t="str">
        <f>IF(LEN('List chi tiet'!$B$3)=0,"",'List chi tiet'!$B$3)</f>
        <v>TCTN.DNS-26004</v>
      </c>
      <c r="AC469" s="5" t="s">
        <v>630</v>
      </c>
      <c r="AD469" s="5" t="s">
        <v>39</v>
      </c>
    </row>
    <row r="470" spans="1:30" hidden="1" x14ac:dyDescent="0.25">
      <c r="A470" s="5">
        <v>460</v>
      </c>
      <c r="B470" s="5" t="s">
        <v>646</v>
      </c>
      <c r="C470" s="5">
        <v>25</v>
      </c>
      <c r="D470" s="5">
        <v>486</v>
      </c>
      <c r="E470" s="5">
        <v>770</v>
      </c>
      <c r="F470" s="5" t="s">
        <v>77</v>
      </c>
      <c r="G470" s="5" t="s">
        <v>746</v>
      </c>
      <c r="H470" s="5">
        <v>2</v>
      </c>
      <c r="I470" s="5">
        <v>89.97</v>
      </c>
      <c r="J470" s="5" t="s">
        <v>839</v>
      </c>
      <c r="K470" s="5" t="s">
        <v>812</v>
      </c>
      <c r="L470" s="5"/>
      <c r="M470" s="5" t="s">
        <v>747</v>
      </c>
      <c r="N470" s="5"/>
      <c r="O470" s="20" t="s">
        <v>228</v>
      </c>
      <c r="P470" s="20" t="str">
        <f t="shared" si="7"/>
        <v/>
      </c>
      <c r="Q470" s="20" t="s">
        <v>27</v>
      </c>
      <c r="R470" s="20" t="s">
        <v>81</v>
      </c>
      <c r="S470" s="20"/>
      <c r="T470" s="20"/>
      <c r="U470" s="20"/>
      <c r="V470" s="20"/>
      <c r="W470" s="20">
        <v>1</v>
      </c>
      <c r="X470" s="21" t="s">
        <v>37</v>
      </c>
      <c r="Y470" s="5"/>
      <c r="Z470" s="5" t="s">
        <v>38</v>
      </c>
      <c r="AA470" s="5"/>
      <c r="AB470" s="5" t="str">
        <f>IF(LEN('List chi tiet'!$B$3)=0,"",'List chi tiet'!$B$3)</f>
        <v>TCTN.DNS-26004</v>
      </c>
      <c r="AC470" s="5" t="s">
        <v>630</v>
      </c>
      <c r="AD470" s="5" t="s">
        <v>39</v>
      </c>
    </row>
    <row r="471" spans="1:30" hidden="1" x14ac:dyDescent="0.25">
      <c r="A471" s="5">
        <v>461</v>
      </c>
      <c r="B471" s="5" t="s">
        <v>647</v>
      </c>
      <c r="C471" s="5">
        <v>25</v>
      </c>
      <c r="D471" s="5">
        <v>443</v>
      </c>
      <c r="E471" s="5">
        <v>525</v>
      </c>
      <c r="F471" s="5" t="s">
        <v>77</v>
      </c>
      <c r="G471" s="5" t="s">
        <v>746</v>
      </c>
      <c r="H471" s="5">
        <v>2</v>
      </c>
      <c r="I471" s="5">
        <v>91.29</v>
      </c>
      <c r="J471" s="5" t="s">
        <v>839</v>
      </c>
      <c r="K471" s="5" t="s">
        <v>812</v>
      </c>
      <c r="L471" s="5"/>
      <c r="M471" s="5" t="s">
        <v>747</v>
      </c>
      <c r="N471" s="5"/>
      <c r="O471" s="20"/>
      <c r="P471" s="20" t="str">
        <f t="shared" si="7"/>
        <v/>
      </c>
      <c r="Q471" s="20" t="s">
        <v>26</v>
      </c>
      <c r="R471" s="20" t="s">
        <v>81</v>
      </c>
      <c r="S471" s="20"/>
      <c r="T471" s="20"/>
      <c r="U471" s="20"/>
      <c r="V471" s="20"/>
      <c r="W471" s="20">
        <v>1</v>
      </c>
      <c r="X471" s="21" t="s">
        <v>37</v>
      </c>
      <c r="Y471" s="5"/>
      <c r="Z471" s="5" t="s">
        <v>38</v>
      </c>
      <c r="AA471" s="5"/>
      <c r="AB471" s="5" t="str">
        <f>IF(LEN('List chi tiet'!$B$3)=0,"",'List chi tiet'!$B$3)</f>
        <v>TCTN.DNS-26004</v>
      </c>
      <c r="AC471" s="5" t="s">
        <v>630</v>
      </c>
      <c r="AD471" s="5" t="s">
        <v>39</v>
      </c>
    </row>
    <row r="472" spans="1:30" hidden="1" x14ac:dyDescent="0.25">
      <c r="A472" s="5">
        <v>462</v>
      </c>
      <c r="B472" s="5" t="s">
        <v>648</v>
      </c>
      <c r="C472" s="5">
        <v>25</v>
      </c>
      <c r="D472" s="5">
        <v>500</v>
      </c>
      <c r="E472" s="5">
        <v>550</v>
      </c>
      <c r="F472" s="5" t="s">
        <v>77</v>
      </c>
      <c r="G472" s="5" t="s">
        <v>746</v>
      </c>
      <c r="H472" s="5">
        <v>1</v>
      </c>
      <c r="I472" s="5">
        <v>52.99</v>
      </c>
      <c r="J472" s="5" t="s">
        <v>839</v>
      </c>
      <c r="K472" s="5" t="s">
        <v>812</v>
      </c>
      <c r="L472" s="5"/>
      <c r="M472" s="5" t="s">
        <v>747</v>
      </c>
      <c r="N472" s="5"/>
      <c r="O472" s="20"/>
      <c r="P472" s="20" t="str">
        <f t="shared" si="7"/>
        <v/>
      </c>
      <c r="Q472" s="20" t="s">
        <v>26</v>
      </c>
      <c r="R472" s="20" t="s">
        <v>81</v>
      </c>
      <c r="S472" s="20"/>
      <c r="T472" s="20"/>
      <c r="U472" s="20"/>
      <c r="V472" s="20"/>
      <c r="W472" s="20">
        <v>1</v>
      </c>
      <c r="X472" s="21" t="s">
        <v>37</v>
      </c>
      <c r="Y472" s="5"/>
      <c r="Z472" s="5" t="s">
        <v>38</v>
      </c>
      <c r="AA472" s="5"/>
      <c r="AB472" s="5" t="str">
        <f>IF(LEN('List chi tiet'!$B$3)=0,"",'List chi tiet'!$B$3)</f>
        <v>TCTN.DNS-26004</v>
      </c>
      <c r="AC472" s="5" t="s">
        <v>630</v>
      </c>
      <c r="AD472" s="5" t="s">
        <v>39</v>
      </c>
    </row>
    <row r="473" spans="1:30" hidden="1" x14ac:dyDescent="0.25">
      <c r="A473" s="5">
        <v>463</v>
      </c>
      <c r="B473" s="5" t="s">
        <v>649</v>
      </c>
      <c r="C473" s="5">
        <v>25</v>
      </c>
      <c r="D473" s="5">
        <v>443</v>
      </c>
      <c r="E473" s="5">
        <v>550</v>
      </c>
      <c r="F473" s="5" t="s">
        <v>77</v>
      </c>
      <c r="G473" s="5" t="s">
        <v>746</v>
      </c>
      <c r="H473" s="5">
        <v>2</v>
      </c>
      <c r="I473" s="5">
        <v>87.62</v>
      </c>
      <c r="J473" s="5" t="s">
        <v>839</v>
      </c>
      <c r="K473" s="5" t="s">
        <v>812</v>
      </c>
      <c r="L473" s="5"/>
      <c r="M473" s="5" t="s">
        <v>747</v>
      </c>
      <c r="N473" s="5"/>
      <c r="O473" s="20" t="s">
        <v>228</v>
      </c>
      <c r="P473" s="20" t="str">
        <f t="shared" si="7"/>
        <v/>
      </c>
      <c r="Q473" s="20" t="s">
        <v>27</v>
      </c>
      <c r="R473" s="20" t="s">
        <v>81</v>
      </c>
      <c r="S473" s="20"/>
      <c r="T473" s="20"/>
      <c r="U473" s="20"/>
      <c r="V473" s="20"/>
      <c r="W473" s="20">
        <v>1</v>
      </c>
      <c r="X473" s="21" t="s">
        <v>37</v>
      </c>
      <c r="Y473" s="5"/>
      <c r="Z473" s="5" t="s">
        <v>38</v>
      </c>
      <c r="AA473" s="5"/>
      <c r="AB473" s="5" t="str">
        <f>IF(LEN('List chi tiet'!$B$3)=0,"",'List chi tiet'!$B$3)</f>
        <v>TCTN.DNS-26004</v>
      </c>
      <c r="AC473" s="5" t="s">
        <v>630</v>
      </c>
      <c r="AD473" s="5" t="s">
        <v>39</v>
      </c>
    </row>
    <row r="474" spans="1:30" hidden="1" x14ac:dyDescent="0.25">
      <c r="A474" s="5">
        <v>464</v>
      </c>
      <c r="B474" s="5" t="s">
        <v>650</v>
      </c>
      <c r="C474" s="5">
        <v>25</v>
      </c>
      <c r="D474" s="5">
        <v>200</v>
      </c>
      <c r="E474" s="5">
        <v>200</v>
      </c>
      <c r="F474" s="5" t="s">
        <v>77</v>
      </c>
      <c r="G474" s="5" t="s">
        <v>746</v>
      </c>
      <c r="H474" s="5">
        <v>2</v>
      </c>
      <c r="I474" s="5">
        <v>15.7</v>
      </c>
      <c r="J474" s="5" t="s">
        <v>839</v>
      </c>
      <c r="K474" s="5" t="s">
        <v>812</v>
      </c>
      <c r="L474" s="5"/>
      <c r="M474" s="5" t="s">
        <v>747</v>
      </c>
      <c r="N474" s="5"/>
      <c r="O474" s="20"/>
      <c r="P474" s="20" t="str">
        <f t="shared" si="7"/>
        <v/>
      </c>
      <c r="Q474" s="20" t="s">
        <v>26</v>
      </c>
      <c r="R474" s="20" t="s">
        <v>81</v>
      </c>
      <c r="S474" s="20"/>
      <c r="T474" s="20"/>
      <c r="U474" s="20"/>
      <c r="V474" s="20"/>
      <c r="W474" s="20">
        <v>1</v>
      </c>
      <c r="X474" s="21" t="s">
        <v>37</v>
      </c>
      <c r="Y474" s="5"/>
      <c r="Z474" s="5" t="s">
        <v>38</v>
      </c>
      <c r="AA474" s="5"/>
      <c r="AB474" s="5" t="str">
        <f>IF(LEN('List chi tiet'!$B$3)=0,"",'List chi tiet'!$B$3)</f>
        <v>TCTN.DNS-26004</v>
      </c>
      <c r="AC474" s="5" t="s">
        <v>630</v>
      </c>
      <c r="AD474" s="5" t="s">
        <v>39</v>
      </c>
    </row>
    <row r="475" spans="1:30" hidden="1" x14ac:dyDescent="0.25">
      <c r="A475" s="5">
        <v>465</v>
      </c>
      <c r="B475" s="5" t="s">
        <v>652</v>
      </c>
      <c r="C475" s="5">
        <v>25</v>
      </c>
      <c r="D475" s="5">
        <v>443</v>
      </c>
      <c r="E475" s="5">
        <v>525</v>
      </c>
      <c r="F475" s="5" t="s">
        <v>77</v>
      </c>
      <c r="G475" s="5" t="s">
        <v>746</v>
      </c>
      <c r="H475" s="5">
        <v>2</v>
      </c>
      <c r="I475" s="5">
        <v>83.27</v>
      </c>
      <c r="J475" s="5" t="s">
        <v>839</v>
      </c>
      <c r="K475" s="5" t="s">
        <v>812</v>
      </c>
      <c r="L475" s="5"/>
      <c r="M475" s="5" t="s">
        <v>747</v>
      </c>
      <c r="N475" s="5"/>
      <c r="O475" s="20" t="s">
        <v>228</v>
      </c>
      <c r="P475" s="20" t="str">
        <f t="shared" si="7"/>
        <v/>
      </c>
      <c r="Q475" s="20" t="s">
        <v>27</v>
      </c>
      <c r="R475" s="20" t="s">
        <v>81</v>
      </c>
      <c r="S475" s="20"/>
      <c r="T475" s="20"/>
      <c r="U475" s="20"/>
      <c r="V475" s="20"/>
      <c r="W475" s="20">
        <v>1</v>
      </c>
      <c r="X475" s="21" t="s">
        <v>37</v>
      </c>
      <c r="Y475" s="5"/>
      <c r="Z475" s="5" t="s">
        <v>38</v>
      </c>
      <c r="AA475" s="5"/>
      <c r="AB475" s="5" t="str">
        <f>IF(LEN('List chi tiet'!$B$3)=0,"",'List chi tiet'!$B$3)</f>
        <v>TCTN.DNS-26004</v>
      </c>
      <c r="AC475" s="5" t="s">
        <v>630</v>
      </c>
      <c r="AD475" s="5" t="s">
        <v>39</v>
      </c>
    </row>
    <row r="476" spans="1:30" hidden="1" x14ac:dyDescent="0.25">
      <c r="A476" s="5">
        <v>466</v>
      </c>
      <c r="B476" s="5" t="s">
        <v>653</v>
      </c>
      <c r="C476" s="5">
        <v>25</v>
      </c>
      <c r="D476" s="5">
        <v>443</v>
      </c>
      <c r="E476" s="5">
        <v>525</v>
      </c>
      <c r="F476" s="5" t="s">
        <v>77</v>
      </c>
      <c r="G476" s="5" t="s">
        <v>746</v>
      </c>
      <c r="H476" s="5">
        <v>2</v>
      </c>
      <c r="I476" s="5">
        <v>83.27</v>
      </c>
      <c r="J476" s="5" t="s">
        <v>839</v>
      </c>
      <c r="K476" s="5" t="s">
        <v>812</v>
      </c>
      <c r="L476" s="5"/>
      <c r="M476" s="5" t="s">
        <v>747</v>
      </c>
      <c r="N476" s="5"/>
      <c r="O476" s="20" t="s">
        <v>228</v>
      </c>
      <c r="P476" s="20" t="str">
        <f t="shared" si="7"/>
        <v/>
      </c>
      <c r="Q476" s="20" t="s">
        <v>27</v>
      </c>
      <c r="R476" s="20" t="s">
        <v>81</v>
      </c>
      <c r="S476" s="20"/>
      <c r="T476" s="20"/>
      <c r="U476" s="20"/>
      <c r="V476" s="20"/>
      <c r="W476" s="20">
        <v>1</v>
      </c>
      <c r="X476" s="21" t="s">
        <v>37</v>
      </c>
      <c r="Y476" s="5"/>
      <c r="Z476" s="5" t="s">
        <v>38</v>
      </c>
      <c r="AA476" s="5"/>
      <c r="AB476" s="5" t="str">
        <f>IF(LEN('List chi tiet'!$B$3)=0,"",'List chi tiet'!$B$3)</f>
        <v>TCTN.DNS-26004</v>
      </c>
      <c r="AC476" s="5" t="s">
        <v>630</v>
      </c>
      <c r="AD476" s="5" t="s">
        <v>39</v>
      </c>
    </row>
    <row r="477" spans="1:30" hidden="1" x14ac:dyDescent="0.25">
      <c r="A477" s="5">
        <v>467</v>
      </c>
      <c r="B477" s="5" t="s">
        <v>654</v>
      </c>
      <c r="C477" s="5">
        <v>25</v>
      </c>
      <c r="D477" s="5">
        <v>200</v>
      </c>
      <c r="E477" s="5">
        <v>200</v>
      </c>
      <c r="F477" s="5" t="s">
        <v>77</v>
      </c>
      <c r="G477" s="5" t="s">
        <v>746</v>
      </c>
      <c r="H477" s="5">
        <v>2</v>
      </c>
      <c r="I477" s="5">
        <v>15.7</v>
      </c>
      <c r="J477" s="5" t="s">
        <v>839</v>
      </c>
      <c r="K477" s="5" t="s">
        <v>812</v>
      </c>
      <c r="L477" s="5"/>
      <c r="M477" s="5" t="s">
        <v>747</v>
      </c>
      <c r="N477" s="5"/>
      <c r="O477" s="20"/>
      <c r="P477" s="20" t="str">
        <f t="shared" si="7"/>
        <v/>
      </c>
      <c r="Q477" s="20" t="s">
        <v>26</v>
      </c>
      <c r="R477" s="20" t="s">
        <v>81</v>
      </c>
      <c r="S477" s="20"/>
      <c r="T477" s="20"/>
      <c r="U477" s="20"/>
      <c r="V477" s="20"/>
      <c r="W477" s="20">
        <v>1</v>
      </c>
      <c r="X477" s="21" t="s">
        <v>37</v>
      </c>
      <c r="Y477" s="5"/>
      <c r="Z477" s="5" t="s">
        <v>38</v>
      </c>
      <c r="AA477" s="5"/>
      <c r="AB477" s="5" t="str">
        <f>IF(LEN('List chi tiet'!$B$3)=0,"",'List chi tiet'!$B$3)</f>
        <v>TCTN.DNS-26004</v>
      </c>
      <c r="AC477" s="5" t="s">
        <v>630</v>
      </c>
      <c r="AD477" s="5" t="s">
        <v>39</v>
      </c>
    </row>
    <row r="478" spans="1:30" hidden="1" x14ac:dyDescent="0.25">
      <c r="A478" s="5">
        <v>468</v>
      </c>
      <c r="B478" s="5" t="s">
        <v>655</v>
      </c>
      <c r="C478" s="5">
        <v>25</v>
      </c>
      <c r="D478" s="5">
        <v>200</v>
      </c>
      <c r="E478" s="5">
        <v>200</v>
      </c>
      <c r="F478" s="5" t="s">
        <v>77</v>
      </c>
      <c r="G478" s="5" t="s">
        <v>746</v>
      </c>
      <c r="H478" s="5">
        <v>2</v>
      </c>
      <c r="I478" s="5">
        <v>15.7</v>
      </c>
      <c r="J478" s="5" t="s">
        <v>839</v>
      </c>
      <c r="K478" s="5" t="s">
        <v>812</v>
      </c>
      <c r="L478" s="5"/>
      <c r="M478" s="5" t="s">
        <v>747</v>
      </c>
      <c r="N478" s="5"/>
      <c r="O478" s="20"/>
      <c r="P478" s="20" t="str">
        <f t="shared" si="7"/>
        <v/>
      </c>
      <c r="Q478" s="20" t="s">
        <v>26</v>
      </c>
      <c r="R478" s="20" t="s">
        <v>81</v>
      </c>
      <c r="S478" s="20"/>
      <c r="T478" s="20"/>
      <c r="U478" s="20"/>
      <c r="V478" s="20"/>
      <c r="W478" s="20">
        <v>1</v>
      </c>
      <c r="X478" s="21" t="s">
        <v>37</v>
      </c>
      <c r="Y478" s="5"/>
      <c r="Z478" s="5" t="s">
        <v>38</v>
      </c>
      <c r="AA478" s="5"/>
      <c r="AB478" s="5" t="str">
        <f>IF(LEN('List chi tiet'!$B$3)=0,"",'List chi tiet'!$B$3)</f>
        <v>TCTN.DNS-26004</v>
      </c>
      <c r="AC478" s="5" t="s">
        <v>630</v>
      </c>
      <c r="AD478" s="5" t="s">
        <v>39</v>
      </c>
    </row>
    <row r="479" spans="1:30" hidden="1" x14ac:dyDescent="0.25">
      <c r="A479" s="5">
        <v>469</v>
      </c>
      <c r="B479" s="5" t="s">
        <v>656</v>
      </c>
      <c r="C479" s="5">
        <v>25</v>
      </c>
      <c r="D479" s="5">
        <v>443</v>
      </c>
      <c r="E479" s="5">
        <v>500</v>
      </c>
      <c r="F479" s="5" t="s">
        <v>77</v>
      </c>
      <c r="G479" s="5" t="s">
        <v>746</v>
      </c>
      <c r="H479" s="5">
        <v>2</v>
      </c>
      <c r="I479" s="5">
        <v>86.94</v>
      </c>
      <c r="J479" s="5" t="s">
        <v>839</v>
      </c>
      <c r="K479" s="5" t="s">
        <v>812</v>
      </c>
      <c r="L479" s="5"/>
      <c r="M479" s="5" t="s">
        <v>747</v>
      </c>
      <c r="N479" s="5"/>
      <c r="O479" s="20"/>
      <c r="P479" s="20" t="str">
        <f t="shared" si="7"/>
        <v/>
      </c>
      <c r="Q479" s="20" t="s">
        <v>26</v>
      </c>
      <c r="R479" s="20" t="s">
        <v>81</v>
      </c>
      <c r="S479" s="20"/>
      <c r="T479" s="20"/>
      <c r="U479" s="20"/>
      <c r="V479" s="20"/>
      <c r="W479" s="20">
        <v>1</v>
      </c>
      <c r="X479" s="21" t="s">
        <v>37</v>
      </c>
      <c r="Y479" s="5"/>
      <c r="Z479" s="5" t="s">
        <v>38</v>
      </c>
      <c r="AA479" s="5"/>
      <c r="AB479" s="5" t="str">
        <f>IF(LEN('List chi tiet'!$B$3)=0,"",'List chi tiet'!$B$3)</f>
        <v>TCTN.DNS-26004</v>
      </c>
      <c r="AC479" s="5" t="s">
        <v>630</v>
      </c>
      <c r="AD479" s="5" t="s">
        <v>39</v>
      </c>
    </row>
    <row r="480" spans="1:30" hidden="1" x14ac:dyDescent="0.25">
      <c r="A480" s="5">
        <v>470</v>
      </c>
      <c r="B480" s="5" t="s">
        <v>658</v>
      </c>
      <c r="C480" s="5">
        <v>25</v>
      </c>
      <c r="D480" s="5">
        <v>443</v>
      </c>
      <c r="E480" s="5">
        <v>500</v>
      </c>
      <c r="F480" s="5" t="s">
        <v>77</v>
      </c>
      <c r="G480" s="5" t="s">
        <v>746</v>
      </c>
      <c r="H480" s="5">
        <v>2</v>
      </c>
      <c r="I480" s="5">
        <v>86.94</v>
      </c>
      <c r="J480" s="5" t="s">
        <v>839</v>
      </c>
      <c r="K480" s="5" t="s">
        <v>812</v>
      </c>
      <c r="L480" s="5"/>
      <c r="M480" s="5" t="s">
        <v>747</v>
      </c>
      <c r="N480" s="5"/>
      <c r="O480" s="20"/>
      <c r="P480" s="20" t="str">
        <f t="shared" si="7"/>
        <v/>
      </c>
      <c r="Q480" s="20" t="s">
        <v>26</v>
      </c>
      <c r="R480" s="20" t="s">
        <v>81</v>
      </c>
      <c r="S480" s="20"/>
      <c r="T480" s="20"/>
      <c r="U480" s="20"/>
      <c r="V480" s="20"/>
      <c r="W480" s="20">
        <v>1</v>
      </c>
      <c r="X480" s="21" t="s">
        <v>37</v>
      </c>
      <c r="Y480" s="5"/>
      <c r="Z480" s="5" t="s">
        <v>38</v>
      </c>
      <c r="AA480" s="5"/>
      <c r="AB480" s="5" t="str">
        <f>IF(LEN('List chi tiet'!$B$3)=0,"",'List chi tiet'!$B$3)</f>
        <v>TCTN.DNS-26004</v>
      </c>
      <c r="AC480" s="5" t="s">
        <v>630</v>
      </c>
      <c r="AD480" s="5" t="s">
        <v>39</v>
      </c>
    </row>
    <row r="481" spans="1:30" hidden="1" x14ac:dyDescent="0.25">
      <c r="A481" s="5">
        <v>471</v>
      </c>
      <c r="B481" s="5" t="s">
        <v>659</v>
      </c>
      <c r="C481" s="5">
        <v>25</v>
      </c>
      <c r="D481" s="5">
        <v>375</v>
      </c>
      <c r="E481" s="5">
        <v>500</v>
      </c>
      <c r="F481" s="5" t="s">
        <v>77</v>
      </c>
      <c r="G481" s="5" t="s">
        <v>746</v>
      </c>
      <c r="H481" s="5">
        <v>2</v>
      </c>
      <c r="I481" s="5">
        <v>71.63</v>
      </c>
      <c r="J481" s="5" t="s">
        <v>839</v>
      </c>
      <c r="K481" s="5" t="s">
        <v>812</v>
      </c>
      <c r="L481" s="5"/>
      <c r="M481" s="5" t="s">
        <v>747</v>
      </c>
      <c r="N481" s="5"/>
      <c r="O481" s="20"/>
      <c r="P481" s="20" t="str">
        <f t="shared" si="7"/>
        <v/>
      </c>
      <c r="Q481" s="20" t="s">
        <v>26</v>
      </c>
      <c r="R481" s="20" t="s">
        <v>81</v>
      </c>
      <c r="S481" s="20"/>
      <c r="T481" s="20"/>
      <c r="U481" s="20"/>
      <c r="V481" s="20"/>
      <c r="W481" s="20">
        <v>1</v>
      </c>
      <c r="X481" s="21" t="s">
        <v>37</v>
      </c>
      <c r="Y481" s="5"/>
      <c r="Z481" s="5" t="s">
        <v>38</v>
      </c>
      <c r="AA481" s="5"/>
      <c r="AB481" s="5" t="str">
        <f>IF(LEN('List chi tiet'!$B$3)=0,"",'List chi tiet'!$B$3)</f>
        <v>TCTN.DNS-26004</v>
      </c>
      <c r="AC481" s="5" t="s">
        <v>630</v>
      </c>
      <c r="AD481" s="5" t="s">
        <v>39</v>
      </c>
    </row>
    <row r="482" spans="1:30" hidden="1" x14ac:dyDescent="0.25">
      <c r="A482" s="5">
        <v>472</v>
      </c>
      <c r="B482" s="5" t="s">
        <v>661</v>
      </c>
      <c r="C482" s="5">
        <v>25</v>
      </c>
      <c r="D482" s="5">
        <v>375</v>
      </c>
      <c r="E482" s="5">
        <v>500</v>
      </c>
      <c r="F482" s="5" t="s">
        <v>77</v>
      </c>
      <c r="G482" s="5" t="s">
        <v>746</v>
      </c>
      <c r="H482" s="5">
        <v>1</v>
      </c>
      <c r="I482" s="5">
        <v>35.82</v>
      </c>
      <c r="J482" s="5" t="s">
        <v>839</v>
      </c>
      <c r="K482" s="5" t="s">
        <v>812</v>
      </c>
      <c r="L482" s="5"/>
      <c r="M482" s="5" t="s">
        <v>747</v>
      </c>
      <c r="N482" s="5"/>
      <c r="O482" s="20"/>
      <c r="P482" s="20" t="str">
        <f t="shared" si="7"/>
        <v/>
      </c>
      <c r="Q482" s="20" t="s">
        <v>26</v>
      </c>
      <c r="R482" s="20" t="s">
        <v>81</v>
      </c>
      <c r="S482" s="20"/>
      <c r="T482" s="20"/>
      <c r="U482" s="20"/>
      <c r="V482" s="20"/>
      <c r="W482" s="20">
        <v>1</v>
      </c>
      <c r="X482" s="21" t="s">
        <v>37</v>
      </c>
      <c r="Y482" s="5"/>
      <c r="Z482" s="5" t="s">
        <v>38</v>
      </c>
      <c r="AA482" s="5"/>
      <c r="AB482" s="5" t="str">
        <f>IF(LEN('List chi tiet'!$B$3)=0,"",'List chi tiet'!$B$3)</f>
        <v>TCTN.DNS-26004</v>
      </c>
      <c r="AC482" s="5" t="s">
        <v>630</v>
      </c>
      <c r="AD482" s="5" t="s">
        <v>39</v>
      </c>
    </row>
    <row r="483" spans="1:30" hidden="1" x14ac:dyDescent="0.25">
      <c r="A483" s="5">
        <v>473</v>
      </c>
      <c r="B483" s="5" t="s">
        <v>662</v>
      </c>
      <c r="C483" s="5">
        <v>25</v>
      </c>
      <c r="D483" s="5">
        <v>375</v>
      </c>
      <c r="E483" s="5">
        <v>500</v>
      </c>
      <c r="F483" s="5" t="s">
        <v>77</v>
      </c>
      <c r="G483" s="5" t="s">
        <v>746</v>
      </c>
      <c r="H483" s="5">
        <v>2</v>
      </c>
      <c r="I483" s="5">
        <v>71.63</v>
      </c>
      <c r="J483" s="5" t="s">
        <v>839</v>
      </c>
      <c r="K483" s="5" t="s">
        <v>812</v>
      </c>
      <c r="L483" s="5"/>
      <c r="M483" s="5" t="s">
        <v>747</v>
      </c>
      <c r="N483" s="5"/>
      <c r="O483" s="20"/>
      <c r="P483" s="20" t="str">
        <f t="shared" si="7"/>
        <v/>
      </c>
      <c r="Q483" s="20" t="s">
        <v>26</v>
      </c>
      <c r="R483" s="20" t="s">
        <v>81</v>
      </c>
      <c r="S483" s="20"/>
      <c r="T483" s="20"/>
      <c r="U483" s="20"/>
      <c r="V483" s="20"/>
      <c r="W483" s="20">
        <v>1</v>
      </c>
      <c r="X483" s="21" t="s">
        <v>37</v>
      </c>
      <c r="Y483" s="5"/>
      <c r="Z483" s="5" t="s">
        <v>38</v>
      </c>
      <c r="AA483" s="5"/>
      <c r="AB483" s="5" t="str">
        <f>IF(LEN('List chi tiet'!$B$3)=0,"",'List chi tiet'!$B$3)</f>
        <v>TCTN.DNS-26004</v>
      </c>
      <c r="AC483" s="5" t="s">
        <v>630</v>
      </c>
      <c r="AD483" s="5" t="s">
        <v>39</v>
      </c>
    </row>
    <row r="484" spans="1:30" hidden="1" x14ac:dyDescent="0.25">
      <c r="A484" s="5">
        <v>474</v>
      </c>
      <c r="B484" s="5" t="s">
        <v>663</v>
      </c>
      <c r="C484" s="5">
        <v>25</v>
      </c>
      <c r="D484" s="5">
        <v>250</v>
      </c>
      <c r="E484" s="5">
        <v>300</v>
      </c>
      <c r="F484" s="5" t="s">
        <v>77</v>
      </c>
      <c r="G484" s="5" t="s">
        <v>746</v>
      </c>
      <c r="H484" s="5">
        <v>8</v>
      </c>
      <c r="I484" s="5">
        <v>107.35</v>
      </c>
      <c r="J484" s="5" t="s">
        <v>839</v>
      </c>
      <c r="K484" s="5" t="s">
        <v>812</v>
      </c>
      <c r="L484" s="5"/>
      <c r="M484" s="5" t="s">
        <v>747</v>
      </c>
      <c r="N484" s="5"/>
      <c r="O484" s="20" t="s">
        <v>228</v>
      </c>
      <c r="P484" s="20" t="str">
        <f t="shared" si="7"/>
        <v/>
      </c>
      <c r="Q484" s="20" t="s">
        <v>27</v>
      </c>
      <c r="R484" s="20" t="s">
        <v>81</v>
      </c>
      <c r="S484" s="20"/>
      <c r="T484" s="20"/>
      <c r="U484" s="20"/>
      <c r="V484" s="20"/>
      <c r="W484" s="20">
        <v>1</v>
      </c>
      <c r="X484" s="21" t="s">
        <v>37</v>
      </c>
      <c r="Y484" s="5"/>
      <c r="Z484" s="5" t="s">
        <v>38</v>
      </c>
      <c r="AA484" s="5"/>
      <c r="AB484" s="5" t="str">
        <f>IF(LEN('List chi tiet'!$B$3)=0,"",'List chi tiet'!$B$3)</f>
        <v>TCTN.DNS-26004</v>
      </c>
      <c r="AC484" s="5" t="s">
        <v>630</v>
      </c>
      <c r="AD484" s="5" t="s">
        <v>39</v>
      </c>
    </row>
    <row r="485" spans="1:30" hidden="1" x14ac:dyDescent="0.25">
      <c r="A485" s="5">
        <v>475</v>
      </c>
      <c r="B485" s="5" t="s">
        <v>665</v>
      </c>
      <c r="C485" s="5">
        <v>25</v>
      </c>
      <c r="D485" s="5">
        <v>375</v>
      </c>
      <c r="E485" s="5">
        <v>500</v>
      </c>
      <c r="F485" s="5" t="s">
        <v>77</v>
      </c>
      <c r="G485" s="5" t="s">
        <v>746</v>
      </c>
      <c r="H485" s="5">
        <v>1</v>
      </c>
      <c r="I485" s="5">
        <v>35.82</v>
      </c>
      <c r="J485" s="5" t="s">
        <v>839</v>
      </c>
      <c r="K485" s="5" t="s">
        <v>812</v>
      </c>
      <c r="L485" s="5"/>
      <c r="M485" s="5" t="s">
        <v>747</v>
      </c>
      <c r="N485" s="5"/>
      <c r="O485" s="20"/>
      <c r="P485" s="20" t="str">
        <f t="shared" si="7"/>
        <v/>
      </c>
      <c r="Q485" s="20" t="s">
        <v>26</v>
      </c>
      <c r="R485" s="20" t="s">
        <v>81</v>
      </c>
      <c r="S485" s="20"/>
      <c r="T485" s="20"/>
      <c r="U485" s="20"/>
      <c r="V485" s="20"/>
      <c r="W485" s="20">
        <v>1</v>
      </c>
      <c r="X485" s="21" t="s">
        <v>37</v>
      </c>
      <c r="Y485" s="5"/>
      <c r="Z485" s="5" t="s">
        <v>38</v>
      </c>
      <c r="AA485" s="5"/>
      <c r="AB485" s="5" t="str">
        <f>IF(LEN('List chi tiet'!$B$3)=0,"",'List chi tiet'!$B$3)</f>
        <v>TCTN.DNS-26004</v>
      </c>
      <c r="AC485" s="5" t="s">
        <v>630</v>
      </c>
      <c r="AD485" s="5" t="s">
        <v>39</v>
      </c>
    </row>
    <row r="486" spans="1:30" hidden="1" x14ac:dyDescent="0.25">
      <c r="A486" s="5">
        <v>476</v>
      </c>
      <c r="B486" s="5" t="s">
        <v>666</v>
      </c>
      <c r="C486" s="5">
        <v>25</v>
      </c>
      <c r="D486" s="5">
        <v>250</v>
      </c>
      <c r="E486" s="5">
        <v>300</v>
      </c>
      <c r="F486" s="5" t="s">
        <v>77</v>
      </c>
      <c r="G486" s="5" t="s">
        <v>746</v>
      </c>
      <c r="H486" s="5">
        <v>8</v>
      </c>
      <c r="I486" s="5">
        <v>102.91</v>
      </c>
      <c r="J486" s="5" t="s">
        <v>839</v>
      </c>
      <c r="K486" s="5" t="s">
        <v>812</v>
      </c>
      <c r="L486" s="5"/>
      <c r="M486" s="5" t="s">
        <v>747</v>
      </c>
      <c r="N486" s="5"/>
      <c r="O486" s="20" t="s">
        <v>228</v>
      </c>
      <c r="P486" s="20" t="str">
        <f t="shared" si="7"/>
        <v/>
      </c>
      <c r="Q486" s="20" t="s">
        <v>27</v>
      </c>
      <c r="R486" s="20" t="s">
        <v>81</v>
      </c>
      <c r="S486" s="20"/>
      <c r="T486" s="20"/>
      <c r="U486" s="20"/>
      <c r="V486" s="20"/>
      <c r="W486" s="20">
        <v>1</v>
      </c>
      <c r="X486" s="21" t="s">
        <v>37</v>
      </c>
      <c r="Y486" s="5"/>
      <c r="Z486" s="5" t="s">
        <v>38</v>
      </c>
      <c r="AA486" s="5"/>
      <c r="AB486" s="5" t="str">
        <f>IF(LEN('List chi tiet'!$B$3)=0,"",'List chi tiet'!$B$3)</f>
        <v>TCTN.DNS-26004</v>
      </c>
      <c r="AC486" s="5" t="s">
        <v>630</v>
      </c>
      <c r="AD486" s="5" t="s">
        <v>39</v>
      </c>
    </row>
    <row r="487" spans="1:30" hidden="1" x14ac:dyDescent="0.25">
      <c r="A487" s="5">
        <v>477</v>
      </c>
      <c r="B487" s="5" t="s">
        <v>667</v>
      </c>
      <c r="C487" s="5">
        <v>25</v>
      </c>
      <c r="D487" s="5">
        <v>240</v>
      </c>
      <c r="E487" s="5">
        <v>300</v>
      </c>
      <c r="F487" s="5" t="s">
        <v>77</v>
      </c>
      <c r="G487" s="5" t="s">
        <v>746</v>
      </c>
      <c r="H487" s="5">
        <v>8</v>
      </c>
      <c r="I487" s="5">
        <v>100.71</v>
      </c>
      <c r="J487" s="5" t="s">
        <v>839</v>
      </c>
      <c r="K487" s="5" t="s">
        <v>812</v>
      </c>
      <c r="L487" s="5"/>
      <c r="M487" s="5" t="s">
        <v>747</v>
      </c>
      <c r="N487" s="5"/>
      <c r="O487" s="20" t="s">
        <v>228</v>
      </c>
      <c r="P487" s="20" t="str">
        <f t="shared" si="7"/>
        <v/>
      </c>
      <c r="Q487" s="20" t="s">
        <v>27</v>
      </c>
      <c r="R487" s="20" t="s">
        <v>81</v>
      </c>
      <c r="S487" s="20"/>
      <c r="T487" s="20"/>
      <c r="U487" s="20"/>
      <c r="V487" s="20"/>
      <c r="W487" s="20">
        <v>1</v>
      </c>
      <c r="X487" s="21" t="s">
        <v>37</v>
      </c>
      <c r="Y487" s="5"/>
      <c r="Z487" s="5" t="s">
        <v>38</v>
      </c>
      <c r="AA487" s="5"/>
      <c r="AB487" s="5" t="str">
        <f>IF(LEN('List chi tiet'!$B$3)=0,"",'List chi tiet'!$B$3)</f>
        <v>TCTN.DNS-26004</v>
      </c>
      <c r="AC487" s="5" t="s">
        <v>630</v>
      </c>
      <c r="AD487" s="5" t="s">
        <v>39</v>
      </c>
    </row>
    <row r="488" spans="1:30" hidden="1" x14ac:dyDescent="0.25">
      <c r="A488" s="5">
        <v>478</v>
      </c>
      <c r="B488" s="5" t="s">
        <v>669</v>
      </c>
      <c r="C488" s="5">
        <v>25</v>
      </c>
      <c r="D488" s="5">
        <v>240</v>
      </c>
      <c r="E488" s="5">
        <v>300</v>
      </c>
      <c r="F488" s="5" t="s">
        <v>77</v>
      </c>
      <c r="G488" s="5" t="s">
        <v>746</v>
      </c>
      <c r="H488" s="5">
        <v>8</v>
      </c>
      <c r="I488" s="5">
        <v>108.6</v>
      </c>
      <c r="J488" s="5" t="s">
        <v>839</v>
      </c>
      <c r="K488" s="5" t="s">
        <v>812</v>
      </c>
      <c r="L488" s="5"/>
      <c r="M488" s="5" t="s">
        <v>747</v>
      </c>
      <c r="N488" s="5"/>
      <c r="O488" s="20" t="s">
        <v>228</v>
      </c>
      <c r="P488" s="20" t="str">
        <f t="shared" si="7"/>
        <v/>
      </c>
      <c r="Q488" s="20" t="s">
        <v>27</v>
      </c>
      <c r="R488" s="20" t="s">
        <v>81</v>
      </c>
      <c r="S488" s="20"/>
      <c r="T488" s="20"/>
      <c r="U488" s="20"/>
      <c r="V488" s="20"/>
      <c r="W488" s="20">
        <v>1</v>
      </c>
      <c r="X488" s="21" t="s">
        <v>37</v>
      </c>
      <c r="Y488" s="5"/>
      <c r="Z488" s="5" t="s">
        <v>38</v>
      </c>
      <c r="AA488" s="5"/>
      <c r="AB488" s="5" t="str">
        <f>IF(LEN('List chi tiet'!$B$3)=0,"",'List chi tiet'!$B$3)</f>
        <v>TCTN.DNS-26004</v>
      </c>
      <c r="AC488" s="5" t="s">
        <v>630</v>
      </c>
      <c r="AD488" s="5" t="s">
        <v>39</v>
      </c>
    </row>
    <row r="489" spans="1:30" hidden="1" x14ac:dyDescent="0.25">
      <c r="A489" s="5">
        <v>479</v>
      </c>
      <c r="B489" s="5" t="s">
        <v>670</v>
      </c>
      <c r="C489" s="5">
        <v>25</v>
      </c>
      <c r="D489" s="5">
        <v>240</v>
      </c>
      <c r="E489" s="5">
        <v>300</v>
      </c>
      <c r="F489" s="5" t="s">
        <v>77</v>
      </c>
      <c r="G489" s="5" t="s">
        <v>746</v>
      </c>
      <c r="H489" s="5">
        <v>4</v>
      </c>
      <c r="I489" s="5">
        <v>50.35</v>
      </c>
      <c r="J489" s="5" t="s">
        <v>839</v>
      </c>
      <c r="K489" s="5" t="s">
        <v>812</v>
      </c>
      <c r="L489" s="5"/>
      <c r="M489" s="5" t="s">
        <v>747</v>
      </c>
      <c r="N489" s="5"/>
      <c r="O489" s="20" t="s">
        <v>228</v>
      </c>
      <c r="P489" s="20" t="str">
        <f t="shared" si="7"/>
        <v/>
      </c>
      <c r="Q489" s="20" t="s">
        <v>27</v>
      </c>
      <c r="R489" s="20" t="s">
        <v>81</v>
      </c>
      <c r="S489" s="20"/>
      <c r="T489" s="20"/>
      <c r="U489" s="20"/>
      <c r="V489" s="20"/>
      <c r="W489" s="20">
        <v>1</v>
      </c>
      <c r="X489" s="21" t="s">
        <v>37</v>
      </c>
      <c r="Y489" s="5"/>
      <c r="Z489" s="5" t="s">
        <v>38</v>
      </c>
      <c r="AA489" s="5"/>
      <c r="AB489" s="5" t="str">
        <f>IF(LEN('List chi tiet'!$B$3)=0,"",'List chi tiet'!$B$3)</f>
        <v>TCTN.DNS-26004</v>
      </c>
      <c r="AC489" s="5" t="s">
        <v>630</v>
      </c>
      <c r="AD489" s="5" t="s">
        <v>39</v>
      </c>
    </row>
    <row r="490" spans="1:30" hidden="1" x14ac:dyDescent="0.25">
      <c r="A490" s="5">
        <v>480</v>
      </c>
      <c r="B490" s="5" t="s">
        <v>671</v>
      </c>
      <c r="C490" s="5">
        <v>25</v>
      </c>
      <c r="D490" s="5">
        <v>200</v>
      </c>
      <c r="E490" s="5">
        <v>200</v>
      </c>
      <c r="F490" s="5" t="s">
        <v>77</v>
      </c>
      <c r="G490" s="5" t="s">
        <v>746</v>
      </c>
      <c r="H490" s="5">
        <v>2</v>
      </c>
      <c r="I490" s="5">
        <v>15.7</v>
      </c>
      <c r="J490" s="5" t="s">
        <v>839</v>
      </c>
      <c r="K490" s="5" t="s">
        <v>812</v>
      </c>
      <c r="L490" s="5"/>
      <c r="M490" s="5" t="s">
        <v>747</v>
      </c>
      <c r="N490" s="5"/>
      <c r="O490" s="20"/>
      <c r="P490" s="20" t="str">
        <f t="shared" si="7"/>
        <v/>
      </c>
      <c r="Q490" s="20" t="s">
        <v>26</v>
      </c>
      <c r="R490" s="20" t="s">
        <v>81</v>
      </c>
      <c r="S490" s="20"/>
      <c r="T490" s="20"/>
      <c r="U490" s="20"/>
      <c r="V490" s="20"/>
      <c r="W490" s="20">
        <v>1</v>
      </c>
      <c r="X490" s="21" t="s">
        <v>37</v>
      </c>
      <c r="Y490" s="5"/>
      <c r="Z490" s="5" t="s">
        <v>38</v>
      </c>
      <c r="AA490" s="5"/>
      <c r="AB490" s="5" t="str">
        <f>IF(LEN('List chi tiet'!$B$3)=0,"",'List chi tiet'!$B$3)</f>
        <v>TCTN.DNS-26004</v>
      </c>
      <c r="AC490" s="5" t="s">
        <v>630</v>
      </c>
      <c r="AD490" s="5" t="s">
        <v>39</v>
      </c>
    </row>
    <row r="491" spans="1:30" hidden="1" x14ac:dyDescent="0.25">
      <c r="A491" s="5">
        <v>481</v>
      </c>
      <c r="B491" s="5" t="s">
        <v>672</v>
      </c>
      <c r="C491" s="5">
        <v>25</v>
      </c>
      <c r="D491" s="5">
        <v>240</v>
      </c>
      <c r="E491" s="5">
        <v>300</v>
      </c>
      <c r="F491" s="5" t="s">
        <v>77</v>
      </c>
      <c r="G491" s="5" t="s">
        <v>746</v>
      </c>
      <c r="H491" s="5">
        <v>4</v>
      </c>
      <c r="I491" s="5">
        <v>54.3</v>
      </c>
      <c r="J491" s="5" t="s">
        <v>839</v>
      </c>
      <c r="K491" s="5" t="s">
        <v>812</v>
      </c>
      <c r="L491" s="5"/>
      <c r="M491" s="5" t="s">
        <v>747</v>
      </c>
      <c r="N491" s="5"/>
      <c r="O491" s="20" t="s">
        <v>228</v>
      </c>
      <c r="P491" s="20" t="str">
        <f t="shared" si="7"/>
        <v/>
      </c>
      <c r="Q491" s="20" t="s">
        <v>27</v>
      </c>
      <c r="R491" s="20" t="s">
        <v>81</v>
      </c>
      <c r="S491" s="20"/>
      <c r="T491" s="20"/>
      <c r="U491" s="20"/>
      <c r="V491" s="20"/>
      <c r="W491" s="20">
        <v>1</v>
      </c>
      <c r="X491" s="21" t="s">
        <v>37</v>
      </c>
      <c r="Y491" s="5"/>
      <c r="Z491" s="5" t="s">
        <v>38</v>
      </c>
      <c r="AA491" s="5"/>
      <c r="AB491" s="5" t="str">
        <f>IF(LEN('List chi tiet'!$B$3)=0,"",'List chi tiet'!$B$3)</f>
        <v>TCTN.DNS-26004</v>
      </c>
      <c r="AC491" s="5" t="s">
        <v>630</v>
      </c>
      <c r="AD491" s="5" t="s">
        <v>39</v>
      </c>
    </row>
    <row r="492" spans="1:30" hidden="1" x14ac:dyDescent="0.25">
      <c r="A492" s="5">
        <v>482</v>
      </c>
      <c r="B492" s="5" t="s">
        <v>673</v>
      </c>
      <c r="C492" s="5">
        <v>30</v>
      </c>
      <c r="D492" s="5">
        <v>390</v>
      </c>
      <c r="E492" s="5">
        <v>670</v>
      </c>
      <c r="F492" s="5" t="s">
        <v>77</v>
      </c>
      <c r="G492" s="5" t="s">
        <v>746</v>
      </c>
      <c r="H492" s="5">
        <v>2</v>
      </c>
      <c r="I492" s="5">
        <v>111.3</v>
      </c>
      <c r="J492" s="5" t="s">
        <v>839</v>
      </c>
      <c r="K492" s="5" t="s">
        <v>812</v>
      </c>
      <c r="L492" s="5"/>
      <c r="M492" s="5" t="s">
        <v>747</v>
      </c>
      <c r="N492" s="5"/>
      <c r="O492" s="20" t="s">
        <v>228</v>
      </c>
      <c r="P492" s="20" t="str">
        <f t="shared" si="7"/>
        <v/>
      </c>
      <c r="Q492" s="20" t="s">
        <v>27</v>
      </c>
      <c r="R492" s="20" t="s">
        <v>81</v>
      </c>
      <c r="S492" s="20"/>
      <c r="T492" s="20"/>
      <c r="U492" s="20"/>
      <c r="V492" s="20"/>
      <c r="W492" s="20">
        <v>1</v>
      </c>
      <c r="X492" s="21" t="s">
        <v>37</v>
      </c>
      <c r="Y492" s="5"/>
      <c r="Z492" s="5" t="s">
        <v>38</v>
      </c>
      <c r="AA492" s="5"/>
      <c r="AB492" s="5" t="str">
        <f>IF(LEN('List chi tiet'!$B$3)=0,"",'List chi tiet'!$B$3)</f>
        <v>TCTN.DNS-26004</v>
      </c>
      <c r="AC492" s="5" t="s">
        <v>676</v>
      </c>
      <c r="AD492" s="5" t="s">
        <v>39</v>
      </c>
    </row>
    <row r="493" spans="1:30" hidden="1" x14ac:dyDescent="0.25">
      <c r="A493" s="5">
        <v>483</v>
      </c>
      <c r="B493" s="5" t="s">
        <v>678</v>
      </c>
      <c r="C493" s="5">
        <v>30</v>
      </c>
      <c r="D493" s="5">
        <v>290</v>
      </c>
      <c r="E493" s="5">
        <v>670</v>
      </c>
      <c r="F493" s="5" t="s">
        <v>77</v>
      </c>
      <c r="G493" s="5" t="s">
        <v>746</v>
      </c>
      <c r="H493" s="5">
        <v>4</v>
      </c>
      <c r="I493" s="5">
        <v>167.26</v>
      </c>
      <c r="J493" s="5" t="s">
        <v>839</v>
      </c>
      <c r="K493" s="5" t="s">
        <v>812</v>
      </c>
      <c r="L493" s="5"/>
      <c r="M493" s="5" t="s">
        <v>747</v>
      </c>
      <c r="N493" s="5"/>
      <c r="O493" s="20" t="s">
        <v>228</v>
      </c>
      <c r="P493" s="20" t="str">
        <f t="shared" si="7"/>
        <v/>
      </c>
      <c r="Q493" s="20" t="s">
        <v>27</v>
      </c>
      <c r="R493" s="20" t="s">
        <v>81</v>
      </c>
      <c r="S493" s="20"/>
      <c r="T493" s="20"/>
      <c r="U493" s="20"/>
      <c r="V493" s="20"/>
      <c r="W493" s="20">
        <v>1</v>
      </c>
      <c r="X493" s="21" t="s">
        <v>37</v>
      </c>
      <c r="Y493" s="5"/>
      <c r="Z493" s="5" t="s">
        <v>38</v>
      </c>
      <c r="AA493" s="5"/>
      <c r="AB493" s="5" t="str">
        <f>IF(LEN('List chi tiet'!$B$3)=0,"",'List chi tiet'!$B$3)</f>
        <v>TCTN.DNS-26004</v>
      </c>
      <c r="AC493" s="5" t="s">
        <v>676</v>
      </c>
      <c r="AD493" s="5" t="s">
        <v>39</v>
      </c>
    </row>
    <row r="494" spans="1:30" hidden="1" x14ac:dyDescent="0.25">
      <c r="A494" s="5">
        <v>484</v>
      </c>
      <c r="B494" s="5" t="s">
        <v>680</v>
      </c>
      <c r="C494" s="5">
        <v>30</v>
      </c>
      <c r="D494" s="5">
        <v>390</v>
      </c>
      <c r="E494" s="5">
        <v>670</v>
      </c>
      <c r="F494" s="5" t="s">
        <v>77</v>
      </c>
      <c r="G494" s="5" t="s">
        <v>746</v>
      </c>
      <c r="H494" s="5">
        <v>2</v>
      </c>
      <c r="I494" s="5">
        <v>111.3</v>
      </c>
      <c r="J494" s="5" t="s">
        <v>839</v>
      </c>
      <c r="K494" s="5" t="s">
        <v>812</v>
      </c>
      <c r="L494" s="5"/>
      <c r="M494" s="5" t="s">
        <v>747</v>
      </c>
      <c r="N494" s="5"/>
      <c r="O494" s="20" t="s">
        <v>228</v>
      </c>
      <c r="P494" s="20" t="str">
        <f t="shared" si="7"/>
        <v/>
      </c>
      <c r="Q494" s="20" t="s">
        <v>27</v>
      </c>
      <c r="R494" s="20" t="s">
        <v>81</v>
      </c>
      <c r="S494" s="20"/>
      <c r="T494" s="20"/>
      <c r="U494" s="20"/>
      <c r="V494" s="20"/>
      <c r="W494" s="20">
        <v>1</v>
      </c>
      <c r="X494" s="21" t="s">
        <v>37</v>
      </c>
      <c r="Y494" s="5"/>
      <c r="Z494" s="5" t="s">
        <v>38</v>
      </c>
      <c r="AA494" s="5"/>
      <c r="AB494" s="5" t="str">
        <f>IF(LEN('List chi tiet'!$B$3)=0,"",'List chi tiet'!$B$3)</f>
        <v>TCTN.DNS-26004</v>
      </c>
      <c r="AC494" s="5" t="s">
        <v>676</v>
      </c>
      <c r="AD494" s="5" t="s">
        <v>39</v>
      </c>
    </row>
    <row r="495" spans="1:30" hidden="1" x14ac:dyDescent="0.25">
      <c r="A495" s="5">
        <v>485</v>
      </c>
      <c r="B495" s="5" t="s">
        <v>681</v>
      </c>
      <c r="C495" s="5">
        <v>30</v>
      </c>
      <c r="D495" s="5">
        <v>290</v>
      </c>
      <c r="E495" s="5">
        <v>670</v>
      </c>
      <c r="F495" s="5" t="s">
        <v>77</v>
      </c>
      <c r="G495" s="5" t="s">
        <v>746</v>
      </c>
      <c r="H495" s="5">
        <v>4</v>
      </c>
      <c r="I495" s="5">
        <v>167.26</v>
      </c>
      <c r="J495" s="5" t="s">
        <v>839</v>
      </c>
      <c r="K495" s="5" t="s">
        <v>812</v>
      </c>
      <c r="L495" s="5"/>
      <c r="M495" s="5" t="s">
        <v>747</v>
      </c>
      <c r="N495" s="5"/>
      <c r="O495" s="20" t="s">
        <v>228</v>
      </c>
      <c r="P495" s="20" t="str">
        <f t="shared" si="7"/>
        <v/>
      </c>
      <c r="Q495" s="20" t="s">
        <v>27</v>
      </c>
      <c r="R495" s="20" t="s">
        <v>81</v>
      </c>
      <c r="S495" s="20"/>
      <c r="T495" s="20"/>
      <c r="U495" s="20"/>
      <c r="V495" s="20"/>
      <c r="W495" s="20">
        <v>1</v>
      </c>
      <c r="X495" s="21" t="s">
        <v>37</v>
      </c>
      <c r="Y495" s="5"/>
      <c r="Z495" s="5" t="s">
        <v>38</v>
      </c>
      <c r="AA495" s="5"/>
      <c r="AB495" s="5" t="str">
        <f>IF(LEN('List chi tiet'!$B$3)=0,"",'List chi tiet'!$B$3)</f>
        <v>TCTN.DNS-26004</v>
      </c>
      <c r="AC495" s="5" t="s">
        <v>676</v>
      </c>
      <c r="AD495" s="5" t="s">
        <v>39</v>
      </c>
    </row>
    <row r="496" spans="1:30" hidden="1" x14ac:dyDescent="0.25">
      <c r="A496" s="5">
        <v>486</v>
      </c>
      <c r="B496" s="5" t="s">
        <v>682</v>
      </c>
      <c r="C496" s="5">
        <v>30</v>
      </c>
      <c r="D496" s="5">
        <v>390</v>
      </c>
      <c r="E496" s="5">
        <v>670</v>
      </c>
      <c r="F496" s="5" t="s">
        <v>77</v>
      </c>
      <c r="G496" s="5" t="s">
        <v>746</v>
      </c>
      <c r="H496" s="5">
        <v>2</v>
      </c>
      <c r="I496" s="5">
        <v>111.3</v>
      </c>
      <c r="J496" s="5" t="s">
        <v>839</v>
      </c>
      <c r="K496" s="5" t="s">
        <v>812</v>
      </c>
      <c r="L496" s="5"/>
      <c r="M496" s="5" t="s">
        <v>747</v>
      </c>
      <c r="N496" s="5"/>
      <c r="O496" s="20" t="s">
        <v>228</v>
      </c>
      <c r="P496" s="20" t="str">
        <f t="shared" si="7"/>
        <v/>
      </c>
      <c r="Q496" s="20" t="s">
        <v>27</v>
      </c>
      <c r="R496" s="20" t="s">
        <v>81</v>
      </c>
      <c r="S496" s="20"/>
      <c r="T496" s="20"/>
      <c r="U496" s="20"/>
      <c r="V496" s="20"/>
      <c r="W496" s="20">
        <v>1</v>
      </c>
      <c r="X496" s="21" t="s">
        <v>37</v>
      </c>
      <c r="Y496" s="5"/>
      <c r="Z496" s="5" t="s">
        <v>38</v>
      </c>
      <c r="AA496" s="5"/>
      <c r="AB496" s="5" t="str">
        <f>IF(LEN('List chi tiet'!$B$3)=0,"",'List chi tiet'!$B$3)</f>
        <v>TCTN.DNS-26004</v>
      </c>
      <c r="AC496" s="5" t="s">
        <v>676</v>
      </c>
      <c r="AD496" s="5" t="s">
        <v>39</v>
      </c>
    </row>
    <row r="497" spans="1:30" hidden="1" x14ac:dyDescent="0.25">
      <c r="A497" s="5">
        <v>487</v>
      </c>
      <c r="B497" s="5" t="s">
        <v>683</v>
      </c>
      <c r="C497" s="5">
        <v>30</v>
      </c>
      <c r="D497" s="5">
        <v>290</v>
      </c>
      <c r="E497" s="5">
        <v>670</v>
      </c>
      <c r="F497" s="5" t="s">
        <v>77</v>
      </c>
      <c r="G497" s="5" t="s">
        <v>746</v>
      </c>
      <c r="H497" s="5">
        <v>4</v>
      </c>
      <c r="I497" s="5">
        <v>167.26</v>
      </c>
      <c r="J497" s="5" t="s">
        <v>839</v>
      </c>
      <c r="K497" s="5" t="s">
        <v>812</v>
      </c>
      <c r="L497" s="5"/>
      <c r="M497" s="5" t="s">
        <v>747</v>
      </c>
      <c r="N497" s="5"/>
      <c r="O497" s="20" t="s">
        <v>228</v>
      </c>
      <c r="P497" s="20" t="str">
        <f t="shared" si="7"/>
        <v/>
      </c>
      <c r="Q497" s="20" t="s">
        <v>27</v>
      </c>
      <c r="R497" s="20" t="s">
        <v>81</v>
      </c>
      <c r="S497" s="20"/>
      <c r="T497" s="20"/>
      <c r="U497" s="20"/>
      <c r="V497" s="20"/>
      <c r="W497" s="20">
        <v>1</v>
      </c>
      <c r="X497" s="21" t="s">
        <v>37</v>
      </c>
      <c r="Y497" s="5"/>
      <c r="Z497" s="5" t="s">
        <v>38</v>
      </c>
      <c r="AA497" s="5"/>
      <c r="AB497" s="5" t="str">
        <f>IF(LEN('List chi tiet'!$B$3)=0,"",'List chi tiet'!$B$3)</f>
        <v>TCTN.DNS-26004</v>
      </c>
      <c r="AC497" s="5" t="s">
        <v>676</v>
      </c>
      <c r="AD497" s="5" t="s">
        <v>39</v>
      </c>
    </row>
    <row r="498" spans="1:30" hidden="1" x14ac:dyDescent="0.25">
      <c r="A498" s="5">
        <v>488</v>
      </c>
      <c r="B498" s="5" t="s">
        <v>684</v>
      </c>
      <c r="C498" s="5">
        <v>30</v>
      </c>
      <c r="D498" s="5">
        <v>390</v>
      </c>
      <c r="E498" s="5">
        <v>670</v>
      </c>
      <c r="F498" s="5" t="s">
        <v>77</v>
      </c>
      <c r="G498" s="5" t="s">
        <v>746</v>
      </c>
      <c r="H498" s="5">
        <v>2</v>
      </c>
      <c r="I498" s="5">
        <v>111.3</v>
      </c>
      <c r="J498" s="5" t="s">
        <v>839</v>
      </c>
      <c r="K498" s="5" t="s">
        <v>812</v>
      </c>
      <c r="L498" s="5"/>
      <c r="M498" s="5" t="s">
        <v>747</v>
      </c>
      <c r="N498" s="5"/>
      <c r="O498" s="20" t="s">
        <v>228</v>
      </c>
      <c r="P498" s="20" t="str">
        <f t="shared" si="7"/>
        <v/>
      </c>
      <c r="Q498" s="20" t="s">
        <v>27</v>
      </c>
      <c r="R498" s="20" t="s">
        <v>81</v>
      </c>
      <c r="S498" s="20"/>
      <c r="T498" s="20"/>
      <c r="U498" s="20"/>
      <c r="V498" s="20"/>
      <c r="W498" s="20">
        <v>1</v>
      </c>
      <c r="X498" s="21" t="s">
        <v>37</v>
      </c>
      <c r="Y498" s="5"/>
      <c r="Z498" s="5" t="s">
        <v>38</v>
      </c>
      <c r="AA498" s="5"/>
      <c r="AB498" s="5" t="str">
        <f>IF(LEN('List chi tiet'!$B$3)=0,"",'List chi tiet'!$B$3)</f>
        <v>TCTN.DNS-26004</v>
      </c>
      <c r="AC498" s="5" t="s">
        <v>676</v>
      </c>
      <c r="AD498" s="5" t="s">
        <v>39</v>
      </c>
    </row>
    <row r="499" spans="1:30" hidden="1" x14ac:dyDescent="0.25">
      <c r="A499" s="5">
        <v>489</v>
      </c>
      <c r="B499" s="5" t="s">
        <v>685</v>
      </c>
      <c r="C499" s="5">
        <v>30</v>
      </c>
      <c r="D499" s="5">
        <v>290</v>
      </c>
      <c r="E499" s="5">
        <v>670</v>
      </c>
      <c r="F499" s="5" t="s">
        <v>77</v>
      </c>
      <c r="G499" s="5" t="s">
        <v>746</v>
      </c>
      <c r="H499" s="5">
        <v>4</v>
      </c>
      <c r="I499" s="5">
        <v>167.26</v>
      </c>
      <c r="J499" s="5" t="s">
        <v>839</v>
      </c>
      <c r="K499" s="5" t="s">
        <v>812</v>
      </c>
      <c r="L499" s="5"/>
      <c r="M499" s="5" t="s">
        <v>747</v>
      </c>
      <c r="N499" s="5"/>
      <c r="O499" s="20" t="s">
        <v>228</v>
      </c>
      <c r="P499" s="20" t="str">
        <f t="shared" si="7"/>
        <v/>
      </c>
      <c r="Q499" s="20" t="s">
        <v>27</v>
      </c>
      <c r="R499" s="20" t="s">
        <v>81</v>
      </c>
      <c r="S499" s="20"/>
      <c r="T499" s="20"/>
      <c r="U499" s="20"/>
      <c r="V499" s="20"/>
      <c r="W499" s="20">
        <v>1</v>
      </c>
      <c r="X499" s="21" t="s">
        <v>37</v>
      </c>
      <c r="Y499" s="5"/>
      <c r="Z499" s="5" t="s">
        <v>38</v>
      </c>
      <c r="AA499" s="5"/>
      <c r="AB499" s="5" t="str">
        <f>IF(LEN('List chi tiet'!$B$3)=0,"",'List chi tiet'!$B$3)</f>
        <v>TCTN.DNS-26004</v>
      </c>
      <c r="AC499" s="5" t="s">
        <v>676</v>
      </c>
      <c r="AD499" s="5" t="s">
        <v>39</v>
      </c>
    </row>
    <row r="500" spans="1:30" hidden="1" x14ac:dyDescent="0.25">
      <c r="A500" s="5">
        <v>490</v>
      </c>
      <c r="B500" s="5" t="s">
        <v>686</v>
      </c>
      <c r="C500" s="5">
        <v>30</v>
      </c>
      <c r="D500" s="5">
        <v>315</v>
      </c>
      <c r="E500" s="5">
        <v>460</v>
      </c>
      <c r="F500" s="5" t="s">
        <v>77</v>
      </c>
      <c r="G500" s="5" t="s">
        <v>746</v>
      </c>
      <c r="H500" s="5">
        <v>2</v>
      </c>
      <c r="I500" s="5">
        <v>45.73</v>
      </c>
      <c r="J500" s="5" t="s">
        <v>839</v>
      </c>
      <c r="K500" s="5" t="s">
        <v>812</v>
      </c>
      <c r="L500" s="5"/>
      <c r="M500" s="5" t="s">
        <v>747</v>
      </c>
      <c r="N500" s="5"/>
      <c r="O500" s="20" t="s">
        <v>228</v>
      </c>
      <c r="P500" s="20" t="str">
        <f t="shared" si="7"/>
        <v/>
      </c>
      <c r="Q500" s="20" t="s">
        <v>27</v>
      </c>
      <c r="R500" s="20" t="s">
        <v>81</v>
      </c>
      <c r="S500" s="20"/>
      <c r="T500" s="20"/>
      <c r="U500" s="20"/>
      <c r="V500" s="20"/>
      <c r="W500" s="20">
        <v>1</v>
      </c>
      <c r="X500" s="21" t="s">
        <v>37</v>
      </c>
      <c r="Y500" s="5"/>
      <c r="Z500" s="5" t="s">
        <v>38</v>
      </c>
      <c r="AA500" s="5"/>
      <c r="AB500" s="5" t="str">
        <f>IF(LEN('List chi tiet'!$B$3)=0,"",'List chi tiet'!$B$3)</f>
        <v>TCTN.DNS-26004</v>
      </c>
      <c r="AC500" s="5" t="s">
        <v>676</v>
      </c>
      <c r="AD500" s="5" t="s">
        <v>39</v>
      </c>
    </row>
    <row r="501" spans="1:30" hidden="1" x14ac:dyDescent="0.25">
      <c r="A501" s="5">
        <v>491</v>
      </c>
      <c r="B501" s="5" t="s">
        <v>688</v>
      </c>
      <c r="C501" s="5">
        <v>30</v>
      </c>
      <c r="D501" s="5">
        <v>260</v>
      </c>
      <c r="E501" s="5">
        <v>400</v>
      </c>
      <c r="F501" s="5" t="s">
        <v>77</v>
      </c>
      <c r="G501" s="5" t="s">
        <v>746</v>
      </c>
      <c r="H501" s="5">
        <v>2</v>
      </c>
      <c r="I501" s="5">
        <v>32.659999999999997</v>
      </c>
      <c r="J501" s="5" t="s">
        <v>839</v>
      </c>
      <c r="K501" s="5" t="s">
        <v>812</v>
      </c>
      <c r="L501" s="5"/>
      <c r="M501" s="5" t="s">
        <v>747</v>
      </c>
      <c r="N501" s="5"/>
      <c r="O501" s="20" t="s">
        <v>228</v>
      </c>
      <c r="P501" s="20" t="str">
        <f t="shared" si="7"/>
        <v/>
      </c>
      <c r="Q501" s="20" t="s">
        <v>27</v>
      </c>
      <c r="R501" s="20" t="s">
        <v>81</v>
      </c>
      <c r="S501" s="20"/>
      <c r="T501" s="20"/>
      <c r="U501" s="20"/>
      <c r="V501" s="20"/>
      <c r="W501" s="20">
        <v>1</v>
      </c>
      <c r="X501" s="21" t="s">
        <v>37</v>
      </c>
      <c r="Y501" s="5"/>
      <c r="Z501" s="5" t="s">
        <v>38</v>
      </c>
      <c r="AA501" s="5"/>
      <c r="AB501" s="5" t="str">
        <f>IF(LEN('List chi tiet'!$B$3)=0,"",'List chi tiet'!$B$3)</f>
        <v>TCTN.DNS-26004</v>
      </c>
      <c r="AC501" s="5" t="s">
        <v>676</v>
      </c>
      <c r="AD501" s="5" t="s">
        <v>39</v>
      </c>
    </row>
    <row r="502" spans="1:30" hidden="1" x14ac:dyDescent="0.25">
      <c r="A502" s="5">
        <v>492</v>
      </c>
      <c r="B502" s="5" t="s">
        <v>690</v>
      </c>
      <c r="C502" s="5">
        <v>30</v>
      </c>
      <c r="D502" s="5">
        <v>69</v>
      </c>
      <c r="E502" s="5">
        <v>100</v>
      </c>
      <c r="F502" s="5" t="s">
        <v>77</v>
      </c>
      <c r="G502" s="5" t="s">
        <v>746</v>
      </c>
      <c r="H502" s="5">
        <v>2</v>
      </c>
      <c r="I502" s="5">
        <v>3.25</v>
      </c>
      <c r="J502" s="5" t="s">
        <v>839</v>
      </c>
      <c r="K502" s="5" t="s">
        <v>812</v>
      </c>
      <c r="L502" s="5"/>
      <c r="M502" s="5" t="s">
        <v>747</v>
      </c>
      <c r="N502" s="5"/>
      <c r="O502" s="20"/>
      <c r="P502" s="20" t="str">
        <f t="shared" si="7"/>
        <v/>
      </c>
      <c r="Q502" s="20" t="s">
        <v>26</v>
      </c>
      <c r="R502" s="20" t="s">
        <v>81</v>
      </c>
      <c r="S502" s="20"/>
      <c r="T502" s="20"/>
      <c r="U502" s="20"/>
      <c r="V502" s="20"/>
      <c r="W502" s="20">
        <v>1</v>
      </c>
      <c r="X502" s="21" t="s">
        <v>37</v>
      </c>
      <c r="Y502" s="5"/>
      <c r="Z502" s="5" t="s">
        <v>38</v>
      </c>
      <c r="AA502" s="5"/>
      <c r="AB502" s="5" t="str">
        <f>IF(LEN('List chi tiet'!$B$3)=0,"",'List chi tiet'!$B$3)</f>
        <v>TCTN.DNS-26004</v>
      </c>
      <c r="AC502" s="5" t="s">
        <v>676</v>
      </c>
      <c r="AD502" s="5" t="s">
        <v>39</v>
      </c>
    </row>
    <row r="503" spans="1:30" hidden="1" x14ac:dyDescent="0.25">
      <c r="A503" s="5">
        <v>493</v>
      </c>
      <c r="B503" s="5" t="s">
        <v>692</v>
      </c>
      <c r="C503" s="5">
        <v>30</v>
      </c>
      <c r="D503" s="5">
        <v>315</v>
      </c>
      <c r="E503" s="5">
        <v>460</v>
      </c>
      <c r="F503" s="5" t="s">
        <v>77</v>
      </c>
      <c r="G503" s="5" t="s">
        <v>746</v>
      </c>
      <c r="H503" s="5">
        <v>4</v>
      </c>
      <c r="I503" s="5">
        <v>91.45</v>
      </c>
      <c r="J503" s="5" t="s">
        <v>839</v>
      </c>
      <c r="K503" s="5" t="s">
        <v>812</v>
      </c>
      <c r="L503" s="5"/>
      <c r="M503" s="5" t="s">
        <v>747</v>
      </c>
      <c r="N503" s="5"/>
      <c r="O503" s="20" t="s">
        <v>228</v>
      </c>
      <c r="P503" s="20" t="str">
        <f t="shared" si="7"/>
        <v/>
      </c>
      <c r="Q503" s="20" t="s">
        <v>27</v>
      </c>
      <c r="R503" s="20" t="s">
        <v>81</v>
      </c>
      <c r="S503" s="20"/>
      <c r="T503" s="20"/>
      <c r="U503" s="20"/>
      <c r="V503" s="20"/>
      <c r="W503" s="20">
        <v>1</v>
      </c>
      <c r="X503" s="21" t="s">
        <v>37</v>
      </c>
      <c r="Y503" s="5"/>
      <c r="Z503" s="5" t="s">
        <v>38</v>
      </c>
      <c r="AA503" s="5"/>
      <c r="AB503" s="5" t="str">
        <f>IF(LEN('List chi tiet'!$B$3)=0,"",'List chi tiet'!$B$3)</f>
        <v>TCTN.DNS-26004</v>
      </c>
      <c r="AC503" s="5" t="s">
        <v>676</v>
      </c>
      <c r="AD503" s="5" t="s">
        <v>39</v>
      </c>
    </row>
    <row r="504" spans="1:30" hidden="1" x14ac:dyDescent="0.25">
      <c r="A504" s="5">
        <v>494</v>
      </c>
      <c r="B504" s="5" t="s">
        <v>693</v>
      </c>
      <c r="C504" s="5">
        <v>30</v>
      </c>
      <c r="D504" s="5">
        <v>69</v>
      </c>
      <c r="E504" s="5">
        <v>100</v>
      </c>
      <c r="F504" s="5" t="s">
        <v>77</v>
      </c>
      <c r="G504" s="5" t="s">
        <v>746</v>
      </c>
      <c r="H504" s="5">
        <v>4</v>
      </c>
      <c r="I504" s="5">
        <v>6.5</v>
      </c>
      <c r="J504" s="5" t="s">
        <v>839</v>
      </c>
      <c r="K504" s="5" t="s">
        <v>812</v>
      </c>
      <c r="L504" s="5"/>
      <c r="M504" s="5" t="s">
        <v>747</v>
      </c>
      <c r="N504" s="5"/>
      <c r="O504" s="20"/>
      <c r="P504" s="20" t="str">
        <f t="shared" si="7"/>
        <v/>
      </c>
      <c r="Q504" s="20" t="s">
        <v>26</v>
      </c>
      <c r="R504" s="20" t="s">
        <v>81</v>
      </c>
      <c r="S504" s="20"/>
      <c r="T504" s="20"/>
      <c r="U504" s="20"/>
      <c r="V504" s="20"/>
      <c r="W504" s="20">
        <v>1</v>
      </c>
      <c r="X504" s="21" t="s">
        <v>37</v>
      </c>
      <c r="Y504" s="5"/>
      <c r="Z504" s="5" t="s">
        <v>38</v>
      </c>
      <c r="AA504" s="5"/>
      <c r="AB504" s="5" t="str">
        <f>IF(LEN('List chi tiet'!$B$3)=0,"",'List chi tiet'!$B$3)</f>
        <v>TCTN.DNS-26004</v>
      </c>
      <c r="AC504" s="5" t="s">
        <v>676</v>
      </c>
      <c r="AD504" s="5" t="s">
        <v>39</v>
      </c>
    </row>
    <row r="505" spans="1:30" hidden="1" x14ac:dyDescent="0.25">
      <c r="A505" s="5">
        <v>495</v>
      </c>
      <c r="B505" s="5" t="s">
        <v>694</v>
      </c>
      <c r="C505" s="5">
        <v>30</v>
      </c>
      <c r="D505" s="5">
        <v>315</v>
      </c>
      <c r="E505" s="5">
        <v>460</v>
      </c>
      <c r="F505" s="5" t="s">
        <v>77</v>
      </c>
      <c r="G505" s="5" t="s">
        <v>746</v>
      </c>
      <c r="H505" s="5">
        <v>2</v>
      </c>
      <c r="I505" s="5">
        <v>45.73</v>
      </c>
      <c r="J505" s="5" t="s">
        <v>839</v>
      </c>
      <c r="K505" s="5" t="s">
        <v>812</v>
      </c>
      <c r="L505" s="5"/>
      <c r="M505" s="5" t="s">
        <v>747</v>
      </c>
      <c r="N505" s="5"/>
      <c r="O505" s="20" t="s">
        <v>228</v>
      </c>
      <c r="P505" s="20" t="str">
        <f t="shared" si="7"/>
        <v/>
      </c>
      <c r="Q505" s="20" t="s">
        <v>27</v>
      </c>
      <c r="R505" s="20" t="s">
        <v>81</v>
      </c>
      <c r="S505" s="20"/>
      <c r="T505" s="20"/>
      <c r="U505" s="20"/>
      <c r="V505" s="20"/>
      <c r="W505" s="20">
        <v>1</v>
      </c>
      <c r="X505" s="21" t="s">
        <v>37</v>
      </c>
      <c r="Y505" s="5"/>
      <c r="Z505" s="5" t="s">
        <v>38</v>
      </c>
      <c r="AA505" s="5"/>
      <c r="AB505" s="5" t="str">
        <f>IF(LEN('List chi tiet'!$B$3)=0,"",'List chi tiet'!$B$3)</f>
        <v>TCTN.DNS-26004</v>
      </c>
      <c r="AC505" s="5" t="s">
        <v>676</v>
      </c>
      <c r="AD505" s="5" t="s">
        <v>39</v>
      </c>
    </row>
    <row r="506" spans="1:30" hidden="1" x14ac:dyDescent="0.25">
      <c r="A506" s="5">
        <v>496</v>
      </c>
      <c r="B506" s="5" t="s">
        <v>695</v>
      </c>
      <c r="C506" s="5">
        <v>30</v>
      </c>
      <c r="D506" s="5">
        <v>260</v>
      </c>
      <c r="E506" s="5">
        <v>400</v>
      </c>
      <c r="F506" s="5" t="s">
        <v>77</v>
      </c>
      <c r="G506" s="5" t="s">
        <v>746</v>
      </c>
      <c r="H506" s="5">
        <v>2</v>
      </c>
      <c r="I506" s="5">
        <v>32.659999999999997</v>
      </c>
      <c r="J506" s="5" t="s">
        <v>839</v>
      </c>
      <c r="K506" s="5" t="s">
        <v>812</v>
      </c>
      <c r="L506" s="5"/>
      <c r="M506" s="5" t="s">
        <v>747</v>
      </c>
      <c r="N506" s="5"/>
      <c r="O506" s="20" t="s">
        <v>228</v>
      </c>
      <c r="P506" s="20" t="str">
        <f t="shared" si="7"/>
        <v/>
      </c>
      <c r="Q506" s="20" t="s">
        <v>27</v>
      </c>
      <c r="R506" s="20" t="s">
        <v>81</v>
      </c>
      <c r="S506" s="20"/>
      <c r="T506" s="20"/>
      <c r="U506" s="20"/>
      <c r="V506" s="20"/>
      <c r="W506" s="20">
        <v>1</v>
      </c>
      <c r="X506" s="21" t="s">
        <v>37</v>
      </c>
      <c r="Y506" s="5"/>
      <c r="Z506" s="5" t="s">
        <v>38</v>
      </c>
      <c r="AA506" s="5"/>
      <c r="AB506" s="5" t="str">
        <f>IF(LEN('List chi tiet'!$B$3)=0,"",'List chi tiet'!$B$3)</f>
        <v>TCTN.DNS-26004</v>
      </c>
      <c r="AC506" s="5" t="s">
        <v>676</v>
      </c>
      <c r="AD506" s="5" t="s">
        <v>39</v>
      </c>
    </row>
    <row r="507" spans="1:30" hidden="1" x14ac:dyDescent="0.25">
      <c r="A507" s="5">
        <v>497</v>
      </c>
      <c r="B507" s="5" t="s">
        <v>696</v>
      </c>
      <c r="C507" s="5">
        <v>30</v>
      </c>
      <c r="D507" s="5">
        <v>69</v>
      </c>
      <c r="E507" s="5">
        <v>100</v>
      </c>
      <c r="F507" s="5" t="s">
        <v>77</v>
      </c>
      <c r="G507" s="5" t="s">
        <v>746</v>
      </c>
      <c r="H507" s="5">
        <v>2</v>
      </c>
      <c r="I507" s="5">
        <v>3.25</v>
      </c>
      <c r="J507" s="5" t="s">
        <v>839</v>
      </c>
      <c r="K507" s="5" t="s">
        <v>812</v>
      </c>
      <c r="L507" s="5"/>
      <c r="M507" s="5" t="s">
        <v>747</v>
      </c>
      <c r="N507" s="5"/>
      <c r="O507" s="20"/>
      <c r="P507" s="20" t="str">
        <f t="shared" si="7"/>
        <v/>
      </c>
      <c r="Q507" s="20" t="s">
        <v>26</v>
      </c>
      <c r="R507" s="20" t="s">
        <v>81</v>
      </c>
      <c r="S507" s="20"/>
      <c r="T507" s="20"/>
      <c r="U507" s="20"/>
      <c r="V507" s="20"/>
      <c r="W507" s="20">
        <v>1</v>
      </c>
      <c r="X507" s="21" t="s">
        <v>37</v>
      </c>
      <c r="Y507" s="5"/>
      <c r="Z507" s="5" t="s">
        <v>38</v>
      </c>
      <c r="AA507" s="5"/>
      <c r="AB507" s="5" t="str">
        <f>IF(LEN('List chi tiet'!$B$3)=0,"",'List chi tiet'!$B$3)</f>
        <v>TCTN.DNS-26004</v>
      </c>
      <c r="AC507" s="5" t="s">
        <v>676</v>
      </c>
      <c r="AD507" s="5" t="s">
        <v>39</v>
      </c>
    </row>
    <row r="508" spans="1:30" hidden="1" x14ac:dyDescent="0.25">
      <c r="A508" s="5">
        <v>498</v>
      </c>
      <c r="B508" s="5" t="s">
        <v>697</v>
      </c>
      <c r="C508" s="5">
        <v>30</v>
      </c>
      <c r="D508" s="5">
        <v>275</v>
      </c>
      <c r="E508" s="5">
        <v>300</v>
      </c>
      <c r="F508" s="5" t="s">
        <v>77</v>
      </c>
      <c r="G508" s="5" t="s">
        <v>746</v>
      </c>
      <c r="H508" s="5">
        <v>4</v>
      </c>
      <c r="I508" s="5">
        <v>56.03</v>
      </c>
      <c r="J508" s="5" t="s">
        <v>839</v>
      </c>
      <c r="K508" s="5" t="s">
        <v>812</v>
      </c>
      <c r="L508" s="5"/>
      <c r="M508" s="5" t="s">
        <v>747</v>
      </c>
      <c r="N508" s="5"/>
      <c r="O508" s="20" t="s">
        <v>228</v>
      </c>
      <c r="P508" s="20" t="str">
        <f t="shared" si="7"/>
        <v/>
      </c>
      <c r="Q508" s="20" t="s">
        <v>27</v>
      </c>
      <c r="R508" s="20" t="s">
        <v>81</v>
      </c>
      <c r="S508" s="20"/>
      <c r="T508" s="20"/>
      <c r="U508" s="20"/>
      <c r="V508" s="20"/>
      <c r="W508" s="20">
        <v>1</v>
      </c>
      <c r="X508" s="21" t="s">
        <v>37</v>
      </c>
      <c r="Y508" s="5"/>
      <c r="Z508" s="5" t="s">
        <v>38</v>
      </c>
      <c r="AA508" s="5"/>
      <c r="AB508" s="5" t="str">
        <f>IF(LEN('List chi tiet'!$B$3)=0,"",'List chi tiet'!$B$3)</f>
        <v>TCTN.DNS-26004</v>
      </c>
      <c r="AC508" s="5" t="s">
        <v>676</v>
      </c>
      <c r="AD508" s="5" t="s">
        <v>39</v>
      </c>
    </row>
    <row r="509" spans="1:30" hidden="1" x14ac:dyDescent="0.25">
      <c r="A509" s="5">
        <v>499</v>
      </c>
      <c r="B509" s="5" t="s">
        <v>699</v>
      </c>
      <c r="C509" s="5">
        <v>60</v>
      </c>
      <c r="D509" s="5">
        <v>70</v>
      </c>
      <c r="E509" s="5">
        <v>8980</v>
      </c>
      <c r="F509" s="5" t="s">
        <v>700</v>
      </c>
      <c r="G509" s="5" t="s">
        <v>746</v>
      </c>
      <c r="H509" s="5">
        <v>1</v>
      </c>
      <c r="I509" s="5">
        <v>296.07</v>
      </c>
      <c r="J509" s="5" t="s">
        <v>839</v>
      </c>
      <c r="K509" s="5" t="s">
        <v>812</v>
      </c>
      <c r="L509" s="5"/>
      <c r="M509" s="5" t="s">
        <v>747</v>
      </c>
      <c r="N509" s="5"/>
      <c r="O509" s="20"/>
      <c r="P509" s="20" t="str">
        <f t="shared" si="7"/>
        <v/>
      </c>
      <c r="Q509" s="20" t="s">
        <v>26</v>
      </c>
      <c r="R509" s="20"/>
      <c r="S509" s="20" t="s">
        <v>81</v>
      </c>
      <c r="T509" s="20"/>
      <c r="U509" s="20" t="s">
        <v>81</v>
      </c>
      <c r="V509" s="20"/>
      <c r="W509" s="20">
        <v>1</v>
      </c>
      <c r="X509" s="21" t="s">
        <v>37</v>
      </c>
      <c r="Y509" s="5"/>
      <c r="Z509" s="5" t="s">
        <v>38</v>
      </c>
      <c r="AA509" s="5"/>
      <c r="AB509" s="5" t="str">
        <f>IF(LEN('List chi tiet'!$B$3)=0,"",'List chi tiet'!$B$3)</f>
        <v>TCTN.DNS-26004</v>
      </c>
      <c r="AC509" s="5" t="s">
        <v>703</v>
      </c>
      <c r="AD509" s="5" t="s">
        <v>704</v>
      </c>
    </row>
    <row r="510" spans="1:30" hidden="1" x14ac:dyDescent="0.25">
      <c r="A510" s="5">
        <v>500</v>
      </c>
      <c r="B510" s="5" t="s">
        <v>706</v>
      </c>
      <c r="C510" s="5">
        <v>60</v>
      </c>
      <c r="D510" s="5">
        <v>70</v>
      </c>
      <c r="E510" s="5">
        <v>11303</v>
      </c>
      <c r="F510" s="5" t="s">
        <v>700</v>
      </c>
      <c r="G510" s="5" t="s">
        <v>746</v>
      </c>
      <c r="H510" s="5">
        <v>1</v>
      </c>
      <c r="I510" s="5">
        <v>372.66</v>
      </c>
      <c r="J510" s="5" t="s">
        <v>839</v>
      </c>
      <c r="K510" s="5" t="s">
        <v>812</v>
      </c>
      <c r="L510" s="5"/>
      <c r="M510" s="5" t="s">
        <v>747</v>
      </c>
      <c r="N510" s="5"/>
      <c r="O510" s="20"/>
      <c r="P510" s="20" t="str">
        <f t="shared" si="7"/>
        <v/>
      </c>
      <c r="Q510" s="20" t="s">
        <v>26</v>
      </c>
      <c r="R510" s="20"/>
      <c r="S510" s="20" t="s">
        <v>81</v>
      </c>
      <c r="T510" s="20"/>
      <c r="U510" s="20" t="s">
        <v>81</v>
      </c>
      <c r="V510" s="20"/>
      <c r="W510" s="20">
        <v>1</v>
      </c>
      <c r="X510" s="21" t="s">
        <v>37</v>
      </c>
      <c r="Y510" s="5"/>
      <c r="Z510" s="5" t="s">
        <v>38</v>
      </c>
      <c r="AA510" s="5"/>
      <c r="AB510" s="5" t="str">
        <f>IF(LEN('List chi tiet'!$B$3)=0,"",'List chi tiet'!$B$3)</f>
        <v>TCTN.DNS-26004</v>
      </c>
      <c r="AC510" s="5" t="s">
        <v>703</v>
      </c>
      <c r="AD510" s="5" t="s">
        <v>704</v>
      </c>
    </row>
    <row r="511" spans="1:30" hidden="1" x14ac:dyDescent="0.25">
      <c r="A511" s="5">
        <v>501</v>
      </c>
      <c r="B511" s="5" t="s">
        <v>708</v>
      </c>
      <c r="C511" s="5">
        <v>60</v>
      </c>
      <c r="D511" s="5">
        <v>68</v>
      </c>
      <c r="E511" s="5">
        <v>12000</v>
      </c>
      <c r="F511" s="5" t="s">
        <v>700</v>
      </c>
      <c r="G511" s="5" t="s">
        <v>746</v>
      </c>
      <c r="H511" s="5">
        <v>1</v>
      </c>
      <c r="I511" s="5">
        <v>339.12</v>
      </c>
      <c r="J511" s="5" t="s">
        <v>839</v>
      </c>
      <c r="K511" s="5" t="s">
        <v>812</v>
      </c>
      <c r="L511" s="5"/>
      <c r="M511" s="5" t="s">
        <v>747</v>
      </c>
      <c r="N511" s="5"/>
      <c r="O511" s="20"/>
      <c r="P511" s="20" t="str">
        <f t="shared" si="7"/>
        <v/>
      </c>
      <c r="Q511" s="20" t="s">
        <v>26</v>
      </c>
      <c r="R511" s="20"/>
      <c r="S511" s="20" t="s">
        <v>81</v>
      </c>
      <c r="T511" s="20"/>
      <c r="U511" s="20" t="s">
        <v>81</v>
      </c>
      <c r="V511" s="20"/>
      <c r="W511" s="20">
        <v>1</v>
      </c>
      <c r="X511" s="21" t="s">
        <v>37</v>
      </c>
      <c r="Y511" s="5"/>
      <c r="Z511" s="5" t="s">
        <v>38</v>
      </c>
      <c r="AA511" s="5"/>
      <c r="AB511" s="5" t="str">
        <f>IF(LEN('List chi tiet'!$B$3)=0,"",'List chi tiet'!$B$3)</f>
        <v>TCTN.DNS-26004</v>
      </c>
      <c r="AC511" s="5" t="s">
        <v>703</v>
      </c>
      <c r="AD511" s="5" t="s">
        <v>704</v>
      </c>
    </row>
    <row r="512" spans="1:30" hidden="1" x14ac:dyDescent="0.25">
      <c r="A512" s="5">
        <v>502</v>
      </c>
      <c r="B512" s="5" t="s">
        <v>710</v>
      </c>
      <c r="C512" s="5">
        <v>60</v>
      </c>
      <c r="D512" s="5">
        <v>63</v>
      </c>
      <c r="E512" s="5">
        <v>7588</v>
      </c>
      <c r="F512" s="5" t="s">
        <v>700</v>
      </c>
      <c r="G512" s="5" t="s">
        <v>746</v>
      </c>
      <c r="H512" s="5">
        <v>1</v>
      </c>
      <c r="I512" s="5">
        <v>214.44</v>
      </c>
      <c r="J512" s="5" t="s">
        <v>839</v>
      </c>
      <c r="K512" s="5" t="s">
        <v>812</v>
      </c>
      <c r="L512" s="5"/>
      <c r="M512" s="5" t="s">
        <v>747</v>
      </c>
      <c r="N512" s="5"/>
      <c r="O512" s="20"/>
      <c r="P512" s="20" t="str">
        <f t="shared" si="7"/>
        <v/>
      </c>
      <c r="Q512" s="20" t="s">
        <v>26</v>
      </c>
      <c r="R512" s="20"/>
      <c r="S512" s="20" t="s">
        <v>81</v>
      </c>
      <c r="T512" s="20"/>
      <c r="U512" s="20" t="s">
        <v>81</v>
      </c>
      <c r="V512" s="20"/>
      <c r="W512" s="20">
        <v>1</v>
      </c>
      <c r="X512" s="21" t="s">
        <v>37</v>
      </c>
      <c r="Y512" s="5"/>
      <c r="Z512" s="5" t="s">
        <v>38</v>
      </c>
      <c r="AA512" s="5"/>
      <c r="AB512" s="5" t="str">
        <f>IF(LEN('List chi tiet'!$B$3)=0,"",'List chi tiet'!$B$3)</f>
        <v>TCTN.DNS-26004</v>
      </c>
      <c r="AC512" s="5" t="s">
        <v>703</v>
      </c>
      <c r="AD512" s="5" t="s">
        <v>704</v>
      </c>
    </row>
    <row r="513" spans="1:30" hidden="1" x14ac:dyDescent="0.25">
      <c r="A513" s="5">
        <v>503</v>
      </c>
      <c r="B513" s="5" t="s">
        <v>712</v>
      </c>
      <c r="C513" s="5">
        <v>60</v>
      </c>
      <c r="D513" s="5">
        <v>70</v>
      </c>
      <c r="E513" s="5">
        <v>8980</v>
      </c>
      <c r="F513" s="5" t="s">
        <v>700</v>
      </c>
      <c r="G513" s="5" t="s">
        <v>746</v>
      </c>
      <c r="H513" s="5">
        <v>1</v>
      </c>
      <c r="I513" s="5">
        <v>296.07</v>
      </c>
      <c r="J513" s="5" t="s">
        <v>839</v>
      </c>
      <c r="K513" s="5" t="s">
        <v>812</v>
      </c>
      <c r="L513" s="5"/>
      <c r="M513" s="5" t="s">
        <v>747</v>
      </c>
      <c r="N513" s="5"/>
      <c r="O513" s="20"/>
      <c r="P513" s="20" t="str">
        <f t="shared" si="7"/>
        <v/>
      </c>
      <c r="Q513" s="20" t="s">
        <v>26</v>
      </c>
      <c r="R513" s="20"/>
      <c r="S513" s="20" t="s">
        <v>81</v>
      </c>
      <c r="T513" s="20"/>
      <c r="U513" s="20" t="s">
        <v>81</v>
      </c>
      <c r="V513" s="20"/>
      <c r="W513" s="20">
        <v>1</v>
      </c>
      <c r="X513" s="21" t="s">
        <v>37</v>
      </c>
      <c r="Y513" s="5"/>
      <c r="Z513" s="5" t="s">
        <v>38</v>
      </c>
      <c r="AA513" s="5"/>
      <c r="AB513" s="5" t="str">
        <f>IF(LEN('List chi tiet'!$B$3)=0,"",'List chi tiet'!$B$3)</f>
        <v>TCTN.DNS-26004</v>
      </c>
      <c r="AC513" s="5" t="s">
        <v>703</v>
      </c>
      <c r="AD513" s="5" t="s">
        <v>704</v>
      </c>
    </row>
    <row r="514" spans="1:30" hidden="1" x14ac:dyDescent="0.25">
      <c r="A514" s="5">
        <v>504</v>
      </c>
      <c r="B514" s="5" t="s">
        <v>713</v>
      </c>
      <c r="C514" s="5">
        <v>60</v>
      </c>
      <c r="D514" s="5">
        <v>70</v>
      </c>
      <c r="E514" s="5">
        <v>11303</v>
      </c>
      <c r="F514" s="5" t="s">
        <v>700</v>
      </c>
      <c r="G514" s="5" t="s">
        <v>746</v>
      </c>
      <c r="H514" s="5">
        <v>1</v>
      </c>
      <c r="I514" s="5">
        <v>372.66</v>
      </c>
      <c r="J514" s="5" t="s">
        <v>839</v>
      </c>
      <c r="K514" s="5" t="s">
        <v>812</v>
      </c>
      <c r="L514" s="5"/>
      <c r="M514" s="5" t="s">
        <v>747</v>
      </c>
      <c r="N514" s="5"/>
      <c r="O514" s="20"/>
      <c r="P514" s="20" t="str">
        <f t="shared" si="7"/>
        <v/>
      </c>
      <c r="Q514" s="20" t="s">
        <v>26</v>
      </c>
      <c r="R514" s="20"/>
      <c r="S514" s="20" t="s">
        <v>81</v>
      </c>
      <c r="T514" s="20"/>
      <c r="U514" s="20" t="s">
        <v>81</v>
      </c>
      <c r="V514" s="20"/>
      <c r="W514" s="20">
        <v>1</v>
      </c>
      <c r="X514" s="21" t="s">
        <v>37</v>
      </c>
      <c r="Y514" s="5"/>
      <c r="Z514" s="5" t="s">
        <v>38</v>
      </c>
      <c r="AA514" s="5"/>
      <c r="AB514" s="5" t="str">
        <f>IF(LEN('List chi tiet'!$B$3)=0,"",'List chi tiet'!$B$3)</f>
        <v>TCTN.DNS-26004</v>
      </c>
      <c r="AC514" s="5" t="s">
        <v>703</v>
      </c>
      <c r="AD514" s="5" t="s">
        <v>704</v>
      </c>
    </row>
    <row r="515" spans="1:30" hidden="1" x14ac:dyDescent="0.25">
      <c r="A515" s="5">
        <v>505</v>
      </c>
      <c r="B515" s="5" t="s">
        <v>714</v>
      </c>
      <c r="C515" s="5">
        <v>60</v>
      </c>
      <c r="D515" s="5">
        <v>70</v>
      </c>
      <c r="E515" s="5">
        <v>12000</v>
      </c>
      <c r="F515" s="5" t="s">
        <v>700</v>
      </c>
      <c r="G515" s="5" t="s">
        <v>746</v>
      </c>
      <c r="H515" s="5">
        <v>1</v>
      </c>
      <c r="I515" s="5">
        <v>395.64</v>
      </c>
      <c r="J515" s="5" t="s">
        <v>839</v>
      </c>
      <c r="K515" s="5" t="s">
        <v>812</v>
      </c>
      <c r="L515" s="5"/>
      <c r="M515" s="5" t="s">
        <v>747</v>
      </c>
      <c r="N515" s="5"/>
      <c r="O515" s="20"/>
      <c r="P515" s="20" t="str">
        <f t="shared" si="7"/>
        <v/>
      </c>
      <c r="Q515" s="20" t="s">
        <v>26</v>
      </c>
      <c r="R515" s="20"/>
      <c r="S515" s="20" t="s">
        <v>81</v>
      </c>
      <c r="T515" s="20"/>
      <c r="U515" s="20" t="s">
        <v>81</v>
      </c>
      <c r="V515" s="20"/>
      <c r="W515" s="20">
        <v>1</v>
      </c>
      <c r="X515" s="21" t="s">
        <v>37</v>
      </c>
      <c r="Y515" s="5"/>
      <c r="Z515" s="5" t="s">
        <v>38</v>
      </c>
      <c r="AA515" s="5"/>
      <c r="AB515" s="5" t="str">
        <f>IF(LEN('List chi tiet'!$B$3)=0,"",'List chi tiet'!$B$3)</f>
        <v>TCTN.DNS-26004</v>
      </c>
      <c r="AC515" s="5" t="s">
        <v>703</v>
      </c>
      <c r="AD515" s="5" t="s">
        <v>704</v>
      </c>
    </row>
    <row r="516" spans="1:30" hidden="1" x14ac:dyDescent="0.25">
      <c r="A516" s="5">
        <v>506</v>
      </c>
      <c r="B516" s="5" t="s">
        <v>716</v>
      </c>
      <c r="C516" s="5">
        <v>60</v>
      </c>
      <c r="D516" s="5">
        <v>70</v>
      </c>
      <c r="E516" s="5">
        <v>7587</v>
      </c>
      <c r="F516" s="5" t="s">
        <v>700</v>
      </c>
      <c r="G516" s="5" t="s">
        <v>746</v>
      </c>
      <c r="H516" s="5">
        <v>1</v>
      </c>
      <c r="I516" s="5">
        <v>250.16</v>
      </c>
      <c r="J516" s="5" t="s">
        <v>839</v>
      </c>
      <c r="K516" s="5" t="s">
        <v>812</v>
      </c>
      <c r="L516" s="5"/>
      <c r="M516" s="5" t="s">
        <v>747</v>
      </c>
      <c r="N516" s="5"/>
      <c r="O516" s="20"/>
      <c r="P516" s="20" t="str">
        <f t="shared" si="7"/>
        <v/>
      </c>
      <c r="Q516" s="20" t="s">
        <v>26</v>
      </c>
      <c r="R516" s="20"/>
      <c r="S516" s="20" t="s">
        <v>81</v>
      </c>
      <c r="T516" s="20"/>
      <c r="U516" s="20" t="s">
        <v>81</v>
      </c>
      <c r="V516" s="20"/>
      <c r="W516" s="20">
        <v>1</v>
      </c>
      <c r="X516" s="21" t="s">
        <v>37</v>
      </c>
      <c r="Y516" s="5"/>
      <c r="Z516" s="5" t="s">
        <v>38</v>
      </c>
      <c r="AA516" s="5"/>
      <c r="AB516" s="5" t="str">
        <f>IF(LEN('List chi tiet'!$B$3)=0,"",'List chi tiet'!$B$3)</f>
        <v>TCTN.DNS-26004</v>
      </c>
      <c r="AC516" s="5" t="s">
        <v>703</v>
      </c>
      <c r="AD516" s="5" t="s">
        <v>704</v>
      </c>
    </row>
    <row r="517" spans="1:30" hidden="1" x14ac:dyDescent="0.25">
      <c r="A517">
        <v>1</v>
      </c>
      <c r="B517" t="s">
        <v>32</v>
      </c>
      <c r="C517">
        <v>2</v>
      </c>
      <c r="D517">
        <v>1200</v>
      </c>
      <c r="E517">
        <v>1800</v>
      </c>
      <c r="F517" t="s">
        <v>33</v>
      </c>
      <c r="G517" t="s">
        <v>746</v>
      </c>
      <c r="H517">
        <v>1</v>
      </c>
      <c r="I517">
        <v>33.909999999999997</v>
      </c>
      <c r="J517" t="s">
        <v>839</v>
      </c>
      <c r="K517" t="s">
        <v>812</v>
      </c>
      <c r="M517" t="s">
        <v>1085</v>
      </c>
      <c r="P517" t="s">
        <v>924</v>
      </c>
      <c r="R517" t="s">
        <v>81</v>
      </c>
      <c r="W517">
        <v>2</v>
      </c>
      <c r="X517" s="24">
        <v>46032</v>
      </c>
      <c r="Z517" t="s">
        <v>38</v>
      </c>
      <c r="AB517" t="s">
        <v>921</v>
      </c>
      <c r="AC517" t="s">
        <v>923</v>
      </c>
      <c r="AD517" t="s">
        <v>39</v>
      </c>
    </row>
    <row r="518" spans="1:30" hidden="1" x14ac:dyDescent="0.25">
      <c r="A518">
        <v>2</v>
      </c>
      <c r="B518" t="s">
        <v>41</v>
      </c>
      <c r="C518">
        <v>2</v>
      </c>
      <c r="D518">
        <v>1200</v>
      </c>
      <c r="E518">
        <v>1800</v>
      </c>
      <c r="F518" t="s">
        <v>33</v>
      </c>
      <c r="G518" t="s">
        <v>746</v>
      </c>
      <c r="H518">
        <v>1</v>
      </c>
      <c r="I518">
        <v>33.909999999999997</v>
      </c>
      <c r="J518" t="s">
        <v>839</v>
      </c>
      <c r="K518" t="s">
        <v>812</v>
      </c>
      <c r="M518" t="s">
        <v>1085</v>
      </c>
      <c r="P518" t="s">
        <v>924</v>
      </c>
      <c r="R518" t="s">
        <v>81</v>
      </c>
      <c r="W518">
        <v>2</v>
      </c>
      <c r="X518" s="24">
        <v>46032</v>
      </c>
      <c r="Z518" t="s">
        <v>38</v>
      </c>
      <c r="AB518" t="s">
        <v>921</v>
      </c>
      <c r="AC518" t="s">
        <v>923</v>
      </c>
      <c r="AD518" t="s">
        <v>39</v>
      </c>
    </row>
    <row r="519" spans="1:30" hidden="1" x14ac:dyDescent="0.25">
      <c r="A519">
        <v>3</v>
      </c>
      <c r="B519" t="s">
        <v>42</v>
      </c>
      <c r="C519">
        <v>2</v>
      </c>
      <c r="D519">
        <v>1300</v>
      </c>
      <c r="E519">
        <v>4000</v>
      </c>
      <c r="F519" t="s">
        <v>33</v>
      </c>
      <c r="G519" t="s">
        <v>746</v>
      </c>
      <c r="H519">
        <v>1</v>
      </c>
      <c r="I519">
        <v>81.64</v>
      </c>
      <c r="J519" t="s">
        <v>839</v>
      </c>
      <c r="K519" t="s">
        <v>812</v>
      </c>
      <c r="M519" t="s">
        <v>1085</v>
      </c>
      <c r="P519" t="s">
        <v>924</v>
      </c>
      <c r="R519" t="s">
        <v>81</v>
      </c>
      <c r="W519">
        <v>2</v>
      </c>
      <c r="X519" s="24">
        <v>46032</v>
      </c>
      <c r="Z519" t="s">
        <v>38</v>
      </c>
      <c r="AB519" t="s">
        <v>921</v>
      </c>
      <c r="AC519" t="s">
        <v>926</v>
      </c>
      <c r="AD519" t="s">
        <v>39</v>
      </c>
    </row>
    <row r="520" spans="1:30" hidden="1" x14ac:dyDescent="0.25">
      <c r="A520">
        <v>4</v>
      </c>
      <c r="B520" t="s">
        <v>45</v>
      </c>
      <c r="C520">
        <v>2</v>
      </c>
      <c r="D520">
        <v>1300</v>
      </c>
      <c r="E520">
        <v>4000</v>
      </c>
      <c r="F520" t="s">
        <v>33</v>
      </c>
      <c r="G520" t="s">
        <v>746</v>
      </c>
      <c r="H520">
        <v>1</v>
      </c>
      <c r="I520">
        <v>81.64</v>
      </c>
      <c r="J520" t="s">
        <v>839</v>
      </c>
      <c r="K520" t="s">
        <v>812</v>
      </c>
      <c r="M520" t="s">
        <v>1085</v>
      </c>
      <c r="P520" t="s">
        <v>924</v>
      </c>
      <c r="R520" t="s">
        <v>81</v>
      </c>
      <c r="W520">
        <v>2</v>
      </c>
      <c r="X520" s="24">
        <v>46032</v>
      </c>
      <c r="Z520" t="s">
        <v>38</v>
      </c>
      <c r="AB520" t="s">
        <v>921</v>
      </c>
      <c r="AC520" t="s">
        <v>928</v>
      </c>
      <c r="AD520" t="s">
        <v>39</v>
      </c>
    </row>
    <row r="521" spans="1:30" hidden="1" x14ac:dyDescent="0.25">
      <c r="A521">
        <v>5</v>
      </c>
      <c r="B521" t="s">
        <v>48</v>
      </c>
      <c r="C521">
        <v>2</v>
      </c>
      <c r="D521">
        <v>1060</v>
      </c>
      <c r="E521">
        <v>4000</v>
      </c>
      <c r="F521" t="s">
        <v>33</v>
      </c>
      <c r="G521" t="s">
        <v>746</v>
      </c>
      <c r="H521">
        <v>1</v>
      </c>
      <c r="I521">
        <v>66.569999999999993</v>
      </c>
      <c r="J521" t="s">
        <v>839</v>
      </c>
      <c r="K521" t="s">
        <v>812</v>
      </c>
      <c r="M521" t="s">
        <v>1085</v>
      </c>
      <c r="P521" t="s">
        <v>924</v>
      </c>
      <c r="R521" t="s">
        <v>81</v>
      </c>
      <c r="W521">
        <v>2</v>
      </c>
      <c r="X521" s="24">
        <v>46032</v>
      </c>
      <c r="Z521" t="s">
        <v>38</v>
      </c>
      <c r="AB521" t="s">
        <v>921</v>
      </c>
      <c r="AC521" t="s">
        <v>930</v>
      </c>
      <c r="AD521" t="s">
        <v>39</v>
      </c>
    </row>
    <row r="522" spans="1:30" hidden="1" x14ac:dyDescent="0.25">
      <c r="A522">
        <v>6</v>
      </c>
      <c r="B522" t="s">
        <v>52</v>
      </c>
      <c r="C522">
        <v>2</v>
      </c>
      <c r="D522">
        <v>1060</v>
      </c>
      <c r="E522">
        <v>4000</v>
      </c>
      <c r="F522" t="s">
        <v>33</v>
      </c>
      <c r="G522" t="s">
        <v>746</v>
      </c>
      <c r="H522">
        <v>1</v>
      </c>
      <c r="I522">
        <v>66.569999999999993</v>
      </c>
      <c r="J522" t="s">
        <v>839</v>
      </c>
      <c r="K522" t="s">
        <v>812</v>
      </c>
      <c r="M522" t="s">
        <v>1085</v>
      </c>
      <c r="P522" t="s">
        <v>924</v>
      </c>
      <c r="R522" t="s">
        <v>81</v>
      </c>
      <c r="W522">
        <v>2</v>
      </c>
      <c r="X522" s="24">
        <v>46032</v>
      </c>
      <c r="Z522" t="s">
        <v>38</v>
      </c>
      <c r="AB522" t="s">
        <v>921</v>
      </c>
      <c r="AC522" t="s">
        <v>932</v>
      </c>
      <c r="AD522" t="s">
        <v>39</v>
      </c>
    </row>
    <row r="523" spans="1:30" hidden="1" x14ac:dyDescent="0.25">
      <c r="A523">
        <v>7</v>
      </c>
      <c r="B523" t="s">
        <v>55</v>
      </c>
      <c r="C523">
        <v>2</v>
      </c>
      <c r="D523">
        <v>1060</v>
      </c>
      <c r="E523">
        <v>4000</v>
      </c>
      <c r="F523" t="s">
        <v>33</v>
      </c>
      <c r="G523" t="s">
        <v>746</v>
      </c>
      <c r="H523">
        <v>1</v>
      </c>
      <c r="I523">
        <v>66.569999999999993</v>
      </c>
      <c r="J523" t="s">
        <v>839</v>
      </c>
      <c r="K523" t="s">
        <v>812</v>
      </c>
      <c r="M523" t="s">
        <v>1085</v>
      </c>
      <c r="P523" t="s">
        <v>924</v>
      </c>
      <c r="R523" t="s">
        <v>81</v>
      </c>
      <c r="W523">
        <v>2</v>
      </c>
      <c r="X523" s="24">
        <v>46032</v>
      </c>
      <c r="Z523" t="s">
        <v>38</v>
      </c>
      <c r="AB523" t="s">
        <v>921</v>
      </c>
      <c r="AC523" t="s">
        <v>934</v>
      </c>
      <c r="AD523" t="s">
        <v>39</v>
      </c>
    </row>
    <row r="524" spans="1:30" hidden="1" x14ac:dyDescent="0.25">
      <c r="A524">
        <v>8</v>
      </c>
      <c r="B524" t="s">
        <v>58</v>
      </c>
      <c r="C524">
        <v>2</v>
      </c>
      <c r="D524">
        <v>1060</v>
      </c>
      <c r="E524">
        <v>4000</v>
      </c>
      <c r="F524" t="s">
        <v>33</v>
      </c>
      <c r="G524" t="s">
        <v>746</v>
      </c>
      <c r="H524">
        <v>1</v>
      </c>
      <c r="I524">
        <v>66.569999999999993</v>
      </c>
      <c r="J524" t="s">
        <v>839</v>
      </c>
      <c r="K524" t="s">
        <v>812</v>
      </c>
      <c r="M524" t="s">
        <v>1085</v>
      </c>
      <c r="P524" t="s">
        <v>924</v>
      </c>
      <c r="R524" t="s">
        <v>81</v>
      </c>
      <c r="W524">
        <v>2</v>
      </c>
      <c r="X524" s="24">
        <v>46032</v>
      </c>
      <c r="Z524" t="s">
        <v>38</v>
      </c>
      <c r="AB524" t="s">
        <v>921</v>
      </c>
      <c r="AC524" t="s">
        <v>936</v>
      </c>
      <c r="AD524" t="s">
        <v>39</v>
      </c>
    </row>
    <row r="525" spans="1:30" hidden="1" x14ac:dyDescent="0.25">
      <c r="A525">
        <v>9</v>
      </c>
      <c r="B525" t="s">
        <v>61</v>
      </c>
      <c r="C525">
        <v>2</v>
      </c>
      <c r="D525">
        <v>500</v>
      </c>
      <c r="E525">
        <v>4000</v>
      </c>
      <c r="F525" t="s">
        <v>33</v>
      </c>
      <c r="G525" t="s">
        <v>746</v>
      </c>
      <c r="H525">
        <v>1</v>
      </c>
      <c r="I525">
        <v>31.4</v>
      </c>
      <c r="J525" t="s">
        <v>839</v>
      </c>
      <c r="K525" t="s">
        <v>812</v>
      </c>
      <c r="M525" t="s">
        <v>1085</v>
      </c>
      <c r="P525" t="s">
        <v>924</v>
      </c>
      <c r="R525" t="s">
        <v>81</v>
      </c>
      <c r="W525">
        <v>2</v>
      </c>
      <c r="X525" s="24">
        <v>46032</v>
      </c>
      <c r="Z525" t="s">
        <v>38</v>
      </c>
      <c r="AB525" t="s">
        <v>921</v>
      </c>
      <c r="AC525" t="s">
        <v>938</v>
      </c>
      <c r="AD525" t="s">
        <v>39</v>
      </c>
    </row>
    <row r="526" spans="1:30" hidden="1" x14ac:dyDescent="0.25">
      <c r="A526">
        <v>10</v>
      </c>
      <c r="B526" t="s">
        <v>65</v>
      </c>
      <c r="C526">
        <v>2</v>
      </c>
      <c r="D526">
        <v>500</v>
      </c>
      <c r="E526">
        <v>4000</v>
      </c>
      <c r="F526" t="s">
        <v>33</v>
      </c>
      <c r="G526" t="s">
        <v>746</v>
      </c>
      <c r="H526">
        <v>1</v>
      </c>
      <c r="I526">
        <v>31.4</v>
      </c>
      <c r="J526" t="s">
        <v>839</v>
      </c>
      <c r="K526" t="s">
        <v>812</v>
      </c>
      <c r="M526" t="s">
        <v>1085</v>
      </c>
      <c r="P526" t="s">
        <v>924</v>
      </c>
      <c r="R526" t="s">
        <v>81</v>
      </c>
      <c r="W526">
        <v>2</v>
      </c>
      <c r="X526" s="24">
        <v>46032</v>
      </c>
      <c r="Z526" t="s">
        <v>38</v>
      </c>
      <c r="AB526" t="s">
        <v>921</v>
      </c>
      <c r="AC526" t="s">
        <v>938</v>
      </c>
      <c r="AD526" t="s">
        <v>39</v>
      </c>
    </row>
    <row r="527" spans="1:30" hidden="1" x14ac:dyDescent="0.25">
      <c r="A527">
        <v>11</v>
      </c>
      <c r="B527" t="s">
        <v>66</v>
      </c>
      <c r="C527">
        <v>2</v>
      </c>
      <c r="D527">
        <v>1060</v>
      </c>
      <c r="E527">
        <v>1200</v>
      </c>
      <c r="F527" t="s">
        <v>33</v>
      </c>
      <c r="G527" t="s">
        <v>746</v>
      </c>
      <c r="H527">
        <v>1</v>
      </c>
      <c r="I527">
        <v>19.97</v>
      </c>
      <c r="J527" t="s">
        <v>839</v>
      </c>
      <c r="K527" t="s">
        <v>812</v>
      </c>
      <c r="M527" t="s">
        <v>1085</v>
      </c>
      <c r="P527" t="s">
        <v>924</v>
      </c>
      <c r="S527" t="s">
        <v>81</v>
      </c>
      <c r="W527">
        <v>2</v>
      </c>
      <c r="X527" s="24">
        <v>46032</v>
      </c>
      <c r="Z527" t="s">
        <v>38</v>
      </c>
      <c r="AB527" t="s">
        <v>921</v>
      </c>
      <c r="AC527" t="s">
        <v>940</v>
      </c>
      <c r="AD527" t="s">
        <v>941</v>
      </c>
    </row>
    <row r="528" spans="1:30" hidden="1" x14ac:dyDescent="0.25">
      <c r="A528">
        <v>12</v>
      </c>
      <c r="B528" t="s">
        <v>70</v>
      </c>
      <c r="C528">
        <v>2</v>
      </c>
      <c r="D528">
        <v>500</v>
      </c>
      <c r="E528">
        <v>1800</v>
      </c>
      <c r="F528" t="s">
        <v>33</v>
      </c>
      <c r="G528" t="s">
        <v>746</v>
      </c>
      <c r="H528">
        <v>1</v>
      </c>
      <c r="I528">
        <v>14.13</v>
      </c>
      <c r="J528" t="s">
        <v>839</v>
      </c>
      <c r="K528" t="s">
        <v>812</v>
      </c>
      <c r="M528" t="s">
        <v>1085</v>
      </c>
      <c r="P528" t="s">
        <v>924</v>
      </c>
      <c r="R528" t="s">
        <v>81</v>
      </c>
      <c r="W528">
        <v>2</v>
      </c>
      <c r="X528" s="24">
        <v>46032</v>
      </c>
      <c r="Z528" t="s">
        <v>38</v>
      </c>
      <c r="AB528" t="s">
        <v>921</v>
      </c>
      <c r="AC528" t="s">
        <v>943</v>
      </c>
      <c r="AD528" t="s">
        <v>39</v>
      </c>
    </row>
    <row r="529" spans="1:30" hidden="1" x14ac:dyDescent="0.25">
      <c r="A529">
        <v>13</v>
      </c>
      <c r="B529" t="s">
        <v>74</v>
      </c>
      <c r="C529">
        <v>2</v>
      </c>
      <c r="D529">
        <v>1060</v>
      </c>
      <c r="E529">
        <v>1200</v>
      </c>
      <c r="F529" t="s">
        <v>33</v>
      </c>
      <c r="G529" t="s">
        <v>746</v>
      </c>
      <c r="H529">
        <v>1</v>
      </c>
      <c r="I529">
        <v>19.97</v>
      </c>
      <c r="J529" t="s">
        <v>839</v>
      </c>
      <c r="K529" t="s">
        <v>812</v>
      </c>
      <c r="M529" t="s">
        <v>1085</v>
      </c>
      <c r="P529" t="s">
        <v>924</v>
      </c>
      <c r="R529" t="s">
        <v>81</v>
      </c>
      <c r="W529">
        <v>2</v>
      </c>
      <c r="X529" s="24">
        <v>46032</v>
      </c>
      <c r="Z529" t="s">
        <v>38</v>
      </c>
      <c r="AB529" t="s">
        <v>921</v>
      </c>
      <c r="AC529" t="s">
        <v>943</v>
      </c>
      <c r="AD529" t="s">
        <v>39</v>
      </c>
    </row>
    <row r="530" spans="1:30" hidden="1" x14ac:dyDescent="0.25">
      <c r="A530">
        <v>14</v>
      </c>
      <c r="B530" t="s">
        <v>75</v>
      </c>
      <c r="C530">
        <v>2</v>
      </c>
      <c r="D530">
        <v>500</v>
      </c>
      <c r="E530">
        <v>1800</v>
      </c>
      <c r="F530" t="s">
        <v>33</v>
      </c>
      <c r="G530" t="s">
        <v>746</v>
      </c>
      <c r="H530">
        <v>1</v>
      </c>
      <c r="I530">
        <v>14.13</v>
      </c>
      <c r="J530" t="s">
        <v>839</v>
      </c>
      <c r="K530" t="s">
        <v>812</v>
      </c>
      <c r="M530" t="s">
        <v>1085</v>
      </c>
      <c r="P530" t="s">
        <v>924</v>
      </c>
      <c r="R530" t="s">
        <v>81</v>
      </c>
      <c r="W530">
        <v>2</v>
      </c>
      <c r="X530" s="24">
        <v>46032</v>
      </c>
      <c r="Z530" t="s">
        <v>38</v>
      </c>
      <c r="AB530" t="s">
        <v>921</v>
      </c>
      <c r="AC530" t="s">
        <v>943</v>
      </c>
      <c r="AD530" t="s">
        <v>39</v>
      </c>
    </row>
    <row r="531" spans="1:30" hidden="1" x14ac:dyDescent="0.25">
      <c r="A531">
        <v>15</v>
      </c>
      <c r="B531" t="s">
        <v>76</v>
      </c>
      <c r="C531">
        <v>5</v>
      </c>
      <c r="D531">
        <v>63</v>
      </c>
      <c r="E531">
        <v>186</v>
      </c>
      <c r="F531" t="s">
        <v>77</v>
      </c>
      <c r="G531" t="s">
        <v>746</v>
      </c>
      <c r="H531">
        <v>26</v>
      </c>
      <c r="I531">
        <v>11.86</v>
      </c>
      <c r="J531" t="s">
        <v>839</v>
      </c>
      <c r="K531" t="s">
        <v>812</v>
      </c>
      <c r="M531" t="s">
        <v>1085</v>
      </c>
      <c r="P531" t="s">
        <v>924</v>
      </c>
      <c r="Q531" t="s">
        <v>26</v>
      </c>
      <c r="S531" t="s">
        <v>81</v>
      </c>
      <c r="W531">
        <v>2</v>
      </c>
      <c r="X531" s="24">
        <v>46032</v>
      </c>
      <c r="Z531" t="s">
        <v>38</v>
      </c>
      <c r="AB531" t="s">
        <v>921</v>
      </c>
      <c r="AC531" t="s">
        <v>946</v>
      </c>
      <c r="AD531" t="s">
        <v>947</v>
      </c>
    </row>
    <row r="532" spans="1:30" hidden="1" x14ac:dyDescent="0.25">
      <c r="A532">
        <v>16</v>
      </c>
      <c r="B532" t="s">
        <v>83</v>
      </c>
      <c r="C532">
        <v>5</v>
      </c>
      <c r="D532">
        <v>43</v>
      </c>
      <c r="E532">
        <v>86</v>
      </c>
      <c r="F532" t="s">
        <v>77</v>
      </c>
      <c r="G532" t="s">
        <v>746</v>
      </c>
      <c r="H532">
        <v>112</v>
      </c>
      <c r="I532">
        <v>15.82</v>
      </c>
      <c r="J532" t="s">
        <v>839</v>
      </c>
      <c r="K532" t="s">
        <v>812</v>
      </c>
      <c r="M532" t="s">
        <v>1085</v>
      </c>
      <c r="P532" t="s">
        <v>924</v>
      </c>
      <c r="Q532" t="s">
        <v>26</v>
      </c>
      <c r="S532" t="s">
        <v>81</v>
      </c>
      <c r="W532">
        <v>2</v>
      </c>
      <c r="X532" s="24">
        <v>46032</v>
      </c>
      <c r="Z532" t="s">
        <v>38</v>
      </c>
      <c r="AB532" t="s">
        <v>921</v>
      </c>
      <c r="AC532" t="s">
        <v>946</v>
      </c>
      <c r="AD532" t="s">
        <v>947</v>
      </c>
    </row>
    <row r="533" spans="1:30" hidden="1" x14ac:dyDescent="0.25">
      <c r="A533">
        <v>17</v>
      </c>
      <c r="B533" t="s">
        <v>85</v>
      </c>
      <c r="C533">
        <v>5</v>
      </c>
      <c r="D533">
        <v>63</v>
      </c>
      <c r="E533">
        <v>186</v>
      </c>
      <c r="F533" t="s">
        <v>77</v>
      </c>
      <c r="G533" t="s">
        <v>746</v>
      </c>
      <c r="H533">
        <v>28</v>
      </c>
      <c r="I533">
        <v>12.77</v>
      </c>
      <c r="J533" t="s">
        <v>839</v>
      </c>
      <c r="K533" t="s">
        <v>812</v>
      </c>
      <c r="M533" t="s">
        <v>1085</v>
      </c>
      <c r="P533" t="s">
        <v>924</v>
      </c>
      <c r="Q533" t="s">
        <v>26</v>
      </c>
      <c r="S533" t="s">
        <v>81</v>
      </c>
      <c r="W533">
        <v>2</v>
      </c>
      <c r="X533" s="24">
        <v>46032</v>
      </c>
      <c r="Z533" t="s">
        <v>38</v>
      </c>
      <c r="AB533" t="s">
        <v>921</v>
      </c>
      <c r="AC533" t="s">
        <v>946</v>
      </c>
      <c r="AD533" t="s">
        <v>947</v>
      </c>
    </row>
    <row r="534" spans="1:30" hidden="1" x14ac:dyDescent="0.25">
      <c r="A534">
        <v>18</v>
      </c>
      <c r="B534" t="s">
        <v>86</v>
      </c>
      <c r="C534">
        <v>5</v>
      </c>
      <c r="D534">
        <v>43</v>
      </c>
      <c r="E534">
        <v>86</v>
      </c>
      <c r="F534" t="s">
        <v>77</v>
      </c>
      <c r="G534" t="s">
        <v>746</v>
      </c>
      <c r="H534">
        <v>38</v>
      </c>
      <c r="I534">
        <v>5.37</v>
      </c>
      <c r="J534" t="s">
        <v>839</v>
      </c>
      <c r="K534" t="s">
        <v>812</v>
      </c>
      <c r="M534" t="s">
        <v>1085</v>
      </c>
      <c r="P534" t="s">
        <v>924</v>
      </c>
      <c r="Q534" t="s">
        <v>26</v>
      </c>
      <c r="S534" t="s">
        <v>81</v>
      </c>
      <c r="W534">
        <v>2</v>
      </c>
      <c r="X534" s="24">
        <v>46032</v>
      </c>
      <c r="Z534" t="s">
        <v>38</v>
      </c>
      <c r="AB534" t="s">
        <v>921</v>
      </c>
      <c r="AC534" t="s">
        <v>946</v>
      </c>
      <c r="AD534" t="s">
        <v>947</v>
      </c>
    </row>
    <row r="535" spans="1:30" hidden="1" x14ac:dyDescent="0.25">
      <c r="A535">
        <v>19</v>
      </c>
      <c r="B535" t="s">
        <v>87</v>
      </c>
      <c r="C535">
        <v>5</v>
      </c>
      <c r="D535">
        <v>63</v>
      </c>
      <c r="E535">
        <v>186</v>
      </c>
      <c r="F535" t="s">
        <v>77</v>
      </c>
      <c r="G535" t="s">
        <v>746</v>
      </c>
      <c r="H535">
        <v>42</v>
      </c>
      <c r="I535">
        <v>19.149999999999999</v>
      </c>
      <c r="J535" t="s">
        <v>839</v>
      </c>
      <c r="K535" t="s">
        <v>812</v>
      </c>
      <c r="M535" t="s">
        <v>1085</v>
      </c>
      <c r="P535" t="s">
        <v>924</v>
      </c>
      <c r="Q535" t="s">
        <v>26</v>
      </c>
      <c r="S535" t="s">
        <v>81</v>
      </c>
      <c r="W535">
        <v>2</v>
      </c>
      <c r="X535" s="24">
        <v>46032</v>
      </c>
      <c r="Z535" t="s">
        <v>38</v>
      </c>
      <c r="AB535" t="s">
        <v>921</v>
      </c>
      <c r="AC535" t="s">
        <v>946</v>
      </c>
      <c r="AD535" t="s">
        <v>947</v>
      </c>
    </row>
    <row r="536" spans="1:30" hidden="1" x14ac:dyDescent="0.25">
      <c r="A536">
        <v>20</v>
      </c>
      <c r="B536" t="s">
        <v>89</v>
      </c>
      <c r="C536">
        <v>5</v>
      </c>
      <c r="D536">
        <v>63</v>
      </c>
      <c r="E536">
        <v>186</v>
      </c>
      <c r="F536" t="s">
        <v>77</v>
      </c>
      <c r="G536" t="s">
        <v>746</v>
      </c>
      <c r="H536">
        <v>26</v>
      </c>
      <c r="I536">
        <v>11.86</v>
      </c>
      <c r="J536" t="s">
        <v>839</v>
      </c>
      <c r="K536" t="s">
        <v>812</v>
      </c>
      <c r="M536" t="s">
        <v>1085</v>
      </c>
      <c r="P536" t="s">
        <v>924</v>
      </c>
      <c r="Q536" t="s">
        <v>26</v>
      </c>
      <c r="S536" t="s">
        <v>81</v>
      </c>
      <c r="W536">
        <v>2</v>
      </c>
      <c r="X536" s="24">
        <v>46032</v>
      </c>
      <c r="Z536" t="s">
        <v>38</v>
      </c>
      <c r="AB536" t="s">
        <v>921</v>
      </c>
      <c r="AC536" t="s">
        <v>946</v>
      </c>
      <c r="AD536" t="s">
        <v>947</v>
      </c>
    </row>
    <row r="537" spans="1:30" hidden="1" x14ac:dyDescent="0.25">
      <c r="A537">
        <v>21</v>
      </c>
      <c r="B537" t="s">
        <v>91</v>
      </c>
      <c r="C537">
        <v>5</v>
      </c>
      <c r="D537">
        <v>63</v>
      </c>
      <c r="E537">
        <v>186</v>
      </c>
      <c r="F537" t="s">
        <v>77</v>
      </c>
      <c r="G537" t="s">
        <v>746</v>
      </c>
      <c r="H537">
        <v>26</v>
      </c>
      <c r="I537">
        <v>11.86</v>
      </c>
      <c r="J537" t="s">
        <v>839</v>
      </c>
      <c r="K537" t="s">
        <v>812</v>
      </c>
      <c r="M537" t="s">
        <v>1085</v>
      </c>
      <c r="P537" t="s">
        <v>924</v>
      </c>
      <c r="Q537" t="s">
        <v>26</v>
      </c>
      <c r="S537" t="s">
        <v>81</v>
      </c>
      <c r="W537">
        <v>2</v>
      </c>
      <c r="X537" s="24">
        <v>46032</v>
      </c>
      <c r="Z537" t="s">
        <v>38</v>
      </c>
      <c r="AB537" t="s">
        <v>921</v>
      </c>
      <c r="AC537" t="s">
        <v>946</v>
      </c>
      <c r="AD537" t="s">
        <v>947</v>
      </c>
    </row>
    <row r="538" spans="1:30" hidden="1" x14ac:dyDescent="0.25">
      <c r="A538">
        <v>22</v>
      </c>
      <c r="B538" t="s">
        <v>86</v>
      </c>
      <c r="C538">
        <v>5</v>
      </c>
      <c r="D538">
        <v>43</v>
      </c>
      <c r="E538">
        <v>86</v>
      </c>
      <c r="F538" t="s">
        <v>77</v>
      </c>
      <c r="G538" t="s">
        <v>746</v>
      </c>
      <c r="H538">
        <v>82</v>
      </c>
      <c r="I538">
        <v>11.58</v>
      </c>
      <c r="J538" t="s">
        <v>839</v>
      </c>
      <c r="K538" t="s">
        <v>812</v>
      </c>
      <c r="M538" t="s">
        <v>1085</v>
      </c>
      <c r="P538" t="s">
        <v>924</v>
      </c>
      <c r="Q538" t="s">
        <v>26</v>
      </c>
      <c r="R538" t="s">
        <v>81</v>
      </c>
      <c r="W538">
        <v>2</v>
      </c>
      <c r="X538" s="24">
        <v>46032</v>
      </c>
      <c r="Z538" t="s">
        <v>38</v>
      </c>
      <c r="AB538" t="s">
        <v>921</v>
      </c>
      <c r="AC538" t="s">
        <v>949</v>
      </c>
      <c r="AD538" t="s">
        <v>39</v>
      </c>
    </row>
    <row r="539" spans="1:30" hidden="1" x14ac:dyDescent="0.25">
      <c r="A539">
        <v>23</v>
      </c>
      <c r="B539" t="s">
        <v>88</v>
      </c>
      <c r="C539">
        <v>5</v>
      </c>
      <c r="D539">
        <v>43</v>
      </c>
      <c r="E539">
        <v>86</v>
      </c>
      <c r="F539" t="s">
        <v>77</v>
      </c>
      <c r="G539" t="s">
        <v>746</v>
      </c>
      <c r="H539">
        <v>176</v>
      </c>
      <c r="I539">
        <v>24.85</v>
      </c>
      <c r="J539" t="s">
        <v>839</v>
      </c>
      <c r="K539" t="s">
        <v>812</v>
      </c>
      <c r="M539" t="s">
        <v>1085</v>
      </c>
      <c r="P539" t="s">
        <v>924</v>
      </c>
      <c r="Q539" t="s">
        <v>26</v>
      </c>
      <c r="R539" t="s">
        <v>81</v>
      </c>
      <c r="W539">
        <v>2</v>
      </c>
      <c r="X539" s="24">
        <v>46032</v>
      </c>
      <c r="Z539" t="s">
        <v>38</v>
      </c>
      <c r="AB539" t="s">
        <v>921</v>
      </c>
      <c r="AC539" t="s">
        <v>949</v>
      </c>
      <c r="AD539" t="s">
        <v>39</v>
      </c>
    </row>
    <row r="540" spans="1:30" hidden="1" x14ac:dyDescent="0.25">
      <c r="A540">
        <v>24</v>
      </c>
      <c r="B540" t="s">
        <v>90</v>
      </c>
      <c r="C540">
        <v>5</v>
      </c>
      <c r="D540">
        <v>43</v>
      </c>
      <c r="E540">
        <v>86</v>
      </c>
      <c r="F540" t="s">
        <v>77</v>
      </c>
      <c r="G540" t="s">
        <v>746</v>
      </c>
      <c r="H540">
        <v>112</v>
      </c>
      <c r="I540">
        <v>15.82</v>
      </c>
      <c r="J540" t="s">
        <v>839</v>
      </c>
      <c r="K540" t="s">
        <v>812</v>
      </c>
      <c r="M540" t="s">
        <v>1085</v>
      </c>
      <c r="P540" t="s">
        <v>924</v>
      </c>
      <c r="Q540" t="s">
        <v>26</v>
      </c>
      <c r="R540" t="s">
        <v>81</v>
      </c>
      <c r="W540">
        <v>2</v>
      </c>
      <c r="X540" s="24">
        <v>46032</v>
      </c>
      <c r="Z540" t="s">
        <v>38</v>
      </c>
      <c r="AB540" t="s">
        <v>921</v>
      </c>
      <c r="AC540" t="s">
        <v>949</v>
      </c>
      <c r="AD540" t="s">
        <v>39</v>
      </c>
    </row>
    <row r="541" spans="1:30" hidden="1" x14ac:dyDescent="0.25">
      <c r="A541">
        <v>25</v>
      </c>
      <c r="B541" t="s">
        <v>91</v>
      </c>
      <c r="C541">
        <v>5</v>
      </c>
      <c r="D541">
        <v>63</v>
      </c>
      <c r="E541">
        <v>186</v>
      </c>
      <c r="F541" t="s">
        <v>77</v>
      </c>
      <c r="G541" t="s">
        <v>746</v>
      </c>
      <c r="H541">
        <v>2</v>
      </c>
      <c r="I541">
        <v>0.91</v>
      </c>
      <c r="J541" t="s">
        <v>839</v>
      </c>
      <c r="K541" t="s">
        <v>812</v>
      </c>
      <c r="M541" t="s">
        <v>1085</v>
      </c>
      <c r="P541" t="s">
        <v>924</v>
      </c>
      <c r="Q541" t="s">
        <v>26</v>
      </c>
      <c r="R541" t="s">
        <v>81</v>
      </c>
      <c r="W541">
        <v>2</v>
      </c>
      <c r="X541" s="24">
        <v>46032</v>
      </c>
      <c r="Z541" t="s">
        <v>38</v>
      </c>
      <c r="AB541" t="s">
        <v>921</v>
      </c>
      <c r="AC541" t="s">
        <v>949</v>
      </c>
      <c r="AD541" t="s">
        <v>39</v>
      </c>
    </row>
    <row r="542" spans="1:30" hidden="1" x14ac:dyDescent="0.25">
      <c r="A542">
        <v>26</v>
      </c>
      <c r="B542" t="s">
        <v>92</v>
      </c>
      <c r="C542">
        <v>5</v>
      </c>
      <c r="D542">
        <v>43</v>
      </c>
      <c r="E542">
        <v>86</v>
      </c>
      <c r="F542" t="s">
        <v>77</v>
      </c>
      <c r="G542" t="s">
        <v>746</v>
      </c>
      <c r="H542">
        <v>120</v>
      </c>
      <c r="I542">
        <v>16.95</v>
      </c>
      <c r="J542" t="s">
        <v>839</v>
      </c>
      <c r="K542" t="s">
        <v>812</v>
      </c>
      <c r="M542" t="s">
        <v>1085</v>
      </c>
      <c r="P542" t="s">
        <v>924</v>
      </c>
      <c r="Q542" t="s">
        <v>26</v>
      </c>
      <c r="R542" t="s">
        <v>81</v>
      </c>
      <c r="W542">
        <v>2</v>
      </c>
      <c r="X542" s="24">
        <v>46032</v>
      </c>
      <c r="Z542" t="s">
        <v>38</v>
      </c>
      <c r="AB542" t="s">
        <v>921</v>
      </c>
      <c r="AC542" t="s">
        <v>949</v>
      </c>
      <c r="AD542" t="s">
        <v>39</v>
      </c>
    </row>
    <row r="543" spans="1:30" hidden="1" x14ac:dyDescent="0.25">
      <c r="A543">
        <v>27</v>
      </c>
      <c r="B543" t="s">
        <v>93</v>
      </c>
      <c r="C543">
        <v>5</v>
      </c>
      <c r="D543">
        <v>63</v>
      </c>
      <c r="E543">
        <v>186</v>
      </c>
      <c r="F543" t="s">
        <v>77</v>
      </c>
      <c r="G543" t="s">
        <v>746</v>
      </c>
      <c r="H543">
        <v>42</v>
      </c>
      <c r="I543">
        <v>19.149999999999999</v>
      </c>
      <c r="J543" t="s">
        <v>839</v>
      </c>
      <c r="K543" t="s">
        <v>812</v>
      </c>
      <c r="M543" t="s">
        <v>1085</v>
      </c>
      <c r="P543" t="s">
        <v>924</v>
      </c>
      <c r="Q543" t="s">
        <v>26</v>
      </c>
      <c r="R543" t="s">
        <v>81</v>
      </c>
      <c r="W543">
        <v>2</v>
      </c>
      <c r="X543" s="24">
        <v>46032</v>
      </c>
      <c r="Z543" t="s">
        <v>38</v>
      </c>
      <c r="AB543" t="s">
        <v>921</v>
      </c>
      <c r="AC543" t="s">
        <v>949</v>
      </c>
      <c r="AD543" t="s">
        <v>39</v>
      </c>
    </row>
    <row r="544" spans="1:30" hidden="1" x14ac:dyDescent="0.25">
      <c r="A544">
        <v>28</v>
      </c>
      <c r="B544" t="s">
        <v>94</v>
      </c>
      <c r="C544">
        <v>5</v>
      </c>
      <c r="D544">
        <v>43</v>
      </c>
      <c r="E544">
        <v>86</v>
      </c>
      <c r="F544" t="s">
        <v>77</v>
      </c>
      <c r="G544" t="s">
        <v>746</v>
      </c>
      <c r="H544">
        <v>176</v>
      </c>
      <c r="I544">
        <v>24.85</v>
      </c>
      <c r="J544" t="s">
        <v>839</v>
      </c>
      <c r="K544" t="s">
        <v>812</v>
      </c>
      <c r="M544" t="s">
        <v>1085</v>
      </c>
      <c r="P544" t="s">
        <v>924</v>
      </c>
      <c r="Q544" t="s">
        <v>26</v>
      </c>
      <c r="R544" t="s">
        <v>81</v>
      </c>
      <c r="W544">
        <v>2</v>
      </c>
      <c r="X544" s="24">
        <v>46032</v>
      </c>
      <c r="Z544" t="s">
        <v>38</v>
      </c>
      <c r="AB544" t="s">
        <v>921</v>
      </c>
      <c r="AC544" t="s">
        <v>949</v>
      </c>
      <c r="AD544" t="s">
        <v>39</v>
      </c>
    </row>
    <row r="545" spans="1:30" hidden="1" x14ac:dyDescent="0.25">
      <c r="A545">
        <v>29</v>
      </c>
      <c r="B545" t="s">
        <v>95</v>
      </c>
      <c r="C545">
        <v>6</v>
      </c>
      <c r="D545">
        <v>328</v>
      </c>
      <c r="E545">
        <v>1752</v>
      </c>
      <c r="F545" t="s">
        <v>77</v>
      </c>
      <c r="G545" t="s">
        <v>746</v>
      </c>
      <c r="H545">
        <v>1</v>
      </c>
      <c r="I545">
        <v>25.59</v>
      </c>
      <c r="J545" t="s">
        <v>839</v>
      </c>
      <c r="K545" t="s">
        <v>812</v>
      </c>
      <c r="M545" t="s">
        <v>1085</v>
      </c>
      <c r="P545" t="s">
        <v>924</v>
      </c>
      <c r="R545" t="s">
        <v>81</v>
      </c>
      <c r="U545" t="s">
        <v>81</v>
      </c>
      <c r="V545" t="s">
        <v>81</v>
      </c>
      <c r="W545">
        <v>2</v>
      </c>
      <c r="X545" s="24">
        <v>46032</v>
      </c>
      <c r="Z545" t="s">
        <v>38</v>
      </c>
      <c r="AB545" t="s">
        <v>921</v>
      </c>
      <c r="AC545" t="s">
        <v>951</v>
      </c>
      <c r="AD545" t="s">
        <v>39</v>
      </c>
    </row>
    <row r="546" spans="1:30" hidden="1" x14ac:dyDescent="0.25">
      <c r="A546">
        <v>30</v>
      </c>
      <c r="B546" t="s">
        <v>100</v>
      </c>
      <c r="C546">
        <v>6</v>
      </c>
      <c r="D546">
        <v>328</v>
      </c>
      <c r="E546">
        <v>1752</v>
      </c>
      <c r="F546" t="s">
        <v>77</v>
      </c>
      <c r="G546" t="s">
        <v>746</v>
      </c>
      <c r="H546">
        <v>1</v>
      </c>
      <c r="I546">
        <v>25.59</v>
      </c>
      <c r="J546" t="s">
        <v>839</v>
      </c>
      <c r="K546" t="s">
        <v>812</v>
      </c>
      <c r="M546" t="s">
        <v>1085</v>
      </c>
      <c r="P546" t="s">
        <v>924</v>
      </c>
      <c r="R546" t="s">
        <v>81</v>
      </c>
      <c r="U546" t="s">
        <v>81</v>
      </c>
      <c r="V546" t="s">
        <v>81</v>
      </c>
      <c r="W546">
        <v>2</v>
      </c>
      <c r="X546" s="24">
        <v>46032</v>
      </c>
      <c r="Z546" t="s">
        <v>38</v>
      </c>
      <c r="AB546" t="s">
        <v>921</v>
      </c>
      <c r="AC546" t="s">
        <v>951</v>
      </c>
      <c r="AD546" t="s">
        <v>39</v>
      </c>
    </row>
    <row r="547" spans="1:30" hidden="1" x14ac:dyDescent="0.25">
      <c r="A547">
        <v>31</v>
      </c>
      <c r="B547" t="s">
        <v>101</v>
      </c>
      <c r="C547">
        <v>6</v>
      </c>
      <c r="D547">
        <v>328</v>
      </c>
      <c r="E547">
        <v>1752</v>
      </c>
      <c r="F547" t="s">
        <v>77</v>
      </c>
      <c r="G547" t="s">
        <v>746</v>
      </c>
      <c r="H547">
        <v>3</v>
      </c>
      <c r="I547">
        <v>76.790000000000006</v>
      </c>
      <c r="J547" t="s">
        <v>839</v>
      </c>
      <c r="K547" t="s">
        <v>812</v>
      </c>
      <c r="M547" t="s">
        <v>1085</v>
      </c>
      <c r="P547" t="s">
        <v>924</v>
      </c>
      <c r="R547" t="s">
        <v>81</v>
      </c>
      <c r="U547" t="s">
        <v>81</v>
      </c>
      <c r="V547" t="s">
        <v>81</v>
      </c>
      <c r="W547">
        <v>2</v>
      </c>
      <c r="X547" s="24">
        <v>46032</v>
      </c>
      <c r="Z547" t="s">
        <v>38</v>
      </c>
      <c r="AB547" t="s">
        <v>921</v>
      </c>
      <c r="AC547" t="s">
        <v>951</v>
      </c>
      <c r="AD547" t="s">
        <v>39</v>
      </c>
    </row>
    <row r="548" spans="1:30" hidden="1" x14ac:dyDescent="0.25">
      <c r="A548">
        <v>32</v>
      </c>
      <c r="B548" t="s">
        <v>102</v>
      </c>
      <c r="C548">
        <v>6</v>
      </c>
      <c r="D548">
        <v>328</v>
      </c>
      <c r="E548">
        <v>1753</v>
      </c>
      <c r="F548" t="s">
        <v>77</v>
      </c>
      <c r="G548" t="s">
        <v>746</v>
      </c>
      <c r="H548">
        <v>3</v>
      </c>
      <c r="I548">
        <v>76.83</v>
      </c>
      <c r="J548" t="s">
        <v>839</v>
      </c>
      <c r="K548" t="s">
        <v>812</v>
      </c>
      <c r="M548" t="s">
        <v>1085</v>
      </c>
      <c r="P548" t="s">
        <v>924</v>
      </c>
      <c r="R548" t="s">
        <v>81</v>
      </c>
      <c r="U548" t="s">
        <v>81</v>
      </c>
      <c r="V548" t="s">
        <v>81</v>
      </c>
      <c r="W548">
        <v>2</v>
      </c>
      <c r="X548" s="24">
        <v>46032</v>
      </c>
      <c r="Z548" t="s">
        <v>38</v>
      </c>
      <c r="AB548" t="s">
        <v>921</v>
      </c>
      <c r="AC548" t="s">
        <v>951</v>
      </c>
      <c r="AD548" t="s">
        <v>39</v>
      </c>
    </row>
    <row r="549" spans="1:30" hidden="1" x14ac:dyDescent="0.25">
      <c r="A549">
        <v>33</v>
      </c>
      <c r="B549" t="s">
        <v>104</v>
      </c>
      <c r="C549">
        <v>6</v>
      </c>
      <c r="D549">
        <v>328</v>
      </c>
      <c r="E549">
        <v>1752</v>
      </c>
      <c r="F549" t="s">
        <v>77</v>
      </c>
      <c r="G549" t="s">
        <v>746</v>
      </c>
      <c r="H549">
        <v>2</v>
      </c>
      <c r="I549">
        <v>51.18</v>
      </c>
      <c r="J549" t="s">
        <v>839</v>
      </c>
      <c r="K549" t="s">
        <v>812</v>
      </c>
      <c r="M549" t="s">
        <v>1085</v>
      </c>
      <c r="P549" t="s">
        <v>924</v>
      </c>
      <c r="R549" t="s">
        <v>81</v>
      </c>
      <c r="U549" t="s">
        <v>81</v>
      </c>
      <c r="V549" t="s">
        <v>81</v>
      </c>
      <c r="W549">
        <v>2</v>
      </c>
      <c r="X549" s="24">
        <v>46032</v>
      </c>
      <c r="Z549" t="s">
        <v>38</v>
      </c>
      <c r="AB549" t="s">
        <v>921</v>
      </c>
      <c r="AC549" t="s">
        <v>951</v>
      </c>
      <c r="AD549" t="s">
        <v>39</v>
      </c>
    </row>
    <row r="550" spans="1:30" hidden="1" x14ac:dyDescent="0.25">
      <c r="A550">
        <v>34</v>
      </c>
      <c r="B550" t="s">
        <v>105</v>
      </c>
      <c r="C550">
        <v>6</v>
      </c>
      <c r="D550">
        <v>328</v>
      </c>
      <c r="E550">
        <v>1752</v>
      </c>
      <c r="F550" t="s">
        <v>77</v>
      </c>
      <c r="G550" t="s">
        <v>746</v>
      </c>
      <c r="H550">
        <v>1</v>
      </c>
      <c r="I550">
        <v>25.59</v>
      </c>
      <c r="J550" t="s">
        <v>839</v>
      </c>
      <c r="K550" t="s">
        <v>812</v>
      </c>
      <c r="M550" t="s">
        <v>1085</v>
      </c>
      <c r="P550" t="s">
        <v>924</v>
      </c>
      <c r="R550" t="s">
        <v>81</v>
      </c>
      <c r="U550" t="s">
        <v>81</v>
      </c>
      <c r="V550" t="s">
        <v>81</v>
      </c>
      <c r="W550">
        <v>2</v>
      </c>
      <c r="X550" s="24">
        <v>46032</v>
      </c>
      <c r="Z550" t="s">
        <v>38</v>
      </c>
      <c r="AB550" t="s">
        <v>921</v>
      </c>
      <c r="AC550" t="s">
        <v>951</v>
      </c>
      <c r="AD550" t="s">
        <v>39</v>
      </c>
    </row>
    <row r="551" spans="1:30" hidden="1" x14ac:dyDescent="0.25">
      <c r="A551">
        <v>35</v>
      </c>
      <c r="B551" t="s">
        <v>106</v>
      </c>
      <c r="C551">
        <v>6</v>
      </c>
      <c r="D551">
        <v>328</v>
      </c>
      <c r="E551">
        <v>1752</v>
      </c>
      <c r="F551" t="s">
        <v>77</v>
      </c>
      <c r="G551" t="s">
        <v>746</v>
      </c>
      <c r="H551">
        <v>1</v>
      </c>
      <c r="I551">
        <v>25.59</v>
      </c>
      <c r="J551" t="s">
        <v>839</v>
      </c>
      <c r="K551" t="s">
        <v>812</v>
      </c>
      <c r="M551" t="s">
        <v>1085</v>
      </c>
      <c r="P551" t="s">
        <v>924</v>
      </c>
      <c r="R551" t="s">
        <v>81</v>
      </c>
      <c r="U551" t="s">
        <v>81</v>
      </c>
      <c r="V551" t="s">
        <v>81</v>
      </c>
      <c r="W551">
        <v>2</v>
      </c>
      <c r="X551" s="24">
        <v>46032</v>
      </c>
      <c r="Z551" t="s">
        <v>38</v>
      </c>
      <c r="AB551" t="s">
        <v>921</v>
      </c>
      <c r="AC551" t="s">
        <v>951</v>
      </c>
      <c r="AD551" t="s">
        <v>39</v>
      </c>
    </row>
    <row r="552" spans="1:30" hidden="1" x14ac:dyDescent="0.25">
      <c r="A552">
        <v>36</v>
      </c>
      <c r="B552" t="s">
        <v>107</v>
      </c>
      <c r="C552">
        <v>6</v>
      </c>
      <c r="D552">
        <v>328</v>
      </c>
      <c r="E552">
        <v>1752</v>
      </c>
      <c r="F552" t="s">
        <v>77</v>
      </c>
      <c r="G552" t="s">
        <v>746</v>
      </c>
      <c r="H552">
        <v>3</v>
      </c>
      <c r="I552">
        <v>76.790000000000006</v>
      </c>
      <c r="J552" t="s">
        <v>839</v>
      </c>
      <c r="K552" t="s">
        <v>812</v>
      </c>
      <c r="M552" t="s">
        <v>1085</v>
      </c>
      <c r="P552" t="s">
        <v>924</v>
      </c>
      <c r="R552" t="s">
        <v>81</v>
      </c>
      <c r="U552" t="s">
        <v>81</v>
      </c>
      <c r="V552" t="s">
        <v>81</v>
      </c>
      <c r="W552">
        <v>2</v>
      </c>
      <c r="X552" s="24">
        <v>46032</v>
      </c>
      <c r="Z552" t="s">
        <v>38</v>
      </c>
      <c r="AB552" t="s">
        <v>921</v>
      </c>
      <c r="AC552" t="s">
        <v>951</v>
      </c>
      <c r="AD552" t="s">
        <v>39</v>
      </c>
    </row>
    <row r="553" spans="1:30" hidden="1" x14ac:dyDescent="0.25">
      <c r="A553">
        <v>37</v>
      </c>
      <c r="B553" t="s">
        <v>108</v>
      </c>
      <c r="C553">
        <v>6</v>
      </c>
      <c r="D553">
        <v>328</v>
      </c>
      <c r="E553">
        <v>1753</v>
      </c>
      <c r="F553" t="s">
        <v>77</v>
      </c>
      <c r="G553" t="s">
        <v>746</v>
      </c>
      <c r="H553">
        <v>3</v>
      </c>
      <c r="I553">
        <v>76.83</v>
      </c>
      <c r="J553" t="s">
        <v>839</v>
      </c>
      <c r="K553" t="s">
        <v>812</v>
      </c>
      <c r="M553" t="s">
        <v>1085</v>
      </c>
      <c r="P553" t="s">
        <v>924</v>
      </c>
      <c r="R553" t="s">
        <v>81</v>
      </c>
      <c r="U553" t="s">
        <v>81</v>
      </c>
      <c r="V553" t="s">
        <v>81</v>
      </c>
      <c r="W553">
        <v>2</v>
      </c>
      <c r="X553" s="24">
        <v>46032</v>
      </c>
      <c r="Z553" t="s">
        <v>38</v>
      </c>
      <c r="AB553" t="s">
        <v>921</v>
      </c>
      <c r="AC553" t="s">
        <v>951</v>
      </c>
      <c r="AD553" t="s">
        <v>39</v>
      </c>
    </row>
    <row r="554" spans="1:30" hidden="1" x14ac:dyDescent="0.25">
      <c r="A554">
        <v>38</v>
      </c>
      <c r="B554" t="s">
        <v>109</v>
      </c>
      <c r="C554">
        <v>6</v>
      </c>
      <c r="D554">
        <v>328</v>
      </c>
      <c r="E554">
        <v>1752</v>
      </c>
      <c r="F554" t="s">
        <v>77</v>
      </c>
      <c r="G554" t="s">
        <v>746</v>
      </c>
      <c r="H554">
        <v>2</v>
      </c>
      <c r="I554">
        <v>51.18</v>
      </c>
      <c r="J554" t="s">
        <v>839</v>
      </c>
      <c r="K554" t="s">
        <v>812</v>
      </c>
      <c r="M554" t="s">
        <v>1085</v>
      </c>
      <c r="P554" t="s">
        <v>924</v>
      </c>
      <c r="R554" t="s">
        <v>81</v>
      </c>
      <c r="U554" t="s">
        <v>81</v>
      </c>
      <c r="V554" t="s">
        <v>81</v>
      </c>
      <c r="W554">
        <v>2</v>
      </c>
      <c r="X554" s="24">
        <v>46032</v>
      </c>
      <c r="Z554" t="s">
        <v>38</v>
      </c>
      <c r="AB554" t="s">
        <v>921</v>
      </c>
      <c r="AC554" t="s">
        <v>951</v>
      </c>
      <c r="AD554" t="s">
        <v>39</v>
      </c>
    </row>
    <row r="555" spans="1:30" hidden="1" x14ac:dyDescent="0.25">
      <c r="A555">
        <v>39</v>
      </c>
      <c r="B555" t="s">
        <v>110</v>
      </c>
      <c r="C555">
        <v>6</v>
      </c>
      <c r="D555">
        <v>328</v>
      </c>
      <c r="E555">
        <v>1672</v>
      </c>
      <c r="F555" t="s">
        <v>77</v>
      </c>
      <c r="G555" t="s">
        <v>746</v>
      </c>
      <c r="H555">
        <v>2</v>
      </c>
      <c r="I555">
        <v>48.91</v>
      </c>
      <c r="J555" t="s">
        <v>839</v>
      </c>
      <c r="K555" t="s">
        <v>812</v>
      </c>
      <c r="M555" t="s">
        <v>1085</v>
      </c>
      <c r="P555" t="s">
        <v>924</v>
      </c>
      <c r="R555" t="s">
        <v>81</v>
      </c>
      <c r="U555" t="s">
        <v>81</v>
      </c>
      <c r="V555" t="s">
        <v>81</v>
      </c>
      <c r="W555">
        <v>2</v>
      </c>
      <c r="X555" s="24">
        <v>46032</v>
      </c>
      <c r="Z555" t="s">
        <v>38</v>
      </c>
      <c r="AB555" t="s">
        <v>921</v>
      </c>
      <c r="AC555" t="s">
        <v>951</v>
      </c>
      <c r="AD555" t="s">
        <v>39</v>
      </c>
    </row>
    <row r="556" spans="1:30" hidden="1" x14ac:dyDescent="0.25">
      <c r="A556">
        <v>40</v>
      </c>
      <c r="B556" t="s">
        <v>112</v>
      </c>
      <c r="C556">
        <v>6</v>
      </c>
      <c r="D556">
        <v>328</v>
      </c>
      <c r="E556">
        <v>1718</v>
      </c>
      <c r="F556" t="s">
        <v>77</v>
      </c>
      <c r="G556" t="s">
        <v>746</v>
      </c>
      <c r="H556">
        <v>1</v>
      </c>
      <c r="I556">
        <v>25.11</v>
      </c>
      <c r="J556" t="s">
        <v>839</v>
      </c>
      <c r="K556" t="s">
        <v>812</v>
      </c>
      <c r="M556" t="s">
        <v>1085</v>
      </c>
      <c r="P556" t="s">
        <v>924</v>
      </c>
      <c r="R556" t="s">
        <v>81</v>
      </c>
      <c r="U556" t="s">
        <v>81</v>
      </c>
      <c r="V556" t="s">
        <v>81</v>
      </c>
      <c r="W556">
        <v>2</v>
      </c>
      <c r="X556" s="24">
        <v>46032</v>
      </c>
      <c r="Z556" t="s">
        <v>38</v>
      </c>
      <c r="AB556" t="s">
        <v>921</v>
      </c>
      <c r="AC556" t="s">
        <v>951</v>
      </c>
      <c r="AD556" t="s">
        <v>39</v>
      </c>
    </row>
    <row r="557" spans="1:30" hidden="1" x14ac:dyDescent="0.25">
      <c r="A557">
        <v>41</v>
      </c>
      <c r="B557" t="s">
        <v>114</v>
      </c>
      <c r="C557">
        <v>6</v>
      </c>
      <c r="D557">
        <v>328</v>
      </c>
      <c r="E557">
        <v>1729</v>
      </c>
      <c r="F557" t="s">
        <v>77</v>
      </c>
      <c r="G557" t="s">
        <v>746</v>
      </c>
      <c r="H557">
        <v>5</v>
      </c>
      <c r="I557">
        <v>126.35</v>
      </c>
      <c r="J557" t="s">
        <v>839</v>
      </c>
      <c r="K557" t="s">
        <v>812</v>
      </c>
      <c r="M557" t="s">
        <v>1085</v>
      </c>
      <c r="P557" t="s">
        <v>924</v>
      </c>
      <c r="R557" t="s">
        <v>81</v>
      </c>
      <c r="U557" t="s">
        <v>81</v>
      </c>
      <c r="V557" t="s">
        <v>81</v>
      </c>
      <c r="W557">
        <v>2</v>
      </c>
      <c r="X557" s="24">
        <v>46032</v>
      </c>
      <c r="Z557" t="s">
        <v>38</v>
      </c>
      <c r="AB557" t="s">
        <v>921</v>
      </c>
      <c r="AC557" t="s">
        <v>951</v>
      </c>
      <c r="AD557" t="s">
        <v>39</v>
      </c>
    </row>
    <row r="558" spans="1:30" hidden="1" x14ac:dyDescent="0.25">
      <c r="A558">
        <v>42</v>
      </c>
      <c r="B558" t="s">
        <v>116</v>
      </c>
      <c r="C558">
        <v>6</v>
      </c>
      <c r="D558">
        <v>298</v>
      </c>
      <c r="E558">
        <v>378</v>
      </c>
      <c r="F558" t="s">
        <v>77</v>
      </c>
      <c r="G558" t="s">
        <v>746</v>
      </c>
      <c r="H558">
        <v>1</v>
      </c>
      <c r="I558">
        <v>5.27</v>
      </c>
      <c r="J558" t="s">
        <v>839</v>
      </c>
      <c r="K558" t="s">
        <v>812</v>
      </c>
      <c r="M558" t="s">
        <v>1085</v>
      </c>
      <c r="P558" t="s">
        <v>924</v>
      </c>
      <c r="Q558" t="s">
        <v>26</v>
      </c>
      <c r="R558" t="s">
        <v>81</v>
      </c>
      <c r="W558">
        <v>2</v>
      </c>
      <c r="X558" s="24">
        <v>46032</v>
      </c>
      <c r="Z558" t="s">
        <v>38</v>
      </c>
      <c r="AB558" t="s">
        <v>921</v>
      </c>
      <c r="AC558" t="s">
        <v>951</v>
      </c>
      <c r="AD558" t="s">
        <v>39</v>
      </c>
    </row>
    <row r="559" spans="1:30" hidden="1" x14ac:dyDescent="0.25">
      <c r="A559">
        <v>43</v>
      </c>
      <c r="B559" t="s">
        <v>118</v>
      </c>
      <c r="C559">
        <v>6</v>
      </c>
      <c r="D559">
        <v>328</v>
      </c>
      <c r="E559">
        <v>1729</v>
      </c>
      <c r="F559" t="s">
        <v>77</v>
      </c>
      <c r="G559" t="s">
        <v>746</v>
      </c>
      <c r="H559">
        <v>13</v>
      </c>
      <c r="I559">
        <v>328.51</v>
      </c>
      <c r="J559" t="s">
        <v>839</v>
      </c>
      <c r="K559" t="s">
        <v>812</v>
      </c>
      <c r="M559" t="s">
        <v>1085</v>
      </c>
      <c r="P559" t="s">
        <v>924</v>
      </c>
      <c r="R559" t="s">
        <v>81</v>
      </c>
      <c r="U559" t="s">
        <v>81</v>
      </c>
      <c r="V559" t="s">
        <v>81</v>
      </c>
      <c r="W559">
        <v>2</v>
      </c>
      <c r="X559" s="24">
        <v>46032</v>
      </c>
      <c r="Z559" t="s">
        <v>38</v>
      </c>
      <c r="AB559" t="s">
        <v>921</v>
      </c>
      <c r="AC559" t="s">
        <v>953</v>
      </c>
      <c r="AD559" t="s">
        <v>39</v>
      </c>
    </row>
    <row r="560" spans="1:30" hidden="1" x14ac:dyDescent="0.25">
      <c r="A560">
        <v>44</v>
      </c>
      <c r="B560" t="s">
        <v>114</v>
      </c>
      <c r="C560">
        <v>6</v>
      </c>
      <c r="D560">
        <v>328</v>
      </c>
      <c r="E560">
        <v>1729</v>
      </c>
      <c r="F560" t="s">
        <v>77</v>
      </c>
      <c r="G560" t="s">
        <v>746</v>
      </c>
      <c r="H560">
        <v>15</v>
      </c>
      <c r="I560">
        <v>379.05</v>
      </c>
      <c r="J560" t="s">
        <v>839</v>
      </c>
      <c r="K560" t="s">
        <v>812</v>
      </c>
      <c r="M560" t="s">
        <v>1085</v>
      </c>
      <c r="P560" t="s">
        <v>924</v>
      </c>
      <c r="R560" t="s">
        <v>81</v>
      </c>
      <c r="U560" t="s">
        <v>81</v>
      </c>
      <c r="V560" t="s">
        <v>81</v>
      </c>
      <c r="W560">
        <v>2</v>
      </c>
      <c r="X560" s="24">
        <v>46032</v>
      </c>
      <c r="Z560" t="s">
        <v>38</v>
      </c>
      <c r="AB560" t="s">
        <v>921</v>
      </c>
      <c r="AC560" t="s">
        <v>953</v>
      </c>
      <c r="AD560" t="s">
        <v>39</v>
      </c>
    </row>
    <row r="561" spans="1:30" hidden="1" x14ac:dyDescent="0.25">
      <c r="A561">
        <v>45</v>
      </c>
      <c r="B561" t="s">
        <v>121</v>
      </c>
      <c r="C561">
        <v>6</v>
      </c>
      <c r="D561">
        <v>328</v>
      </c>
      <c r="E561">
        <v>934</v>
      </c>
      <c r="F561" t="s">
        <v>77</v>
      </c>
      <c r="G561" t="s">
        <v>746</v>
      </c>
      <c r="H561">
        <v>1</v>
      </c>
      <c r="I561">
        <v>14.43</v>
      </c>
      <c r="J561" t="s">
        <v>839</v>
      </c>
      <c r="K561" t="s">
        <v>812</v>
      </c>
      <c r="M561" t="s">
        <v>1085</v>
      </c>
      <c r="P561" t="s">
        <v>924</v>
      </c>
      <c r="R561" t="s">
        <v>81</v>
      </c>
      <c r="U561" t="s">
        <v>81</v>
      </c>
      <c r="W561">
        <v>2</v>
      </c>
      <c r="X561" s="24">
        <v>46032</v>
      </c>
      <c r="Z561" t="s">
        <v>38</v>
      </c>
      <c r="AB561" t="s">
        <v>921</v>
      </c>
      <c r="AC561" t="s">
        <v>953</v>
      </c>
      <c r="AD561" t="s">
        <v>39</v>
      </c>
    </row>
    <row r="562" spans="1:30" hidden="1" x14ac:dyDescent="0.25">
      <c r="A562">
        <v>46</v>
      </c>
      <c r="B562" t="s">
        <v>123</v>
      </c>
      <c r="C562">
        <v>6</v>
      </c>
      <c r="D562">
        <v>298</v>
      </c>
      <c r="E562">
        <v>378</v>
      </c>
      <c r="F562" t="s">
        <v>77</v>
      </c>
      <c r="G562" t="s">
        <v>746</v>
      </c>
      <c r="H562">
        <v>1</v>
      </c>
      <c r="I562">
        <v>5.27</v>
      </c>
      <c r="J562" t="s">
        <v>839</v>
      </c>
      <c r="K562" t="s">
        <v>812</v>
      </c>
      <c r="M562" t="s">
        <v>1085</v>
      </c>
      <c r="P562" t="s">
        <v>924</v>
      </c>
      <c r="Q562" t="s">
        <v>26</v>
      </c>
      <c r="R562" t="s">
        <v>81</v>
      </c>
      <c r="W562">
        <v>2</v>
      </c>
      <c r="X562" s="24">
        <v>46032</v>
      </c>
      <c r="Z562" t="s">
        <v>38</v>
      </c>
      <c r="AB562" t="s">
        <v>921</v>
      </c>
      <c r="AC562" t="s">
        <v>953</v>
      </c>
      <c r="AD562" t="s">
        <v>39</v>
      </c>
    </row>
    <row r="563" spans="1:30" hidden="1" x14ac:dyDescent="0.25">
      <c r="A563">
        <v>47</v>
      </c>
      <c r="B563" t="s">
        <v>124</v>
      </c>
      <c r="C563">
        <v>6</v>
      </c>
      <c r="D563">
        <v>328</v>
      </c>
      <c r="E563">
        <v>1672</v>
      </c>
      <c r="F563" t="s">
        <v>77</v>
      </c>
      <c r="G563" t="s">
        <v>746</v>
      </c>
      <c r="H563">
        <v>2</v>
      </c>
      <c r="I563">
        <v>48.91</v>
      </c>
      <c r="J563" t="s">
        <v>839</v>
      </c>
      <c r="K563" t="s">
        <v>812</v>
      </c>
      <c r="M563" t="s">
        <v>1085</v>
      </c>
      <c r="P563" t="s">
        <v>924</v>
      </c>
      <c r="R563" t="s">
        <v>81</v>
      </c>
      <c r="U563" t="s">
        <v>81</v>
      </c>
      <c r="V563" t="s">
        <v>81</v>
      </c>
      <c r="W563">
        <v>2</v>
      </c>
      <c r="X563" s="24">
        <v>46032</v>
      </c>
      <c r="Z563" t="s">
        <v>38</v>
      </c>
      <c r="AB563" t="s">
        <v>921</v>
      </c>
      <c r="AC563" t="s">
        <v>955</v>
      </c>
      <c r="AD563" t="s">
        <v>39</v>
      </c>
    </row>
    <row r="564" spans="1:30" hidden="1" x14ac:dyDescent="0.25">
      <c r="A564">
        <v>48</v>
      </c>
      <c r="B564" t="s">
        <v>127</v>
      </c>
      <c r="C564">
        <v>6</v>
      </c>
      <c r="D564">
        <v>328</v>
      </c>
      <c r="E564">
        <v>1718</v>
      </c>
      <c r="F564" t="s">
        <v>77</v>
      </c>
      <c r="G564" t="s">
        <v>746</v>
      </c>
      <c r="H564">
        <v>8</v>
      </c>
      <c r="I564">
        <v>200.91</v>
      </c>
      <c r="J564" t="s">
        <v>839</v>
      </c>
      <c r="K564" t="s">
        <v>812</v>
      </c>
      <c r="M564" t="s">
        <v>1085</v>
      </c>
      <c r="P564" t="s">
        <v>924</v>
      </c>
      <c r="R564" t="s">
        <v>81</v>
      </c>
      <c r="U564" t="s">
        <v>81</v>
      </c>
      <c r="V564" t="s">
        <v>81</v>
      </c>
      <c r="W564">
        <v>2</v>
      </c>
      <c r="X564" s="24">
        <v>46032</v>
      </c>
      <c r="Z564" t="s">
        <v>38</v>
      </c>
      <c r="AB564" t="s">
        <v>921</v>
      </c>
      <c r="AC564" t="s">
        <v>955</v>
      </c>
      <c r="AD564" t="s">
        <v>39</v>
      </c>
    </row>
    <row r="565" spans="1:30" hidden="1" x14ac:dyDescent="0.25">
      <c r="A565">
        <v>49</v>
      </c>
      <c r="B565" t="s">
        <v>118</v>
      </c>
      <c r="C565">
        <v>6</v>
      </c>
      <c r="D565">
        <v>328</v>
      </c>
      <c r="E565">
        <v>1729</v>
      </c>
      <c r="F565" t="s">
        <v>77</v>
      </c>
      <c r="G565" t="s">
        <v>746</v>
      </c>
      <c r="H565">
        <v>7</v>
      </c>
      <c r="I565">
        <v>176.89</v>
      </c>
      <c r="J565" t="s">
        <v>839</v>
      </c>
      <c r="K565" t="s">
        <v>812</v>
      </c>
      <c r="M565" t="s">
        <v>1085</v>
      </c>
      <c r="P565" t="s">
        <v>924</v>
      </c>
      <c r="R565" t="s">
        <v>81</v>
      </c>
      <c r="U565" t="s">
        <v>81</v>
      </c>
      <c r="V565" t="s">
        <v>81</v>
      </c>
      <c r="W565">
        <v>2</v>
      </c>
      <c r="X565" s="24">
        <v>46032</v>
      </c>
      <c r="Z565" t="s">
        <v>38</v>
      </c>
      <c r="AB565" t="s">
        <v>921</v>
      </c>
      <c r="AC565" t="s">
        <v>955</v>
      </c>
      <c r="AD565" t="s">
        <v>39</v>
      </c>
    </row>
    <row r="566" spans="1:30" hidden="1" x14ac:dyDescent="0.25">
      <c r="A566">
        <v>50</v>
      </c>
      <c r="B566" t="s">
        <v>112</v>
      </c>
      <c r="C566">
        <v>6</v>
      </c>
      <c r="D566">
        <v>328</v>
      </c>
      <c r="E566">
        <v>1718</v>
      </c>
      <c r="F566" t="s">
        <v>77</v>
      </c>
      <c r="G566" t="s">
        <v>746</v>
      </c>
      <c r="H566">
        <v>7</v>
      </c>
      <c r="I566">
        <v>175.79</v>
      </c>
      <c r="J566" t="s">
        <v>839</v>
      </c>
      <c r="K566" t="s">
        <v>812</v>
      </c>
      <c r="M566" t="s">
        <v>1085</v>
      </c>
      <c r="P566" t="s">
        <v>924</v>
      </c>
      <c r="R566" t="s">
        <v>81</v>
      </c>
      <c r="U566" t="s">
        <v>81</v>
      </c>
      <c r="V566" t="s">
        <v>81</v>
      </c>
      <c r="W566">
        <v>2</v>
      </c>
      <c r="X566" s="24">
        <v>46032</v>
      </c>
      <c r="Z566" t="s">
        <v>38</v>
      </c>
      <c r="AB566" t="s">
        <v>921</v>
      </c>
      <c r="AC566" t="s">
        <v>955</v>
      </c>
      <c r="AD566" t="s">
        <v>39</v>
      </c>
    </row>
    <row r="567" spans="1:30" hidden="1" x14ac:dyDescent="0.25">
      <c r="A567">
        <v>51</v>
      </c>
      <c r="B567" t="s">
        <v>121</v>
      </c>
      <c r="C567">
        <v>6</v>
      </c>
      <c r="D567">
        <v>328</v>
      </c>
      <c r="E567">
        <v>934</v>
      </c>
      <c r="F567" t="s">
        <v>77</v>
      </c>
      <c r="G567" t="s">
        <v>746</v>
      </c>
      <c r="H567">
        <v>8</v>
      </c>
      <c r="I567">
        <v>115.43</v>
      </c>
      <c r="J567" t="s">
        <v>839</v>
      </c>
      <c r="K567" t="s">
        <v>812</v>
      </c>
      <c r="M567" t="s">
        <v>1085</v>
      </c>
      <c r="P567" t="s">
        <v>924</v>
      </c>
      <c r="R567" t="s">
        <v>81</v>
      </c>
      <c r="U567" t="s">
        <v>81</v>
      </c>
      <c r="W567">
        <v>2</v>
      </c>
      <c r="X567" s="24">
        <v>46032</v>
      </c>
      <c r="Z567" t="s">
        <v>38</v>
      </c>
      <c r="AB567" t="s">
        <v>921</v>
      </c>
      <c r="AC567" t="s">
        <v>955</v>
      </c>
      <c r="AD567" t="s">
        <v>39</v>
      </c>
    </row>
    <row r="568" spans="1:30" hidden="1" x14ac:dyDescent="0.25">
      <c r="A568">
        <v>52</v>
      </c>
      <c r="B568" t="s">
        <v>116</v>
      </c>
      <c r="C568">
        <v>6</v>
      </c>
      <c r="D568">
        <v>298</v>
      </c>
      <c r="E568">
        <v>378</v>
      </c>
      <c r="F568" t="s">
        <v>77</v>
      </c>
      <c r="G568" t="s">
        <v>746</v>
      </c>
      <c r="H568">
        <v>1</v>
      </c>
      <c r="I568">
        <v>5.27</v>
      </c>
      <c r="J568" t="s">
        <v>839</v>
      </c>
      <c r="K568" t="s">
        <v>812</v>
      </c>
      <c r="M568" t="s">
        <v>1085</v>
      </c>
      <c r="P568" t="s">
        <v>924</v>
      </c>
      <c r="Q568" t="s">
        <v>26</v>
      </c>
      <c r="R568" t="s">
        <v>81</v>
      </c>
      <c r="W568">
        <v>2</v>
      </c>
      <c r="X568" s="24">
        <v>46032</v>
      </c>
      <c r="Z568" t="s">
        <v>38</v>
      </c>
      <c r="AB568" t="s">
        <v>921</v>
      </c>
      <c r="AC568" t="s">
        <v>955</v>
      </c>
      <c r="AD568" t="s">
        <v>39</v>
      </c>
    </row>
    <row r="569" spans="1:30" hidden="1" x14ac:dyDescent="0.25">
      <c r="A569">
        <v>53</v>
      </c>
      <c r="B569" t="s">
        <v>128</v>
      </c>
      <c r="C569">
        <v>6</v>
      </c>
      <c r="D569">
        <v>188</v>
      </c>
      <c r="E569">
        <v>2493</v>
      </c>
      <c r="F569" t="s">
        <v>77</v>
      </c>
      <c r="G569" t="s">
        <v>746</v>
      </c>
      <c r="H569">
        <v>4</v>
      </c>
      <c r="I569">
        <v>86.83</v>
      </c>
      <c r="J569" t="s">
        <v>839</v>
      </c>
      <c r="K569" t="s">
        <v>812</v>
      </c>
      <c r="M569" t="s">
        <v>1085</v>
      </c>
      <c r="P569" t="s">
        <v>924</v>
      </c>
      <c r="R569" t="s">
        <v>81</v>
      </c>
      <c r="U569" t="s">
        <v>81</v>
      </c>
      <c r="V569" t="s">
        <v>81</v>
      </c>
      <c r="W569">
        <v>2</v>
      </c>
      <c r="X569" s="24">
        <v>46032</v>
      </c>
      <c r="Z569" t="s">
        <v>38</v>
      </c>
      <c r="AB569" t="s">
        <v>921</v>
      </c>
      <c r="AC569" t="s">
        <v>957</v>
      </c>
      <c r="AD569" t="s">
        <v>39</v>
      </c>
    </row>
    <row r="570" spans="1:30" hidden="1" x14ac:dyDescent="0.25">
      <c r="A570">
        <v>54</v>
      </c>
      <c r="B570" t="s">
        <v>132</v>
      </c>
      <c r="C570">
        <v>6</v>
      </c>
      <c r="D570">
        <v>188</v>
      </c>
      <c r="E570">
        <v>2494</v>
      </c>
      <c r="F570" t="s">
        <v>77</v>
      </c>
      <c r="G570" t="s">
        <v>746</v>
      </c>
      <c r="H570">
        <v>4</v>
      </c>
      <c r="I570">
        <v>86.84</v>
      </c>
      <c r="J570" t="s">
        <v>839</v>
      </c>
      <c r="K570" t="s">
        <v>812</v>
      </c>
      <c r="M570" t="s">
        <v>1085</v>
      </c>
      <c r="P570" t="s">
        <v>924</v>
      </c>
      <c r="R570" t="s">
        <v>81</v>
      </c>
      <c r="U570" t="s">
        <v>81</v>
      </c>
      <c r="V570" t="s">
        <v>81</v>
      </c>
      <c r="W570">
        <v>2</v>
      </c>
      <c r="X570" s="24">
        <v>46032</v>
      </c>
      <c r="Z570" t="s">
        <v>38</v>
      </c>
      <c r="AB570" t="s">
        <v>921</v>
      </c>
      <c r="AC570" t="s">
        <v>957</v>
      </c>
      <c r="AD570" t="s">
        <v>39</v>
      </c>
    </row>
    <row r="571" spans="1:30" hidden="1" x14ac:dyDescent="0.25">
      <c r="A571">
        <v>55</v>
      </c>
      <c r="B571" t="s">
        <v>134</v>
      </c>
      <c r="C571">
        <v>6</v>
      </c>
      <c r="D571">
        <v>188</v>
      </c>
      <c r="E571">
        <v>2491</v>
      </c>
      <c r="F571" t="s">
        <v>77</v>
      </c>
      <c r="G571" t="s">
        <v>746</v>
      </c>
      <c r="H571">
        <v>12</v>
      </c>
      <c r="I571">
        <v>260.32</v>
      </c>
      <c r="J571" t="s">
        <v>839</v>
      </c>
      <c r="K571" t="s">
        <v>812</v>
      </c>
      <c r="M571" t="s">
        <v>1085</v>
      </c>
      <c r="P571" t="s">
        <v>924</v>
      </c>
      <c r="R571" t="s">
        <v>81</v>
      </c>
      <c r="U571" t="s">
        <v>81</v>
      </c>
      <c r="V571" t="s">
        <v>81</v>
      </c>
      <c r="W571">
        <v>2</v>
      </c>
      <c r="X571" s="24">
        <v>46032</v>
      </c>
      <c r="Z571" t="s">
        <v>38</v>
      </c>
      <c r="AB571" t="s">
        <v>921</v>
      </c>
      <c r="AC571" t="s">
        <v>957</v>
      </c>
      <c r="AD571" t="s">
        <v>39</v>
      </c>
    </row>
    <row r="572" spans="1:30" hidden="1" x14ac:dyDescent="0.25">
      <c r="A572">
        <v>56</v>
      </c>
      <c r="B572" t="s">
        <v>136</v>
      </c>
      <c r="C572">
        <v>6</v>
      </c>
      <c r="D572">
        <v>188</v>
      </c>
      <c r="E572">
        <v>2493</v>
      </c>
      <c r="F572" t="s">
        <v>77</v>
      </c>
      <c r="G572" t="s">
        <v>746</v>
      </c>
      <c r="H572">
        <v>4</v>
      </c>
      <c r="I572">
        <v>86.83</v>
      </c>
      <c r="J572" t="s">
        <v>839</v>
      </c>
      <c r="K572" t="s">
        <v>812</v>
      </c>
      <c r="M572" t="s">
        <v>1085</v>
      </c>
      <c r="P572" t="s">
        <v>924</v>
      </c>
      <c r="R572" t="s">
        <v>81</v>
      </c>
      <c r="U572" t="s">
        <v>81</v>
      </c>
      <c r="V572" t="s">
        <v>81</v>
      </c>
      <c r="W572">
        <v>2</v>
      </c>
      <c r="X572" s="24">
        <v>46032</v>
      </c>
      <c r="Z572" t="s">
        <v>38</v>
      </c>
      <c r="AB572" t="s">
        <v>921</v>
      </c>
      <c r="AC572" t="s">
        <v>957</v>
      </c>
      <c r="AD572" t="s">
        <v>39</v>
      </c>
    </row>
    <row r="573" spans="1:30" hidden="1" x14ac:dyDescent="0.25">
      <c r="A573">
        <v>57</v>
      </c>
      <c r="B573" t="s">
        <v>137</v>
      </c>
      <c r="C573">
        <v>6</v>
      </c>
      <c r="D573">
        <v>188</v>
      </c>
      <c r="E573">
        <v>2494</v>
      </c>
      <c r="F573" t="s">
        <v>77</v>
      </c>
      <c r="G573" t="s">
        <v>746</v>
      </c>
      <c r="H573">
        <v>4</v>
      </c>
      <c r="I573">
        <v>86.84</v>
      </c>
      <c r="J573" t="s">
        <v>839</v>
      </c>
      <c r="K573" t="s">
        <v>812</v>
      </c>
      <c r="M573" t="s">
        <v>1085</v>
      </c>
      <c r="P573" t="s">
        <v>924</v>
      </c>
      <c r="R573" t="s">
        <v>81</v>
      </c>
      <c r="U573" t="s">
        <v>81</v>
      </c>
      <c r="V573" t="s">
        <v>81</v>
      </c>
      <c r="W573">
        <v>2</v>
      </c>
      <c r="X573" s="24">
        <v>46032</v>
      </c>
      <c r="Z573" t="s">
        <v>38</v>
      </c>
      <c r="AB573" t="s">
        <v>921</v>
      </c>
      <c r="AC573" t="s">
        <v>957</v>
      </c>
      <c r="AD573" t="s">
        <v>39</v>
      </c>
    </row>
    <row r="574" spans="1:30" hidden="1" x14ac:dyDescent="0.25">
      <c r="A574">
        <v>58</v>
      </c>
      <c r="B574" t="s">
        <v>138</v>
      </c>
      <c r="C574">
        <v>6</v>
      </c>
      <c r="D574">
        <v>328</v>
      </c>
      <c r="E574">
        <v>934</v>
      </c>
      <c r="F574" t="s">
        <v>77</v>
      </c>
      <c r="G574" t="s">
        <v>746</v>
      </c>
      <c r="H574">
        <v>4</v>
      </c>
      <c r="I574">
        <v>57.72</v>
      </c>
      <c r="J574" t="s">
        <v>839</v>
      </c>
      <c r="K574" t="s">
        <v>812</v>
      </c>
      <c r="M574" t="s">
        <v>1085</v>
      </c>
      <c r="P574" t="s">
        <v>924</v>
      </c>
      <c r="R574" t="s">
        <v>81</v>
      </c>
      <c r="U574" t="s">
        <v>81</v>
      </c>
      <c r="W574">
        <v>2</v>
      </c>
      <c r="X574" s="24">
        <v>46032</v>
      </c>
      <c r="Z574" t="s">
        <v>38</v>
      </c>
      <c r="AB574" t="s">
        <v>921</v>
      </c>
      <c r="AC574" t="s">
        <v>957</v>
      </c>
      <c r="AD574" t="s">
        <v>39</v>
      </c>
    </row>
    <row r="575" spans="1:30" hidden="1" x14ac:dyDescent="0.25">
      <c r="A575">
        <v>59</v>
      </c>
      <c r="B575" t="s">
        <v>139</v>
      </c>
      <c r="C575">
        <v>6</v>
      </c>
      <c r="D575">
        <v>328</v>
      </c>
      <c r="E575">
        <v>934</v>
      </c>
      <c r="F575" t="s">
        <v>77</v>
      </c>
      <c r="G575" t="s">
        <v>746</v>
      </c>
      <c r="H575">
        <v>4</v>
      </c>
      <c r="I575">
        <v>57.72</v>
      </c>
      <c r="J575" t="s">
        <v>839</v>
      </c>
      <c r="K575" t="s">
        <v>812</v>
      </c>
      <c r="M575" t="s">
        <v>1085</v>
      </c>
      <c r="P575" t="s">
        <v>924</v>
      </c>
      <c r="R575" t="s">
        <v>81</v>
      </c>
      <c r="U575" t="s">
        <v>81</v>
      </c>
      <c r="W575">
        <v>2</v>
      </c>
      <c r="X575" s="24">
        <v>46032</v>
      </c>
      <c r="Z575" t="s">
        <v>38</v>
      </c>
      <c r="AB575" t="s">
        <v>921</v>
      </c>
      <c r="AC575" t="s">
        <v>957</v>
      </c>
      <c r="AD575" t="s">
        <v>39</v>
      </c>
    </row>
    <row r="576" spans="1:30" hidden="1" x14ac:dyDescent="0.25">
      <c r="A576">
        <v>60</v>
      </c>
      <c r="B576" t="s">
        <v>140</v>
      </c>
      <c r="C576">
        <v>6</v>
      </c>
      <c r="D576">
        <v>188</v>
      </c>
      <c r="E576">
        <v>2491</v>
      </c>
      <c r="F576" t="s">
        <v>77</v>
      </c>
      <c r="G576" t="s">
        <v>746</v>
      </c>
      <c r="H576">
        <v>18</v>
      </c>
      <c r="I576">
        <v>390.49</v>
      </c>
      <c r="J576" t="s">
        <v>839</v>
      </c>
      <c r="K576" t="s">
        <v>812</v>
      </c>
      <c r="M576" t="s">
        <v>1085</v>
      </c>
      <c r="P576" t="s">
        <v>924</v>
      </c>
      <c r="R576" t="s">
        <v>81</v>
      </c>
      <c r="U576" t="s">
        <v>81</v>
      </c>
      <c r="V576" t="s">
        <v>81</v>
      </c>
      <c r="W576">
        <v>2</v>
      </c>
      <c r="X576" s="24">
        <v>46032</v>
      </c>
      <c r="Z576" t="s">
        <v>38</v>
      </c>
      <c r="AB576" t="s">
        <v>921</v>
      </c>
      <c r="AC576" t="s">
        <v>959</v>
      </c>
      <c r="AD576" t="s">
        <v>39</v>
      </c>
    </row>
    <row r="577" spans="1:30" hidden="1" x14ac:dyDescent="0.25">
      <c r="A577">
        <v>61</v>
      </c>
      <c r="B577" t="s">
        <v>134</v>
      </c>
      <c r="C577">
        <v>6</v>
      </c>
      <c r="D577">
        <v>188</v>
      </c>
      <c r="E577">
        <v>2491</v>
      </c>
      <c r="F577" t="s">
        <v>77</v>
      </c>
      <c r="G577" t="s">
        <v>746</v>
      </c>
      <c r="H577">
        <v>6</v>
      </c>
      <c r="I577">
        <v>130.16</v>
      </c>
      <c r="J577" t="s">
        <v>839</v>
      </c>
      <c r="K577" t="s">
        <v>812</v>
      </c>
      <c r="M577" t="s">
        <v>1085</v>
      </c>
      <c r="P577" t="s">
        <v>924</v>
      </c>
      <c r="R577" t="s">
        <v>81</v>
      </c>
      <c r="U577" t="s">
        <v>81</v>
      </c>
      <c r="V577" t="s">
        <v>81</v>
      </c>
      <c r="W577">
        <v>2</v>
      </c>
      <c r="X577" s="24">
        <v>46032</v>
      </c>
      <c r="Z577" t="s">
        <v>38</v>
      </c>
      <c r="AB577" t="s">
        <v>921</v>
      </c>
      <c r="AC577" t="s">
        <v>959</v>
      </c>
      <c r="AD577" t="s">
        <v>39</v>
      </c>
    </row>
    <row r="578" spans="1:30" hidden="1" x14ac:dyDescent="0.25">
      <c r="A578">
        <v>62</v>
      </c>
      <c r="B578" t="s">
        <v>143</v>
      </c>
      <c r="C578">
        <v>6</v>
      </c>
      <c r="D578">
        <v>188</v>
      </c>
      <c r="E578">
        <v>2491</v>
      </c>
      <c r="F578" t="s">
        <v>77</v>
      </c>
      <c r="G578" t="s">
        <v>746</v>
      </c>
      <c r="H578">
        <v>4</v>
      </c>
      <c r="I578">
        <v>86.77</v>
      </c>
      <c r="J578" t="s">
        <v>839</v>
      </c>
      <c r="K578" t="s">
        <v>812</v>
      </c>
      <c r="M578" t="s">
        <v>1085</v>
      </c>
      <c r="P578" t="s">
        <v>924</v>
      </c>
      <c r="R578" t="s">
        <v>81</v>
      </c>
      <c r="U578" t="s">
        <v>81</v>
      </c>
      <c r="V578" t="s">
        <v>81</v>
      </c>
      <c r="W578">
        <v>2</v>
      </c>
      <c r="X578" s="24">
        <v>46032</v>
      </c>
      <c r="Z578" t="s">
        <v>38</v>
      </c>
      <c r="AB578" t="s">
        <v>921</v>
      </c>
      <c r="AC578" t="s">
        <v>959</v>
      </c>
      <c r="AD578" t="s">
        <v>39</v>
      </c>
    </row>
    <row r="579" spans="1:30" hidden="1" x14ac:dyDescent="0.25">
      <c r="A579">
        <v>63</v>
      </c>
      <c r="B579" t="s">
        <v>144</v>
      </c>
      <c r="C579">
        <v>6</v>
      </c>
      <c r="D579">
        <v>328</v>
      </c>
      <c r="E579">
        <v>934</v>
      </c>
      <c r="F579" t="s">
        <v>77</v>
      </c>
      <c r="G579" t="s">
        <v>746</v>
      </c>
      <c r="H579">
        <v>5</v>
      </c>
      <c r="I579">
        <v>72.150000000000006</v>
      </c>
      <c r="J579" t="s">
        <v>839</v>
      </c>
      <c r="K579" t="s">
        <v>812</v>
      </c>
      <c r="M579" t="s">
        <v>1085</v>
      </c>
      <c r="P579" t="s">
        <v>924</v>
      </c>
      <c r="R579" t="s">
        <v>81</v>
      </c>
      <c r="U579" t="s">
        <v>81</v>
      </c>
      <c r="W579">
        <v>2</v>
      </c>
      <c r="X579" s="24">
        <v>46032</v>
      </c>
      <c r="Z579" t="s">
        <v>38</v>
      </c>
      <c r="AB579" t="s">
        <v>921</v>
      </c>
      <c r="AC579" t="s">
        <v>959</v>
      </c>
      <c r="AD579" t="s">
        <v>39</v>
      </c>
    </row>
    <row r="580" spans="1:30" hidden="1" x14ac:dyDescent="0.25">
      <c r="A580">
        <v>64</v>
      </c>
      <c r="B580" t="s">
        <v>138</v>
      </c>
      <c r="C580">
        <v>6</v>
      </c>
      <c r="D580">
        <v>328</v>
      </c>
      <c r="E580">
        <v>934</v>
      </c>
      <c r="F580" t="s">
        <v>77</v>
      </c>
      <c r="G580" t="s">
        <v>746</v>
      </c>
      <c r="H580">
        <v>3</v>
      </c>
      <c r="I580">
        <v>43.29</v>
      </c>
      <c r="J580" t="s">
        <v>839</v>
      </c>
      <c r="K580" t="s">
        <v>812</v>
      </c>
      <c r="M580" t="s">
        <v>1085</v>
      </c>
      <c r="P580" t="s">
        <v>924</v>
      </c>
      <c r="R580" t="s">
        <v>81</v>
      </c>
      <c r="U580" t="s">
        <v>81</v>
      </c>
      <c r="W580">
        <v>2</v>
      </c>
      <c r="X580" s="24">
        <v>46032</v>
      </c>
      <c r="Z580" t="s">
        <v>38</v>
      </c>
      <c r="AB580" t="s">
        <v>921</v>
      </c>
      <c r="AC580" t="s">
        <v>959</v>
      </c>
      <c r="AD580" t="s">
        <v>39</v>
      </c>
    </row>
    <row r="581" spans="1:30" hidden="1" x14ac:dyDescent="0.25">
      <c r="A581">
        <v>65</v>
      </c>
      <c r="B581" t="s">
        <v>145</v>
      </c>
      <c r="C581">
        <v>6</v>
      </c>
      <c r="D581">
        <v>188</v>
      </c>
      <c r="E581">
        <v>2491</v>
      </c>
      <c r="F581" t="s">
        <v>77</v>
      </c>
      <c r="G581" t="s">
        <v>746</v>
      </c>
      <c r="H581">
        <v>14</v>
      </c>
      <c r="I581">
        <v>303.7</v>
      </c>
      <c r="J581" t="s">
        <v>839</v>
      </c>
      <c r="K581" t="s">
        <v>812</v>
      </c>
      <c r="M581" t="s">
        <v>1085</v>
      </c>
      <c r="P581" t="s">
        <v>924</v>
      </c>
      <c r="R581" t="s">
        <v>81</v>
      </c>
      <c r="U581" t="s">
        <v>81</v>
      </c>
      <c r="V581" t="s">
        <v>81</v>
      </c>
      <c r="W581">
        <v>2</v>
      </c>
      <c r="X581" s="24">
        <v>46032</v>
      </c>
      <c r="Z581" t="s">
        <v>38</v>
      </c>
      <c r="AB581" t="s">
        <v>921</v>
      </c>
      <c r="AC581" t="s">
        <v>961</v>
      </c>
      <c r="AD581" t="s">
        <v>39</v>
      </c>
    </row>
    <row r="582" spans="1:30" hidden="1" x14ac:dyDescent="0.25">
      <c r="A582">
        <v>66</v>
      </c>
      <c r="B582" t="s">
        <v>148</v>
      </c>
      <c r="C582">
        <v>6</v>
      </c>
      <c r="D582">
        <v>328</v>
      </c>
      <c r="E582">
        <v>934</v>
      </c>
      <c r="F582" t="s">
        <v>77</v>
      </c>
      <c r="G582" t="s">
        <v>746</v>
      </c>
      <c r="H582">
        <v>4</v>
      </c>
      <c r="I582">
        <v>57.72</v>
      </c>
      <c r="J582" t="s">
        <v>839</v>
      </c>
      <c r="K582" t="s">
        <v>812</v>
      </c>
      <c r="M582" t="s">
        <v>1085</v>
      </c>
      <c r="P582" t="s">
        <v>924</v>
      </c>
      <c r="R582" t="s">
        <v>81</v>
      </c>
      <c r="U582" t="s">
        <v>81</v>
      </c>
      <c r="W582">
        <v>2</v>
      </c>
      <c r="X582" s="24">
        <v>46032</v>
      </c>
      <c r="Z582" t="s">
        <v>38</v>
      </c>
      <c r="AB582" t="s">
        <v>921</v>
      </c>
      <c r="AC582" t="s">
        <v>961</v>
      </c>
      <c r="AD582" t="s">
        <v>39</v>
      </c>
    </row>
    <row r="583" spans="1:30" hidden="1" x14ac:dyDescent="0.25">
      <c r="A583">
        <v>67</v>
      </c>
      <c r="B583" t="s">
        <v>143</v>
      </c>
      <c r="C583">
        <v>6</v>
      </c>
      <c r="D583">
        <v>188</v>
      </c>
      <c r="E583">
        <v>2491</v>
      </c>
      <c r="F583" t="s">
        <v>77</v>
      </c>
      <c r="G583" t="s">
        <v>746</v>
      </c>
      <c r="H583">
        <v>14</v>
      </c>
      <c r="I583">
        <v>303.7</v>
      </c>
      <c r="J583" t="s">
        <v>839</v>
      </c>
      <c r="K583" t="s">
        <v>812</v>
      </c>
      <c r="M583" t="s">
        <v>1085</v>
      </c>
      <c r="P583" t="s">
        <v>924</v>
      </c>
      <c r="R583" t="s">
        <v>81</v>
      </c>
      <c r="U583" t="s">
        <v>81</v>
      </c>
      <c r="V583" t="s">
        <v>81</v>
      </c>
      <c r="W583">
        <v>2</v>
      </c>
      <c r="X583" s="24">
        <v>46032</v>
      </c>
      <c r="Z583" t="s">
        <v>38</v>
      </c>
      <c r="AB583" t="s">
        <v>921</v>
      </c>
      <c r="AC583" t="s">
        <v>961</v>
      </c>
      <c r="AD583" t="s">
        <v>39</v>
      </c>
    </row>
    <row r="584" spans="1:30" hidden="1" x14ac:dyDescent="0.25">
      <c r="A584">
        <v>68</v>
      </c>
      <c r="B584" t="s">
        <v>149</v>
      </c>
      <c r="C584">
        <v>6</v>
      </c>
      <c r="D584">
        <v>328</v>
      </c>
      <c r="E584">
        <v>934</v>
      </c>
      <c r="F584" t="s">
        <v>77</v>
      </c>
      <c r="G584" t="s">
        <v>746</v>
      </c>
      <c r="H584">
        <v>3</v>
      </c>
      <c r="I584">
        <v>43.29</v>
      </c>
      <c r="J584" t="s">
        <v>839</v>
      </c>
      <c r="K584" t="s">
        <v>812</v>
      </c>
      <c r="M584" t="s">
        <v>1085</v>
      </c>
      <c r="P584" t="s">
        <v>924</v>
      </c>
      <c r="R584" t="s">
        <v>81</v>
      </c>
      <c r="U584" t="s">
        <v>81</v>
      </c>
      <c r="W584">
        <v>2</v>
      </c>
      <c r="X584" s="24">
        <v>46032</v>
      </c>
      <c r="Z584" t="s">
        <v>38</v>
      </c>
      <c r="AB584" t="s">
        <v>921</v>
      </c>
      <c r="AC584" t="s">
        <v>961</v>
      </c>
      <c r="AD584" t="s">
        <v>39</v>
      </c>
    </row>
    <row r="585" spans="1:30" hidden="1" x14ac:dyDescent="0.25">
      <c r="A585">
        <v>69</v>
      </c>
      <c r="B585" t="s">
        <v>144</v>
      </c>
      <c r="C585">
        <v>6</v>
      </c>
      <c r="D585">
        <v>328</v>
      </c>
      <c r="E585">
        <v>934</v>
      </c>
      <c r="F585" t="s">
        <v>77</v>
      </c>
      <c r="G585" t="s">
        <v>746</v>
      </c>
      <c r="H585">
        <v>1</v>
      </c>
      <c r="I585">
        <v>14.43</v>
      </c>
      <c r="J585" t="s">
        <v>839</v>
      </c>
      <c r="K585" t="s">
        <v>812</v>
      </c>
      <c r="M585" t="s">
        <v>1085</v>
      </c>
      <c r="P585" t="s">
        <v>924</v>
      </c>
      <c r="R585" t="s">
        <v>81</v>
      </c>
      <c r="U585" t="s">
        <v>81</v>
      </c>
      <c r="W585">
        <v>2</v>
      </c>
      <c r="X585" s="24">
        <v>46032</v>
      </c>
      <c r="Z585" t="s">
        <v>38</v>
      </c>
      <c r="AB585" t="s">
        <v>921</v>
      </c>
      <c r="AC585" t="s">
        <v>961</v>
      </c>
      <c r="AD585" t="s">
        <v>39</v>
      </c>
    </row>
    <row r="586" spans="1:30" hidden="1" x14ac:dyDescent="0.25">
      <c r="A586">
        <v>70</v>
      </c>
      <c r="B586" t="s">
        <v>145</v>
      </c>
      <c r="C586">
        <v>6</v>
      </c>
      <c r="D586">
        <v>188</v>
      </c>
      <c r="E586">
        <v>2491</v>
      </c>
      <c r="F586" t="s">
        <v>77</v>
      </c>
      <c r="G586" t="s">
        <v>746</v>
      </c>
      <c r="H586">
        <v>4</v>
      </c>
      <c r="I586">
        <v>86.77</v>
      </c>
      <c r="J586" t="s">
        <v>839</v>
      </c>
      <c r="K586" t="s">
        <v>812</v>
      </c>
      <c r="M586" t="s">
        <v>1085</v>
      </c>
      <c r="P586" t="s">
        <v>924</v>
      </c>
      <c r="R586" t="s">
        <v>81</v>
      </c>
      <c r="U586" t="s">
        <v>81</v>
      </c>
      <c r="V586" t="s">
        <v>81</v>
      </c>
      <c r="W586">
        <v>2</v>
      </c>
      <c r="X586" s="24">
        <v>46032</v>
      </c>
      <c r="Z586" t="s">
        <v>38</v>
      </c>
      <c r="AB586" t="s">
        <v>921</v>
      </c>
      <c r="AC586" t="s">
        <v>963</v>
      </c>
      <c r="AD586" t="s">
        <v>39</v>
      </c>
    </row>
    <row r="587" spans="1:30" hidden="1" x14ac:dyDescent="0.25">
      <c r="A587">
        <v>71</v>
      </c>
      <c r="B587" t="s">
        <v>152</v>
      </c>
      <c r="C587">
        <v>6</v>
      </c>
      <c r="D587">
        <v>188</v>
      </c>
      <c r="E587">
        <v>2491</v>
      </c>
      <c r="F587" t="s">
        <v>77</v>
      </c>
      <c r="G587" t="s">
        <v>746</v>
      </c>
      <c r="H587">
        <v>6</v>
      </c>
      <c r="I587">
        <v>130.12</v>
      </c>
      <c r="J587" t="s">
        <v>839</v>
      </c>
      <c r="K587" t="s">
        <v>812</v>
      </c>
      <c r="M587" t="s">
        <v>1085</v>
      </c>
      <c r="P587" t="s">
        <v>924</v>
      </c>
      <c r="R587" t="s">
        <v>81</v>
      </c>
      <c r="U587" t="s">
        <v>81</v>
      </c>
      <c r="V587" t="s">
        <v>81</v>
      </c>
      <c r="W587">
        <v>2</v>
      </c>
      <c r="X587" s="24">
        <v>46032</v>
      </c>
      <c r="Z587" t="s">
        <v>38</v>
      </c>
      <c r="AB587" t="s">
        <v>921</v>
      </c>
      <c r="AC587" t="s">
        <v>963</v>
      </c>
      <c r="AD587" t="s">
        <v>39</v>
      </c>
    </row>
    <row r="588" spans="1:30" hidden="1" x14ac:dyDescent="0.25">
      <c r="A588">
        <v>72</v>
      </c>
      <c r="B588" t="s">
        <v>153</v>
      </c>
      <c r="C588">
        <v>6</v>
      </c>
      <c r="D588">
        <v>188</v>
      </c>
      <c r="E588">
        <v>2491</v>
      </c>
      <c r="F588" t="s">
        <v>77</v>
      </c>
      <c r="G588" t="s">
        <v>746</v>
      </c>
      <c r="H588">
        <v>18</v>
      </c>
      <c r="I588">
        <v>390.36</v>
      </c>
      <c r="J588" t="s">
        <v>839</v>
      </c>
      <c r="K588" t="s">
        <v>812</v>
      </c>
      <c r="M588" t="s">
        <v>1085</v>
      </c>
      <c r="P588" t="s">
        <v>924</v>
      </c>
      <c r="R588" t="s">
        <v>81</v>
      </c>
      <c r="U588" t="s">
        <v>81</v>
      </c>
      <c r="V588" t="s">
        <v>81</v>
      </c>
      <c r="W588">
        <v>2</v>
      </c>
      <c r="X588" s="24">
        <v>46032</v>
      </c>
      <c r="Z588" t="s">
        <v>38</v>
      </c>
      <c r="AB588" t="s">
        <v>921</v>
      </c>
      <c r="AC588" t="s">
        <v>963</v>
      </c>
      <c r="AD588" t="s">
        <v>39</v>
      </c>
    </row>
    <row r="589" spans="1:30" hidden="1" x14ac:dyDescent="0.25">
      <c r="A589">
        <v>73</v>
      </c>
      <c r="B589" t="s">
        <v>154</v>
      </c>
      <c r="C589">
        <v>6</v>
      </c>
      <c r="D589">
        <v>328</v>
      </c>
      <c r="E589">
        <v>934</v>
      </c>
      <c r="F589" t="s">
        <v>77</v>
      </c>
      <c r="G589" t="s">
        <v>746</v>
      </c>
      <c r="H589">
        <v>3</v>
      </c>
      <c r="I589">
        <v>43.29</v>
      </c>
      <c r="J589" t="s">
        <v>839</v>
      </c>
      <c r="K589" t="s">
        <v>812</v>
      </c>
      <c r="M589" t="s">
        <v>1085</v>
      </c>
      <c r="P589" t="s">
        <v>924</v>
      </c>
      <c r="R589" t="s">
        <v>81</v>
      </c>
      <c r="U589" t="s">
        <v>81</v>
      </c>
      <c r="W589">
        <v>2</v>
      </c>
      <c r="X589" s="24">
        <v>46032</v>
      </c>
      <c r="Z589" t="s">
        <v>38</v>
      </c>
      <c r="AB589" t="s">
        <v>921</v>
      </c>
      <c r="AC589" t="s">
        <v>963</v>
      </c>
      <c r="AD589" t="s">
        <v>39</v>
      </c>
    </row>
    <row r="590" spans="1:30" hidden="1" x14ac:dyDescent="0.25">
      <c r="A590">
        <v>74</v>
      </c>
      <c r="B590" t="s">
        <v>139</v>
      </c>
      <c r="C590">
        <v>6</v>
      </c>
      <c r="D590">
        <v>328</v>
      </c>
      <c r="E590">
        <v>934</v>
      </c>
      <c r="F590" t="s">
        <v>77</v>
      </c>
      <c r="G590" t="s">
        <v>746</v>
      </c>
      <c r="H590">
        <v>5</v>
      </c>
      <c r="I590">
        <v>72.150000000000006</v>
      </c>
      <c r="J590" t="s">
        <v>839</v>
      </c>
      <c r="K590" t="s">
        <v>812</v>
      </c>
      <c r="M590" t="s">
        <v>1085</v>
      </c>
      <c r="P590" t="s">
        <v>924</v>
      </c>
      <c r="R590" t="s">
        <v>81</v>
      </c>
      <c r="U590" t="s">
        <v>81</v>
      </c>
      <c r="W590">
        <v>2</v>
      </c>
      <c r="X590" s="24">
        <v>46032</v>
      </c>
      <c r="Z590" t="s">
        <v>38</v>
      </c>
      <c r="AB590" t="s">
        <v>921</v>
      </c>
      <c r="AC590" t="s">
        <v>963</v>
      </c>
      <c r="AD590" t="s">
        <v>39</v>
      </c>
    </row>
    <row r="591" spans="1:30" hidden="1" x14ac:dyDescent="0.25">
      <c r="A591">
        <v>75</v>
      </c>
      <c r="B591" t="s">
        <v>152</v>
      </c>
      <c r="C591">
        <v>6</v>
      </c>
      <c r="D591">
        <v>188</v>
      </c>
      <c r="E591">
        <v>2491</v>
      </c>
      <c r="F591" t="s">
        <v>77</v>
      </c>
      <c r="G591" t="s">
        <v>746</v>
      </c>
      <c r="H591">
        <v>12</v>
      </c>
      <c r="I591">
        <v>260.24</v>
      </c>
      <c r="J591" t="s">
        <v>839</v>
      </c>
      <c r="K591" t="s">
        <v>812</v>
      </c>
      <c r="M591" t="s">
        <v>1085</v>
      </c>
      <c r="P591" t="s">
        <v>924</v>
      </c>
      <c r="R591" t="s">
        <v>81</v>
      </c>
      <c r="U591" t="s">
        <v>81</v>
      </c>
      <c r="V591" t="s">
        <v>81</v>
      </c>
      <c r="W591">
        <v>2</v>
      </c>
      <c r="X591" s="24">
        <v>46032</v>
      </c>
      <c r="Z591" t="s">
        <v>38</v>
      </c>
      <c r="AB591" t="s">
        <v>921</v>
      </c>
      <c r="AC591" t="s">
        <v>965</v>
      </c>
      <c r="AD591" t="s">
        <v>39</v>
      </c>
    </row>
    <row r="592" spans="1:30" hidden="1" x14ac:dyDescent="0.25">
      <c r="A592">
        <v>76</v>
      </c>
      <c r="B592" t="s">
        <v>148</v>
      </c>
      <c r="C592">
        <v>6</v>
      </c>
      <c r="D592">
        <v>328</v>
      </c>
      <c r="E592">
        <v>934</v>
      </c>
      <c r="F592" t="s">
        <v>77</v>
      </c>
      <c r="G592" t="s">
        <v>746</v>
      </c>
      <c r="H592">
        <v>1</v>
      </c>
      <c r="I592">
        <v>14.43</v>
      </c>
      <c r="J592" t="s">
        <v>839</v>
      </c>
      <c r="K592" t="s">
        <v>812</v>
      </c>
      <c r="M592" t="s">
        <v>1085</v>
      </c>
      <c r="P592" t="s">
        <v>924</v>
      </c>
      <c r="R592" t="s">
        <v>81</v>
      </c>
      <c r="U592" t="s">
        <v>81</v>
      </c>
      <c r="W592">
        <v>2</v>
      </c>
      <c r="X592" s="24">
        <v>46032</v>
      </c>
      <c r="Z592" t="s">
        <v>38</v>
      </c>
      <c r="AB592" t="s">
        <v>921</v>
      </c>
      <c r="AC592" t="s">
        <v>965</v>
      </c>
      <c r="AD592" t="s">
        <v>39</v>
      </c>
    </row>
    <row r="593" spans="1:30" hidden="1" x14ac:dyDescent="0.25">
      <c r="A593">
        <v>77</v>
      </c>
      <c r="B593" t="s">
        <v>149</v>
      </c>
      <c r="C593">
        <v>6</v>
      </c>
      <c r="D593">
        <v>328</v>
      </c>
      <c r="E593">
        <v>934</v>
      </c>
      <c r="F593" t="s">
        <v>77</v>
      </c>
      <c r="G593" t="s">
        <v>746</v>
      </c>
      <c r="H593">
        <v>3</v>
      </c>
      <c r="I593">
        <v>43.29</v>
      </c>
      <c r="J593" t="s">
        <v>839</v>
      </c>
      <c r="K593" t="s">
        <v>812</v>
      </c>
      <c r="M593" t="s">
        <v>1085</v>
      </c>
      <c r="P593" t="s">
        <v>924</v>
      </c>
      <c r="R593" t="s">
        <v>81</v>
      </c>
      <c r="U593" t="s">
        <v>81</v>
      </c>
      <c r="W593">
        <v>2</v>
      </c>
      <c r="X593" s="24">
        <v>46032</v>
      </c>
      <c r="Z593" t="s">
        <v>38</v>
      </c>
      <c r="AB593" t="s">
        <v>921</v>
      </c>
      <c r="AC593" t="s">
        <v>965</v>
      </c>
      <c r="AD593" t="s">
        <v>39</v>
      </c>
    </row>
    <row r="594" spans="1:30" hidden="1" x14ac:dyDescent="0.25">
      <c r="A594">
        <v>78</v>
      </c>
      <c r="B594" t="s">
        <v>157</v>
      </c>
      <c r="C594">
        <v>6</v>
      </c>
      <c r="D594">
        <v>188</v>
      </c>
      <c r="E594">
        <v>2491</v>
      </c>
      <c r="F594" t="s">
        <v>77</v>
      </c>
      <c r="G594" t="s">
        <v>746</v>
      </c>
      <c r="H594">
        <v>16</v>
      </c>
      <c r="I594">
        <v>346.99</v>
      </c>
      <c r="J594" t="s">
        <v>839</v>
      </c>
      <c r="K594" t="s">
        <v>812</v>
      </c>
      <c r="M594" t="s">
        <v>1085</v>
      </c>
      <c r="P594" t="s">
        <v>924</v>
      </c>
      <c r="R594" t="s">
        <v>81</v>
      </c>
      <c r="U594" t="s">
        <v>81</v>
      </c>
      <c r="V594" t="s">
        <v>81</v>
      </c>
      <c r="W594">
        <v>2</v>
      </c>
      <c r="X594" s="24">
        <v>46032</v>
      </c>
      <c r="Z594" t="s">
        <v>38</v>
      </c>
      <c r="AB594" t="s">
        <v>921</v>
      </c>
      <c r="AC594" t="s">
        <v>965</v>
      </c>
      <c r="AD594" t="s">
        <v>39</v>
      </c>
    </row>
    <row r="595" spans="1:30" hidden="1" x14ac:dyDescent="0.25">
      <c r="A595">
        <v>79</v>
      </c>
      <c r="B595" t="s">
        <v>154</v>
      </c>
      <c r="C595">
        <v>6</v>
      </c>
      <c r="D595">
        <v>328</v>
      </c>
      <c r="E595">
        <v>934</v>
      </c>
      <c r="F595" t="s">
        <v>77</v>
      </c>
      <c r="G595" t="s">
        <v>746</v>
      </c>
      <c r="H595">
        <v>4</v>
      </c>
      <c r="I595">
        <v>57.72</v>
      </c>
      <c r="J595" t="s">
        <v>839</v>
      </c>
      <c r="K595" t="s">
        <v>812</v>
      </c>
      <c r="M595" t="s">
        <v>1085</v>
      </c>
      <c r="P595" t="s">
        <v>924</v>
      </c>
      <c r="R595" t="s">
        <v>81</v>
      </c>
      <c r="U595" t="s">
        <v>81</v>
      </c>
      <c r="W595">
        <v>2</v>
      </c>
      <c r="X595" s="24">
        <v>46032</v>
      </c>
      <c r="Z595" t="s">
        <v>38</v>
      </c>
      <c r="AB595" t="s">
        <v>921</v>
      </c>
      <c r="AC595" t="s">
        <v>965</v>
      </c>
      <c r="AD595" t="s">
        <v>39</v>
      </c>
    </row>
    <row r="596" spans="1:30" hidden="1" x14ac:dyDescent="0.25">
      <c r="A596">
        <v>80</v>
      </c>
      <c r="B596" t="s">
        <v>158</v>
      </c>
      <c r="C596">
        <v>6</v>
      </c>
      <c r="D596">
        <v>328</v>
      </c>
      <c r="E596">
        <v>894</v>
      </c>
      <c r="F596" t="s">
        <v>77</v>
      </c>
      <c r="G596" t="s">
        <v>746</v>
      </c>
      <c r="H596">
        <v>2</v>
      </c>
      <c r="I596">
        <v>27.62</v>
      </c>
      <c r="J596" t="s">
        <v>839</v>
      </c>
      <c r="K596" t="s">
        <v>812</v>
      </c>
      <c r="M596" t="s">
        <v>1085</v>
      </c>
      <c r="P596" t="s">
        <v>924</v>
      </c>
      <c r="R596" t="s">
        <v>81</v>
      </c>
      <c r="U596" t="s">
        <v>81</v>
      </c>
      <c r="W596">
        <v>2</v>
      </c>
      <c r="X596" s="24">
        <v>46032</v>
      </c>
      <c r="Z596" t="s">
        <v>38</v>
      </c>
      <c r="AB596" t="s">
        <v>921</v>
      </c>
      <c r="AC596" t="s">
        <v>967</v>
      </c>
      <c r="AD596" t="s">
        <v>39</v>
      </c>
    </row>
    <row r="597" spans="1:30" hidden="1" x14ac:dyDescent="0.25">
      <c r="A597">
        <v>81</v>
      </c>
      <c r="B597" t="s">
        <v>162</v>
      </c>
      <c r="C597">
        <v>6</v>
      </c>
      <c r="D597">
        <v>188</v>
      </c>
      <c r="E597">
        <v>2491</v>
      </c>
      <c r="F597" t="s">
        <v>77</v>
      </c>
      <c r="G597" t="s">
        <v>746</v>
      </c>
      <c r="H597">
        <v>18</v>
      </c>
      <c r="I597">
        <v>390.36</v>
      </c>
      <c r="J597" t="s">
        <v>839</v>
      </c>
      <c r="K597" t="s">
        <v>812</v>
      </c>
      <c r="M597" t="s">
        <v>1085</v>
      </c>
      <c r="P597" t="s">
        <v>924</v>
      </c>
      <c r="R597" t="s">
        <v>81</v>
      </c>
      <c r="U597" t="s">
        <v>81</v>
      </c>
      <c r="V597" t="s">
        <v>81</v>
      </c>
      <c r="W597">
        <v>2</v>
      </c>
      <c r="X597" s="24">
        <v>46032</v>
      </c>
      <c r="Z597" t="s">
        <v>38</v>
      </c>
      <c r="AB597" t="s">
        <v>921</v>
      </c>
      <c r="AC597" t="s">
        <v>967</v>
      </c>
      <c r="AD597" t="s">
        <v>39</v>
      </c>
    </row>
    <row r="598" spans="1:30" hidden="1" x14ac:dyDescent="0.25">
      <c r="A598">
        <v>82</v>
      </c>
      <c r="B598" t="s">
        <v>163</v>
      </c>
      <c r="C598">
        <v>6</v>
      </c>
      <c r="D598">
        <v>328</v>
      </c>
      <c r="E598">
        <v>894</v>
      </c>
      <c r="F598" t="s">
        <v>77</v>
      </c>
      <c r="G598" t="s">
        <v>746</v>
      </c>
      <c r="H598">
        <v>2</v>
      </c>
      <c r="I598">
        <v>27.62</v>
      </c>
      <c r="J598" t="s">
        <v>839</v>
      </c>
      <c r="K598" t="s">
        <v>812</v>
      </c>
      <c r="M598" t="s">
        <v>1085</v>
      </c>
      <c r="P598" t="s">
        <v>924</v>
      </c>
      <c r="R598" t="s">
        <v>81</v>
      </c>
      <c r="U598" t="s">
        <v>81</v>
      </c>
      <c r="W598">
        <v>2</v>
      </c>
      <c r="X598" s="24">
        <v>46032</v>
      </c>
      <c r="Z598" t="s">
        <v>38</v>
      </c>
      <c r="AB598" t="s">
        <v>921</v>
      </c>
      <c r="AC598" t="s">
        <v>967</v>
      </c>
      <c r="AD598" t="s">
        <v>39</v>
      </c>
    </row>
    <row r="599" spans="1:30" hidden="1" x14ac:dyDescent="0.25">
      <c r="A599">
        <v>83</v>
      </c>
      <c r="B599" t="s">
        <v>164</v>
      </c>
      <c r="C599">
        <v>6</v>
      </c>
      <c r="D599">
        <v>328</v>
      </c>
      <c r="E599">
        <v>894</v>
      </c>
      <c r="F599" t="s">
        <v>77</v>
      </c>
      <c r="G599" t="s">
        <v>746</v>
      </c>
      <c r="H599">
        <v>1</v>
      </c>
      <c r="I599">
        <v>13.81</v>
      </c>
      <c r="J599" t="s">
        <v>839</v>
      </c>
      <c r="K599" t="s">
        <v>812</v>
      </c>
      <c r="M599" t="s">
        <v>1085</v>
      </c>
      <c r="P599" t="s">
        <v>924</v>
      </c>
      <c r="R599" t="s">
        <v>81</v>
      </c>
      <c r="U599" t="s">
        <v>81</v>
      </c>
      <c r="W599">
        <v>2</v>
      </c>
      <c r="X599" s="24">
        <v>46032</v>
      </c>
      <c r="Z599" t="s">
        <v>38</v>
      </c>
      <c r="AB599" t="s">
        <v>921</v>
      </c>
      <c r="AC599" t="s">
        <v>967</v>
      </c>
      <c r="AD599" t="s">
        <v>39</v>
      </c>
    </row>
    <row r="600" spans="1:30" hidden="1" x14ac:dyDescent="0.25">
      <c r="A600">
        <v>84</v>
      </c>
      <c r="B600" t="s">
        <v>165</v>
      </c>
      <c r="C600">
        <v>6</v>
      </c>
      <c r="D600">
        <v>328</v>
      </c>
      <c r="E600">
        <v>894</v>
      </c>
      <c r="F600" t="s">
        <v>77</v>
      </c>
      <c r="G600" t="s">
        <v>746</v>
      </c>
      <c r="H600">
        <v>2</v>
      </c>
      <c r="I600">
        <v>27.62</v>
      </c>
      <c r="J600" t="s">
        <v>839</v>
      </c>
      <c r="K600" t="s">
        <v>812</v>
      </c>
      <c r="M600" t="s">
        <v>1085</v>
      </c>
      <c r="P600" t="s">
        <v>924</v>
      </c>
      <c r="R600" t="s">
        <v>81</v>
      </c>
      <c r="U600" t="s">
        <v>81</v>
      </c>
      <c r="W600">
        <v>2</v>
      </c>
      <c r="X600" s="24">
        <v>46032</v>
      </c>
      <c r="Z600" t="s">
        <v>38</v>
      </c>
      <c r="AB600" t="s">
        <v>921</v>
      </c>
      <c r="AC600" t="s">
        <v>967</v>
      </c>
      <c r="AD600" t="s">
        <v>39</v>
      </c>
    </row>
    <row r="601" spans="1:30" hidden="1" x14ac:dyDescent="0.25">
      <c r="A601">
        <v>85</v>
      </c>
      <c r="B601" t="s">
        <v>157</v>
      </c>
      <c r="C601">
        <v>6</v>
      </c>
      <c r="D601">
        <v>188</v>
      </c>
      <c r="E601">
        <v>2491</v>
      </c>
      <c r="F601" t="s">
        <v>77</v>
      </c>
      <c r="G601" t="s">
        <v>746</v>
      </c>
      <c r="H601">
        <v>2</v>
      </c>
      <c r="I601">
        <v>43.37</v>
      </c>
      <c r="J601" t="s">
        <v>839</v>
      </c>
      <c r="K601" t="s">
        <v>812</v>
      </c>
      <c r="M601" t="s">
        <v>1085</v>
      </c>
      <c r="P601" t="s">
        <v>924</v>
      </c>
      <c r="R601" t="s">
        <v>81</v>
      </c>
      <c r="U601" t="s">
        <v>81</v>
      </c>
      <c r="V601" t="s">
        <v>81</v>
      </c>
      <c r="W601">
        <v>2</v>
      </c>
      <c r="X601" s="24">
        <v>46032</v>
      </c>
      <c r="Z601" t="s">
        <v>38</v>
      </c>
      <c r="AB601" t="s">
        <v>921</v>
      </c>
      <c r="AC601" t="s">
        <v>967</v>
      </c>
      <c r="AD601" t="s">
        <v>39</v>
      </c>
    </row>
    <row r="602" spans="1:30" hidden="1" x14ac:dyDescent="0.25">
      <c r="A602">
        <v>86</v>
      </c>
      <c r="B602" t="s">
        <v>166</v>
      </c>
      <c r="C602">
        <v>6</v>
      </c>
      <c r="D602">
        <v>188</v>
      </c>
      <c r="E602">
        <v>2483</v>
      </c>
      <c r="F602" t="s">
        <v>77</v>
      </c>
      <c r="G602" t="s">
        <v>746</v>
      </c>
      <c r="H602">
        <v>8</v>
      </c>
      <c r="I602">
        <v>172.99</v>
      </c>
      <c r="J602" t="s">
        <v>839</v>
      </c>
      <c r="K602" t="s">
        <v>812</v>
      </c>
      <c r="M602" t="s">
        <v>1085</v>
      </c>
      <c r="P602" t="s">
        <v>924</v>
      </c>
      <c r="R602" t="s">
        <v>81</v>
      </c>
      <c r="U602" t="s">
        <v>81</v>
      </c>
      <c r="V602" t="s">
        <v>81</v>
      </c>
      <c r="W602">
        <v>2</v>
      </c>
      <c r="X602" s="24">
        <v>46032</v>
      </c>
      <c r="Z602" t="s">
        <v>38</v>
      </c>
      <c r="AB602" t="s">
        <v>921</v>
      </c>
      <c r="AC602" t="s">
        <v>967</v>
      </c>
      <c r="AD602" t="s">
        <v>39</v>
      </c>
    </row>
    <row r="603" spans="1:30" hidden="1" x14ac:dyDescent="0.25">
      <c r="A603">
        <v>87</v>
      </c>
      <c r="B603" t="s">
        <v>168</v>
      </c>
      <c r="C603">
        <v>6</v>
      </c>
      <c r="D603">
        <v>328</v>
      </c>
      <c r="E603">
        <v>894</v>
      </c>
      <c r="F603" t="s">
        <v>77</v>
      </c>
      <c r="G603" t="s">
        <v>746</v>
      </c>
      <c r="H603">
        <v>2</v>
      </c>
      <c r="I603">
        <v>27.62</v>
      </c>
      <c r="J603" t="s">
        <v>839</v>
      </c>
      <c r="K603" t="s">
        <v>812</v>
      </c>
      <c r="M603" t="s">
        <v>1085</v>
      </c>
      <c r="P603" t="s">
        <v>924</v>
      </c>
      <c r="R603" t="s">
        <v>81</v>
      </c>
      <c r="U603" t="s">
        <v>81</v>
      </c>
      <c r="W603">
        <v>2</v>
      </c>
      <c r="X603" s="24">
        <v>46032</v>
      </c>
      <c r="Z603" t="s">
        <v>38</v>
      </c>
      <c r="AB603" t="s">
        <v>921</v>
      </c>
      <c r="AC603" t="s">
        <v>967</v>
      </c>
      <c r="AD603" t="s">
        <v>39</v>
      </c>
    </row>
    <row r="604" spans="1:30" hidden="1" x14ac:dyDescent="0.25">
      <c r="A604">
        <v>88</v>
      </c>
      <c r="B604" t="s">
        <v>116</v>
      </c>
      <c r="C604">
        <v>6</v>
      </c>
      <c r="D604">
        <v>298</v>
      </c>
      <c r="E604">
        <v>378</v>
      </c>
      <c r="F604" t="s">
        <v>77</v>
      </c>
      <c r="G604" t="s">
        <v>746</v>
      </c>
      <c r="H604">
        <v>1</v>
      </c>
      <c r="I604">
        <v>5.27</v>
      </c>
      <c r="J604" t="s">
        <v>839</v>
      </c>
      <c r="K604" t="s">
        <v>812</v>
      </c>
      <c r="M604" t="s">
        <v>1085</v>
      </c>
      <c r="P604" t="s">
        <v>924</v>
      </c>
      <c r="Q604" t="s">
        <v>26</v>
      </c>
      <c r="R604" t="s">
        <v>81</v>
      </c>
      <c r="W604">
        <v>2</v>
      </c>
      <c r="X604" s="24">
        <v>46032</v>
      </c>
      <c r="Z604" t="s">
        <v>38</v>
      </c>
      <c r="AB604" t="s">
        <v>921</v>
      </c>
      <c r="AC604" t="s">
        <v>967</v>
      </c>
      <c r="AD604" t="s">
        <v>39</v>
      </c>
    </row>
    <row r="605" spans="1:30" hidden="1" x14ac:dyDescent="0.25">
      <c r="A605">
        <v>89</v>
      </c>
      <c r="B605" t="s">
        <v>166</v>
      </c>
      <c r="C605">
        <v>6</v>
      </c>
      <c r="D605">
        <v>188</v>
      </c>
      <c r="E605">
        <v>2483</v>
      </c>
      <c r="F605" t="s">
        <v>77</v>
      </c>
      <c r="G605" t="s">
        <v>746</v>
      </c>
      <c r="H605">
        <v>28</v>
      </c>
      <c r="I605">
        <v>605.47</v>
      </c>
      <c r="J605" t="s">
        <v>839</v>
      </c>
      <c r="K605" t="s">
        <v>812</v>
      </c>
      <c r="M605" t="s">
        <v>1085</v>
      </c>
      <c r="P605" t="s">
        <v>924</v>
      </c>
      <c r="R605" t="s">
        <v>81</v>
      </c>
      <c r="U605" t="s">
        <v>81</v>
      </c>
      <c r="V605" t="s">
        <v>81</v>
      </c>
      <c r="W605">
        <v>2</v>
      </c>
      <c r="X605" s="24">
        <v>46032</v>
      </c>
      <c r="Z605" t="s">
        <v>38</v>
      </c>
      <c r="AB605" t="s">
        <v>921</v>
      </c>
      <c r="AC605" t="s">
        <v>969</v>
      </c>
      <c r="AD605" t="s">
        <v>39</v>
      </c>
    </row>
    <row r="606" spans="1:30" hidden="1" x14ac:dyDescent="0.25">
      <c r="A606">
        <v>90</v>
      </c>
      <c r="B606" t="s">
        <v>116</v>
      </c>
      <c r="C606">
        <v>6</v>
      </c>
      <c r="D606">
        <v>298</v>
      </c>
      <c r="E606">
        <v>378</v>
      </c>
      <c r="F606" t="s">
        <v>77</v>
      </c>
      <c r="G606" t="s">
        <v>746</v>
      </c>
      <c r="H606">
        <v>5</v>
      </c>
      <c r="I606">
        <v>26.34</v>
      </c>
      <c r="J606" t="s">
        <v>839</v>
      </c>
      <c r="K606" t="s">
        <v>812</v>
      </c>
      <c r="M606" t="s">
        <v>1085</v>
      </c>
      <c r="P606" t="s">
        <v>924</v>
      </c>
      <c r="Q606" t="s">
        <v>26</v>
      </c>
      <c r="R606" t="s">
        <v>81</v>
      </c>
      <c r="W606">
        <v>2</v>
      </c>
      <c r="X606" s="24">
        <v>46032</v>
      </c>
      <c r="Z606" t="s">
        <v>38</v>
      </c>
      <c r="AB606" t="s">
        <v>921</v>
      </c>
      <c r="AC606" t="s">
        <v>969</v>
      </c>
      <c r="AD606" t="s">
        <v>39</v>
      </c>
    </row>
    <row r="607" spans="1:30" hidden="1" x14ac:dyDescent="0.25">
      <c r="A607">
        <v>91</v>
      </c>
      <c r="B607" t="s">
        <v>123</v>
      </c>
      <c r="C607">
        <v>6</v>
      </c>
      <c r="D607">
        <v>298</v>
      </c>
      <c r="E607">
        <v>378</v>
      </c>
      <c r="F607" t="s">
        <v>77</v>
      </c>
      <c r="G607" t="s">
        <v>746</v>
      </c>
      <c r="H607">
        <v>7</v>
      </c>
      <c r="I607">
        <v>36.869999999999997</v>
      </c>
      <c r="J607" t="s">
        <v>839</v>
      </c>
      <c r="K607" t="s">
        <v>812</v>
      </c>
      <c r="M607" t="s">
        <v>1085</v>
      </c>
      <c r="P607" t="s">
        <v>924</v>
      </c>
      <c r="Q607" t="s">
        <v>26</v>
      </c>
      <c r="R607" t="s">
        <v>81</v>
      </c>
      <c r="W607">
        <v>2</v>
      </c>
      <c r="X607" s="24">
        <v>46032</v>
      </c>
      <c r="Z607" t="s">
        <v>38</v>
      </c>
      <c r="AB607" t="s">
        <v>921</v>
      </c>
      <c r="AC607" t="s">
        <v>969</v>
      </c>
      <c r="AD607" t="s">
        <v>39</v>
      </c>
    </row>
    <row r="608" spans="1:30" hidden="1" x14ac:dyDescent="0.25">
      <c r="A608">
        <v>92</v>
      </c>
      <c r="B608" t="s">
        <v>171</v>
      </c>
      <c r="C608">
        <v>6</v>
      </c>
      <c r="D608">
        <v>298</v>
      </c>
      <c r="E608">
        <v>378</v>
      </c>
      <c r="F608" t="s">
        <v>77</v>
      </c>
      <c r="G608" t="s">
        <v>746</v>
      </c>
      <c r="H608">
        <v>14</v>
      </c>
      <c r="I608">
        <v>73.75</v>
      </c>
      <c r="J608" t="s">
        <v>839</v>
      </c>
      <c r="K608" t="s">
        <v>812</v>
      </c>
      <c r="M608" t="s">
        <v>1085</v>
      </c>
      <c r="P608" t="s">
        <v>924</v>
      </c>
      <c r="Q608" t="s">
        <v>26</v>
      </c>
      <c r="R608" t="s">
        <v>81</v>
      </c>
      <c r="W608">
        <v>2</v>
      </c>
      <c r="X608" s="24">
        <v>46032</v>
      </c>
      <c r="Z608" t="s">
        <v>38</v>
      </c>
      <c r="AB608" t="s">
        <v>921</v>
      </c>
      <c r="AC608" t="s">
        <v>969</v>
      </c>
      <c r="AD608" t="s">
        <v>39</v>
      </c>
    </row>
    <row r="609" spans="1:30" hidden="1" x14ac:dyDescent="0.25">
      <c r="A609">
        <v>93</v>
      </c>
      <c r="B609" t="s">
        <v>172</v>
      </c>
      <c r="C609">
        <v>6</v>
      </c>
      <c r="D609">
        <v>188</v>
      </c>
      <c r="E609">
        <v>2483</v>
      </c>
      <c r="F609" t="s">
        <v>77</v>
      </c>
      <c r="G609" t="s">
        <v>746</v>
      </c>
      <c r="H609">
        <v>24</v>
      </c>
      <c r="I609">
        <v>518.97</v>
      </c>
      <c r="J609" t="s">
        <v>839</v>
      </c>
      <c r="K609" t="s">
        <v>812</v>
      </c>
      <c r="M609" t="s">
        <v>1085</v>
      </c>
      <c r="P609" t="s">
        <v>924</v>
      </c>
      <c r="R609" t="s">
        <v>81</v>
      </c>
      <c r="U609" t="s">
        <v>81</v>
      </c>
      <c r="V609" t="s">
        <v>81</v>
      </c>
      <c r="W609">
        <v>2</v>
      </c>
      <c r="X609" s="24">
        <v>46032</v>
      </c>
      <c r="Z609" t="s">
        <v>38</v>
      </c>
      <c r="AB609" t="s">
        <v>921</v>
      </c>
      <c r="AC609" t="s">
        <v>971</v>
      </c>
      <c r="AD609" t="s">
        <v>39</v>
      </c>
    </row>
    <row r="610" spans="1:30" hidden="1" x14ac:dyDescent="0.25">
      <c r="A610">
        <v>94</v>
      </c>
      <c r="B610" t="s">
        <v>166</v>
      </c>
      <c r="C610">
        <v>6</v>
      </c>
      <c r="D610">
        <v>188</v>
      </c>
      <c r="E610">
        <v>2483</v>
      </c>
      <c r="F610" t="s">
        <v>77</v>
      </c>
      <c r="G610" t="s">
        <v>746</v>
      </c>
      <c r="H610">
        <v>4</v>
      </c>
      <c r="I610">
        <v>86.5</v>
      </c>
      <c r="J610" t="s">
        <v>839</v>
      </c>
      <c r="K610" t="s">
        <v>812</v>
      </c>
      <c r="M610" t="s">
        <v>1085</v>
      </c>
      <c r="P610" t="s">
        <v>924</v>
      </c>
      <c r="R610" t="s">
        <v>81</v>
      </c>
      <c r="U610" t="s">
        <v>81</v>
      </c>
      <c r="V610" t="s">
        <v>81</v>
      </c>
      <c r="W610">
        <v>2</v>
      </c>
      <c r="X610" s="24">
        <v>46032</v>
      </c>
      <c r="Z610" t="s">
        <v>38</v>
      </c>
      <c r="AB610" t="s">
        <v>921</v>
      </c>
      <c r="AC610" t="s">
        <v>971</v>
      </c>
      <c r="AD610" t="s">
        <v>39</v>
      </c>
    </row>
    <row r="611" spans="1:30" hidden="1" x14ac:dyDescent="0.25">
      <c r="A611">
        <v>95</v>
      </c>
      <c r="B611" t="s">
        <v>116</v>
      </c>
      <c r="C611">
        <v>6</v>
      </c>
      <c r="D611">
        <v>298</v>
      </c>
      <c r="E611">
        <v>378</v>
      </c>
      <c r="F611" t="s">
        <v>77</v>
      </c>
      <c r="G611" t="s">
        <v>746</v>
      </c>
      <c r="H611">
        <v>6</v>
      </c>
      <c r="I611">
        <v>31.61</v>
      </c>
      <c r="J611" t="s">
        <v>839</v>
      </c>
      <c r="K611" t="s">
        <v>812</v>
      </c>
      <c r="M611" t="s">
        <v>1085</v>
      </c>
      <c r="P611" t="s">
        <v>924</v>
      </c>
      <c r="Q611" t="s">
        <v>26</v>
      </c>
      <c r="R611" t="s">
        <v>81</v>
      </c>
      <c r="W611">
        <v>2</v>
      </c>
      <c r="X611" s="24">
        <v>46032</v>
      </c>
      <c r="Z611" t="s">
        <v>38</v>
      </c>
      <c r="AB611" t="s">
        <v>921</v>
      </c>
      <c r="AC611" t="s">
        <v>971</v>
      </c>
      <c r="AD611" t="s">
        <v>39</v>
      </c>
    </row>
    <row r="612" spans="1:30" hidden="1" x14ac:dyDescent="0.25">
      <c r="A612">
        <v>96</v>
      </c>
      <c r="B612" t="s">
        <v>123</v>
      </c>
      <c r="C612">
        <v>6</v>
      </c>
      <c r="D612">
        <v>298</v>
      </c>
      <c r="E612">
        <v>378</v>
      </c>
      <c r="F612" t="s">
        <v>77</v>
      </c>
      <c r="G612" t="s">
        <v>746</v>
      </c>
      <c r="H612">
        <v>20</v>
      </c>
      <c r="I612">
        <v>105.36</v>
      </c>
      <c r="J612" t="s">
        <v>839</v>
      </c>
      <c r="K612" t="s">
        <v>812</v>
      </c>
      <c r="M612" t="s">
        <v>1085</v>
      </c>
      <c r="P612" t="s">
        <v>924</v>
      </c>
      <c r="Q612" t="s">
        <v>26</v>
      </c>
      <c r="R612" t="s">
        <v>81</v>
      </c>
      <c r="W612">
        <v>2</v>
      </c>
      <c r="X612" s="24">
        <v>46032</v>
      </c>
      <c r="Z612" t="s">
        <v>38</v>
      </c>
      <c r="AB612" t="s">
        <v>921</v>
      </c>
      <c r="AC612" t="s">
        <v>971</v>
      </c>
      <c r="AD612" t="s">
        <v>39</v>
      </c>
    </row>
    <row r="613" spans="1:30" hidden="1" x14ac:dyDescent="0.25">
      <c r="A613">
        <v>97</v>
      </c>
      <c r="B613" t="s">
        <v>175</v>
      </c>
      <c r="C613">
        <v>6</v>
      </c>
      <c r="D613">
        <v>328</v>
      </c>
      <c r="E613">
        <v>934</v>
      </c>
      <c r="F613" t="s">
        <v>77</v>
      </c>
      <c r="G613" t="s">
        <v>746</v>
      </c>
      <c r="H613">
        <v>2</v>
      </c>
      <c r="I613">
        <v>28.86</v>
      </c>
      <c r="J613" t="s">
        <v>839</v>
      </c>
      <c r="K613" t="s">
        <v>812</v>
      </c>
      <c r="M613" t="s">
        <v>1085</v>
      </c>
      <c r="P613" t="s">
        <v>924</v>
      </c>
      <c r="R613" t="s">
        <v>81</v>
      </c>
      <c r="U613" t="s">
        <v>81</v>
      </c>
      <c r="W613">
        <v>2</v>
      </c>
      <c r="X613" s="24">
        <v>46032</v>
      </c>
      <c r="Z613" t="s">
        <v>38</v>
      </c>
      <c r="AB613" t="s">
        <v>921</v>
      </c>
      <c r="AC613" t="s">
        <v>973</v>
      </c>
      <c r="AD613" t="s">
        <v>39</v>
      </c>
    </row>
    <row r="614" spans="1:30" hidden="1" x14ac:dyDescent="0.25">
      <c r="A614">
        <v>98</v>
      </c>
      <c r="B614" t="s">
        <v>178</v>
      </c>
      <c r="C614">
        <v>6</v>
      </c>
      <c r="D614">
        <v>328</v>
      </c>
      <c r="E614">
        <v>934</v>
      </c>
      <c r="F614" t="s">
        <v>77</v>
      </c>
      <c r="G614" t="s">
        <v>746</v>
      </c>
      <c r="H614">
        <v>4</v>
      </c>
      <c r="I614">
        <v>57.72</v>
      </c>
      <c r="J614" t="s">
        <v>839</v>
      </c>
      <c r="K614" t="s">
        <v>812</v>
      </c>
      <c r="M614" t="s">
        <v>1085</v>
      </c>
      <c r="P614" t="s">
        <v>924</v>
      </c>
      <c r="R614" t="s">
        <v>81</v>
      </c>
      <c r="U614" t="s">
        <v>81</v>
      </c>
      <c r="W614">
        <v>2</v>
      </c>
      <c r="X614" s="24">
        <v>46032</v>
      </c>
      <c r="Z614" t="s">
        <v>38</v>
      </c>
      <c r="AB614" t="s">
        <v>921</v>
      </c>
      <c r="AC614" t="s">
        <v>973</v>
      </c>
      <c r="AD614" t="s">
        <v>39</v>
      </c>
    </row>
    <row r="615" spans="1:30" hidden="1" x14ac:dyDescent="0.25">
      <c r="A615">
        <v>99</v>
      </c>
      <c r="B615" t="s">
        <v>179</v>
      </c>
      <c r="C615">
        <v>6</v>
      </c>
      <c r="D615">
        <v>328</v>
      </c>
      <c r="E615">
        <v>934</v>
      </c>
      <c r="F615" t="s">
        <v>77</v>
      </c>
      <c r="G615" t="s">
        <v>746</v>
      </c>
      <c r="H615">
        <v>2</v>
      </c>
      <c r="I615">
        <v>28.86</v>
      </c>
      <c r="J615" t="s">
        <v>839</v>
      </c>
      <c r="K615" t="s">
        <v>812</v>
      </c>
      <c r="M615" t="s">
        <v>1085</v>
      </c>
      <c r="P615" t="s">
        <v>924</v>
      </c>
      <c r="R615" t="s">
        <v>81</v>
      </c>
      <c r="U615" t="s">
        <v>81</v>
      </c>
      <c r="W615">
        <v>2</v>
      </c>
      <c r="X615" s="24">
        <v>46032</v>
      </c>
      <c r="Z615" t="s">
        <v>38</v>
      </c>
      <c r="AB615" t="s">
        <v>921</v>
      </c>
      <c r="AC615" t="s">
        <v>973</v>
      </c>
      <c r="AD615" t="s">
        <v>39</v>
      </c>
    </row>
    <row r="616" spans="1:30" hidden="1" x14ac:dyDescent="0.25">
      <c r="A616">
        <v>100</v>
      </c>
      <c r="B616" t="s">
        <v>172</v>
      </c>
      <c r="C616">
        <v>6</v>
      </c>
      <c r="D616">
        <v>188</v>
      </c>
      <c r="E616">
        <v>2483</v>
      </c>
      <c r="F616" t="s">
        <v>77</v>
      </c>
      <c r="G616" t="s">
        <v>746</v>
      </c>
      <c r="H616">
        <v>16</v>
      </c>
      <c r="I616">
        <v>345.98</v>
      </c>
      <c r="J616" t="s">
        <v>839</v>
      </c>
      <c r="K616" t="s">
        <v>812</v>
      </c>
      <c r="M616" t="s">
        <v>1085</v>
      </c>
      <c r="P616" t="s">
        <v>924</v>
      </c>
      <c r="R616" t="s">
        <v>81</v>
      </c>
      <c r="U616" t="s">
        <v>81</v>
      </c>
      <c r="V616" t="s">
        <v>81</v>
      </c>
      <c r="W616">
        <v>2</v>
      </c>
      <c r="X616" s="24">
        <v>46032</v>
      </c>
      <c r="Z616" t="s">
        <v>38</v>
      </c>
      <c r="AB616" t="s">
        <v>921</v>
      </c>
      <c r="AC616" t="s">
        <v>973</v>
      </c>
      <c r="AD616" t="s">
        <v>39</v>
      </c>
    </row>
    <row r="617" spans="1:30" hidden="1" x14ac:dyDescent="0.25">
      <c r="A617">
        <v>101</v>
      </c>
      <c r="B617" t="s">
        <v>180</v>
      </c>
      <c r="C617">
        <v>6</v>
      </c>
      <c r="D617">
        <v>188</v>
      </c>
      <c r="E617">
        <v>2483</v>
      </c>
      <c r="F617" t="s">
        <v>77</v>
      </c>
      <c r="G617" t="s">
        <v>746</v>
      </c>
      <c r="H617">
        <v>12</v>
      </c>
      <c r="I617">
        <v>259.49</v>
      </c>
      <c r="J617" t="s">
        <v>839</v>
      </c>
      <c r="K617" t="s">
        <v>812</v>
      </c>
      <c r="M617" t="s">
        <v>1085</v>
      </c>
      <c r="P617" t="s">
        <v>924</v>
      </c>
      <c r="R617" t="s">
        <v>81</v>
      </c>
      <c r="U617" t="s">
        <v>81</v>
      </c>
      <c r="V617" t="s">
        <v>81</v>
      </c>
      <c r="W617">
        <v>2</v>
      </c>
      <c r="X617" s="24">
        <v>46032</v>
      </c>
      <c r="Z617" t="s">
        <v>38</v>
      </c>
      <c r="AB617" t="s">
        <v>921</v>
      </c>
      <c r="AC617" t="s">
        <v>973</v>
      </c>
      <c r="AD617" t="s">
        <v>39</v>
      </c>
    </row>
    <row r="618" spans="1:30" hidden="1" x14ac:dyDescent="0.25">
      <c r="A618">
        <v>102</v>
      </c>
      <c r="B618" t="s">
        <v>175</v>
      </c>
      <c r="C618">
        <v>6</v>
      </c>
      <c r="D618">
        <v>328</v>
      </c>
      <c r="E618">
        <v>934</v>
      </c>
      <c r="F618" t="s">
        <v>77</v>
      </c>
      <c r="G618" t="s">
        <v>746</v>
      </c>
      <c r="H618">
        <v>2</v>
      </c>
      <c r="I618">
        <v>28.86</v>
      </c>
      <c r="J618" t="s">
        <v>839</v>
      </c>
      <c r="K618" t="s">
        <v>812</v>
      </c>
      <c r="M618" t="s">
        <v>1085</v>
      </c>
      <c r="P618" t="s">
        <v>924</v>
      </c>
      <c r="R618" t="s">
        <v>81</v>
      </c>
      <c r="U618" t="s">
        <v>81</v>
      </c>
      <c r="W618">
        <v>2</v>
      </c>
      <c r="X618" s="24">
        <v>46032</v>
      </c>
      <c r="Z618" t="s">
        <v>38</v>
      </c>
      <c r="AB618" t="s">
        <v>921</v>
      </c>
      <c r="AC618" t="s">
        <v>975</v>
      </c>
      <c r="AD618" t="s">
        <v>39</v>
      </c>
    </row>
    <row r="619" spans="1:30" hidden="1" x14ac:dyDescent="0.25">
      <c r="A619">
        <v>103</v>
      </c>
      <c r="B619" t="s">
        <v>178</v>
      </c>
      <c r="C619">
        <v>6</v>
      </c>
      <c r="D619">
        <v>328</v>
      </c>
      <c r="E619">
        <v>934</v>
      </c>
      <c r="F619" t="s">
        <v>77</v>
      </c>
      <c r="G619" t="s">
        <v>746</v>
      </c>
      <c r="H619">
        <v>1</v>
      </c>
      <c r="I619">
        <v>14.43</v>
      </c>
      <c r="J619" t="s">
        <v>839</v>
      </c>
      <c r="K619" t="s">
        <v>812</v>
      </c>
      <c r="M619" t="s">
        <v>1085</v>
      </c>
      <c r="P619" t="s">
        <v>924</v>
      </c>
      <c r="R619" t="s">
        <v>81</v>
      </c>
      <c r="U619" t="s">
        <v>81</v>
      </c>
      <c r="W619">
        <v>2</v>
      </c>
      <c r="X619" s="24">
        <v>46032</v>
      </c>
      <c r="Z619" t="s">
        <v>38</v>
      </c>
      <c r="AB619" t="s">
        <v>921</v>
      </c>
      <c r="AC619" t="s">
        <v>975</v>
      </c>
      <c r="AD619" t="s">
        <v>39</v>
      </c>
    </row>
    <row r="620" spans="1:30" hidden="1" x14ac:dyDescent="0.25">
      <c r="A620">
        <v>104</v>
      </c>
      <c r="B620" t="s">
        <v>179</v>
      </c>
      <c r="C620">
        <v>6</v>
      </c>
      <c r="D620">
        <v>328</v>
      </c>
      <c r="E620">
        <v>934</v>
      </c>
      <c r="F620" t="s">
        <v>77</v>
      </c>
      <c r="G620" t="s">
        <v>746</v>
      </c>
      <c r="H620">
        <v>5</v>
      </c>
      <c r="I620">
        <v>72.150000000000006</v>
      </c>
      <c r="J620" t="s">
        <v>839</v>
      </c>
      <c r="K620" t="s">
        <v>812</v>
      </c>
      <c r="M620" t="s">
        <v>1085</v>
      </c>
      <c r="P620" t="s">
        <v>924</v>
      </c>
      <c r="R620" t="s">
        <v>81</v>
      </c>
      <c r="U620" t="s">
        <v>81</v>
      </c>
      <c r="W620">
        <v>2</v>
      </c>
      <c r="X620" s="24">
        <v>46032</v>
      </c>
      <c r="Z620" t="s">
        <v>38</v>
      </c>
      <c r="AB620" t="s">
        <v>921</v>
      </c>
      <c r="AC620" t="s">
        <v>975</v>
      </c>
      <c r="AD620" t="s">
        <v>39</v>
      </c>
    </row>
    <row r="621" spans="1:30" hidden="1" x14ac:dyDescent="0.25">
      <c r="A621">
        <v>105</v>
      </c>
      <c r="B621" t="s">
        <v>180</v>
      </c>
      <c r="C621">
        <v>6</v>
      </c>
      <c r="D621">
        <v>188</v>
      </c>
      <c r="E621">
        <v>2483</v>
      </c>
      <c r="F621" t="s">
        <v>77</v>
      </c>
      <c r="G621" t="s">
        <v>746</v>
      </c>
      <c r="H621">
        <v>28</v>
      </c>
      <c r="I621">
        <v>605.47</v>
      </c>
      <c r="J621" t="s">
        <v>839</v>
      </c>
      <c r="K621" t="s">
        <v>812</v>
      </c>
      <c r="M621" t="s">
        <v>1085</v>
      </c>
      <c r="P621" t="s">
        <v>924</v>
      </c>
      <c r="R621" t="s">
        <v>81</v>
      </c>
      <c r="U621" t="s">
        <v>81</v>
      </c>
      <c r="V621" t="s">
        <v>81</v>
      </c>
      <c r="W621">
        <v>2</v>
      </c>
      <c r="X621" s="24">
        <v>46032</v>
      </c>
      <c r="Z621" t="s">
        <v>38</v>
      </c>
      <c r="AB621" t="s">
        <v>921</v>
      </c>
      <c r="AC621" t="s">
        <v>975</v>
      </c>
      <c r="AD621" t="s">
        <v>39</v>
      </c>
    </row>
    <row r="622" spans="1:30" hidden="1" x14ac:dyDescent="0.25">
      <c r="A622">
        <v>106</v>
      </c>
      <c r="B622" t="s">
        <v>175</v>
      </c>
      <c r="C622">
        <v>6</v>
      </c>
      <c r="D622">
        <v>328</v>
      </c>
      <c r="E622">
        <v>934</v>
      </c>
      <c r="F622" t="s">
        <v>77</v>
      </c>
      <c r="G622" t="s">
        <v>746</v>
      </c>
      <c r="H622">
        <v>2</v>
      </c>
      <c r="I622">
        <v>28.86</v>
      </c>
      <c r="J622" t="s">
        <v>839</v>
      </c>
      <c r="K622" t="s">
        <v>812</v>
      </c>
      <c r="M622" t="s">
        <v>1085</v>
      </c>
      <c r="P622" t="s">
        <v>924</v>
      </c>
      <c r="R622" t="s">
        <v>81</v>
      </c>
      <c r="U622" t="s">
        <v>81</v>
      </c>
      <c r="W622">
        <v>2</v>
      </c>
      <c r="X622" s="24">
        <v>46032</v>
      </c>
      <c r="Z622" t="s">
        <v>38</v>
      </c>
      <c r="AB622" t="s">
        <v>921</v>
      </c>
      <c r="AC622" t="s">
        <v>977</v>
      </c>
      <c r="AD622" t="s">
        <v>39</v>
      </c>
    </row>
    <row r="623" spans="1:30" hidden="1" x14ac:dyDescent="0.25">
      <c r="A623">
        <v>107</v>
      </c>
      <c r="B623" t="s">
        <v>178</v>
      </c>
      <c r="C623">
        <v>6</v>
      </c>
      <c r="D623">
        <v>328</v>
      </c>
      <c r="E623">
        <v>934</v>
      </c>
      <c r="F623" t="s">
        <v>77</v>
      </c>
      <c r="G623" t="s">
        <v>746</v>
      </c>
      <c r="H623">
        <v>1</v>
      </c>
      <c r="I623">
        <v>14.43</v>
      </c>
      <c r="J623" t="s">
        <v>839</v>
      </c>
      <c r="K623" t="s">
        <v>812</v>
      </c>
      <c r="M623" t="s">
        <v>1085</v>
      </c>
      <c r="P623" t="s">
        <v>924</v>
      </c>
      <c r="R623" t="s">
        <v>81</v>
      </c>
      <c r="U623" t="s">
        <v>81</v>
      </c>
      <c r="W623">
        <v>2</v>
      </c>
      <c r="X623" s="24">
        <v>46032</v>
      </c>
      <c r="Z623" t="s">
        <v>38</v>
      </c>
      <c r="AB623" t="s">
        <v>921</v>
      </c>
      <c r="AC623" t="s">
        <v>977</v>
      </c>
      <c r="AD623" t="s">
        <v>39</v>
      </c>
    </row>
    <row r="624" spans="1:30" hidden="1" x14ac:dyDescent="0.25">
      <c r="A624">
        <v>108</v>
      </c>
      <c r="B624" t="s">
        <v>179</v>
      </c>
      <c r="C624">
        <v>6</v>
      </c>
      <c r="D624">
        <v>328</v>
      </c>
      <c r="E624">
        <v>934</v>
      </c>
      <c r="F624" t="s">
        <v>77</v>
      </c>
      <c r="G624" t="s">
        <v>746</v>
      </c>
      <c r="H624">
        <v>1</v>
      </c>
      <c r="I624">
        <v>14.43</v>
      </c>
      <c r="J624" t="s">
        <v>839</v>
      </c>
      <c r="K624" t="s">
        <v>812</v>
      </c>
      <c r="M624" t="s">
        <v>1085</v>
      </c>
      <c r="P624" t="s">
        <v>924</v>
      </c>
      <c r="R624" t="s">
        <v>81</v>
      </c>
      <c r="U624" t="s">
        <v>81</v>
      </c>
      <c r="W624">
        <v>2</v>
      </c>
      <c r="X624" s="24">
        <v>46032</v>
      </c>
      <c r="Z624" t="s">
        <v>38</v>
      </c>
      <c r="AB624" t="s">
        <v>921</v>
      </c>
      <c r="AC624" t="s">
        <v>977</v>
      </c>
      <c r="AD624" t="s">
        <v>39</v>
      </c>
    </row>
    <row r="625" spans="1:30" hidden="1" x14ac:dyDescent="0.25">
      <c r="A625">
        <v>109</v>
      </c>
      <c r="B625" t="s">
        <v>185</v>
      </c>
      <c r="C625">
        <v>6</v>
      </c>
      <c r="D625">
        <v>188</v>
      </c>
      <c r="E625">
        <v>2483</v>
      </c>
      <c r="F625" t="s">
        <v>77</v>
      </c>
      <c r="G625" t="s">
        <v>746</v>
      </c>
      <c r="H625">
        <v>28</v>
      </c>
      <c r="I625">
        <v>605.47</v>
      </c>
      <c r="J625" t="s">
        <v>839</v>
      </c>
      <c r="K625" t="s">
        <v>812</v>
      </c>
      <c r="M625" t="s">
        <v>1085</v>
      </c>
      <c r="P625" t="s">
        <v>924</v>
      </c>
      <c r="R625" t="s">
        <v>81</v>
      </c>
      <c r="U625" t="s">
        <v>81</v>
      </c>
      <c r="V625" t="s">
        <v>81</v>
      </c>
      <c r="W625">
        <v>2</v>
      </c>
      <c r="X625" s="24">
        <v>46032</v>
      </c>
      <c r="Z625" t="s">
        <v>38</v>
      </c>
      <c r="AB625" t="s">
        <v>921</v>
      </c>
      <c r="AC625" t="s">
        <v>977</v>
      </c>
      <c r="AD625" t="s">
        <v>39</v>
      </c>
    </row>
    <row r="626" spans="1:30" hidden="1" x14ac:dyDescent="0.25">
      <c r="A626">
        <v>110</v>
      </c>
      <c r="B626" t="s">
        <v>138</v>
      </c>
      <c r="C626">
        <v>6</v>
      </c>
      <c r="D626">
        <v>328</v>
      </c>
      <c r="E626">
        <v>934</v>
      </c>
      <c r="F626" t="s">
        <v>77</v>
      </c>
      <c r="G626" t="s">
        <v>746</v>
      </c>
      <c r="H626">
        <v>2</v>
      </c>
      <c r="I626">
        <v>28.86</v>
      </c>
      <c r="J626" t="s">
        <v>839</v>
      </c>
      <c r="K626" t="s">
        <v>812</v>
      </c>
      <c r="M626" t="s">
        <v>1085</v>
      </c>
      <c r="P626" t="s">
        <v>924</v>
      </c>
      <c r="R626" t="s">
        <v>81</v>
      </c>
      <c r="U626" t="s">
        <v>81</v>
      </c>
      <c r="W626">
        <v>2</v>
      </c>
      <c r="X626" s="24">
        <v>46032</v>
      </c>
      <c r="Z626" t="s">
        <v>38</v>
      </c>
      <c r="AB626" t="s">
        <v>921</v>
      </c>
      <c r="AC626" t="s">
        <v>977</v>
      </c>
      <c r="AD626" t="s">
        <v>39</v>
      </c>
    </row>
    <row r="627" spans="1:30" hidden="1" x14ac:dyDescent="0.25">
      <c r="A627">
        <v>111</v>
      </c>
      <c r="B627" t="s">
        <v>154</v>
      </c>
      <c r="C627">
        <v>6</v>
      </c>
      <c r="D627">
        <v>328</v>
      </c>
      <c r="E627">
        <v>934</v>
      </c>
      <c r="F627" t="s">
        <v>77</v>
      </c>
      <c r="G627" t="s">
        <v>746</v>
      </c>
      <c r="H627">
        <v>2</v>
      </c>
      <c r="I627">
        <v>28.86</v>
      </c>
      <c r="J627" t="s">
        <v>839</v>
      </c>
      <c r="K627" t="s">
        <v>812</v>
      </c>
      <c r="M627" t="s">
        <v>1085</v>
      </c>
      <c r="P627" t="s">
        <v>924</v>
      </c>
      <c r="R627" t="s">
        <v>81</v>
      </c>
      <c r="U627" t="s">
        <v>81</v>
      </c>
      <c r="W627">
        <v>2</v>
      </c>
      <c r="X627" s="24">
        <v>46032</v>
      </c>
      <c r="Z627" t="s">
        <v>38</v>
      </c>
      <c r="AB627" t="s">
        <v>921</v>
      </c>
      <c r="AC627" t="s">
        <v>977</v>
      </c>
      <c r="AD627" t="s">
        <v>39</v>
      </c>
    </row>
    <row r="628" spans="1:30" hidden="1" x14ac:dyDescent="0.25">
      <c r="A628">
        <v>112</v>
      </c>
      <c r="B628" t="s">
        <v>186</v>
      </c>
      <c r="C628">
        <v>6</v>
      </c>
      <c r="D628">
        <v>328</v>
      </c>
      <c r="E628">
        <v>894</v>
      </c>
      <c r="F628" t="s">
        <v>77</v>
      </c>
      <c r="G628" t="s">
        <v>746</v>
      </c>
      <c r="H628">
        <v>2</v>
      </c>
      <c r="I628">
        <v>27.62</v>
      </c>
      <c r="J628" t="s">
        <v>839</v>
      </c>
      <c r="K628" t="s">
        <v>812</v>
      </c>
      <c r="M628" t="s">
        <v>1085</v>
      </c>
      <c r="P628" t="s">
        <v>924</v>
      </c>
      <c r="R628" t="s">
        <v>81</v>
      </c>
      <c r="U628" t="s">
        <v>81</v>
      </c>
      <c r="W628">
        <v>2</v>
      </c>
      <c r="X628" s="24">
        <v>46032</v>
      </c>
      <c r="Z628" t="s">
        <v>38</v>
      </c>
      <c r="AB628" t="s">
        <v>921</v>
      </c>
      <c r="AC628" t="s">
        <v>979</v>
      </c>
      <c r="AD628" t="s">
        <v>39</v>
      </c>
    </row>
    <row r="629" spans="1:30" hidden="1" x14ac:dyDescent="0.25">
      <c r="A629">
        <v>113</v>
      </c>
      <c r="B629" t="s">
        <v>189</v>
      </c>
      <c r="C629">
        <v>6</v>
      </c>
      <c r="D629">
        <v>188</v>
      </c>
      <c r="E629">
        <v>2481</v>
      </c>
      <c r="F629" t="s">
        <v>77</v>
      </c>
      <c r="G629" t="s">
        <v>746</v>
      </c>
      <c r="H629">
        <v>2</v>
      </c>
      <c r="I629">
        <v>43.22</v>
      </c>
      <c r="J629" t="s">
        <v>839</v>
      </c>
      <c r="K629" t="s">
        <v>812</v>
      </c>
      <c r="M629" t="s">
        <v>1085</v>
      </c>
      <c r="P629" t="s">
        <v>924</v>
      </c>
      <c r="R629" t="s">
        <v>81</v>
      </c>
      <c r="U629" t="s">
        <v>81</v>
      </c>
      <c r="V629" t="s">
        <v>81</v>
      </c>
      <c r="W629">
        <v>2</v>
      </c>
      <c r="X629" s="24">
        <v>46032</v>
      </c>
      <c r="Z629" t="s">
        <v>38</v>
      </c>
      <c r="AB629" t="s">
        <v>921</v>
      </c>
      <c r="AC629" t="s">
        <v>979</v>
      </c>
      <c r="AD629" t="s">
        <v>39</v>
      </c>
    </row>
    <row r="630" spans="1:30" hidden="1" x14ac:dyDescent="0.25">
      <c r="A630">
        <v>114</v>
      </c>
      <c r="B630" t="s">
        <v>191</v>
      </c>
      <c r="C630">
        <v>6</v>
      </c>
      <c r="D630">
        <v>188</v>
      </c>
      <c r="E630">
        <v>2481</v>
      </c>
      <c r="F630" t="s">
        <v>77</v>
      </c>
      <c r="G630" t="s">
        <v>746</v>
      </c>
      <c r="H630">
        <v>2</v>
      </c>
      <c r="I630">
        <v>43.22</v>
      </c>
      <c r="J630" t="s">
        <v>839</v>
      </c>
      <c r="K630" t="s">
        <v>812</v>
      </c>
      <c r="M630" t="s">
        <v>1085</v>
      </c>
      <c r="P630" t="s">
        <v>924</v>
      </c>
      <c r="R630" t="s">
        <v>81</v>
      </c>
      <c r="U630" t="s">
        <v>81</v>
      </c>
      <c r="V630" t="s">
        <v>81</v>
      </c>
      <c r="W630">
        <v>2</v>
      </c>
      <c r="X630" s="24">
        <v>46032</v>
      </c>
      <c r="Z630" t="s">
        <v>38</v>
      </c>
      <c r="AB630" t="s">
        <v>921</v>
      </c>
      <c r="AC630" t="s">
        <v>979</v>
      </c>
      <c r="AD630" t="s">
        <v>39</v>
      </c>
    </row>
    <row r="631" spans="1:30" hidden="1" x14ac:dyDescent="0.25">
      <c r="A631">
        <v>115</v>
      </c>
      <c r="B631" t="s">
        <v>192</v>
      </c>
      <c r="C631">
        <v>6</v>
      </c>
      <c r="D631">
        <v>188</v>
      </c>
      <c r="E631">
        <v>2480</v>
      </c>
      <c r="F631" t="s">
        <v>77</v>
      </c>
      <c r="G631" t="s">
        <v>746</v>
      </c>
      <c r="H631">
        <v>2</v>
      </c>
      <c r="I631">
        <v>43.2</v>
      </c>
      <c r="J631" t="s">
        <v>839</v>
      </c>
      <c r="K631" t="s">
        <v>812</v>
      </c>
      <c r="M631" t="s">
        <v>1085</v>
      </c>
      <c r="P631" t="s">
        <v>924</v>
      </c>
      <c r="R631" t="s">
        <v>81</v>
      </c>
      <c r="U631" t="s">
        <v>81</v>
      </c>
      <c r="V631" t="s">
        <v>81</v>
      </c>
      <c r="W631">
        <v>2</v>
      </c>
      <c r="X631" s="24">
        <v>46032</v>
      </c>
      <c r="Z631" t="s">
        <v>38</v>
      </c>
      <c r="AB631" t="s">
        <v>921</v>
      </c>
      <c r="AC631" t="s">
        <v>979</v>
      </c>
      <c r="AD631" t="s">
        <v>39</v>
      </c>
    </row>
    <row r="632" spans="1:30" hidden="1" x14ac:dyDescent="0.25">
      <c r="A632">
        <v>116</v>
      </c>
      <c r="B632" t="s">
        <v>194</v>
      </c>
      <c r="C632">
        <v>6</v>
      </c>
      <c r="D632">
        <v>188</v>
      </c>
      <c r="E632">
        <v>2480</v>
      </c>
      <c r="F632" t="s">
        <v>77</v>
      </c>
      <c r="G632" t="s">
        <v>746</v>
      </c>
      <c r="H632">
        <v>2</v>
      </c>
      <c r="I632">
        <v>43.21</v>
      </c>
      <c r="J632" t="s">
        <v>839</v>
      </c>
      <c r="K632" t="s">
        <v>812</v>
      </c>
      <c r="M632" t="s">
        <v>1085</v>
      </c>
      <c r="P632" t="s">
        <v>924</v>
      </c>
      <c r="R632" t="s">
        <v>81</v>
      </c>
      <c r="U632" t="s">
        <v>81</v>
      </c>
      <c r="V632" t="s">
        <v>81</v>
      </c>
      <c r="W632">
        <v>2</v>
      </c>
      <c r="X632" s="24">
        <v>46032</v>
      </c>
      <c r="Z632" t="s">
        <v>38</v>
      </c>
      <c r="AB632" t="s">
        <v>921</v>
      </c>
      <c r="AC632" t="s">
        <v>979</v>
      </c>
      <c r="AD632" t="s">
        <v>39</v>
      </c>
    </row>
    <row r="633" spans="1:30" hidden="1" x14ac:dyDescent="0.25">
      <c r="A633">
        <v>117</v>
      </c>
      <c r="B633" t="s">
        <v>195</v>
      </c>
      <c r="C633">
        <v>6</v>
      </c>
      <c r="D633">
        <v>328</v>
      </c>
      <c r="E633">
        <v>934</v>
      </c>
      <c r="F633" t="s">
        <v>77</v>
      </c>
      <c r="G633" t="s">
        <v>746</v>
      </c>
      <c r="H633">
        <v>2</v>
      </c>
      <c r="I633">
        <v>28.86</v>
      </c>
      <c r="J633" t="s">
        <v>839</v>
      </c>
      <c r="K633" t="s">
        <v>812</v>
      </c>
      <c r="M633" t="s">
        <v>1085</v>
      </c>
      <c r="P633" t="s">
        <v>924</v>
      </c>
      <c r="R633" t="s">
        <v>81</v>
      </c>
      <c r="U633" t="s">
        <v>81</v>
      </c>
      <c r="W633">
        <v>2</v>
      </c>
      <c r="X633" s="24">
        <v>46032</v>
      </c>
      <c r="Z633" t="s">
        <v>38</v>
      </c>
      <c r="AB633" t="s">
        <v>921</v>
      </c>
      <c r="AC633" t="s">
        <v>979</v>
      </c>
      <c r="AD633" t="s">
        <v>39</v>
      </c>
    </row>
    <row r="634" spans="1:30" hidden="1" x14ac:dyDescent="0.25">
      <c r="A634">
        <v>118</v>
      </c>
      <c r="B634" t="s">
        <v>185</v>
      </c>
      <c r="C634">
        <v>6</v>
      </c>
      <c r="D634">
        <v>188</v>
      </c>
      <c r="E634">
        <v>2483</v>
      </c>
      <c r="F634" t="s">
        <v>77</v>
      </c>
      <c r="G634" t="s">
        <v>746</v>
      </c>
      <c r="H634">
        <v>12</v>
      </c>
      <c r="I634">
        <v>259.49</v>
      </c>
      <c r="J634" t="s">
        <v>839</v>
      </c>
      <c r="K634" t="s">
        <v>812</v>
      </c>
      <c r="M634" t="s">
        <v>1085</v>
      </c>
      <c r="P634" t="s">
        <v>924</v>
      </c>
      <c r="R634" t="s">
        <v>81</v>
      </c>
      <c r="U634" t="s">
        <v>81</v>
      </c>
      <c r="V634" t="s">
        <v>81</v>
      </c>
      <c r="W634">
        <v>2</v>
      </c>
      <c r="X634" s="24">
        <v>46032</v>
      </c>
      <c r="Z634" t="s">
        <v>38</v>
      </c>
      <c r="AB634" t="s">
        <v>921</v>
      </c>
      <c r="AC634" t="s">
        <v>979</v>
      </c>
      <c r="AD634" t="s">
        <v>39</v>
      </c>
    </row>
    <row r="635" spans="1:30" hidden="1" x14ac:dyDescent="0.25">
      <c r="A635">
        <v>119</v>
      </c>
      <c r="B635" t="s">
        <v>164</v>
      </c>
      <c r="C635">
        <v>6</v>
      </c>
      <c r="D635">
        <v>328</v>
      </c>
      <c r="E635">
        <v>894</v>
      </c>
      <c r="F635" t="s">
        <v>77</v>
      </c>
      <c r="G635" t="s">
        <v>746</v>
      </c>
      <c r="H635">
        <v>1</v>
      </c>
      <c r="I635">
        <v>13.81</v>
      </c>
      <c r="J635" t="s">
        <v>839</v>
      </c>
      <c r="K635" t="s">
        <v>812</v>
      </c>
      <c r="M635" t="s">
        <v>1085</v>
      </c>
      <c r="P635" t="s">
        <v>924</v>
      </c>
      <c r="R635" t="s">
        <v>81</v>
      </c>
      <c r="U635" t="s">
        <v>81</v>
      </c>
      <c r="W635">
        <v>2</v>
      </c>
      <c r="X635" s="24">
        <v>46032</v>
      </c>
      <c r="Z635" t="s">
        <v>38</v>
      </c>
      <c r="AB635" t="s">
        <v>921</v>
      </c>
      <c r="AC635" t="s">
        <v>979</v>
      </c>
      <c r="AD635" t="s">
        <v>39</v>
      </c>
    </row>
    <row r="636" spans="1:30" hidden="1" x14ac:dyDescent="0.25">
      <c r="A636">
        <v>120</v>
      </c>
      <c r="B636" t="s">
        <v>196</v>
      </c>
      <c r="C636">
        <v>6</v>
      </c>
      <c r="D636">
        <v>328</v>
      </c>
      <c r="E636">
        <v>894</v>
      </c>
      <c r="F636" t="s">
        <v>77</v>
      </c>
      <c r="G636" t="s">
        <v>746</v>
      </c>
      <c r="H636">
        <v>1</v>
      </c>
      <c r="I636">
        <v>13.81</v>
      </c>
      <c r="J636" t="s">
        <v>839</v>
      </c>
      <c r="K636" t="s">
        <v>812</v>
      </c>
      <c r="M636" t="s">
        <v>1085</v>
      </c>
      <c r="P636" t="s">
        <v>924</v>
      </c>
      <c r="R636" t="s">
        <v>81</v>
      </c>
      <c r="U636" t="s">
        <v>81</v>
      </c>
      <c r="W636">
        <v>2</v>
      </c>
      <c r="X636" s="24">
        <v>46032</v>
      </c>
      <c r="Z636" t="s">
        <v>38</v>
      </c>
      <c r="AB636" t="s">
        <v>921</v>
      </c>
      <c r="AC636" t="s">
        <v>979</v>
      </c>
      <c r="AD636" t="s">
        <v>39</v>
      </c>
    </row>
    <row r="637" spans="1:30" hidden="1" x14ac:dyDescent="0.25">
      <c r="A637">
        <v>121</v>
      </c>
      <c r="B637" t="s">
        <v>197</v>
      </c>
      <c r="C637">
        <v>6</v>
      </c>
      <c r="D637">
        <v>188</v>
      </c>
      <c r="E637">
        <v>2481</v>
      </c>
      <c r="F637" t="s">
        <v>77</v>
      </c>
      <c r="G637" t="s">
        <v>746</v>
      </c>
      <c r="H637">
        <v>2</v>
      </c>
      <c r="I637">
        <v>43.22</v>
      </c>
      <c r="J637" t="s">
        <v>839</v>
      </c>
      <c r="K637" t="s">
        <v>812</v>
      </c>
      <c r="M637" t="s">
        <v>1085</v>
      </c>
      <c r="P637" t="s">
        <v>924</v>
      </c>
      <c r="R637" t="s">
        <v>81</v>
      </c>
      <c r="U637" t="s">
        <v>81</v>
      </c>
      <c r="V637" t="s">
        <v>81</v>
      </c>
      <c r="W637">
        <v>2</v>
      </c>
      <c r="X637" s="24">
        <v>46032</v>
      </c>
      <c r="Z637" t="s">
        <v>38</v>
      </c>
      <c r="AB637" t="s">
        <v>921</v>
      </c>
      <c r="AC637" t="s">
        <v>979</v>
      </c>
      <c r="AD637" t="s">
        <v>39</v>
      </c>
    </row>
    <row r="638" spans="1:30" hidden="1" x14ac:dyDescent="0.25">
      <c r="A638">
        <v>122</v>
      </c>
      <c r="B638" t="s">
        <v>198</v>
      </c>
      <c r="C638">
        <v>6</v>
      </c>
      <c r="D638">
        <v>188</v>
      </c>
      <c r="E638">
        <v>2481</v>
      </c>
      <c r="F638" t="s">
        <v>77</v>
      </c>
      <c r="G638" t="s">
        <v>746</v>
      </c>
      <c r="H638">
        <v>2</v>
      </c>
      <c r="I638">
        <v>43.22</v>
      </c>
      <c r="J638" t="s">
        <v>839</v>
      </c>
      <c r="K638" t="s">
        <v>812</v>
      </c>
      <c r="M638" t="s">
        <v>1085</v>
      </c>
      <c r="P638" t="s">
        <v>924</v>
      </c>
      <c r="R638" t="s">
        <v>81</v>
      </c>
      <c r="U638" t="s">
        <v>81</v>
      </c>
      <c r="V638" t="s">
        <v>81</v>
      </c>
      <c r="W638">
        <v>2</v>
      </c>
      <c r="X638" s="24">
        <v>46032</v>
      </c>
      <c r="Z638" t="s">
        <v>38</v>
      </c>
      <c r="AB638" t="s">
        <v>921</v>
      </c>
      <c r="AC638" t="s">
        <v>979</v>
      </c>
      <c r="AD638" t="s">
        <v>39</v>
      </c>
    </row>
    <row r="639" spans="1:30" hidden="1" x14ac:dyDescent="0.25">
      <c r="A639">
        <v>123</v>
      </c>
      <c r="B639" t="s">
        <v>199</v>
      </c>
      <c r="C639">
        <v>6</v>
      </c>
      <c r="D639">
        <v>188</v>
      </c>
      <c r="E639">
        <v>2480</v>
      </c>
      <c r="F639" t="s">
        <v>77</v>
      </c>
      <c r="G639" t="s">
        <v>746</v>
      </c>
      <c r="H639">
        <v>2</v>
      </c>
      <c r="I639">
        <v>43.2</v>
      </c>
      <c r="J639" t="s">
        <v>839</v>
      </c>
      <c r="K639" t="s">
        <v>812</v>
      </c>
      <c r="M639" t="s">
        <v>1085</v>
      </c>
      <c r="P639" t="s">
        <v>924</v>
      </c>
      <c r="R639" t="s">
        <v>81</v>
      </c>
      <c r="U639" t="s">
        <v>81</v>
      </c>
      <c r="V639" t="s">
        <v>81</v>
      </c>
      <c r="W639">
        <v>2</v>
      </c>
      <c r="X639" s="24">
        <v>46032</v>
      </c>
      <c r="Z639" t="s">
        <v>38</v>
      </c>
      <c r="AB639" t="s">
        <v>921</v>
      </c>
      <c r="AC639" t="s">
        <v>979</v>
      </c>
      <c r="AD639" t="s">
        <v>39</v>
      </c>
    </row>
    <row r="640" spans="1:30" hidden="1" x14ac:dyDescent="0.25">
      <c r="A640">
        <v>124</v>
      </c>
      <c r="B640" t="s">
        <v>200</v>
      </c>
      <c r="C640">
        <v>6</v>
      </c>
      <c r="D640">
        <v>188</v>
      </c>
      <c r="E640">
        <v>2480</v>
      </c>
      <c r="F640" t="s">
        <v>77</v>
      </c>
      <c r="G640" t="s">
        <v>746</v>
      </c>
      <c r="H640">
        <v>2</v>
      </c>
      <c r="I640">
        <v>43.21</v>
      </c>
      <c r="J640" t="s">
        <v>839</v>
      </c>
      <c r="K640" t="s">
        <v>812</v>
      </c>
      <c r="M640" t="s">
        <v>1085</v>
      </c>
      <c r="P640" t="s">
        <v>924</v>
      </c>
      <c r="R640" t="s">
        <v>81</v>
      </c>
      <c r="U640" t="s">
        <v>81</v>
      </c>
      <c r="V640" t="s">
        <v>81</v>
      </c>
      <c r="W640">
        <v>2</v>
      </c>
      <c r="X640" s="24">
        <v>46032</v>
      </c>
      <c r="Z640" t="s">
        <v>38</v>
      </c>
      <c r="AB640" t="s">
        <v>921</v>
      </c>
      <c r="AC640" t="s">
        <v>979</v>
      </c>
      <c r="AD640" t="s">
        <v>39</v>
      </c>
    </row>
    <row r="641" spans="1:30" hidden="1" x14ac:dyDescent="0.25">
      <c r="A641">
        <v>125</v>
      </c>
      <c r="B641" t="s">
        <v>201</v>
      </c>
      <c r="C641">
        <v>6</v>
      </c>
      <c r="D641">
        <v>328</v>
      </c>
      <c r="E641">
        <v>894</v>
      </c>
      <c r="F641" t="s">
        <v>77</v>
      </c>
      <c r="G641" t="s">
        <v>746</v>
      </c>
      <c r="H641">
        <v>2</v>
      </c>
      <c r="I641">
        <v>27.62</v>
      </c>
      <c r="J641" t="s">
        <v>839</v>
      </c>
      <c r="K641" t="s">
        <v>812</v>
      </c>
      <c r="M641" t="s">
        <v>1085</v>
      </c>
      <c r="P641" t="s">
        <v>924</v>
      </c>
      <c r="R641" t="s">
        <v>81</v>
      </c>
      <c r="U641" t="s">
        <v>81</v>
      </c>
      <c r="W641">
        <v>2</v>
      </c>
      <c r="X641" s="24">
        <v>46032</v>
      </c>
      <c r="Z641" t="s">
        <v>38</v>
      </c>
      <c r="AB641" t="s">
        <v>921</v>
      </c>
      <c r="AC641" t="s">
        <v>979</v>
      </c>
      <c r="AD641" t="s">
        <v>39</v>
      </c>
    </row>
    <row r="642" spans="1:30" hidden="1" x14ac:dyDescent="0.25">
      <c r="A642">
        <v>126</v>
      </c>
      <c r="B642" t="s">
        <v>116</v>
      </c>
      <c r="C642">
        <v>6</v>
      </c>
      <c r="D642">
        <v>298</v>
      </c>
      <c r="E642">
        <v>378</v>
      </c>
      <c r="F642" t="s">
        <v>77</v>
      </c>
      <c r="G642" t="s">
        <v>746</v>
      </c>
      <c r="H642">
        <v>2</v>
      </c>
      <c r="I642">
        <v>10.54</v>
      </c>
      <c r="J642" t="s">
        <v>839</v>
      </c>
      <c r="K642" t="s">
        <v>812</v>
      </c>
      <c r="M642" t="s">
        <v>1085</v>
      </c>
      <c r="P642" t="s">
        <v>924</v>
      </c>
      <c r="Q642" t="s">
        <v>26</v>
      </c>
      <c r="R642" t="s">
        <v>81</v>
      </c>
      <c r="W642">
        <v>2</v>
      </c>
      <c r="X642" s="24">
        <v>46032</v>
      </c>
      <c r="Z642" t="s">
        <v>38</v>
      </c>
      <c r="AB642" t="s">
        <v>921</v>
      </c>
      <c r="AC642" t="s">
        <v>979</v>
      </c>
      <c r="AD642" t="s">
        <v>39</v>
      </c>
    </row>
    <row r="643" spans="1:30" hidden="1" x14ac:dyDescent="0.25">
      <c r="A643">
        <v>127</v>
      </c>
      <c r="B643" t="s">
        <v>202</v>
      </c>
      <c r="C643">
        <v>6</v>
      </c>
      <c r="D643">
        <v>188</v>
      </c>
      <c r="E643">
        <v>2348</v>
      </c>
      <c r="F643" t="s">
        <v>77</v>
      </c>
      <c r="G643" t="s">
        <v>746</v>
      </c>
      <c r="H643">
        <v>8</v>
      </c>
      <c r="I643">
        <v>164.9</v>
      </c>
      <c r="J643" t="s">
        <v>839</v>
      </c>
      <c r="K643" t="s">
        <v>812</v>
      </c>
      <c r="M643" t="s">
        <v>1085</v>
      </c>
      <c r="P643" t="s">
        <v>924</v>
      </c>
      <c r="R643" t="s">
        <v>81</v>
      </c>
      <c r="U643" t="s">
        <v>81</v>
      </c>
      <c r="V643" t="s">
        <v>81</v>
      </c>
      <c r="W643">
        <v>2</v>
      </c>
      <c r="X643" s="24">
        <v>46032</v>
      </c>
      <c r="Z643" t="s">
        <v>38</v>
      </c>
      <c r="AB643" t="s">
        <v>921</v>
      </c>
      <c r="AC643" t="s">
        <v>981</v>
      </c>
      <c r="AD643" t="s">
        <v>39</v>
      </c>
    </row>
    <row r="644" spans="1:30" hidden="1" x14ac:dyDescent="0.25">
      <c r="A644">
        <v>128</v>
      </c>
      <c r="B644" t="s">
        <v>206</v>
      </c>
      <c r="C644">
        <v>6</v>
      </c>
      <c r="D644">
        <v>188</v>
      </c>
      <c r="E644">
        <v>2348</v>
      </c>
      <c r="F644" t="s">
        <v>77</v>
      </c>
      <c r="G644" t="s">
        <v>746</v>
      </c>
      <c r="H644">
        <v>2</v>
      </c>
      <c r="I644">
        <v>41.23</v>
      </c>
      <c r="J644" t="s">
        <v>839</v>
      </c>
      <c r="K644" t="s">
        <v>812</v>
      </c>
      <c r="M644" t="s">
        <v>1085</v>
      </c>
      <c r="P644" t="s">
        <v>924</v>
      </c>
      <c r="R644" t="s">
        <v>81</v>
      </c>
      <c r="U644" t="s">
        <v>81</v>
      </c>
      <c r="V644" t="s">
        <v>81</v>
      </c>
      <c r="W644">
        <v>2</v>
      </c>
      <c r="X644" s="24">
        <v>46032</v>
      </c>
      <c r="Z644" t="s">
        <v>38</v>
      </c>
      <c r="AB644" t="s">
        <v>921</v>
      </c>
      <c r="AC644" t="s">
        <v>981</v>
      </c>
      <c r="AD644" t="s">
        <v>39</v>
      </c>
    </row>
    <row r="645" spans="1:30" hidden="1" x14ac:dyDescent="0.25">
      <c r="A645">
        <v>129</v>
      </c>
      <c r="B645" t="s">
        <v>207</v>
      </c>
      <c r="C645">
        <v>6</v>
      </c>
      <c r="D645">
        <v>188</v>
      </c>
      <c r="E645">
        <v>2348</v>
      </c>
      <c r="F645" t="s">
        <v>77</v>
      </c>
      <c r="G645" t="s">
        <v>746</v>
      </c>
      <c r="H645">
        <v>1</v>
      </c>
      <c r="I645">
        <v>20.61</v>
      </c>
      <c r="J645" t="s">
        <v>839</v>
      </c>
      <c r="K645" t="s">
        <v>812</v>
      </c>
      <c r="M645" t="s">
        <v>1085</v>
      </c>
      <c r="P645" t="s">
        <v>924</v>
      </c>
      <c r="R645" t="s">
        <v>81</v>
      </c>
      <c r="U645" t="s">
        <v>81</v>
      </c>
      <c r="V645" t="s">
        <v>81</v>
      </c>
      <c r="W645">
        <v>2</v>
      </c>
      <c r="X645" s="24">
        <v>46032</v>
      </c>
      <c r="Z645" t="s">
        <v>38</v>
      </c>
      <c r="AB645" t="s">
        <v>921</v>
      </c>
      <c r="AC645" t="s">
        <v>981</v>
      </c>
      <c r="AD645" t="s">
        <v>39</v>
      </c>
    </row>
    <row r="646" spans="1:30" hidden="1" x14ac:dyDescent="0.25">
      <c r="A646">
        <v>130</v>
      </c>
      <c r="B646" t="s">
        <v>208</v>
      </c>
      <c r="C646">
        <v>6</v>
      </c>
      <c r="D646">
        <v>188</v>
      </c>
      <c r="E646">
        <v>2348</v>
      </c>
      <c r="F646" t="s">
        <v>77</v>
      </c>
      <c r="G646" t="s">
        <v>746</v>
      </c>
      <c r="H646">
        <v>6</v>
      </c>
      <c r="I646">
        <v>123.67</v>
      </c>
      <c r="J646" t="s">
        <v>839</v>
      </c>
      <c r="K646" t="s">
        <v>812</v>
      </c>
      <c r="M646" t="s">
        <v>1085</v>
      </c>
      <c r="P646" t="s">
        <v>924</v>
      </c>
      <c r="R646" t="s">
        <v>81</v>
      </c>
      <c r="U646" t="s">
        <v>81</v>
      </c>
      <c r="V646" t="s">
        <v>81</v>
      </c>
      <c r="W646">
        <v>2</v>
      </c>
      <c r="X646" s="24">
        <v>46032</v>
      </c>
      <c r="Z646" t="s">
        <v>38</v>
      </c>
      <c r="AB646" t="s">
        <v>921</v>
      </c>
      <c r="AC646" t="s">
        <v>981</v>
      </c>
      <c r="AD646" t="s">
        <v>39</v>
      </c>
    </row>
    <row r="647" spans="1:30" hidden="1" x14ac:dyDescent="0.25">
      <c r="A647">
        <v>131</v>
      </c>
      <c r="B647" t="s">
        <v>209</v>
      </c>
      <c r="C647">
        <v>6</v>
      </c>
      <c r="D647">
        <v>188</v>
      </c>
      <c r="E647">
        <v>2348</v>
      </c>
      <c r="F647" t="s">
        <v>77</v>
      </c>
      <c r="G647" t="s">
        <v>746</v>
      </c>
      <c r="H647">
        <v>6</v>
      </c>
      <c r="I647">
        <v>123.67</v>
      </c>
      <c r="J647" t="s">
        <v>839</v>
      </c>
      <c r="K647" t="s">
        <v>812</v>
      </c>
      <c r="M647" t="s">
        <v>1085</v>
      </c>
      <c r="P647" t="s">
        <v>924</v>
      </c>
      <c r="R647" t="s">
        <v>81</v>
      </c>
      <c r="U647" t="s">
        <v>81</v>
      </c>
      <c r="V647" t="s">
        <v>81</v>
      </c>
      <c r="W647">
        <v>2</v>
      </c>
      <c r="X647" s="24">
        <v>46032</v>
      </c>
      <c r="Z647" t="s">
        <v>38</v>
      </c>
      <c r="AB647" t="s">
        <v>921</v>
      </c>
      <c r="AC647" t="s">
        <v>981</v>
      </c>
      <c r="AD647" t="s">
        <v>39</v>
      </c>
    </row>
    <row r="648" spans="1:30" hidden="1" x14ac:dyDescent="0.25">
      <c r="A648">
        <v>132</v>
      </c>
      <c r="B648" t="s">
        <v>210</v>
      </c>
      <c r="C648">
        <v>6</v>
      </c>
      <c r="D648">
        <v>188</v>
      </c>
      <c r="E648">
        <v>2348</v>
      </c>
      <c r="F648" t="s">
        <v>77</v>
      </c>
      <c r="G648" t="s">
        <v>746</v>
      </c>
      <c r="H648">
        <v>8</v>
      </c>
      <c r="I648">
        <v>164.9</v>
      </c>
      <c r="J648" t="s">
        <v>839</v>
      </c>
      <c r="K648" t="s">
        <v>812</v>
      </c>
      <c r="M648" t="s">
        <v>1085</v>
      </c>
      <c r="P648" t="s">
        <v>924</v>
      </c>
      <c r="R648" t="s">
        <v>81</v>
      </c>
      <c r="U648" t="s">
        <v>81</v>
      </c>
      <c r="V648" t="s">
        <v>81</v>
      </c>
      <c r="W648">
        <v>2</v>
      </c>
      <c r="X648" s="24">
        <v>46032</v>
      </c>
      <c r="Z648" t="s">
        <v>38</v>
      </c>
      <c r="AB648" t="s">
        <v>921</v>
      </c>
      <c r="AC648" t="s">
        <v>981</v>
      </c>
      <c r="AD648" t="s">
        <v>39</v>
      </c>
    </row>
    <row r="649" spans="1:30" hidden="1" x14ac:dyDescent="0.25">
      <c r="A649">
        <v>133</v>
      </c>
      <c r="B649" t="s">
        <v>211</v>
      </c>
      <c r="C649">
        <v>6</v>
      </c>
      <c r="D649">
        <v>188</v>
      </c>
      <c r="E649">
        <v>2348</v>
      </c>
      <c r="F649" t="s">
        <v>77</v>
      </c>
      <c r="G649" t="s">
        <v>746</v>
      </c>
      <c r="H649">
        <v>4</v>
      </c>
      <c r="I649">
        <v>82.45</v>
      </c>
      <c r="J649" t="s">
        <v>839</v>
      </c>
      <c r="K649" t="s">
        <v>812</v>
      </c>
      <c r="M649" t="s">
        <v>1085</v>
      </c>
      <c r="P649" t="s">
        <v>924</v>
      </c>
      <c r="R649" t="s">
        <v>81</v>
      </c>
      <c r="U649" t="s">
        <v>81</v>
      </c>
      <c r="V649" t="s">
        <v>81</v>
      </c>
      <c r="W649">
        <v>2</v>
      </c>
      <c r="X649" s="24">
        <v>46032</v>
      </c>
      <c r="Z649" t="s">
        <v>38</v>
      </c>
      <c r="AB649" t="s">
        <v>921</v>
      </c>
      <c r="AC649" t="s">
        <v>981</v>
      </c>
      <c r="AD649" t="s">
        <v>39</v>
      </c>
    </row>
    <row r="650" spans="1:30" hidden="1" x14ac:dyDescent="0.25">
      <c r="A650">
        <v>134</v>
      </c>
      <c r="B650" t="s">
        <v>123</v>
      </c>
      <c r="C650">
        <v>6</v>
      </c>
      <c r="D650">
        <v>298</v>
      </c>
      <c r="E650">
        <v>378</v>
      </c>
      <c r="F650" t="s">
        <v>77</v>
      </c>
      <c r="G650" t="s">
        <v>746</v>
      </c>
      <c r="H650">
        <v>2</v>
      </c>
      <c r="I650">
        <v>10.54</v>
      </c>
      <c r="J650" t="s">
        <v>839</v>
      </c>
      <c r="K650" t="s">
        <v>812</v>
      </c>
      <c r="M650" t="s">
        <v>1085</v>
      </c>
      <c r="P650" t="s">
        <v>924</v>
      </c>
      <c r="Q650" t="s">
        <v>26</v>
      </c>
      <c r="R650" t="s">
        <v>81</v>
      </c>
      <c r="W650">
        <v>2</v>
      </c>
      <c r="X650" s="24">
        <v>46032</v>
      </c>
      <c r="Z650" t="s">
        <v>38</v>
      </c>
      <c r="AB650" t="s">
        <v>921</v>
      </c>
      <c r="AC650" t="s">
        <v>981</v>
      </c>
      <c r="AD650" t="s">
        <v>39</v>
      </c>
    </row>
    <row r="651" spans="1:30" hidden="1" x14ac:dyDescent="0.25">
      <c r="A651">
        <v>135</v>
      </c>
      <c r="B651" t="s">
        <v>171</v>
      </c>
      <c r="C651">
        <v>6</v>
      </c>
      <c r="D651">
        <v>298</v>
      </c>
      <c r="E651">
        <v>378</v>
      </c>
      <c r="F651" t="s">
        <v>77</v>
      </c>
      <c r="G651" t="s">
        <v>746</v>
      </c>
      <c r="H651">
        <v>1</v>
      </c>
      <c r="I651">
        <v>5.27</v>
      </c>
      <c r="J651" t="s">
        <v>839</v>
      </c>
      <c r="K651" t="s">
        <v>812</v>
      </c>
      <c r="M651" t="s">
        <v>1085</v>
      </c>
      <c r="P651" t="s">
        <v>924</v>
      </c>
      <c r="Q651" t="s">
        <v>26</v>
      </c>
      <c r="R651" t="s">
        <v>81</v>
      </c>
      <c r="W651">
        <v>2</v>
      </c>
      <c r="X651" s="24">
        <v>46032</v>
      </c>
      <c r="Z651" t="s">
        <v>38</v>
      </c>
      <c r="AB651" t="s">
        <v>921</v>
      </c>
      <c r="AC651" t="s">
        <v>981</v>
      </c>
      <c r="AD651" t="s">
        <v>39</v>
      </c>
    </row>
    <row r="652" spans="1:30" hidden="1" x14ac:dyDescent="0.25">
      <c r="A652">
        <v>136</v>
      </c>
      <c r="B652" t="s">
        <v>212</v>
      </c>
      <c r="C652">
        <v>6</v>
      </c>
      <c r="D652">
        <v>188</v>
      </c>
      <c r="E652">
        <v>2348</v>
      </c>
      <c r="F652" t="s">
        <v>77</v>
      </c>
      <c r="G652" t="s">
        <v>746</v>
      </c>
      <c r="H652">
        <v>6</v>
      </c>
      <c r="I652">
        <v>123.67</v>
      </c>
      <c r="J652" t="s">
        <v>839</v>
      </c>
      <c r="K652" t="s">
        <v>812</v>
      </c>
      <c r="M652" t="s">
        <v>1085</v>
      </c>
      <c r="P652" t="s">
        <v>924</v>
      </c>
      <c r="R652" t="s">
        <v>81</v>
      </c>
      <c r="U652" t="s">
        <v>81</v>
      </c>
      <c r="V652" t="s">
        <v>81</v>
      </c>
      <c r="W652">
        <v>2</v>
      </c>
      <c r="X652" s="24">
        <v>46032</v>
      </c>
      <c r="Z652" t="s">
        <v>38</v>
      </c>
      <c r="AB652" t="s">
        <v>921</v>
      </c>
      <c r="AC652" t="s">
        <v>983</v>
      </c>
      <c r="AD652" t="s">
        <v>39</v>
      </c>
    </row>
    <row r="653" spans="1:30" hidden="1" x14ac:dyDescent="0.25">
      <c r="A653">
        <v>137</v>
      </c>
      <c r="B653" t="s">
        <v>215</v>
      </c>
      <c r="C653">
        <v>6</v>
      </c>
      <c r="D653">
        <v>188</v>
      </c>
      <c r="E653">
        <v>2348</v>
      </c>
      <c r="F653" t="s">
        <v>77</v>
      </c>
      <c r="G653" t="s">
        <v>746</v>
      </c>
      <c r="H653">
        <v>6</v>
      </c>
      <c r="I653">
        <v>123.67</v>
      </c>
      <c r="J653" t="s">
        <v>839</v>
      </c>
      <c r="K653" t="s">
        <v>812</v>
      </c>
      <c r="M653" t="s">
        <v>1085</v>
      </c>
      <c r="P653" t="s">
        <v>924</v>
      </c>
      <c r="R653" t="s">
        <v>81</v>
      </c>
      <c r="U653" t="s">
        <v>81</v>
      </c>
      <c r="V653" t="s">
        <v>81</v>
      </c>
      <c r="W653">
        <v>2</v>
      </c>
      <c r="X653" s="24">
        <v>46032</v>
      </c>
      <c r="Z653" t="s">
        <v>38</v>
      </c>
      <c r="AB653" t="s">
        <v>921</v>
      </c>
      <c r="AC653" t="s">
        <v>983</v>
      </c>
      <c r="AD653" t="s">
        <v>39</v>
      </c>
    </row>
    <row r="654" spans="1:30" hidden="1" x14ac:dyDescent="0.25">
      <c r="A654">
        <v>138</v>
      </c>
      <c r="B654" t="s">
        <v>216</v>
      </c>
      <c r="C654">
        <v>6</v>
      </c>
      <c r="D654">
        <v>188</v>
      </c>
      <c r="E654">
        <v>2348</v>
      </c>
      <c r="F654" t="s">
        <v>77</v>
      </c>
      <c r="G654" t="s">
        <v>746</v>
      </c>
      <c r="H654">
        <v>8</v>
      </c>
      <c r="I654">
        <v>164.9</v>
      </c>
      <c r="J654" t="s">
        <v>839</v>
      </c>
      <c r="K654" t="s">
        <v>812</v>
      </c>
      <c r="M654" t="s">
        <v>1085</v>
      </c>
      <c r="P654" t="s">
        <v>924</v>
      </c>
      <c r="R654" t="s">
        <v>81</v>
      </c>
      <c r="U654" t="s">
        <v>81</v>
      </c>
      <c r="V654" t="s">
        <v>81</v>
      </c>
      <c r="W654">
        <v>2</v>
      </c>
      <c r="X654" s="24">
        <v>46032</v>
      </c>
      <c r="Z654" t="s">
        <v>38</v>
      </c>
      <c r="AB654" t="s">
        <v>921</v>
      </c>
      <c r="AC654" t="s">
        <v>983</v>
      </c>
      <c r="AD654" t="s">
        <v>39</v>
      </c>
    </row>
    <row r="655" spans="1:30" hidden="1" x14ac:dyDescent="0.25">
      <c r="A655">
        <v>139</v>
      </c>
      <c r="B655" t="s">
        <v>195</v>
      </c>
      <c r="C655">
        <v>6</v>
      </c>
      <c r="D655">
        <v>328</v>
      </c>
      <c r="E655">
        <v>934</v>
      </c>
      <c r="F655" t="s">
        <v>77</v>
      </c>
      <c r="G655" t="s">
        <v>746</v>
      </c>
      <c r="H655">
        <v>7</v>
      </c>
      <c r="I655">
        <v>101</v>
      </c>
      <c r="J655" t="s">
        <v>839</v>
      </c>
      <c r="K655" t="s">
        <v>812</v>
      </c>
      <c r="M655" t="s">
        <v>1085</v>
      </c>
      <c r="P655" t="s">
        <v>924</v>
      </c>
      <c r="R655" t="s">
        <v>81</v>
      </c>
      <c r="U655" t="s">
        <v>81</v>
      </c>
      <c r="W655">
        <v>2</v>
      </c>
      <c r="X655" s="24">
        <v>46032</v>
      </c>
      <c r="Z655" t="s">
        <v>38</v>
      </c>
      <c r="AB655" t="s">
        <v>921</v>
      </c>
      <c r="AC655" t="s">
        <v>983</v>
      </c>
      <c r="AD655" t="s">
        <v>39</v>
      </c>
    </row>
    <row r="656" spans="1:30" hidden="1" x14ac:dyDescent="0.25">
      <c r="A656">
        <v>140</v>
      </c>
      <c r="B656" t="s">
        <v>207</v>
      </c>
      <c r="C656">
        <v>6</v>
      </c>
      <c r="D656">
        <v>188</v>
      </c>
      <c r="E656">
        <v>2348</v>
      </c>
      <c r="F656" t="s">
        <v>77</v>
      </c>
      <c r="G656" t="s">
        <v>746</v>
      </c>
      <c r="H656">
        <v>3</v>
      </c>
      <c r="I656">
        <v>61.84</v>
      </c>
      <c r="J656" t="s">
        <v>839</v>
      </c>
      <c r="K656" t="s">
        <v>812</v>
      </c>
      <c r="M656" t="s">
        <v>1085</v>
      </c>
      <c r="P656" t="s">
        <v>924</v>
      </c>
      <c r="R656" t="s">
        <v>81</v>
      </c>
      <c r="U656" t="s">
        <v>81</v>
      </c>
      <c r="V656" t="s">
        <v>81</v>
      </c>
      <c r="W656">
        <v>2</v>
      </c>
      <c r="X656" s="24">
        <v>46032</v>
      </c>
      <c r="Z656" t="s">
        <v>38</v>
      </c>
      <c r="AB656" t="s">
        <v>921</v>
      </c>
      <c r="AC656" t="s">
        <v>983</v>
      </c>
      <c r="AD656" t="s">
        <v>39</v>
      </c>
    </row>
    <row r="657" spans="1:30" hidden="1" x14ac:dyDescent="0.25">
      <c r="A657">
        <v>141</v>
      </c>
      <c r="B657" t="s">
        <v>217</v>
      </c>
      <c r="C657">
        <v>6</v>
      </c>
      <c r="D657">
        <v>328</v>
      </c>
      <c r="E657">
        <v>934</v>
      </c>
      <c r="F657" t="s">
        <v>77</v>
      </c>
      <c r="G657" t="s">
        <v>746</v>
      </c>
      <c r="H657">
        <v>9</v>
      </c>
      <c r="I657">
        <v>129.86000000000001</v>
      </c>
      <c r="J657" t="s">
        <v>839</v>
      </c>
      <c r="K657" t="s">
        <v>812</v>
      </c>
      <c r="M657" t="s">
        <v>1085</v>
      </c>
      <c r="P657" t="s">
        <v>924</v>
      </c>
      <c r="R657" t="s">
        <v>81</v>
      </c>
      <c r="U657" t="s">
        <v>81</v>
      </c>
      <c r="W657">
        <v>2</v>
      </c>
      <c r="X657" s="24">
        <v>46032</v>
      </c>
      <c r="Z657" t="s">
        <v>38</v>
      </c>
      <c r="AB657" t="s">
        <v>921</v>
      </c>
      <c r="AC657" t="s">
        <v>983</v>
      </c>
      <c r="AD657" t="s">
        <v>39</v>
      </c>
    </row>
    <row r="658" spans="1:30" hidden="1" x14ac:dyDescent="0.25">
      <c r="A658">
        <v>142</v>
      </c>
      <c r="B658" t="s">
        <v>148</v>
      </c>
      <c r="C658">
        <v>6</v>
      </c>
      <c r="D658">
        <v>328</v>
      </c>
      <c r="E658">
        <v>934</v>
      </c>
      <c r="F658" t="s">
        <v>77</v>
      </c>
      <c r="G658" t="s">
        <v>746</v>
      </c>
      <c r="H658">
        <v>4</v>
      </c>
      <c r="I658">
        <v>57.72</v>
      </c>
      <c r="J658" t="s">
        <v>839</v>
      </c>
      <c r="K658" t="s">
        <v>812</v>
      </c>
      <c r="M658" t="s">
        <v>1085</v>
      </c>
      <c r="P658" t="s">
        <v>924</v>
      </c>
      <c r="R658" t="s">
        <v>81</v>
      </c>
      <c r="U658" t="s">
        <v>81</v>
      </c>
      <c r="W658">
        <v>2</v>
      </c>
      <c r="X658" s="24">
        <v>46032</v>
      </c>
      <c r="Z658" t="s">
        <v>38</v>
      </c>
      <c r="AB658" t="s">
        <v>921</v>
      </c>
      <c r="AC658" t="s">
        <v>983</v>
      </c>
      <c r="AD658" t="s">
        <v>39</v>
      </c>
    </row>
    <row r="659" spans="1:30" hidden="1" x14ac:dyDescent="0.25">
      <c r="A659">
        <v>143</v>
      </c>
      <c r="B659" t="s">
        <v>123</v>
      </c>
      <c r="C659">
        <v>6</v>
      </c>
      <c r="D659">
        <v>298</v>
      </c>
      <c r="E659">
        <v>378</v>
      </c>
      <c r="F659" t="s">
        <v>77</v>
      </c>
      <c r="G659" t="s">
        <v>746</v>
      </c>
      <c r="H659">
        <v>2</v>
      </c>
      <c r="I659">
        <v>10.54</v>
      </c>
      <c r="J659" t="s">
        <v>839</v>
      </c>
      <c r="K659" t="s">
        <v>812</v>
      </c>
      <c r="M659" t="s">
        <v>1085</v>
      </c>
      <c r="P659" t="s">
        <v>924</v>
      </c>
      <c r="Q659" t="s">
        <v>26</v>
      </c>
      <c r="R659" t="s">
        <v>81</v>
      </c>
      <c r="W659">
        <v>2</v>
      </c>
      <c r="X659" s="24">
        <v>46032</v>
      </c>
      <c r="Z659" t="s">
        <v>38</v>
      </c>
      <c r="AB659" t="s">
        <v>921</v>
      </c>
      <c r="AC659" t="s">
        <v>983</v>
      </c>
      <c r="AD659" t="s">
        <v>39</v>
      </c>
    </row>
    <row r="660" spans="1:30" hidden="1" x14ac:dyDescent="0.25">
      <c r="A660">
        <v>144</v>
      </c>
      <c r="B660" t="s">
        <v>179</v>
      </c>
      <c r="C660">
        <v>6</v>
      </c>
      <c r="D660">
        <v>328</v>
      </c>
      <c r="E660">
        <v>934</v>
      </c>
      <c r="F660" t="s">
        <v>77</v>
      </c>
      <c r="G660" t="s">
        <v>746</v>
      </c>
      <c r="H660">
        <v>1</v>
      </c>
      <c r="I660">
        <v>14.43</v>
      </c>
      <c r="J660" t="s">
        <v>839</v>
      </c>
      <c r="K660" t="s">
        <v>812</v>
      </c>
      <c r="M660" t="s">
        <v>1085</v>
      </c>
      <c r="P660" t="s">
        <v>924</v>
      </c>
      <c r="S660" t="s">
        <v>81</v>
      </c>
      <c r="U660" t="s">
        <v>81</v>
      </c>
      <c r="W660">
        <v>2</v>
      </c>
      <c r="X660" s="24">
        <v>46032</v>
      </c>
      <c r="Z660" t="s">
        <v>38</v>
      </c>
      <c r="AB660" t="s">
        <v>921</v>
      </c>
      <c r="AC660" t="s">
        <v>986</v>
      </c>
      <c r="AD660" t="s">
        <v>987</v>
      </c>
    </row>
    <row r="661" spans="1:30" hidden="1" x14ac:dyDescent="0.25">
      <c r="A661">
        <v>145</v>
      </c>
      <c r="B661" t="s">
        <v>206</v>
      </c>
      <c r="C661">
        <v>6</v>
      </c>
      <c r="D661">
        <v>188</v>
      </c>
      <c r="E661">
        <v>2348</v>
      </c>
      <c r="F661" t="s">
        <v>77</v>
      </c>
      <c r="G661" t="s">
        <v>746</v>
      </c>
      <c r="H661">
        <v>2</v>
      </c>
      <c r="I661">
        <v>41.23</v>
      </c>
      <c r="J661" t="s">
        <v>839</v>
      </c>
      <c r="K661" t="s">
        <v>812</v>
      </c>
      <c r="M661" t="s">
        <v>1085</v>
      </c>
      <c r="P661" t="s">
        <v>924</v>
      </c>
      <c r="S661" t="s">
        <v>81</v>
      </c>
      <c r="U661" t="s">
        <v>81</v>
      </c>
      <c r="V661" t="s">
        <v>81</v>
      </c>
      <c r="W661">
        <v>2</v>
      </c>
      <c r="X661" s="24">
        <v>46032</v>
      </c>
      <c r="Z661" t="s">
        <v>38</v>
      </c>
      <c r="AB661" t="s">
        <v>921</v>
      </c>
      <c r="AC661" t="s">
        <v>986</v>
      </c>
      <c r="AD661" t="s">
        <v>987</v>
      </c>
    </row>
    <row r="662" spans="1:30" hidden="1" x14ac:dyDescent="0.25">
      <c r="A662">
        <v>146</v>
      </c>
      <c r="B662" t="s">
        <v>196</v>
      </c>
      <c r="C662">
        <v>6</v>
      </c>
      <c r="D662">
        <v>328</v>
      </c>
      <c r="E662">
        <v>894</v>
      </c>
      <c r="F662" t="s">
        <v>77</v>
      </c>
      <c r="G662" t="s">
        <v>746</v>
      </c>
      <c r="H662">
        <v>1</v>
      </c>
      <c r="I662">
        <v>13.81</v>
      </c>
      <c r="J662" t="s">
        <v>839</v>
      </c>
      <c r="K662" t="s">
        <v>812</v>
      </c>
      <c r="M662" t="s">
        <v>1085</v>
      </c>
      <c r="P662" t="s">
        <v>924</v>
      </c>
      <c r="S662" t="s">
        <v>81</v>
      </c>
      <c r="U662" t="s">
        <v>81</v>
      </c>
      <c r="W662">
        <v>2</v>
      </c>
      <c r="X662" s="24">
        <v>46032</v>
      </c>
      <c r="Z662" t="s">
        <v>38</v>
      </c>
      <c r="AB662" t="s">
        <v>921</v>
      </c>
      <c r="AC662" t="s">
        <v>986</v>
      </c>
      <c r="AD662" t="s">
        <v>987</v>
      </c>
    </row>
    <row r="663" spans="1:30" hidden="1" x14ac:dyDescent="0.25">
      <c r="A663">
        <v>147</v>
      </c>
      <c r="B663" t="s">
        <v>220</v>
      </c>
      <c r="C663">
        <v>6</v>
      </c>
      <c r="D663">
        <v>188</v>
      </c>
      <c r="E663">
        <v>2348</v>
      </c>
      <c r="F663" t="s">
        <v>77</v>
      </c>
      <c r="G663" t="s">
        <v>746</v>
      </c>
      <c r="H663">
        <v>12</v>
      </c>
      <c r="I663">
        <v>247.35</v>
      </c>
      <c r="J663" t="s">
        <v>839</v>
      </c>
      <c r="K663" t="s">
        <v>812</v>
      </c>
      <c r="M663" t="s">
        <v>1085</v>
      </c>
      <c r="P663" t="s">
        <v>924</v>
      </c>
      <c r="S663" t="s">
        <v>81</v>
      </c>
      <c r="U663" t="s">
        <v>81</v>
      </c>
      <c r="V663" t="s">
        <v>81</v>
      </c>
      <c r="W663">
        <v>2</v>
      </c>
      <c r="X663" s="24">
        <v>46032</v>
      </c>
      <c r="Z663" t="s">
        <v>38</v>
      </c>
      <c r="AB663" t="s">
        <v>921</v>
      </c>
      <c r="AC663" t="s">
        <v>986</v>
      </c>
      <c r="AD663" t="s">
        <v>987</v>
      </c>
    </row>
    <row r="664" spans="1:30" hidden="1" x14ac:dyDescent="0.25">
      <c r="A664">
        <v>148</v>
      </c>
      <c r="B664" t="s">
        <v>116</v>
      </c>
      <c r="C664">
        <v>6</v>
      </c>
      <c r="D664">
        <v>298</v>
      </c>
      <c r="E664">
        <v>378</v>
      </c>
      <c r="F664" t="s">
        <v>77</v>
      </c>
      <c r="G664" t="s">
        <v>746</v>
      </c>
      <c r="H664">
        <v>1</v>
      </c>
      <c r="I664">
        <v>5.27</v>
      </c>
      <c r="J664" t="s">
        <v>839</v>
      </c>
      <c r="K664" t="s">
        <v>812</v>
      </c>
      <c r="M664" t="s">
        <v>1085</v>
      </c>
      <c r="P664" t="s">
        <v>924</v>
      </c>
      <c r="Q664" t="s">
        <v>26</v>
      </c>
      <c r="S664" t="s">
        <v>81</v>
      </c>
      <c r="W664">
        <v>2</v>
      </c>
      <c r="X664" s="24">
        <v>46032</v>
      </c>
      <c r="Z664" t="s">
        <v>38</v>
      </c>
      <c r="AB664" t="s">
        <v>921</v>
      </c>
      <c r="AC664" t="s">
        <v>986</v>
      </c>
      <c r="AD664" t="s">
        <v>987</v>
      </c>
    </row>
    <row r="665" spans="1:30" hidden="1" x14ac:dyDescent="0.25">
      <c r="A665">
        <v>149</v>
      </c>
      <c r="B665" t="s">
        <v>123</v>
      </c>
      <c r="C665">
        <v>6</v>
      </c>
      <c r="D665">
        <v>298</v>
      </c>
      <c r="E665">
        <v>378</v>
      </c>
      <c r="F665" t="s">
        <v>77</v>
      </c>
      <c r="G665" t="s">
        <v>746</v>
      </c>
      <c r="H665">
        <v>2</v>
      </c>
      <c r="I665">
        <v>10.54</v>
      </c>
      <c r="J665" t="s">
        <v>839</v>
      </c>
      <c r="K665" t="s">
        <v>812</v>
      </c>
      <c r="M665" t="s">
        <v>1085</v>
      </c>
      <c r="P665" t="s">
        <v>924</v>
      </c>
      <c r="Q665" t="s">
        <v>26</v>
      </c>
      <c r="S665" t="s">
        <v>81</v>
      </c>
      <c r="W665">
        <v>2</v>
      </c>
      <c r="X665" s="24">
        <v>46032</v>
      </c>
      <c r="Z665" t="s">
        <v>38</v>
      </c>
      <c r="AB665" t="s">
        <v>921</v>
      </c>
      <c r="AC665" t="s">
        <v>986</v>
      </c>
      <c r="AD665" t="s">
        <v>987</v>
      </c>
    </row>
    <row r="666" spans="1:30" hidden="1" x14ac:dyDescent="0.25">
      <c r="A666">
        <v>150</v>
      </c>
      <c r="B666" t="s">
        <v>171</v>
      </c>
      <c r="C666">
        <v>6</v>
      </c>
      <c r="D666">
        <v>298</v>
      </c>
      <c r="E666">
        <v>378</v>
      </c>
      <c r="F666" t="s">
        <v>77</v>
      </c>
      <c r="G666" t="s">
        <v>746</v>
      </c>
      <c r="H666">
        <v>2</v>
      </c>
      <c r="I666">
        <v>10.54</v>
      </c>
      <c r="J666" t="s">
        <v>839</v>
      </c>
      <c r="K666" t="s">
        <v>812</v>
      </c>
      <c r="M666" t="s">
        <v>1085</v>
      </c>
      <c r="P666" t="s">
        <v>924</v>
      </c>
      <c r="Q666" t="s">
        <v>26</v>
      </c>
      <c r="S666" t="s">
        <v>81</v>
      </c>
      <c r="W666">
        <v>2</v>
      </c>
      <c r="X666" s="24">
        <v>46032</v>
      </c>
      <c r="Z666" t="s">
        <v>38</v>
      </c>
      <c r="AB666" t="s">
        <v>921</v>
      </c>
      <c r="AC666" t="s">
        <v>986</v>
      </c>
      <c r="AD666" t="s">
        <v>987</v>
      </c>
    </row>
    <row r="667" spans="1:30" hidden="1" x14ac:dyDescent="0.25">
      <c r="A667">
        <v>151</v>
      </c>
      <c r="B667" t="s">
        <v>221</v>
      </c>
      <c r="C667">
        <v>8</v>
      </c>
      <c r="D667">
        <v>334</v>
      </c>
      <c r="E667">
        <v>11992</v>
      </c>
      <c r="F667" t="s">
        <v>77</v>
      </c>
      <c r="G667" t="s">
        <v>746</v>
      </c>
      <c r="H667">
        <v>4</v>
      </c>
      <c r="I667">
        <v>981.99</v>
      </c>
      <c r="J667" t="s">
        <v>839</v>
      </c>
      <c r="K667" t="s">
        <v>812</v>
      </c>
      <c r="M667" t="s">
        <v>1085</v>
      </c>
      <c r="P667" t="s">
        <v>924</v>
      </c>
      <c r="Q667" t="s">
        <v>28</v>
      </c>
      <c r="R667" t="s">
        <v>81</v>
      </c>
      <c r="W667">
        <v>2</v>
      </c>
      <c r="X667" s="24">
        <v>46032</v>
      </c>
      <c r="Z667" t="s">
        <v>38</v>
      </c>
      <c r="AB667" t="s">
        <v>921</v>
      </c>
      <c r="AC667" t="s">
        <v>989</v>
      </c>
      <c r="AD667" t="s">
        <v>39</v>
      </c>
    </row>
    <row r="668" spans="1:30" hidden="1" x14ac:dyDescent="0.25">
      <c r="A668">
        <v>152</v>
      </c>
      <c r="B668" t="s">
        <v>226</v>
      </c>
      <c r="C668">
        <v>8</v>
      </c>
      <c r="D668">
        <v>334</v>
      </c>
      <c r="E668">
        <v>11998</v>
      </c>
      <c r="F668" t="s">
        <v>77</v>
      </c>
      <c r="G668" t="s">
        <v>746</v>
      </c>
      <c r="H668">
        <v>1</v>
      </c>
      <c r="I668">
        <v>244.33</v>
      </c>
      <c r="J668" t="s">
        <v>839</v>
      </c>
      <c r="K668" t="s">
        <v>812</v>
      </c>
      <c r="M668" t="s">
        <v>1085</v>
      </c>
      <c r="O668" t="s">
        <v>228</v>
      </c>
      <c r="P668" t="s">
        <v>924</v>
      </c>
      <c r="Q668" t="s">
        <v>28</v>
      </c>
      <c r="R668" t="s">
        <v>81</v>
      </c>
      <c r="W668">
        <v>2</v>
      </c>
      <c r="X668" s="24">
        <v>46032</v>
      </c>
      <c r="Z668" t="s">
        <v>38</v>
      </c>
      <c r="AB668" t="s">
        <v>921</v>
      </c>
      <c r="AC668" t="s">
        <v>989</v>
      </c>
      <c r="AD668" t="s">
        <v>39</v>
      </c>
    </row>
    <row r="669" spans="1:30" hidden="1" x14ac:dyDescent="0.25">
      <c r="A669">
        <v>153</v>
      </c>
      <c r="B669" t="s">
        <v>229</v>
      </c>
      <c r="C669">
        <v>8</v>
      </c>
      <c r="D669">
        <v>90</v>
      </c>
      <c r="E669">
        <v>150</v>
      </c>
      <c r="F669" t="s">
        <v>77</v>
      </c>
      <c r="G669" t="s">
        <v>746</v>
      </c>
      <c r="H669">
        <v>1</v>
      </c>
      <c r="I669">
        <v>0.62</v>
      </c>
      <c r="J669" t="s">
        <v>839</v>
      </c>
      <c r="K669" t="s">
        <v>812</v>
      </c>
      <c r="M669" t="s">
        <v>1085</v>
      </c>
      <c r="P669" t="s">
        <v>924</v>
      </c>
      <c r="Q669" t="s">
        <v>26</v>
      </c>
      <c r="R669" t="s">
        <v>81</v>
      </c>
      <c r="W669">
        <v>2</v>
      </c>
      <c r="X669" s="24">
        <v>46032</v>
      </c>
      <c r="Z669" t="s">
        <v>38</v>
      </c>
      <c r="AB669" t="s">
        <v>921</v>
      </c>
      <c r="AC669" t="s">
        <v>989</v>
      </c>
      <c r="AD669" t="s">
        <v>39</v>
      </c>
    </row>
    <row r="670" spans="1:30" hidden="1" x14ac:dyDescent="0.25">
      <c r="A670">
        <v>154</v>
      </c>
      <c r="B670" t="s">
        <v>231</v>
      </c>
      <c r="C670">
        <v>8</v>
      </c>
      <c r="D670">
        <v>150</v>
      </c>
      <c r="E670">
        <v>4252</v>
      </c>
      <c r="F670" t="s">
        <v>77</v>
      </c>
      <c r="G670" t="s">
        <v>746</v>
      </c>
      <c r="H670">
        <v>2</v>
      </c>
      <c r="I670">
        <v>80.11</v>
      </c>
      <c r="J670" t="s">
        <v>839</v>
      </c>
      <c r="K670" t="s">
        <v>812</v>
      </c>
      <c r="M670" t="s">
        <v>1085</v>
      </c>
      <c r="P670" t="s">
        <v>924</v>
      </c>
      <c r="Q670" t="s">
        <v>28</v>
      </c>
      <c r="R670" t="s">
        <v>81</v>
      </c>
      <c r="W670">
        <v>2</v>
      </c>
      <c r="X670" s="24">
        <v>46032</v>
      </c>
      <c r="Z670" t="s">
        <v>38</v>
      </c>
      <c r="AB670" t="s">
        <v>921</v>
      </c>
      <c r="AC670" t="s">
        <v>989</v>
      </c>
      <c r="AD670" t="s">
        <v>39</v>
      </c>
    </row>
    <row r="671" spans="1:30" hidden="1" x14ac:dyDescent="0.25">
      <c r="A671">
        <v>155</v>
      </c>
      <c r="B671" t="s">
        <v>233</v>
      </c>
      <c r="C671">
        <v>8</v>
      </c>
      <c r="D671">
        <v>150</v>
      </c>
      <c r="E671">
        <v>6824</v>
      </c>
      <c r="F671" t="s">
        <v>77</v>
      </c>
      <c r="G671" t="s">
        <v>746</v>
      </c>
      <c r="H671">
        <v>2</v>
      </c>
      <c r="I671">
        <v>128.56</v>
      </c>
      <c r="J671" t="s">
        <v>839</v>
      </c>
      <c r="K671" t="s">
        <v>812</v>
      </c>
      <c r="M671" t="s">
        <v>1085</v>
      </c>
      <c r="P671" t="s">
        <v>924</v>
      </c>
      <c r="Q671" t="s">
        <v>28</v>
      </c>
      <c r="R671" t="s">
        <v>81</v>
      </c>
      <c r="W671">
        <v>2</v>
      </c>
      <c r="X671" s="24">
        <v>46032</v>
      </c>
      <c r="Z671" t="s">
        <v>38</v>
      </c>
      <c r="AB671" t="s">
        <v>921</v>
      </c>
      <c r="AC671" t="s">
        <v>989</v>
      </c>
      <c r="AD671" t="s">
        <v>39</v>
      </c>
    </row>
    <row r="672" spans="1:30" hidden="1" x14ac:dyDescent="0.25">
      <c r="A672">
        <v>156</v>
      </c>
      <c r="B672" t="s">
        <v>235</v>
      </c>
      <c r="C672">
        <v>8</v>
      </c>
      <c r="D672">
        <v>150</v>
      </c>
      <c r="E672">
        <v>792</v>
      </c>
      <c r="F672" t="s">
        <v>77</v>
      </c>
      <c r="G672" t="s">
        <v>746</v>
      </c>
      <c r="H672">
        <v>2</v>
      </c>
      <c r="I672">
        <v>14.92</v>
      </c>
      <c r="J672" t="s">
        <v>839</v>
      </c>
      <c r="K672" t="s">
        <v>812</v>
      </c>
      <c r="M672" t="s">
        <v>1085</v>
      </c>
      <c r="P672" t="s">
        <v>924</v>
      </c>
      <c r="Q672" t="s">
        <v>28</v>
      </c>
      <c r="R672" t="s">
        <v>81</v>
      </c>
      <c r="W672">
        <v>2</v>
      </c>
      <c r="X672" s="24">
        <v>46032</v>
      </c>
      <c r="Z672" t="s">
        <v>38</v>
      </c>
      <c r="AB672" t="s">
        <v>921</v>
      </c>
      <c r="AC672" t="s">
        <v>989</v>
      </c>
      <c r="AD672" t="s">
        <v>39</v>
      </c>
    </row>
    <row r="673" spans="1:30" hidden="1" x14ac:dyDescent="0.25">
      <c r="A673">
        <v>157</v>
      </c>
      <c r="B673" t="s">
        <v>237</v>
      </c>
      <c r="C673">
        <v>8</v>
      </c>
      <c r="D673">
        <v>148</v>
      </c>
      <c r="E673">
        <v>441</v>
      </c>
      <c r="F673" t="s">
        <v>77</v>
      </c>
      <c r="G673" t="s">
        <v>746</v>
      </c>
      <c r="H673">
        <v>1</v>
      </c>
      <c r="I673">
        <v>4.0999999999999996</v>
      </c>
      <c r="J673" t="s">
        <v>839</v>
      </c>
      <c r="K673" t="s">
        <v>812</v>
      </c>
      <c r="M673" t="s">
        <v>1085</v>
      </c>
      <c r="P673" t="s">
        <v>924</v>
      </c>
      <c r="Q673" t="s">
        <v>26</v>
      </c>
      <c r="R673" t="s">
        <v>81</v>
      </c>
      <c r="W673">
        <v>2</v>
      </c>
      <c r="X673" s="24">
        <v>46032</v>
      </c>
      <c r="Z673" t="s">
        <v>38</v>
      </c>
      <c r="AB673" t="s">
        <v>921</v>
      </c>
      <c r="AC673" t="s">
        <v>991</v>
      </c>
      <c r="AD673" t="s">
        <v>39</v>
      </c>
    </row>
    <row r="674" spans="1:30" hidden="1" x14ac:dyDescent="0.25">
      <c r="A674">
        <v>158</v>
      </c>
      <c r="B674" t="s">
        <v>241</v>
      </c>
      <c r="C674">
        <v>8</v>
      </c>
      <c r="D674">
        <v>156</v>
      </c>
      <c r="E674">
        <v>465</v>
      </c>
      <c r="F674" t="s">
        <v>77</v>
      </c>
      <c r="G674" t="s">
        <v>746</v>
      </c>
      <c r="H674">
        <v>1</v>
      </c>
      <c r="I674">
        <v>4.55</v>
      </c>
      <c r="J674" t="s">
        <v>839</v>
      </c>
      <c r="K674" t="s">
        <v>812</v>
      </c>
      <c r="M674" t="s">
        <v>1085</v>
      </c>
      <c r="P674" t="s">
        <v>924</v>
      </c>
      <c r="Q674" t="s">
        <v>26</v>
      </c>
      <c r="R674" t="s">
        <v>81</v>
      </c>
      <c r="W674">
        <v>2</v>
      </c>
      <c r="X674" s="24">
        <v>46032</v>
      </c>
      <c r="Z674" t="s">
        <v>38</v>
      </c>
      <c r="AB674" t="s">
        <v>921</v>
      </c>
      <c r="AC674" t="s">
        <v>991</v>
      </c>
      <c r="AD674" t="s">
        <v>39</v>
      </c>
    </row>
    <row r="675" spans="1:30" hidden="1" x14ac:dyDescent="0.25">
      <c r="A675">
        <v>159</v>
      </c>
      <c r="B675" t="s">
        <v>243</v>
      </c>
      <c r="C675">
        <v>8</v>
      </c>
      <c r="D675">
        <v>464</v>
      </c>
      <c r="E675">
        <v>12000</v>
      </c>
      <c r="F675" t="s">
        <v>77</v>
      </c>
      <c r="G675" t="s">
        <v>746</v>
      </c>
      <c r="H675">
        <v>1</v>
      </c>
      <c r="I675">
        <v>332.54</v>
      </c>
      <c r="J675" t="s">
        <v>839</v>
      </c>
      <c r="K675" t="s">
        <v>812</v>
      </c>
      <c r="M675" t="s">
        <v>1085</v>
      </c>
      <c r="O675" t="s">
        <v>228</v>
      </c>
      <c r="P675" t="s">
        <v>924</v>
      </c>
      <c r="Q675" t="s">
        <v>28</v>
      </c>
      <c r="R675" t="s">
        <v>81</v>
      </c>
      <c r="W675">
        <v>2</v>
      </c>
      <c r="X675" s="24">
        <v>46032</v>
      </c>
      <c r="Z675" t="s">
        <v>38</v>
      </c>
      <c r="AB675" t="s">
        <v>921</v>
      </c>
      <c r="AC675" t="s">
        <v>991</v>
      </c>
      <c r="AD675" t="s">
        <v>39</v>
      </c>
    </row>
    <row r="676" spans="1:30" hidden="1" x14ac:dyDescent="0.25">
      <c r="A676">
        <v>160</v>
      </c>
      <c r="B676" t="s">
        <v>245</v>
      </c>
      <c r="C676">
        <v>8</v>
      </c>
      <c r="D676">
        <v>342</v>
      </c>
      <c r="E676">
        <v>11990</v>
      </c>
      <c r="F676" t="s">
        <v>77</v>
      </c>
      <c r="G676" t="s">
        <v>746</v>
      </c>
      <c r="H676">
        <v>1</v>
      </c>
      <c r="I676">
        <v>244.16</v>
      </c>
      <c r="J676" t="s">
        <v>839</v>
      </c>
      <c r="K676" t="s">
        <v>812</v>
      </c>
      <c r="M676" t="s">
        <v>1085</v>
      </c>
      <c r="O676" t="s">
        <v>228</v>
      </c>
      <c r="P676" t="s">
        <v>924</v>
      </c>
      <c r="Q676" t="s">
        <v>28</v>
      </c>
      <c r="R676" t="s">
        <v>81</v>
      </c>
      <c r="W676">
        <v>2</v>
      </c>
      <c r="X676" s="24">
        <v>46032</v>
      </c>
      <c r="Z676" t="s">
        <v>38</v>
      </c>
      <c r="AB676" t="s">
        <v>921</v>
      </c>
      <c r="AC676" t="s">
        <v>991</v>
      </c>
      <c r="AD676" t="s">
        <v>39</v>
      </c>
    </row>
    <row r="677" spans="1:30" hidden="1" x14ac:dyDescent="0.25">
      <c r="A677">
        <v>161</v>
      </c>
      <c r="B677" t="s">
        <v>226</v>
      </c>
      <c r="C677">
        <v>8</v>
      </c>
      <c r="D677">
        <v>334</v>
      </c>
      <c r="E677">
        <v>11998</v>
      </c>
      <c r="F677" t="s">
        <v>77</v>
      </c>
      <c r="G677" t="s">
        <v>746</v>
      </c>
      <c r="H677">
        <v>3</v>
      </c>
      <c r="I677">
        <v>732.99</v>
      </c>
      <c r="J677" t="s">
        <v>839</v>
      </c>
      <c r="K677" t="s">
        <v>812</v>
      </c>
      <c r="M677" t="s">
        <v>1085</v>
      </c>
      <c r="O677" t="s">
        <v>228</v>
      </c>
      <c r="P677" t="s">
        <v>924</v>
      </c>
      <c r="Q677" t="s">
        <v>28</v>
      </c>
      <c r="R677" t="s">
        <v>81</v>
      </c>
      <c r="W677">
        <v>2</v>
      </c>
      <c r="X677" s="24">
        <v>46032</v>
      </c>
      <c r="Z677" t="s">
        <v>38</v>
      </c>
      <c r="AB677" t="s">
        <v>921</v>
      </c>
      <c r="AC677" t="s">
        <v>991</v>
      </c>
      <c r="AD677" t="s">
        <v>39</v>
      </c>
    </row>
    <row r="678" spans="1:30" hidden="1" x14ac:dyDescent="0.25">
      <c r="A678">
        <v>162</v>
      </c>
      <c r="B678" t="s">
        <v>231</v>
      </c>
      <c r="C678">
        <v>8</v>
      </c>
      <c r="D678">
        <v>150</v>
      </c>
      <c r="E678">
        <v>4252</v>
      </c>
      <c r="F678" t="s">
        <v>77</v>
      </c>
      <c r="G678" t="s">
        <v>746</v>
      </c>
      <c r="H678">
        <v>1</v>
      </c>
      <c r="I678">
        <v>40.049999999999997</v>
      </c>
      <c r="J678" t="s">
        <v>839</v>
      </c>
      <c r="K678" t="s">
        <v>812</v>
      </c>
      <c r="M678" t="s">
        <v>1085</v>
      </c>
      <c r="P678" t="s">
        <v>924</v>
      </c>
      <c r="Q678" t="s">
        <v>28</v>
      </c>
      <c r="R678" t="s">
        <v>81</v>
      </c>
      <c r="W678">
        <v>2</v>
      </c>
      <c r="X678" s="24">
        <v>46032</v>
      </c>
      <c r="Z678" t="s">
        <v>38</v>
      </c>
      <c r="AB678" t="s">
        <v>921</v>
      </c>
      <c r="AC678" t="s">
        <v>991</v>
      </c>
      <c r="AD678" t="s">
        <v>39</v>
      </c>
    </row>
    <row r="679" spans="1:30" hidden="1" x14ac:dyDescent="0.25">
      <c r="A679">
        <v>163</v>
      </c>
      <c r="B679" t="s">
        <v>233</v>
      </c>
      <c r="C679">
        <v>8</v>
      </c>
      <c r="D679">
        <v>150</v>
      </c>
      <c r="E679">
        <v>6824</v>
      </c>
      <c r="F679" t="s">
        <v>77</v>
      </c>
      <c r="G679" t="s">
        <v>746</v>
      </c>
      <c r="H679">
        <v>1</v>
      </c>
      <c r="I679">
        <v>64.28</v>
      </c>
      <c r="J679" t="s">
        <v>839</v>
      </c>
      <c r="K679" t="s">
        <v>812</v>
      </c>
      <c r="M679" t="s">
        <v>1085</v>
      </c>
      <c r="P679" t="s">
        <v>924</v>
      </c>
      <c r="Q679" t="s">
        <v>28</v>
      </c>
      <c r="R679" t="s">
        <v>81</v>
      </c>
      <c r="W679">
        <v>2</v>
      </c>
      <c r="X679" s="24">
        <v>46032</v>
      </c>
      <c r="Z679" t="s">
        <v>38</v>
      </c>
      <c r="AB679" t="s">
        <v>921</v>
      </c>
      <c r="AC679" t="s">
        <v>991</v>
      </c>
      <c r="AD679" t="s">
        <v>39</v>
      </c>
    </row>
    <row r="680" spans="1:30" hidden="1" x14ac:dyDescent="0.25">
      <c r="A680">
        <v>164</v>
      </c>
      <c r="B680" t="s">
        <v>243</v>
      </c>
      <c r="C680">
        <v>8</v>
      </c>
      <c r="D680">
        <v>464</v>
      </c>
      <c r="E680">
        <v>12000</v>
      </c>
      <c r="F680" t="s">
        <v>77</v>
      </c>
      <c r="G680" t="s">
        <v>746</v>
      </c>
      <c r="H680">
        <v>1</v>
      </c>
      <c r="I680">
        <v>332.54</v>
      </c>
      <c r="J680" t="s">
        <v>839</v>
      </c>
      <c r="K680" t="s">
        <v>812</v>
      </c>
      <c r="M680" t="s">
        <v>1085</v>
      </c>
      <c r="O680" t="s">
        <v>228</v>
      </c>
      <c r="P680" t="s">
        <v>924</v>
      </c>
      <c r="Q680" t="s">
        <v>28</v>
      </c>
      <c r="R680" t="s">
        <v>81</v>
      </c>
      <c r="W680">
        <v>2</v>
      </c>
      <c r="X680" s="24">
        <v>46032</v>
      </c>
      <c r="Z680" t="s">
        <v>38</v>
      </c>
      <c r="AB680" t="s">
        <v>921</v>
      </c>
      <c r="AC680" t="s">
        <v>993</v>
      </c>
      <c r="AD680" t="s">
        <v>39</v>
      </c>
    </row>
    <row r="681" spans="1:30" hidden="1" x14ac:dyDescent="0.25">
      <c r="A681">
        <v>165</v>
      </c>
      <c r="B681" t="s">
        <v>249</v>
      </c>
      <c r="C681">
        <v>8</v>
      </c>
      <c r="D681">
        <v>347</v>
      </c>
      <c r="E681">
        <v>12000</v>
      </c>
      <c r="F681" t="s">
        <v>77</v>
      </c>
      <c r="G681" t="s">
        <v>746</v>
      </c>
      <c r="H681">
        <v>4</v>
      </c>
      <c r="I681">
        <v>977.5</v>
      </c>
      <c r="J681" t="s">
        <v>839</v>
      </c>
      <c r="K681" t="s">
        <v>812</v>
      </c>
      <c r="M681" t="s">
        <v>1085</v>
      </c>
      <c r="O681" t="s">
        <v>228</v>
      </c>
      <c r="P681" t="s">
        <v>924</v>
      </c>
      <c r="Q681" t="s">
        <v>28</v>
      </c>
      <c r="R681" t="s">
        <v>81</v>
      </c>
      <c r="W681">
        <v>2</v>
      </c>
      <c r="X681" s="24">
        <v>46032</v>
      </c>
      <c r="Z681" t="s">
        <v>38</v>
      </c>
      <c r="AB681" t="s">
        <v>921</v>
      </c>
      <c r="AC681" t="s">
        <v>993</v>
      </c>
      <c r="AD681" t="s">
        <v>39</v>
      </c>
    </row>
    <row r="682" spans="1:30" hidden="1" x14ac:dyDescent="0.25">
      <c r="A682">
        <v>166</v>
      </c>
      <c r="B682" t="s">
        <v>229</v>
      </c>
      <c r="C682">
        <v>8</v>
      </c>
      <c r="D682">
        <v>90</v>
      </c>
      <c r="E682">
        <v>150</v>
      </c>
      <c r="F682" t="s">
        <v>77</v>
      </c>
      <c r="G682" t="s">
        <v>746</v>
      </c>
      <c r="H682">
        <v>1</v>
      </c>
      <c r="I682">
        <v>0.62</v>
      </c>
      <c r="J682" t="s">
        <v>839</v>
      </c>
      <c r="K682" t="s">
        <v>812</v>
      </c>
      <c r="M682" t="s">
        <v>1085</v>
      </c>
      <c r="P682" t="s">
        <v>924</v>
      </c>
      <c r="Q682" t="s">
        <v>26</v>
      </c>
      <c r="R682" t="s">
        <v>81</v>
      </c>
      <c r="W682">
        <v>2</v>
      </c>
      <c r="X682" s="24">
        <v>46032</v>
      </c>
      <c r="Z682" t="s">
        <v>38</v>
      </c>
      <c r="AB682" t="s">
        <v>921</v>
      </c>
      <c r="AC682" t="s">
        <v>993</v>
      </c>
      <c r="AD682" t="s">
        <v>39</v>
      </c>
    </row>
    <row r="683" spans="1:30" hidden="1" x14ac:dyDescent="0.25">
      <c r="A683">
        <v>167</v>
      </c>
      <c r="B683" t="s">
        <v>231</v>
      </c>
      <c r="C683">
        <v>8</v>
      </c>
      <c r="D683">
        <v>150</v>
      </c>
      <c r="E683">
        <v>4252</v>
      </c>
      <c r="F683" t="s">
        <v>77</v>
      </c>
      <c r="G683" t="s">
        <v>746</v>
      </c>
      <c r="H683">
        <v>1</v>
      </c>
      <c r="I683">
        <v>40.049999999999997</v>
      </c>
      <c r="J683" t="s">
        <v>839</v>
      </c>
      <c r="K683" t="s">
        <v>812</v>
      </c>
      <c r="M683" t="s">
        <v>1085</v>
      </c>
      <c r="P683" t="s">
        <v>924</v>
      </c>
      <c r="Q683" t="s">
        <v>28</v>
      </c>
      <c r="R683" t="s">
        <v>81</v>
      </c>
      <c r="W683">
        <v>2</v>
      </c>
      <c r="X683" s="24">
        <v>46032</v>
      </c>
      <c r="Z683" t="s">
        <v>38</v>
      </c>
      <c r="AB683" t="s">
        <v>921</v>
      </c>
      <c r="AC683" t="s">
        <v>993</v>
      </c>
      <c r="AD683" t="s">
        <v>39</v>
      </c>
    </row>
    <row r="684" spans="1:30" hidden="1" x14ac:dyDescent="0.25">
      <c r="A684">
        <v>168</v>
      </c>
      <c r="B684" t="s">
        <v>233</v>
      </c>
      <c r="C684">
        <v>8</v>
      </c>
      <c r="D684">
        <v>150</v>
      </c>
      <c r="E684">
        <v>6824</v>
      </c>
      <c r="F684" t="s">
        <v>77</v>
      </c>
      <c r="G684" t="s">
        <v>746</v>
      </c>
      <c r="H684">
        <v>1</v>
      </c>
      <c r="I684">
        <v>64.28</v>
      </c>
      <c r="J684" t="s">
        <v>839</v>
      </c>
      <c r="K684" t="s">
        <v>812</v>
      </c>
      <c r="M684" t="s">
        <v>1085</v>
      </c>
      <c r="P684" t="s">
        <v>924</v>
      </c>
      <c r="Q684" t="s">
        <v>28</v>
      </c>
      <c r="R684" t="s">
        <v>81</v>
      </c>
      <c r="W684">
        <v>2</v>
      </c>
      <c r="X684" s="24">
        <v>46032</v>
      </c>
      <c r="Z684" t="s">
        <v>38</v>
      </c>
      <c r="AB684" t="s">
        <v>921</v>
      </c>
      <c r="AC684" t="s">
        <v>993</v>
      </c>
      <c r="AD684" t="s">
        <v>39</v>
      </c>
    </row>
    <row r="685" spans="1:30" hidden="1" x14ac:dyDescent="0.25">
      <c r="A685">
        <v>169</v>
      </c>
      <c r="B685" t="s">
        <v>235</v>
      </c>
      <c r="C685">
        <v>8</v>
      </c>
      <c r="D685">
        <v>150</v>
      </c>
      <c r="E685">
        <v>792</v>
      </c>
      <c r="F685" t="s">
        <v>77</v>
      </c>
      <c r="G685" t="s">
        <v>746</v>
      </c>
      <c r="H685">
        <v>1</v>
      </c>
      <c r="I685">
        <v>7.46</v>
      </c>
      <c r="J685" t="s">
        <v>839</v>
      </c>
      <c r="K685" t="s">
        <v>812</v>
      </c>
      <c r="M685" t="s">
        <v>1085</v>
      </c>
      <c r="P685" t="s">
        <v>924</v>
      </c>
      <c r="Q685" t="s">
        <v>28</v>
      </c>
      <c r="R685" t="s">
        <v>81</v>
      </c>
      <c r="W685">
        <v>2</v>
      </c>
      <c r="X685" s="24">
        <v>46032</v>
      </c>
      <c r="Z685" t="s">
        <v>38</v>
      </c>
      <c r="AB685" t="s">
        <v>921</v>
      </c>
      <c r="AC685" t="s">
        <v>993</v>
      </c>
      <c r="AD685" t="s">
        <v>39</v>
      </c>
    </row>
    <row r="686" spans="1:30" hidden="1" x14ac:dyDescent="0.25">
      <c r="A686">
        <v>170</v>
      </c>
      <c r="B686" t="s">
        <v>251</v>
      </c>
      <c r="C686">
        <v>8</v>
      </c>
      <c r="D686">
        <v>459</v>
      </c>
      <c r="E686">
        <v>11977</v>
      </c>
      <c r="F686" t="s">
        <v>77</v>
      </c>
      <c r="G686" t="s">
        <v>746</v>
      </c>
      <c r="H686">
        <v>1</v>
      </c>
      <c r="I686">
        <v>331.9</v>
      </c>
      <c r="J686" t="s">
        <v>839</v>
      </c>
      <c r="K686" t="s">
        <v>812</v>
      </c>
      <c r="M686" t="s">
        <v>1085</v>
      </c>
      <c r="O686" t="s">
        <v>228</v>
      </c>
      <c r="P686" t="s">
        <v>924</v>
      </c>
      <c r="Q686" t="s">
        <v>28</v>
      </c>
      <c r="R686" t="s">
        <v>81</v>
      </c>
      <c r="W686">
        <v>2</v>
      </c>
      <c r="X686" s="24">
        <v>46032</v>
      </c>
      <c r="Z686" t="s">
        <v>38</v>
      </c>
      <c r="AB686" t="s">
        <v>921</v>
      </c>
      <c r="AC686" t="s">
        <v>995</v>
      </c>
      <c r="AD686" t="s">
        <v>39</v>
      </c>
    </row>
    <row r="687" spans="1:30" hidden="1" x14ac:dyDescent="0.25">
      <c r="A687">
        <v>171</v>
      </c>
      <c r="B687" t="s">
        <v>255</v>
      </c>
      <c r="C687">
        <v>8</v>
      </c>
      <c r="D687">
        <v>342</v>
      </c>
      <c r="E687">
        <v>11990</v>
      </c>
      <c r="F687" t="s">
        <v>77</v>
      </c>
      <c r="G687" t="s">
        <v>746</v>
      </c>
      <c r="H687">
        <v>3</v>
      </c>
      <c r="I687">
        <v>732.47</v>
      </c>
      <c r="J687" t="s">
        <v>839</v>
      </c>
      <c r="K687" t="s">
        <v>812</v>
      </c>
      <c r="M687" t="s">
        <v>1085</v>
      </c>
      <c r="O687" t="s">
        <v>228</v>
      </c>
      <c r="P687" t="s">
        <v>924</v>
      </c>
      <c r="Q687" t="s">
        <v>28</v>
      </c>
      <c r="R687" t="s">
        <v>81</v>
      </c>
      <c r="W687">
        <v>2</v>
      </c>
      <c r="X687" s="24">
        <v>46032</v>
      </c>
      <c r="Z687" t="s">
        <v>38</v>
      </c>
      <c r="AB687" t="s">
        <v>921</v>
      </c>
      <c r="AC687" t="s">
        <v>995</v>
      </c>
      <c r="AD687" t="s">
        <v>39</v>
      </c>
    </row>
    <row r="688" spans="1:30" hidden="1" x14ac:dyDescent="0.25">
      <c r="A688">
        <v>172</v>
      </c>
      <c r="B688" t="s">
        <v>256</v>
      </c>
      <c r="C688">
        <v>8</v>
      </c>
      <c r="D688">
        <v>458</v>
      </c>
      <c r="E688">
        <v>11977</v>
      </c>
      <c r="F688" t="s">
        <v>77</v>
      </c>
      <c r="G688" t="s">
        <v>746</v>
      </c>
      <c r="H688">
        <v>1</v>
      </c>
      <c r="I688">
        <v>331.9</v>
      </c>
      <c r="J688" t="s">
        <v>839</v>
      </c>
      <c r="K688" t="s">
        <v>812</v>
      </c>
      <c r="M688" t="s">
        <v>1085</v>
      </c>
      <c r="O688" t="s">
        <v>228</v>
      </c>
      <c r="P688" t="s">
        <v>924</v>
      </c>
      <c r="Q688" t="s">
        <v>28</v>
      </c>
      <c r="R688" t="s">
        <v>81</v>
      </c>
      <c r="W688">
        <v>2</v>
      </c>
      <c r="X688" s="24">
        <v>46032</v>
      </c>
      <c r="Z688" t="s">
        <v>38</v>
      </c>
      <c r="AB688" t="s">
        <v>921</v>
      </c>
      <c r="AC688" t="s">
        <v>995</v>
      </c>
      <c r="AD688" t="s">
        <v>39</v>
      </c>
    </row>
    <row r="689" spans="1:30" hidden="1" x14ac:dyDescent="0.25">
      <c r="A689">
        <v>173</v>
      </c>
      <c r="B689" t="s">
        <v>255</v>
      </c>
      <c r="C689">
        <v>8</v>
      </c>
      <c r="D689">
        <v>342</v>
      </c>
      <c r="E689">
        <v>11990</v>
      </c>
      <c r="F689" t="s">
        <v>77</v>
      </c>
      <c r="G689" t="s">
        <v>746</v>
      </c>
      <c r="H689">
        <v>1</v>
      </c>
      <c r="I689">
        <v>244.16</v>
      </c>
      <c r="J689" t="s">
        <v>839</v>
      </c>
      <c r="K689" t="s">
        <v>812</v>
      </c>
      <c r="M689" t="s">
        <v>1085</v>
      </c>
      <c r="O689" t="s">
        <v>228</v>
      </c>
      <c r="P689" t="s">
        <v>924</v>
      </c>
      <c r="Q689" t="s">
        <v>28</v>
      </c>
      <c r="R689" t="s">
        <v>81</v>
      </c>
      <c r="W689">
        <v>2</v>
      </c>
      <c r="X689" s="24">
        <v>46032</v>
      </c>
      <c r="Z689" t="s">
        <v>38</v>
      </c>
      <c r="AB689" t="s">
        <v>921</v>
      </c>
      <c r="AC689" t="s">
        <v>997</v>
      </c>
      <c r="AD689" t="s">
        <v>39</v>
      </c>
    </row>
    <row r="690" spans="1:30" hidden="1" x14ac:dyDescent="0.25">
      <c r="A690">
        <v>174</v>
      </c>
      <c r="B690" t="s">
        <v>245</v>
      </c>
      <c r="C690">
        <v>8</v>
      </c>
      <c r="D690">
        <v>342</v>
      </c>
      <c r="E690">
        <v>11990</v>
      </c>
      <c r="F690" t="s">
        <v>77</v>
      </c>
      <c r="G690" t="s">
        <v>746</v>
      </c>
      <c r="H690">
        <v>2</v>
      </c>
      <c r="I690">
        <v>488.31</v>
      </c>
      <c r="J690" t="s">
        <v>839</v>
      </c>
      <c r="K690" t="s">
        <v>812</v>
      </c>
      <c r="M690" t="s">
        <v>1085</v>
      </c>
      <c r="O690" t="s">
        <v>228</v>
      </c>
      <c r="P690" t="s">
        <v>924</v>
      </c>
      <c r="Q690" t="s">
        <v>28</v>
      </c>
      <c r="R690" t="s">
        <v>81</v>
      </c>
      <c r="W690">
        <v>2</v>
      </c>
      <c r="X690" s="24">
        <v>46032</v>
      </c>
      <c r="Z690" t="s">
        <v>38</v>
      </c>
      <c r="AB690" t="s">
        <v>921</v>
      </c>
      <c r="AC690" t="s">
        <v>997</v>
      </c>
      <c r="AD690" t="s">
        <v>39</v>
      </c>
    </row>
    <row r="691" spans="1:30" hidden="1" x14ac:dyDescent="0.25">
      <c r="A691">
        <v>175</v>
      </c>
      <c r="B691" t="s">
        <v>260</v>
      </c>
      <c r="C691">
        <v>8</v>
      </c>
      <c r="D691">
        <v>451</v>
      </c>
      <c r="E691">
        <v>12000</v>
      </c>
      <c r="F691" t="s">
        <v>77</v>
      </c>
      <c r="G691" t="s">
        <v>746</v>
      </c>
      <c r="H691">
        <v>2</v>
      </c>
      <c r="I691">
        <v>665.18</v>
      </c>
      <c r="J691" t="s">
        <v>839</v>
      </c>
      <c r="K691" t="s">
        <v>812</v>
      </c>
      <c r="M691" t="s">
        <v>1085</v>
      </c>
      <c r="O691" t="s">
        <v>228</v>
      </c>
      <c r="P691" t="s">
        <v>924</v>
      </c>
      <c r="Q691" t="s">
        <v>28</v>
      </c>
      <c r="R691" t="s">
        <v>81</v>
      </c>
      <c r="W691">
        <v>2</v>
      </c>
      <c r="X691" s="24">
        <v>46032</v>
      </c>
      <c r="Z691" t="s">
        <v>38</v>
      </c>
      <c r="AB691" t="s">
        <v>921</v>
      </c>
      <c r="AC691" t="s">
        <v>997</v>
      </c>
      <c r="AD691" t="s">
        <v>39</v>
      </c>
    </row>
    <row r="692" spans="1:30" hidden="1" x14ac:dyDescent="0.25">
      <c r="A692">
        <v>176</v>
      </c>
      <c r="B692" t="s">
        <v>262</v>
      </c>
      <c r="C692">
        <v>8</v>
      </c>
      <c r="D692">
        <v>334</v>
      </c>
      <c r="E692">
        <v>11992</v>
      </c>
      <c r="F692" t="s">
        <v>77</v>
      </c>
      <c r="G692" t="s">
        <v>746</v>
      </c>
      <c r="H692">
        <v>4</v>
      </c>
      <c r="I692">
        <v>981.99</v>
      </c>
      <c r="J692" t="s">
        <v>839</v>
      </c>
      <c r="K692" t="s">
        <v>812</v>
      </c>
      <c r="M692" t="s">
        <v>1085</v>
      </c>
      <c r="P692" t="s">
        <v>924</v>
      </c>
      <c r="Q692" t="s">
        <v>28</v>
      </c>
      <c r="R692" t="s">
        <v>81</v>
      </c>
      <c r="W692">
        <v>2</v>
      </c>
      <c r="X692" s="24">
        <v>46032</v>
      </c>
      <c r="Z692" t="s">
        <v>38</v>
      </c>
      <c r="AB692" t="s">
        <v>921</v>
      </c>
      <c r="AC692" t="s">
        <v>999</v>
      </c>
      <c r="AD692" t="s">
        <v>39</v>
      </c>
    </row>
    <row r="693" spans="1:30" hidden="1" x14ac:dyDescent="0.25">
      <c r="A693">
        <v>177</v>
      </c>
      <c r="B693" t="s">
        <v>245</v>
      </c>
      <c r="C693">
        <v>8</v>
      </c>
      <c r="D693">
        <v>342</v>
      </c>
      <c r="E693">
        <v>11990</v>
      </c>
      <c r="F693" t="s">
        <v>77</v>
      </c>
      <c r="G693" t="s">
        <v>746</v>
      </c>
      <c r="H693">
        <v>1</v>
      </c>
      <c r="I693">
        <v>244.16</v>
      </c>
      <c r="J693" t="s">
        <v>839</v>
      </c>
      <c r="K693" t="s">
        <v>812</v>
      </c>
      <c r="M693" t="s">
        <v>1085</v>
      </c>
      <c r="O693" t="s">
        <v>228</v>
      </c>
      <c r="P693" t="s">
        <v>924</v>
      </c>
      <c r="Q693" t="s">
        <v>28</v>
      </c>
      <c r="R693" t="s">
        <v>81</v>
      </c>
      <c r="W693">
        <v>2</v>
      </c>
      <c r="X693" s="24">
        <v>46032</v>
      </c>
      <c r="Z693" t="s">
        <v>38</v>
      </c>
      <c r="AB693" t="s">
        <v>921</v>
      </c>
      <c r="AC693" t="s">
        <v>999</v>
      </c>
      <c r="AD693" t="s">
        <v>39</v>
      </c>
    </row>
    <row r="694" spans="1:30" hidden="1" x14ac:dyDescent="0.25">
      <c r="A694">
        <v>178</v>
      </c>
      <c r="B694" t="s">
        <v>265</v>
      </c>
      <c r="C694">
        <v>8</v>
      </c>
      <c r="D694">
        <v>124</v>
      </c>
      <c r="E694">
        <v>4252</v>
      </c>
      <c r="F694" t="s">
        <v>77</v>
      </c>
      <c r="G694" t="s">
        <v>746</v>
      </c>
      <c r="H694">
        <v>2</v>
      </c>
      <c r="I694">
        <v>66.22</v>
      </c>
      <c r="J694" t="s">
        <v>839</v>
      </c>
      <c r="K694" t="s">
        <v>812</v>
      </c>
      <c r="M694" t="s">
        <v>1085</v>
      </c>
      <c r="P694" t="s">
        <v>924</v>
      </c>
      <c r="Q694" t="s">
        <v>28</v>
      </c>
      <c r="R694" t="s">
        <v>81</v>
      </c>
      <c r="W694">
        <v>2</v>
      </c>
      <c r="X694" s="24">
        <v>46032</v>
      </c>
      <c r="Z694" t="s">
        <v>38</v>
      </c>
      <c r="AB694" t="s">
        <v>921</v>
      </c>
      <c r="AC694" t="s">
        <v>999</v>
      </c>
      <c r="AD694" t="s">
        <v>39</v>
      </c>
    </row>
    <row r="695" spans="1:30" hidden="1" x14ac:dyDescent="0.25">
      <c r="A695">
        <v>179</v>
      </c>
      <c r="B695" t="s">
        <v>267</v>
      </c>
      <c r="C695">
        <v>8</v>
      </c>
      <c r="D695">
        <v>124</v>
      </c>
      <c r="E695">
        <v>6824</v>
      </c>
      <c r="F695" t="s">
        <v>77</v>
      </c>
      <c r="G695" t="s">
        <v>746</v>
      </c>
      <c r="H695">
        <v>2</v>
      </c>
      <c r="I695">
        <v>106.28</v>
      </c>
      <c r="J695" t="s">
        <v>839</v>
      </c>
      <c r="K695" t="s">
        <v>812</v>
      </c>
      <c r="M695" t="s">
        <v>1085</v>
      </c>
      <c r="P695" t="s">
        <v>924</v>
      </c>
      <c r="Q695" t="s">
        <v>28</v>
      </c>
      <c r="R695" t="s">
        <v>81</v>
      </c>
      <c r="W695">
        <v>2</v>
      </c>
      <c r="X695" s="24">
        <v>46032</v>
      </c>
      <c r="Z695" t="s">
        <v>38</v>
      </c>
      <c r="AB695" t="s">
        <v>921</v>
      </c>
      <c r="AC695" t="s">
        <v>999</v>
      </c>
      <c r="AD695" t="s">
        <v>39</v>
      </c>
    </row>
    <row r="696" spans="1:30" hidden="1" x14ac:dyDescent="0.25">
      <c r="A696">
        <v>180</v>
      </c>
      <c r="B696" t="s">
        <v>235</v>
      </c>
      <c r="C696">
        <v>8</v>
      </c>
      <c r="D696">
        <v>150</v>
      </c>
      <c r="E696">
        <v>792</v>
      </c>
      <c r="F696" t="s">
        <v>77</v>
      </c>
      <c r="G696" t="s">
        <v>746</v>
      </c>
      <c r="H696">
        <v>1</v>
      </c>
      <c r="I696">
        <v>7.46</v>
      </c>
      <c r="J696" t="s">
        <v>839</v>
      </c>
      <c r="K696" t="s">
        <v>812</v>
      </c>
      <c r="M696" t="s">
        <v>1085</v>
      </c>
      <c r="P696" t="s">
        <v>924</v>
      </c>
      <c r="Q696" t="s">
        <v>28</v>
      </c>
      <c r="R696" t="s">
        <v>81</v>
      </c>
      <c r="W696">
        <v>2</v>
      </c>
      <c r="X696" s="24">
        <v>46032</v>
      </c>
      <c r="Z696" t="s">
        <v>38</v>
      </c>
      <c r="AB696" t="s">
        <v>921</v>
      </c>
      <c r="AC696" t="s">
        <v>999</v>
      </c>
      <c r="AD696" t="s">
        <v>39</v>
      </c>
    </row>
    <row r="697" spans="1:30" hidden="1" x14ac:dyDescent="0.25">
      <c r="A697">
        <v>181</v>
      </c>
      <c r="B697" t="s">
        <v>269</v>
      </c>
      <c r="C697">
        <v>8</v>
      </c>
      <c r="D697">
        <v>124</v>
      </c>
      <c r="E697">
        <v>792</v>
      </c>
      <c r="F697" t="s">
        <v>77</v>
      </c>
      <c r="G697" t="s">
        <v>746</v>
      </c>
      <c r="H697">
        <v>1</v>
      </c>
      <c r="I697">
        <v>6.17</v>
      </c>
      <c r="J697" t="s">
        <v>839</v>
      </c>
      <c r="K697" t="s">
        <v>812</v>
      </c>
      <c r="M697" t="s">
        <v>1085</v>
      </c>
      <c r="P697" t="s">
        <v>924</v>
      </c>
      <c r="Q697" t="s">
        <v>28</v>
      </c>
      <c r="R697" t="s">
        <v>81</v>
      </c>
      <c r="W697">
        <v>2</v>
      </c>
      <c r="X697" s="24">
        <v>46032</v>
      </c>
      <c r="Z697" t="s">
        <v>38</v>
      </c>
      <c r="AB697" t="s">
        <v>921</v>
      </c>
      <c r="AC697" t="s">
        <v>999</v>
      </c>
      <c r="AD697" t="s">
        <v>39</v>
      </c>
    </row>
    <row r="698" spans="1:30" hidden="1" x14ac:dyDescent="0.25">
      <c r="A698">
        <v>182</v>
      </c>
      <c r="B698" t="s">
        <v>251</v>
      </c>
      <c r="C698">
        <v>8</v>
      </c>
      <c r="D698">
        <v>459</v>
      </c>
      <c r="E698">
        <v>11977</v>
      </c>
      <c r="F698" t="s">
        <v>77</v>
      </c>
      <c r="G698" t="s">
        <v>746</v>
      </c>
      <c r="H698">
        <v>1</v>
      </c>
      <c r="I698">
        <v>331.9</v>
      </c>
      <c r="J698" t="s">
        <v>839</v>
      </c>
      <c r="K698" t="s">
        <v>812</v>
      </c>
      <c r="M698" t="s">
        <v>1085</v>
      </c>
      <c r="O698" t="s">
        <v>228</v>
      </c>
      <c r="P698" t="s">
        <v>924</v>
      </c>
      <c r="Q698" t="s">
        <v>28</v>
      </c>
      <c r="R698" t="s">
        <v>81</v>
      </c>
      <c r="W698">
        <v>2</v>
      </c>
      <c r="X698" s="24">
        <v>46032</v>
      </c>
      <c r="Z698" t="s">
        <v>38</v>
      </c>
      <c r="AB698" t="s">
        <v>921</v>
      </c>
      <c r="AC698" t="s">
        <v>1001</v>
      </c>
      <c r="AD698" t="s">
        <v>39</v>
      </c>
    </row>
    <row r="699" spans="1:30" hidden="1" x14ac:dyDescent="0.25">
      <c r="A699">
        <v>183</v>
      </c>
      <c r="B699" t="s">
        <v>256</v>
      </c>
      <c r="C699">
        <v>8</v>
      </c>
      <c r="D699">
        <v>458</v>
      </c>
      <c r="E699">
        <v>11977</v>
      </c>
      <c r="F699" t="s">
        <v>77</v>
      </c>
      <c r="G699" t="s">
        <v>746</v>
      </c>
      <c r="H699">
        <v>1</v>
      </c>
      <c r="I699">
        <v>331.9</v>
      </c>
      <c r="J699" t="s">
        <v>839</v>
      </c>
      <c r="K699" t="s">
        <v>812</v>
      </c>
      <c r="M699" t="s">
        <v>1085</v>
      </c>
      <c r="O699" t="s">
        <v>228</v>
      </c>
      <c r="P699" t="s">
        <v>924</v>
      </c>
      <c r="Q699" t="s">
        <v>28</v>
      </c>
      <c r="R699" t="s">
        <v>81</v>
      </c>
      <c r="W699">
        <v>2</v>
      </c>
      <c r="X699" s="24">
        <v>46032</v>
      </c>
      <c r="Z699" t="s">
        <v>38</v>
      </c>
      <c r="AB699" t="s">
        <v>921</v>
      </c>
      <c r="AC699" t="s">
        <v>1001</v>
      </c>
      <c r="AD699" t="s">
        <v>39</v>
      </c>
    </row>
    <row r="700" spans="1:30" hidden="1" x14ac:dyDescent="0.25">
      <c r="A700">
        <v>184</v>
      </c>
      <c r="B700" t="s">
        <v>273</v>
      </c>
      <c r="C700">
        <v>8</v>
      </c>
      <c r="D700">
        <v>448</v>
      </c>
      <c r="E700">
        <v>7587</v>
      </c>
      <c r="F700" t="s">
        <v>77</v>
      </c>
      <c r="G700" t="s">
        <v>746</v>
      </c>
      <c r="H700">
        <v>2</v>
      </c>
      <c r="I700">
        <v>422.1</v>
      </c>
      <c r="J700" t="s">
        <v>839</v>
      </c>
      <c r="K700" t="s">
        <v>812</v>
      </c>
      <c r="M700" t="s">
        <v>1085</v>
      </c>
      <c r="O700" t="s">
        <v>228</v>
      </c>
      <c r="P700" t="s">
        <v>924</v>
      </c>
      <c r="Q700" t="s">
        <v>28</v>
      </c>
      <c r="R700" t="s">
        <v>81</v>
      </c>
      <c r="W700">
        <v>2</v>
      </c>
      <c r="X700" s="24">
        <v>46032</v>
      </c>
      <c r="Z700" t="s">
        <v>38</v>
      </c>
      <c r="AB700" t="s">
        <v>921</v>
      </c>
      <c r="AC700" t="s">
        <v>1001</v>
      </c>
      <c r="AD700" t="s">
        <v>39</v>
      </c>
    </row>
    <row r="701" spans="1:30" hidden="1" x14ac:dyDescent="0.25">
      <c r="A701">
        <v>185</v>
      </c>
      <c r="B701" t="s">
        <v>265</v>
      </c>
      <c r="C701">
        <v>8</v>
      </c>
      <c r="D701">
        <v>124</v>
      </c>
      <c r="E701">
        <v>4252</v>
      </c>
      <c r="F701" t="s">
        <v>77</v>
      </c>
      <c r="G701" t="s">
        <v>746</v>
      </c>
      <c r="H701">
        <v>2</v>
      </c>
      <c r="I701">
        <v>66.22</v>
      </c>
      <c r="J701" t="s">
        <v>839</v>
      </c>
      <c r="K701" t="s">
        <v>812</v>
      </c>
      <c r="M701" t="s">
        <v>1085</v>
      </c>
      <c r="P701" t="s">
        <v>924</v>
      </c>
      <c r="Q701" t="s">
        <v>28</v>
      </c>
      <c r="R701" t="s">
        <v>81</v>
      </c>
      <c r="W701">
        <v>2</v>
      </c>
      <c r="X701" s="24">
        <v>46032</v>
      </c>
      <c r="Z701" t="s">
        <v>38</v>
      </c>
      <c r="AB701" t="s">
        <v>921</v>
      </c>
      <c r="AC701" t="s">
        <v>1001</v>
      </c>
      <c r="AD701" t="s">
        <v>39</v>
      </c>
    </row>
    <row r="702" spans="1:30" hidden="1" x14ac:dyDescent="0.25">
      <c r="A702">
        <v>186</v>
      </c>
      <c r="B702" t="s">
        <v>275</v>
      </c>
      <c r="C702">
        <v>8</v>
      </c>
      <c r="D702">
        <v>150</v>
      </c>
      <c r="E702">
        <v>2972</v>
      </c>
      <c r="F702" t="s">
        <v>77</v>
      </c>
      <c r="G702" t="s">
        <v>746</v>
      </c>
      <c r="H702">
        <v>1</v>
      </c>
      <c r="I702">
        <v>28</v>
      </c>
      <c r="J702" t="s">
        <v>839</v>
      </c>
      <c r="K702" t="s">
        <v>812</v>
      </c>
      <c r="M702" t="s">
        <v>1085</v>
      </c>
      <c r="P702" t="s">
        <v>924</v>
      </c>
      <c r="Q702" t="s">
        <v>28</v>
      </c>
      <c r="R702" t="s">
        <v>81</v>
      </c>
      <c r="W702">
        <v>2</v>
      </c>
      <c r="X702" s="24">
        <v>46032</v>
      </c>
      <c r="Z702" t="s">
        <v>38</v>
      </c>
      <c r="AB702" t="s">
        <v>921</v>
      </c>
      <c r="AC702" t="s">
        <v>1001</v>
      </c>
      <c r="AD702" t="s">
        <v>39</v>
      </c>
    </row>
    <row r="703" spans="1:30" hidden="1" x14ac:dyDescent="0.25">
      <c r="A703">
        <v>187</v>
      </c>
      <c r="B703" t="s">
        <v>277</v>
      </c>
      <c r="C703">
        <v>8</v>
      </c>
      <c r="D703">
        <v>124</v>
      </c>
      <c r="E703">
        <v>2972</v>
      </c>
      <c r="F703" t="s">
        <v>77</v>
      </c>
      <c r="G703" t="s">
        <v>746</v>
      </c>
      <c r="H703">
        <v>4</v>
      </c>
      <c r="I703">
        <v>92.57</v>
      </c>
      <c r="J703" t="s">
        <v>839</v>
      </c>
      <c r="K703" t="s">
        <v>812</v>
      </c>
      <c r="M703" t="s">
        <v>1085</v>
      </c>
      <c r="P703" t="s">
        <v>924</v>
      </c>
      <c r="Q703" t="s">
        <v>28</v>
      </c>
      <c r="R703" t="s">
        <v>81</v>
      </c>
      <c r="W703">
        <v>2</v>
      </c>
      <c r="X703" s="24">
        <v>46032</v>
      </c>
      <c r="Z703" t="s">
        <v>38</v>
      </c>
      <c r="AB703" t="s">
        <v>921</v>
      </c>
      <c r="AC703" t="s">
        <v>1001</v>
      </c>
      <c r="AD703" t="s">
        <v>39</v>
      </c>
    </row>
    <row r="704" spans="1:30" hidden="1" x14ac:dyDescent="0.25">
      <c r="A704">
        <v>188</v>
      </c>
      <c r="B704" t="s">
        <v>279</v>
      </c>
      <c r="C704">
        <v>8</v>
      </c>
      <c r="D704">
        <v>124</v>
      </c>
      <c r="E704">
        <v>2972</v>
      </c>
      <c r="F704" t="s">
        <v>77</v>
      </c>
      <c r="G704" t="s">
        <v>746</v>
      </c>
      <c r="H704">
        <v>1</v>
      </c>
      <c r="I704">
        <v>23.14</v>
      </c>
      <c r="J704" t="s">
        <v>839</v>
      </c>
      <c r="K704" t="s">
        <v>812</v>
      </c>
      <c r="M704" t="s">
        <v>1085</v>
      </c>
      <c r="P704" t="s">
        <v>924</v>
      </c>
      <c r="Q704" t="s">
        <v>28</v>
      </c>
      <c r="R704" t="s">
        <v>81</v>
      </c>
      <c r="W704">
        <v>2</v>
      </c>
      <c r="X704" s="24">
        <v>46032</v>
      </c>
      <c r="Z704" t="s">
        <v>38</v>
      </c>
      <c r="AB704" t="s">
        <v>921</v>
      </c>
      <c r="AC704" t="s">
        <v>1001</v>
      </c>
      <c r="AD704" t="s">
        <v>39</v>
      </c>
    </row>
    <row r="705" spans="1:30" hidden="1" x14ac:dyDescent="0.25">
      <c r="A705">
        <v>189</v>
      </c>
      <c r="B705" t="s">
        <v>280</v>
      </c>
      <c r="C705">
        <v>8</v>
      </c>
      <c r="D705">
        <v>124</v>
      </c>
      <c r="E705">
        <v>601</v>
      </c>
      <c r="F705" t="s">
        <v>77</v>
      </c>
      <c r="G705" t="s">
        <v>746</v>
      </c>
      <c r="H705">
        <v>1</v>
      </c>
      <c r="I705">
        <v>4.68</v>
      </c>
      <c r="J705" t="s">
        <v>839</v>
      </c>
      <c r="K705" t="s">
        <v>812</v>
      </c>
      <c r="M705" t="s">
        <v>1085</v>
      </c>
      <c r="P705" t="s">
        <v>924</v>
      </c>
      <c r="Q705" t="s">
        <v>28</v>
      </c>
      <c r="R705" t="s">
        <v>81</v>
      </c>
      <c r="W705">
        <v>2</v>
      </c>
      <c r="X705" s="24">
        <v>46032</v>
      </c>
      <c r="Z705" t="s">
        <v>38</v>
      </c>
      <c r="AB705" t="s">
        <v>921</v>
      </c>
      <c r="AC705" t="s">
        <v>1001</v>
      </c>
      <c r="AD705" t="s">
        <v>39</v>
      </c>
    </row>
    <row r="706" spans="1:30" hidden="1" x14ac:dyDescent="0.25">
      <c r="A706">
        <v>190</v>
      </c>
      <c r="B706" t="s">
        <v>282</v>
      </c>
      <c r="C706">
        <v>8</v>
      </c>
      <c r="D706">
        <v>150</v>
      </c>
      <c r="E706">
        <v>1381</v>
      </c>
      <c r="F706" t="s">
        <v>77</v>
      </c>
      <c r="G706" t="s">
        <v>746</v>
      </c>
      <c r="H706">
        <v>1</v>
      </c>
      <c r="I706">
        <v>13.01</v>
      </c>
      <c r="J706" t="s">
        <v>839</v>
      </c>
      <c r="K706" t="s">
        <v>812</v>
      </c>
      <c r="M706" t="s">
        <v>1085</v>
      </c>
      <c r="P706" t="s">
        <v>924</v>
      </c>
      <c r="Q706" t="s">
        <v>28</v>
      </c>
      <c r="R706" t="s">
        <v>81</v>
      </c>
      <c r="W706">
        <v>2</v>
      </c>
      <c r="X706" s="24">
        <v>46032</v>
      </c>
      <c r="Z706" t="s">
        <v>38</v>
      </c>
      <c r="AB706" t="s">
        <v>921</v>
      </c>
      <c r="AC706" t="s">
        <v>1001</v>
      </c>
      <c r="AD706" t="s">
        <v>39</v>
      </c>
    </row>
    <row r="707" spans="1:30" hidden="1" x14ac:dyDescent="0.25">
      <c r="A707">
        <v>191</v>
      </c>
      <c r="B707" t="s">
        <v>284</v>
      </c>
      <c r="C707">
        <v>8</v>
      </c>
      <c r="D707">
        <v>124</v>
      </c>
      <c r="E707">
        <v>1381</v>
      </c>
      <c r="F707" t="s">
        <v>77</v>
      </c>
      <c r="G707" t="s">
        <v>746</v>
      </c>
      <c r="H707">
        <v>4</v>
      </c>
      <c r="I707">
        <v>43.02</v>
      </c>
      <c r="J707" t="s">
        <v>839</v>
      </c>
      <c r="K707" t="s">
        <v>812</v>
      </c>
      <c r="M707" t="s">
        <v>1085</v>
      </c>
      <c r="P707" t="s">
        <v>924</v>
      </c>
      <c r="Q707" t="s">
        <v>28</v>
      </c>
      <c r="R707" t="s">
        <v>81</v>
      </c>
      <c r="W707">
        <v>2</v>
      </c>
      <c r="X707" s="24">
        <v>46032</v>
      </c>
      <c r="Z707" t="s">
        <v>38</v>
      </c>
      <c r="AB707" t="s">
        <v>921</v>
      </c>
      <c r="AC707" t="s">
        <v>1001</v>
      </c>
      <c r="AD707" t="s">
        <v>39</v>
      </c>
    </row>
    <row r="708" spans="1:30" hidden="1" x14ac:dyDescent="0.25">
      <c r="A708">
        <v>192</v>
      </c>
      <c r="B708" t="s">
        <v>267</v>
      </c>
      <c r="C708">
        <v>8</v>
      </c>
      <c r="D708">
        <v>124</v>
      </c>
      <c r="E708">
        <v>6824</v>
      </c>
      <c r="F708" t="s">
        <v>77</v>
      </c>
      <c r="G708" t="s">
        <v>746</v>
      </c>
      <c r="H708">
        <v>1</v>
      </c>
      <c r="I708">
        <v>53.14</v>
      </c>
      <c r="J708" t="s">
        <v>839</v>
      </c>
      <c r="K708" t="s">
        <v>812</v>
      </c>
      <c r="M708" t="s">
        <v>1085</v>
      </c>
      <c r="P708" t="s">
        <v>924</v>
      </c>
      <c r="Q708" t="s">
        <v>28</v>
      </c>
      <c r="R708" t="s">
        <v>81</v>
      </c>
      <c r="W708">
        <v>2</v>
      </c>
      <c r="X708" s="24">
        <v>46032</v>
      </c>
      <c r="Z708" t="s">
        <v>38</v>
      </c>
      <c r="AB708" t="s">
        <v>921</v>
      </c>
      <c r="AC708" t="s">
        <v>1001</v>
      </c>
      <c r="AD708" t="s">
        <v>39</v>
      </c>
    </row>
    <row r="709" spans="1:30" hidden="1" x14ac:dyDescent="0.25">
      <c r="A709">
        <v>193</v>
      </c>
      <c r="B709" t="s">
        <v>269</v>
      </c>
      <c r="C709">
        <v>8</v>
      </c>
      <c r="D709">
        <v>124</v>
      </c>
      <c r="E709">
        <v>792</v>
      </c>
      <c r="F709" t="s">
        <v>77</v>
      </c>
      <c r="G709" t="s">
        <v>746</v>
      </c>
      <c r="H709">
        <v>2</v>
      </c>
      <c r="I709">
        <v>12.33</v>
      </c>
      <c r="J709" t="s">
        <v>839</v>
      </c>
      <c r="K709" t="s">
        <v>812</v>
      </c>
      <c r="M709" t="s">
        <v>1085</v>
      </c>
      <c r="P709" t="s">
        <v>924</v>
      </c>
      <c r="Q709" t="s">
        <v>28</v>
      </c>
      <c r="R709" t="s">
        <v>81</v>
      </c>
      <c r="W709">
        <v>2</v>
      </c>
      <c r="X709" s="24">
        <v>46032</v>
      </c>
      <c r="Z709" t="s">
        <v>38</v>
      </c>
      <c r="AB709" t="s">
        <v>921</v>
      </c>
      <c r="AC709" t="s">
        <v>1001</v>
      </c>
      <c r="AD709" t="s">
        <v>39</v>
      </c>
    </row>
    <row r="710" spans="1:30" hidden="1" x14ac:dyDescent="0.25">
      <c r="A710">
        <v>194</v>
      </c>
      <c r="B710" t="s">
        <v>286</v>
      </c>
      <c r="C710">
        <v>8</v>
      </c>
      <c r="D710">
        <v>450</v>
      </c>
      <c r="E710">
        <v>12007</v>
      </c>
      <c r="F710" t="s">
        <v>77</v>
      </c>
      <c r="G710" t="s">
        <v>746</v>
      </c>
      <c r="H710">
        <v>2</v>
      </c>
      <c r="I710">
        <v>668.05</v>
      </c>
      <c r="J710" t="s">
        <v>839</v>
      </c>
      <c r="K710" t="s">
        <v>812</v>
      </c>
      <c r="M710" t="s">
        <v>1085</v>
      </c>
      <c r="P710" t="s">
        <v>924</v>
      </c>
      <c r="Q710" t="s">
        <v>28</v>
      </c>
      <c r="R710" t="s">
        <v>81</v>
      </c>
      <c r="W710">
        <v>2</v>
      </c>
      <c r="X710" s="24">
        <v>46032</v>
      </c>
      <c r="Z710" t="s">
        <v>38</v>
      </c>
      <c r="AB710" t="s">
        <v>921</v>
      </c>
      <c r="AC710" t="s">
        <v>1003</v>
      </c>
      <c r="AD710" t="s">
        <v>39</v>
      </c>
    </row>
    <row r="711" spans="1:30" hidden="1" x14ac:dyDescent="0.25">
      <c r="A711">
        <v>195</v>
      </c>
      <c r="B711" t="s">
        <v>290</v>
      </c>
      <c r="C711">
        <v>8</v>
      </c>
      <c r="D711">
        <v>450</v>
      </c>
      <c r="E711">
        <v>12007</v>
      </c>
      <c r="F711" t="s">
        <v>77</v>
      </c>
      <c r="G711" t="s">
        <v>746</v>
      </c>
      <c r="H711">
        <v>2</v>
      </c>
      <c r="I711">
        <v>668.05</v>
      </c>
      <c r="J711" t="s">
        <v>839</v>
      </c>
      <c r="K711" t="s">
        <v>812</v>
      </c>
      <c r="M711" t="s">
        <v>1085</v>
      </c>
      <c r="P711" t="s">
        <v>924</v>
      </c>
      <c r="Q711" t="s">
        <v>28</v>
      </c>
      <c r="R711" t="s">
        <v>81</v>
      </c>
      <c r="W711">
        <v>2</v>
      </c>
      <c r="X711" s="24">
        <v>46032</v>
      </c>
      <c r="Z711" t="s">
        <v>38</v>
      </c>
      <c r="AB711" t="s">
        <v>921</v>
      </c>
      <c r="AC711" t="s">
        <v>1003</v>
      </c>
      <c r="AD711" t="s">
        <v>39</v>
      </c>
    </row>
    <row r="712" spans="1:30" hidden="1" x14ac:dyDescent="0.25">
      <c r="A712">
        <v>196</v>
      </c>
      <c r="B712" t="s">
        <v>229</v>
      </c>
      <c r="C712">
        <v>8</v>
      </c>
      <c r="D712">
        <v>90</v>
      </c>
      <c r="E712">
        <v>150</v>
      </c>
      <c r="F712" t="s">
        <v>77</v>
      </c>
      <c r="G712" t="s">
        <v>746</v>
      </c>
      <c r="H712">
        <v>1</v>
      </c>
      <c r="I712">
        <v>0.62</v>
      </c>
      <c r="J712" t="s">
        <v>839</v>
      </c>
      <c r="K712" t="s">
        <v>812</v>
      </c>
      <c r="M712" t="s">
        <v>1085</v>
      </c>
      <c r="P712" t="s">
        <v>924</v>
      </c>
      <c r="Q712" t="s">
        <v>26</v>
      </c>
      <c r="R712" t="s">
        <v>81</v>
      </c>
      <c r="W712">
        <v>2</v>
      </c>
      <c r="X712" s="24">
        <v>46032</v>
      </c>
      <c r="Z712" t="s">
        <v>38</v>
      </c>
      <c r="AB712" t="s">
        <v>921</v>
      </c>
      <c r="AC712" t="s">
        <v>1003</v>
      </c>
      <c r="AD712" t="s">
        <v>39</v>
      </c>
    </row>
    <row r="713" spans="1:30" hidden="1" x14ac:dyDescent="0.25">
      <c r="A713">
        <v>197</v>
      </c>
      <c r="B713" t="s">
        <v>275</v>
      </c>
      <c r="C713">
        <v>8</v>
      </c>
      <c r="D713">
        <v>150</v>
      </c>
      <c r="E713">
        <v>2972</v>
      </c>
      <c r="F713" t="s">
        <v>77</v>
      </c>
      <c r="G713" t="s">
        <v>746</v>
      </c>
      <c r="H713">
        <v>3</v>
      </c>
      <c r="I713">
        <v>83.99</v>
      </c>
      <c r="J713" t="s">
        <v>839</v>
      </c>
      <c r="K713" t="s">
        <v>812</v>
      </c>
      <c r="M713" t="s">
        <v>1085</v>
      </c>
      <c r="P713" t="s">
        <v>924</v>
      </c>
      <c r="Q713" t="s">
        <v>28</v>
      </c>
      <c r="R713" t="s">
        <v>81</v>
      </c>
      <c r="W713">
        <v>2</v>
      </c>
      <c r="X713" s="24">
        <v>46032</v>
      </c>
      <c r="Z713" t="s">
        <v>38</v>
      </c>
      <c r="AB713" t="s">
        <v>921</v>
      </c>
      <c r="AC713" t="s">
        <v>1003</v>
      </c>
      <c r="AD713" t="s">
        <v>39</v>
      </c>
    </row>
    <row r="714" spans="1:30" hidden="1" x14ac:dyDescent="0.25">
      <c r="A714">
        <v>198</v>
      </c>
      <c r="B714" t="s">
        <v>291</v>
      </c>
      <c r="C714">
        <v>8</v>
      </c>
      <c r="D714">
        <v>150</v>
      </c>
      <c r="E714">
        <v>2972</v>
      </c>
      <c r="F714" t="s">
        <v>77</v>
      </c>
      <c r="G714" t="s">
        <v>746</v>
      </c>
      <c r="H714">
        <v>1</v>
      </c>
      <c r="I714">
        <v>28</v>
      </c>
      <c r="J714" t="s">
        <v>839</v>
      </c>
      <c r="K714" t="s">
        <v>812</v>
      </c>
      <c r="M714" t="s">
        <v>1085</v>
      </c>
      <c r="P714" t="s">
        <v>924</v>
      </c>
      <c r="Q714" t="s">
        <v>28</v>
      </c>
      <c r="R714" t="s">
        <v>81</v>
      </c>
      <c r="W714">
        <v>2</v>
      </c>
      <c r="X714" s="24">
        <v>46032</v>
      </c>
      <c r="Z714" t="s">
        <v>38</v>
      </c>
      <c r="AB714" t="s">
        <v>921</v>
      </c>
      <c r="AC714" t="s">
        <v>1003</v>
      </c>
      <c r="AD714" t="s">
        <v>39</v>
      </c>
    </row>
    <row r="715" spans="1:30" hidden="1" x14ac:dyDescent="0.25">
      <c r="A715">
        <v>199</v>
      </c>
      <c r="B715" t="s">
        <v>292</v>
      </c>
      <c r="C715">
        <v>8</v>
      </c>
      <c r="D715">
        <v>446</v>
      </c>
      <c r="E715">
        <v>7588</v>
      </c>
      <c r="F715" t="s">
        <v>77</v>
      </c>
      <c r="G715" t="s">
        <v>746</v>
      </c>
      <c r="H715">
        <v>2</v>
      </c>
      <c r="I715">
        <v>422.16</v>
      </c>
      <c r="J715" t="s">
        <v>839</v>
      </c>
      <c r="K715" t="s">
        <v>812</v>
      </c>
      <c r="M715" t="s">
        <v>1085</v>
      </c>
      <c r="O715" t="s">
        <v>228</v>
      </c>
      <c r="P715" t="s">
        <v>924</v>
      </c>
      <c r="Q715" t="s">
        <v>28</v>
      </c>
      <c r="R715" t="s">
        <v>81</v>
      </c>
      <c r="W715">
        <v>2</v>
      </c>
      <c r="X715" s="24">
        <v>46032</v>
      </c>
      <c r="Z715" t="s">
        <v>38</v>
      </c>
      <c r="AB715" t="s">
        <v>921</v>
      </c>
      <c r="AC715" t="s">
        <v>1005</v>
      </c>
      <c r="AD715" t="s">
        <v>39</v>
      </c>
    </row>
    <row r="716" spans="1:30" hidden="1" x14ac:dyDescent="0.25">
      <c r="A716">
        <v>200</v>
      </c>
      <c r="B716" t="s">
        <v>296</v>
      </c>
      <c r="C716">
        <v>8</v>
      </c>
      <c r="D716">
        <v>329</v>
      </c>
      <c r="E716">
        <v>7565</v>
      </c>
      <c r="F716" t="s">
        <v>77</v>
      </c>
      <c r="G716" t="s">
        <v>746</v>
      </c>
      <c r="H716">
        <v>2</v>
      </c>
      <c r="I716">
        <v>309.73</v>
      </c>
      <c r="J716" t="s">
        <v>839</v>
      </c>
      <c r="K716" t="s">
        <v>812</v>
      </c>
      <c r="M716" t="s">
        <v>1085</v>
      </c>
      <c r="O716" t="s">
        <v>228</v>
      </c>
      <c r="P716" t="s">
        <v>924</v>
      </c>
      <c r="Q716" t="s">
        <v>28</v>
      </c>
      <c r="R716" t="s">
        <v>81</v>
      </c>
      <c r="W716">
        <v>2</v>
      </c>
      <c r="X716" s="24">
        <v>46032</v>
      </c>
      <c r="Z716" t="s">
        <v>38</v>
      </c>
      <c r="AB716" t="s">
        <v>921</v>
      </c>
      <c r="AC716" t="s">
        <v>1005</v>
      </c>
      <c r="AD716" t="s">
        <v>39</v>
      </c>
    </row>
    <row r="717" spans="1:30" hidden="1" x14ac:dyDescent="0.25">
      <c r="A717">
        <v>201</v>
      </c>
      <c r="B717" t="s">
        <v>298</v>
      </c>
      <c r="C717">
        <v>8</v>
      </c>
      <c r="D717">
        <v>329</v>
      </c>
      <c r="E717">
        <v>7566</v>
      </c>
      <c r="F717" t="s">
        <v>77</v>
      </c>
      <c r="G717" t="s">
        <v>746</v>
      </c>
      <c r="H717">
        <v>1</v>
      </c>
      <c r="I717">
        <v>154.88</v>
      </c>
      <c r="J717" t="s">
        <v>839</v>
      </c>
      <c r="K717" t="s">
        <v>812</v>
      </c>
      <c r="M717" t="s">
        <v>1085</v>
      </c>
      <c r="O717" t="s">
        <v>228</v>
      </c>
      <c r="P717" t="s">
        <v>924</v>
      </c>
      <c r="Q717" t="s">
        <v>28</v>
      </c>
      <c r="R717" t="s">
        <v>81</v>
      </c>
      <c r="W717">
        <v>2</v>
      </c>
      <c r="X717" s="24">
        <v>46032</v>
      </c>
      <c r="Z717" t="s">
        <v>38</v>
      </c>
      <c r="AB717" t="s">
        <v>921</v>
      </c>
      <c r="AC717" t="s">
        <v>1005</v>
      </c>
      <c r="AD717" t="s">
        <v>39</v>
      </c>
    </row>
    <row r="718" spans="1:30" hidden="1" x14ac:dyDescent="0.25">
      <c r="A718">
        <v>202</v>
      </c>
      <c r="B718" t="s">
        <v>300</v>
      </c>
      <c r="C718">
        <v>8</v>
      </c>
      <c r="D718">
        <v>66</v>
      </c>
      <c r="E718">
        <v>150</v>
      </c>
      <c r="F718" t="s">
        <v>77</v>
      </c>
      <c r="G718" t="s">
        <v>746</v>
      </c>
      <c r="H718">
        <v>3</v>
      </c>
      <c r="I718">
        <v>1.38</v>
      </c>
      <c r="J718" t="s">
        <v>839</v>
      </c>
      <c r="K718" t="s">
        <v>812</v>
      </c>
      <c r="M718" t="s">
        <v>1085</v>
      </c>
      <c r="P718" t="s">
        <v>924</v>
      </c>
      <c r="Q718" t="s">
        <v>26</v>
      </c>
      <c r="R718" t="s">
        <v>81</v>
      </c>
      <c r="W718">
        <v>2</v>
      </c>
      <c r="X718" s="24">
        <v>46032</v>
      </c>
      <c r="Z718" t="s">
        <v>38</v>
      </c>
      <c r="AB718" t="s">
        <v>921</v>
      </c>
      <c r="AC718" t="s">
        <v>1005</v>
      </c>
      <c r="AD718" t="s">
        <v>39</v>
      </c>
    </row>
    <row r="719" spans="1:30" hidden="1" x14ac:dyDescent="0.25">
      <c r="A719">
        <v>203</v>
      </c>
      <c r="B719" t="s">
        <v>302</v>
      </c>
      <c r="C719">
        <v>8</v>
      </c>
      <c r="D719">
        <v>66</v>
      </c>
      <c r="E719">
        <v>150</v>
      </c>
      <c r="F719" t="s">
        <v>77</v>
      </c>
      <c r="G719" t="s">
        <v>746</v>
      </c>
      <c r="H719">
        <v>6</v>
      </c>
      <c r="I719">
        <v>2.77</v>
      </c>
      <c r="J719" t="s">
        <v>839</v>
      </c>
      <c r="K719" t="s">
        <v>812</v>
      </c>
      <c r="M719" t="s">
        <v>1085</v>
      </c>
      <c r="P719" t="s">
        <v>924</v>
      </c>
      <c r="Q719" t="s">
        <v>26</v>
      </c>
      <c r="R719" t="s">
        <v>81</v>
      </c>
      <c r="W719">
        <v>2</v>
      </c>
      <c r="X719" s="24">
        <v>46032</v>
      </c>
      <c r="Z719" t="s">
        <v>38</v>
      </c>
      <c r="AB719" t="s">
        <v>921</v>
      </c>
      <c r="AC719" t="s">
        <v>1005</v>
      </c>
      <c r="AD719" t="s">
        <v>39</v>
      </c>
    </row>
    <row r="720" spans="1:30" hidden="1" x14ac:dyDescent="0.25">
      <c r="A720">
        <v>204</v>
      </c>
      <c r="B720" t="s">
        <v>303</v>
      </c>
      <c r="C720">
        <v>8</v>
      </c>
      <c r="D720">
        <v>66</v>
      </c>
      <c r="E720">
        <v>150</v>
      </c>
      <c r="F720" t="s">
        <v>77</v>
      </c>
      <c r="G720" t="s">
        <v>746</v>
      </c>
      <c r="H720">
        <v>3</v>
      </c>
      <c r="I720">
        <v>1.38</v>
      </c>
      <c r="J720" t="s">
        <v>839</v>
      </c>
      <c r="K720" t="s">
        <v>812</v>
      </c>
      <c r="M720" t="s">
        <v>1085</v>
      </c>
      <c r="P720" t="s">
        <v>924</v>
      </c>
      <c r="Q720" t="s">
        <v>26</v>
      </c>
      <c r="R720" t="s">
        <v>81</v>
      </c>
      <c r="W720">
        <v>2</v>
      </c>
      <c r="X720" s="24">
        <v>46032</v>
      </c>
      <c r="Z720" t="s">
        <v>38</v>
      </c>
      <c r="AB720" t="s">
        <v>921</v>
      </c>
      <c r="AC720" t="s">
        <v>1005</v>
      </c>
      <c r="AD720" t="s">
        <v>39</v>
      </c>
    </row>
    <row r="721" spans="1:30" hidden="1" x14ac:dyDescent="0.25">
      <c r="A721">
        <v>205</v>
      </c>
      <c r="B721" t="s">
        <v>304</v>
      </c>
      <c r="C721">
        <v>8</v>
      </c>
      <c r="D721">
        <v>150</v>
      </c>
      <c r="E721">
        <v>1882</v>
      </c>
      <c r="F721" t="s">
        <v>77</v>
      </c>
      <c r="G721" t="s">
        <v>746</v>
      </c>
      <c r="H721">
        <v>6</v>
      </c>
      <c r="I721">
        <v>106.37</v>
      </c>
      <c r="J721" t="s">
        <v>839</v>
      </c>
      <c r="K721" t="s">
        <v>812</v>
      </c>
      <c r="M721" t="s">
        <v>1085</v>
      </c>
      <c r="P721" t="s">
        <v>924</v>
      </c>
      <c r="Q721" t="s">
        <v>28</v>
      </c>
      <c r="R721" t="s">
        <v>81</v>
      </c>
      <c r="W721">
        <v>2</v>
      </c>
      <c r="X721" s="24">
        <v>46032</v>
      </c>
      <c r="Z721" t="s">
        <v>38</v>
      </c>
      <c r="AB721" t="s">
        <v>921</v>
      </c>
      <c r="AC721" t="s">
        <v>1005</v>
      </c>
      <c r="AD721" t="s">
        <v>39</v>
      </c>
    </row>
    <row r="722" spans="1:30" hidden="1" x14ac:dyDescent="0.25">
      <c r="A722">
        <v>206</v>
      </c>
      <c r="B722" t="s">
        <v>306</v>
      </c>
      <c r="C722">
        <v>8</v>
      </c>
      <c r="D722">
        <v>124</v>
      </c>
      <c r="E722">
        <v>1882</v>
      </c>
      <c r="F722" t="s">
        <v>77</v>
      </c>
      <c r="G722" t="s">
        <v>746</v>
      </c>
      <c r="H722">
        <v>2</v>
      </c>
      <c r="I722">
        <v>29.31</v>
      </c>
      <c r="J722" t="s">
        <v>839</v>
      </c>
      <c r="K722" t="s">
        <v>812</v>
      </c>
      <c r="M722" t="s">
        <v>1085</v>
      </c>
      <c r="P722" t="s">
        <v>924</v>
      </c>
      <c r="Q722" t="s">
        <v>28</v>
      </c>
      <c r="R722" t="s">
        <v>81</v>
      </c>
      <c r="W722">
        <v>2</v>
      </c>
      <c r="X722" s="24">
        <v>46032</v>
      </c>
      <c r="Z722" t="s">
        <v>38</v>
      </c>
      <c r="AB722" t="s">
        <v>921</v>
      </c>
      <c r="AC722" t="s">
        <v>1005</v>
      </c>
      <c r="AD722" t="s">
        <v>39</v>
      </c>
    </row>
    <row r="723" spans="1:30" hidden="1" x14ac:dyDescent="0.25">
      <c r="A723">
        <v>207</v>
      </c>
      <c r="B723" t="s">
        <v>291</v>
      </c>
      <c r="C723">
        <v>8</v>
      </c>
      <c r="D723">
        <v>150</v>
      </c>
      <c r="E723">
        <v>2972</v>
      </c>
      <c r="F723" t="s">
        <v>77</v>
      </c>
      <c r="G723" t="s">
        <v>746</v>
      </c>
      <c r="H723">
        <v>3</v>
      </c>
      <c r="I723">
        <v>83.99</v>
      </c>
      <c r="J723" t="s">
        <v>839</v>
      </c>
      <c r="K723" t="s">
        <v>812</v>
      </c>
      <c r="M723" t="s">
        <v>1085</v>
      </c>
      <c r="P723" t="s">
        <v>924</v>
      </c>
      <c r="Q723" t="s">
        <v>28</v>
      </c>
      <c r="R723" t="s">
        <v>81</v>
      </c>
      <c r="W723">
        <v>2</v>
      </c>
      <c r="X723" s="24">
        <v>46032</v>
      </c>
      <c r="Z723" t="s">
        <v>38</v>
      </c>
      <c r="AB723" t="s">
        <v>921</v>
      </c>
      <c r="AC723" t="s">
        <v>1005</v>
      </c>
      <c r="AD723" t="s">
        <v>39</v>
      </c>
    </row>
    <row r="724" spans="1:30" hidden="1" x14ac:dyDescent="0.25">
      <c r="A724">
        <v>208</v>
      </c>
      <c r="B724" t="s">
        <v>279</v>
      </c>
      <c r="C724">
        <v>8</v>
      </c>
      <c r="D724">
        <v>124</v>
      </c>
      <c r="E724">
        <v>2972</v>
      </c>
      <c r="F724" t="s">
        <v>77</v>
      </c>
      <c r="G724" t="s">
        <v>746</v>
      </c>
      <c r="H724">
        <v>3</v>
      </c>
      <c r="I724">
        <v>69.430000000000007</v>
      </c>
      <c r="J724" t="s">
        <v>839</v>
      </c>
      <c r="K724" t="s">
        <v>812</v>
      </c>
      <c r="M724" t="s">
        <v>1085</v>
      </c>
      <c r="P724" t="s">
        <v>924</v>
      </c>
      <c r="Q724" t="s">
        <v>28</v>
      </c>
      <c r="R724" t="s">
        <v>81</v>
      </c>
      <c r="W724">
        <v>2</v>
      </c>
      <c r="X724" s="24">
        <v>46032</v>
      </c>
      <c r="Z724" t="s">
        <v>38</v>
      </c>
      <c r="AB724" t="s">
        <v>921</v>
      </c>
      <c r="AC724" t="s">
        <v>1005</v>
      </c>
      <c r="AD724" t="s">
        <v>39</v>
      </c>
    </row>
    <row r="725" spans="1:30" hidden="1" x14ac:dyDescent="0.25">
      <c r="A725">
        <v>209</v>
      </c>
      <c r="B725" t="s">
        <v>308</v>
      </c>
      <c r="C725">
        <v>8</v>
      </c>
      <c r="D725">
        <v>150</v>
      </c>
      <c r="E725">
        <v>2523</v>
      </c>
      <c r="F725" t="s">
        <v>77</v>
      </c>
      <c r="G725" t="s">
        <v>746</v>
      </c>
      <c r="H725">
        <v>2</v>
      </c>
      <c r="I725">
        <v>47.53</v>
      </c>
      <c r="J725" t="s">
        <v>839</v>
      </c>
      <c r="K725" t="s">
        <v>812</v>
      </c>
      <c r="M725" t="s">
        <v>1085</v>
      </c>
      <c r="P725" t="s">
        <v>924</v>
      </c>
      <c r="Q725" t="s">
        <v>28</v>
      </c>
      <c r="R725" t="s">
        <v>81</v>
      </c>
      <c r="W725">
        <v>2</v>
      </c>
      <c r="X725" s="24">
        <v>46032</v>
      </c>
      <c r="Z725" t="s">
        <v>38</v>
      </c>
      <c r="AB725" t="s">
        <v>921</v>
      </c>
      <c r="AC725" t="s">
        <v>1005</v>
      </c>
      <c r="AD725" t="s">
        <v>39</v>
      </c>
    </row>
    <row r="726" spans="1:30" hidden="1" x14ac:dyDescent="0.25">
      <c r="A726">
        <v>210</v>
      </c>
      <c r="B726" t="s">
        <v>310</v>
      </c>
      <c r="C726">
        <v>8</v>
      </c>
      <c r="D726">
        <v>124</v>
      </c>
      <c r="E726">
        <v>2523</v>
      </c>
      <c r="F726" t="s">
        <v>77</v>
      </c>
      <c r="G726" t="s">
        <v>746</v>
      </c>
      <c r="H726">
        <v>2</v>
      </c>
      <c r="I726">
        <v>39.29</v>
      </c>
      <c r="J726" t="s">
        <v>839</v>
      </c>
      <c r="K726" t="s">
        <v>812</v>
      </c>
      <c r="M726" t="s">
        <v>1085</v>
      </c>
      <c r="P726" t="s">
        <v>924</v>
      </c>
      <c r="Q726" t="s">
        <v>28</v>
      </c>
      <c r="R726" t="s">
        <v>81</v>
      </c>
      <c r="W726">
        <v>2</v>
      </c>
      <c r="X726" s="24">
        <v>46032</v>
      </c>
      <c r="Z726" t="s">
        <v>38</v>
      </c>
      <c r="AB726" t="s">
        <v>921</v>
      </c>
      <c r="AC726" t="s">
        <v>1005</v>
      </c>
      <c r="AD726" t="s">
        <v>39</v>
      </c>
    </row>
    <row r="727" spans="1:30" hidden="1" x14ac:dyDescent="0.25">
      <c r="A727">
        <v>211</v>
      </c>
      <c r="B727" t="s">
        <v>312</v>
      </c>
      <c r="C727">
        <v>8</v>
      </c>
      <c r="D727">
        <v>150</v>
      </c>
      <c r="E727">
        <v>2523</v>
      </c>
      <c r="F727" t="s">
        <v>77</v>
      </c>
      <c r="G727" t="s">
        <v>746</v>
      </c>
      <c r="H727">
        <v>4</v>
      </c>
      <c r="I727">
        <v>95.07</v>
      </c>
      <c r="J727" t="s">
        <v>839</v>
      </c>
      <c r="K727" t="s">
        <v>812</v>
      </c>
      <c r="M727" t="s">
        <v>1085</v>
      </c>
      <c r="P727" t="s">
        <v>924</v>
      </c>
      <c r="Q727" t="s">
        <v>28</v>
      </c>
      <c r="R727" t="s">
        <v>81</v>
      </c>
      <c r="W727">
        <v>2</v>
      </c>
      <c r="X727" s="24">
        <v>46032</v>
      </c>
      <c r="Z727" t="s">
        <v>38</v>
      </c>
      <c r="AB727" t="s">
        <v>921</v>
      </c>
      <c r="AC727" t="s">
        <v>1005</v>
      </c>
      <c r="AD727" t="s">
        <v>39</v>
      </c>
    </row>
    <row r="728" spans="1:30" hidden="1" x14ac:dyDescent="0.25">
      <c r="A728">
        <v>212</v>
      </c>
      <c r="B728" t="s">
        <v>280</v>
      </c>
      <c r="C728">
        <v>8</v>
      </c>
      <c r="D728">
        <v>124</v>
      </c>
      <c r="E728">
        <v>601</v>
      </c>
      <c r="F728" t="s">
        <v>77</v>
      </c>
      <c r="G728" t="s">
        <v>746</v>
      </c>
      <c r="H728">
        <v>3</v>
      </c>
      <c r="I728">
        <v>14.04</v>
      </c>
      <c r="J728" t="s">
        <v>839</v>
      </c>
      <c r="K728" t="s">
        <v>812</v>
      </c>
      <c r="M728" t="s">
        <v>1085</v>
      </c>
      <c r="P728" t="s">
        <v>924</v>
      </c>
      <c r="Q728" t="s">
        <v>28</v>
      </c>
      <c r="R728" t="s">
        <v>81</v>
      </c>
      <c r="W728">
        <v>2</v>
      </c>
      <c r="X728" s="24">
        <v>46032</v>
      </c>
      <c r="Z728" t="s">
        <v>38</v>
      </c>
      <c r="AB728" t="s">
        <v>921</v>
      </c>
      <c r="AC728" t="s">
        <v>1005</v>
      </c>
      <c r="AD728" t="s">
        <v>39</v>
      </c>
    </row>
    <row r="729" spans="1:30" hidden="1" x14ac:dyDescent="0.25">
      <c r="A729">
        <v>213</v>
      </c>
      <c r="B729" t="s">
        <v>282</v>
      </c>
      <c r="C729">
        <v>8</v>
      </c>
      <c r="D729">
        <v>150</v>
      </c>
      <c r="E729">
        <v>1381</v>
      </c>
      <c r="F729" t="s">
        <v>77</v>
      </c>
      <c r="G729" t="s">
        <v>746</v>
      </c>
      <c r="H729">
        <v>3</v>
      </c>
      <c r="I729">
        <v>39.03</v>
      </c>
      <c r="J729" t="s">
        <v>839</v>
      </c>
      <c r="K729" t="s">
        <v>812</v>
      </c>
      <c r="M729" t="s">
        <v>1085</v>
      </c>
      <c r="P729" t="s">
        <v>924</v>
      </c>
      <c r="Q729" t="s">
        <v>28</v>
      </c>
      <c r="R729" t="s">
        <v>81</v>
      </c>
      <c r="W729">
        <v>2</v>
      </c>
      <c r="X729" s="24">
        <v>46032</v>
      </c>
      <c r="Z729" t="s">
        <v>38</v>
      </c>
      <c r="AB729" t="s">
        <v>921</v>
      </c>
      <c r="AC729" t="s">
        <v>1005</v>
      </c>
      <c r="AD729" t="s">
        <v>39</v>
      </c>
    </row>
    <row r="730" spans="1:30" hidden="1" x14ac:dyDescent="0.25">
      <c r="A730">
        <v>214</v>
      </c>
      <c r="B730" t="s">
        <v>269</v>
      </c>
      <c r="C730">
        <v>8</v>
      </c>
      <c r="D730">
        <v>124</v>
      </c>
      <c r="E730">
        <v>792</v>
      </c>
      <c r="F730" t="s">
        <v>77</v>
      </c>
      <c r="G730" t="s">
        <v>746</v>
      </c>
      <c r="H730">
        <v>3</v>
      </c>
      <c r="I730">
        <v>18.5</v>
      </c>
      <c r="J730" t="s">
        <v>839</v>
      </c>
      <c r="K730" t="s">
        <v>812</v>
      </c>
      <c r="M730" t="s">
        <v>1085</v>
      </c>
      <c r="P730" t="s">
        <v>924</v>
      </c>
      <c r="Q730" t="s">
        <v>28</v>
      </c>
      <c r="R730" t="s">
        <v>81</v>
      </c>
      <c r="W730">
        <v>2</v>
      </c>
      <c r="X730" s="24">
        <v>46032</v>
      </c>
      <c r="Z730" t="s">
        <v>38</v>
      </c>
      <c r="AB730" t="s">
        <v>921</v>
      </c>
      <c r="AC730" t="s">
        <v>1005</v>
      </c>
      <c r="AD730" t="s">
        <v>39</v>
      </c>
    </row>
    <row r="731" spans="1:30" hidden="1" x14ac:dyDescent="0.25">
      <c r="A731">
        <v>215</v>
      </c>
      <c r="B731" t="s">
        <v>313</v>
      </c>
      <c r="C731">
        <v>8</v>
      </c>
      <c r="D731">
        <v>158</v>
      </c>
      <c r="E731">
        <v>228</v>
      </c>
      <c r="F731" t="s">
        <v>77</v>
      </c>
      <c r="G731" t="s">
        <v>746</v>
      </c>
      <c r="H731">
        <v>18</v>
      </c>
      <c r="I731">
        <v>40.5</v>
      </c>
      <c r="J731" t="s">
        <v>839</v>
      </c>
      <c r="K731" t="s">
        <v>812</v>
      </c>
      <c r="M731" t="s">
        <v>1085</v>
      </c>
      <c r="P731" t="s">
        <v>924</v>
      </c>
      <c r="Q731" t="s">
        <v>26</v>
      </c>
      <c r="R731" t="s">
        <v>81</v>
      </c>
      <c r="W731">
        <v>2</v>
      </c>
      <c r="X731" s="24">
        <v>46032</v>
      </c>
      <c r="Z731" t="s">
        <v>38</v>
      </c>
      <c r="AB731" t="s">
        <v>921</v>
      </c>
      <c r="AC731" t="s">
        <v>1007</v>
      </c>
      <c r="AD731" t="s">
        <v>39</v>
      </c>
    </row>
    <row r="732" spans="1:30" hidden="1" x14ac:dyDescent="0.25">
      <c r="A732">
        <v>216</v>
      </c>
      <c r="B732" t="s">
        <v>317</v>
      </c>
      <c r="C732">
        <v>8</v>
      </c>
      <c r="D732">
        <v>206</v>
      </c>
      <c r="E732">
        <v>465</v>
      </c>
      <c r="F732" t="s">
        <v>77</v>
      </c>
      <c r="G732" t="s">
        <v>746</v>
      </c>
      <c r="H732">
        <v>1</v>
      </c>
      <c r="I732">
        <v>6.01</v>
      </c>
      <c r="J732" t="s">
        <v>839</v>
      </c>
      <c r="K732" t="s">
        <v>812</v>
      </c>
      <c r="M732" t="s">
        <v>1085</v>
      </c>
      <c r="P732" t="s">
        <v>924</v>
      </c>
      <c r="Q732" t="s">
        <v>26</v>
      </c>
      <c r="R732" t="s">
        <v>81</v>
      </c>
      <c r="W732">
        <v>2</v>
      </c>
      <c r="X732" s="24">
        <v>46032</v>
      </c>
      <c r="Z732" t="s">
        <v>38</v>
      </c>
      <c r="AB732" t="s">
        <v>921</v>
      </c>
      <c r="AC732" t="s">
        <v>1007</v>
      </c>
      <c r="AD732" t="s">
        <v>39</v>
      </c>
    </row>
    <row r="733" spans="1:30" hidden="1" x14ac:dyDescent="0.25">
      <c r="A733">
        <v>217</v>
      </c>
      <c r="B733" t="s">
        <v>319</v>
      </c>
      <c r="C733">
        <v>8</v>
      </c>
      <c r="D733">
        <v>196</v>
      </c>
      <c r="E733">
        <v>340</v>
      </c>
      <c r="F733" t="s">
        <v>77</v>
      </c>
      <c r="G733" t="s">
        <v>746</v>
      </c>
      <c r="H733">
        <v>2</v>
      </c>
      <c r="I733">
        <v>8.36</v>
      </c>
      <c r="J733" t="s">
        <v>839</v>
      </c>
      <c r="K733" t="s">
        <v>812</v>
      </c>
      <c r="M733" t="s">
        <v>1085</v>
      </c>
      <c r="P733" t="s">
        <v>924</v>
      </c>
      <c r="Q733" t="s">
        <v>26</v>
      </c>
      <c r="R733" t="s">
        <v>81</v>
      </c>
      <c r="W733">
        <v>2</v>
      </c>
      <c r="X733" s="24">
        <v>46032</v>
      </c>
      <c r="Z733" t="s">
        <v>38</v>
      </c>
      <c r="AB733" t="s">
        <v>921</v>
      </c>
      <c r="AC733" t="s">
        <v>1007</v>
      </c>
      <c r="AD733" t="s">
        <v>39</v>
      </c>
    </row>
    <row r="734" spans="1:30" hidden="1" x14ac:dyDescent="0.25">
      <c r="A734">
        <v>218</v>
      </c>
      <c r="B734" t="s">
        <v>321</v>
      </c>
      <c r="C734">
        <v>8</v>
      </c>
      <c r="D734">
        <v>148</v>
      </c>
      <c r="E734">
        <v>324</v>
      </c>
      <c r="F734" t="s">
        <v>77</v>
      </c>
      <c r="G734" t="s">
        <v>746</v>
      </c>
      <c r="H734">
        <v>2</v>
      </c>
      <c r="I734">
        <v>6.02</v>
      </c>
      <c r="J734" t="s">
        <v>839</v>
      </c>
      <c r="K734" t="s">
        <v>812</v>
      </c>
      <c r="M734" t="s">
        <v>1085</v>
      </c>
      <c r="P734" t="s">
        <v>924</v>
      </c>
      <c r="Q734" t="s">
        <v>26</v>
      </c>
      <c r="R734" t="s">
        <v>81</v>
      </c>
      <c r="W734">
        <v>2</v>
      </c>
      <c r="X734" s="24">
        <v>46032</v>
      </c>
      <c r="Z734" t="s">
        <v>38</v>
      </c>
      <c r="AB734" t="s">
        <v>921</v>
      </c>
      <c r="AC734" t="s">
        <v>1007</v>
      </c>
      <c r="AD734" t="s">
        <v>39</v>
      </c>
    </row>
    <row r="735" spans="1:30" hidden="1" x14ac:dyDescent="0.25">
      <c r="A735">
        <v>219</v>
      </c>
      <c r="B735" t="s">
        <v>323</v>
      </c>
      <c r="C735">
        <v>8</v>
      </c>
      <c r="D735">
        <v>160</v>
      </c>
      <c r="E735">
        <v>340</v>
      </c>
      <c r="F735" t="s">
        <v>77</v>
      </c>
      <c r="G735" t="s">
        <v>746</v>
      </c>
      <c r="H735">
        <v>2</v>
      </c>
      <c r="I735">
        <v>6.83</v>
      </c>
      <c r="J735" t="s">
        <v>839</v>
      </c>
      <c r="K735" t="s">
        <v>812</v>
      </c>
      <c r="M735" t="s">
        <v>1085</v>
      </c>
      <c r="P735" t="s">
        <v>924</v>
      </c>
      <c r="Q735" t="s">
        <v>26</v>
      </c>
      <c r="R735" t="s">
        <v>81</v>
      </c>
      <c r="W735">
        <v>2</v>
      </c>
      <c r="X735" s="24">
        <v>46032</v>
      </c>
      <c r="Z735" t="s">
        <v>38</v>
      </c>
      <c r="AB735" t="s">
        <v>921</v>
      </c>
      <c r="AC735" t="s">
        <v>1007</v>
      </c>
      <c r="AD735" t="s">
        <v>39</v>
      </c>
    </row>
    <row r="736" spans="1:30" hidden="1" x14ac:dyDescent="0.25">
      <c r="A736">
        <v>220</v>
      </c>
      <c r="B736" t="s">
        <v>325</v>
      </c>
      <c r="C736">
        <v>8</v>
      </c>
      <c r="D736">
        <v>148</v>
      </c>
      <c r="E736">
        <v>441</v>
      </c>
      <c r="F736" t="s">
        <v>77</v>
      </c>
      <c r="G736" t="s">
        <v>746</v>
      </c>
      <c r="H736">
        <v>1</v>
      </c>
      <c r="I736">
        <v>4.0999999999999996</v>
      </c>
      <c r="J736" t="s">
        <v>839</v>
      </c>
      <c r="K736" t="s">
        <v>812</v>
      </c>
      <c r="M736" t="s">
        <v>1085</v>
      </c>
      <c r="P736" t="s">
        <v>924</v>
      </c>
      <c r="Q736" t="s">
        <v>26</v>
      </c>
      <c r="R736" t="s">
        <v>81</v>
      </c>
      <c r="W736">
        <v>2</v>
      </c>
      <c r="X736" s="24">
        <v>46032</v>
      </c>
      <c r="Z736" t="s">
        <v>38</v>
      </c>
      <c r="AB736" t="s">
        <v>921</v>
      </c>
      <c r="AC736" t="s">
        <v>1007</v>
      </c>
      <c r="AD736" t="s">
        <v>39</v>
      </c>
    </row>
    <row r="737" spans="1:30" hidden="1" x14ac:dyDescent="0.25">
      <c r="A737">
        <v>221</v>
      </c>
      <c r="B737" t="s">
        <v>326</v>
      </c>
      <c r="C737">
        <v>8</v>
      </c>
      <c r="D737">
        <v>148</v>
      </c>
      <c r="E737">
        <v>324</v>
      </c>
      <c r="F737" t="s">
        <v>77</v>
      </c>
      <c r="G737" t="s">
        <v>746</v>
      </c>
      <c r="H737">
        <v>2</v>
      </c>
      <c r="I737">
        <v>6.02</v>
      </c>
      <c r="J737" t="s">
        <v>839</v>
      </c>
      <c r="K737" t="s">
        <v>812</v>
      </c>
      <c r="M737" t="s">
        <v>1085</v>
      </c>
      <c r="P737" t="s">
        <v>924</v>
      </c>
      <c r="Q737" t="s">
        <v>26</v>
      </c>
      <c r="R737" t="s">
        <v>81</v>
      </c>
      <c r="W737">
        <v>2</v>
      </c>
      <c r="X737" s="24">
        <v>46032</v>
      </c>
      <c r="Z737" t="s">
        <v>38</v>
      </c>
      <c r="AB737" t="s">
        <v>921</v>
      </c>
      <c r="AC737" t="s">
        <v>1007</v>
      </c>
      <c r="AD737" t="s">
        <v>39</v>
      </c>
    </row>
    <row r="738" spans="1:30" hidden="1" x14ac:dyDescent="0.25">
      <c r="A738">
        <v>222</v>
      </c>
      <c r="B738" t="s">
        <v>327</v>
      </c>
      <c r="C738">
        <v>8</v>
      </c>
      <c r="D738">
        <v>148</v>
      </c>
      <c r="E738">
        <v>441</v>
      </c>
      <c r="F738" t="s">
        <v>77</v>
      </c>
      <c r="G738" t="s">
        <v>746</v>
      </c>
      <c r="H738">
        <v>2</v>
      </c>
      <c r="I738">
        <v>8.19</v>
      </c>
      <c r="J738" t="s">
        <v>839</v>
      </c>
      <c r="K738" t="s">
        <v>812</v>
      </c>
      <c r="M738" t="s">
        <v>1085</v>
      </c>
      <c r="P738" t="s">
        <v>924</v>
      </c>
      <c r="Q738" t="s">
        <v>26</v>
      </c>
      <c r="R738" t="s">
        <v>81</v>
      </c>
      <c r="W738">
        <v>2</v>
      </c>
      <c r="X738" s="24">
        <v>46032</v>
      </c>
      <c r="Z738" t="s">
        <v>38</v>
      </c>
      <c r="AB738" t="s">
        <v>921</v>
      </c>
      <c r="AC738" t="s">
        <v>1007</v>
      </c>
      <c r="AD738" t="s">
        <v>39</v>
      </c>
    </row>
    <row r="739" spans="1:30" hidden="1" x14ac:dyDescent="0.25">
      <c r="A739">
        <v>223</v>
      </c>
      <c r="B739" t="s">
        <v>328</v>
      </c>
      <c r="C739">
        <v>8</v>
      </c>
      <c r="D739">
        <v>148</v>
      </c>
      <c r="E739">
        <v>324</v>
      </c>
      <c r="F739" t="s">
        <v>77</v>
      </c>
      <c r="G739" t="s">
        <v>746</v>
      </c>
      <c r="H739">
        <v>4</v>
      </c>
      <c r="I739">
        <v>12.03</v>
      </c>
      <c r="J739" t="s">
        <v>839</v>
      </c>
      <c r="K739" t="s">
        <v>812</v>
      </c>
      <c r="M739" t="s">
        <v>1085</v>
      </c>
      <c r="P739" t="s">
        <v>924</v>
      </c>
      <c r="Q739" t="s">
        <v>26</v>
      </c>
      <c r="R739" t="s">
        <v>81</v>
      </c>
      <c r="W739">
        <v>2</v>
      </c>
      <c r="X739" s="24">
        <v>46032</v>
      </c>
      <c r="Z739" t="s">
        <v>38</v>
      </c>
      <c r="AB739" t="s">
        <v>921</v>
      </c>
      <c r="AC739" t="s">
        <v>1007</v>
      </c>
      <c r="AD739" t="s">
        <v>39</v>
      </c>
    </row>
    <row r="740" spans="1:30" hidden="1" x14ac:dyDescent="0.25">
      <c r="A740">
        <v>224</v>
      </c>
      <c r="B740" t="s">
        <v>296</v>
      </c>
      <c r="C740">
        <v>8</v>
      </c>
      <c r="D740">
        <v>329</v>
      </c>
      <c r="E740">
        <v>7565</v>
      </c>
      <c r="F740" t="s">
        <v>77</v>
      </c>
      <c r="G740" t="s">
        <v>746</v>
      </c>
      <c r="H740">
        <v>2</v>
      </c>
      <c r="I740">
        <v>309.73</v>
      </c>
      <c r="J740" t="s">
        <v>839</v>
      </c>
      <c r="K740" t="s">
        <v>812</v>
      </c>
      <c r="M740" t="s">
        <v>1085</v>
      </c>
      <c r="O740" t="s">
        <v>228</v>
      </c>
      <c r="P740" t="s">
        <v>924</v>
      </c>
      <c r="Q740" t="s">
        <v>28</v>
      </c>
      <c r="R740" t="s">
        <v>81</v>
      </c>
      <c r="W740">
        <v>2</v>
      </c>
      <c r="X740" s="24">
        <v>46032</v>
      </c>
      <c r="Z740" t="s">
        <v>38</v>
      </c>
      <c r="AB740" t="s">
        <v>921</v>
      </c>
      <c r="AC740" t="s">
        <v>1007</v>
      </c>
      <c r="AD740" t="s">
        <v>39</v>
      </c>
    </row>
    <row r="741" spans="1:30" hidden="1" x14ac:dyDescent="0.25">
      <c r="A741">
        <v>225</v>
      </c>
      <c r="B741" t="s">
        <v>329</v>
      </c>
      <c r="C741">
        <v>8</v>
      </c>
      <c r="D741">
        <v>206</v>
      </c>
      <c r="E741">
        <v>465</v>
      </c>
      <c r="F741" t="s">
        <v>77</v>
      </c>
      <c r="G741" t="s">
        <v>746</v>
      </c>
      <c r="H741">
        <v>1</v>
      </c>
      <c r="I741">
        <v>6.01</v>
      </c>
      <c r="J741" t="s">
        <v>839</v>
      </c>
      <c r="K741" t="s">
        <v>812</v>
      </c>
      <c r="M741" t="s">
        <v>1085</v>
      </c>
      <c r="P741" t="s">
        <v>924</v>
      </c>
      <c r="Q741" t="s">
        <v>26</v>
      </c>
      <c r="R741" t="s">
        <v>81</v>
      </c>
      <c r="W741">
        <v>2</v>
      </c>
      <c r="X741" s="24">
        <v>46032</v>
      </c>
      <c r="Z741" t="s">
        <v>38</v>
      </c>
      <c r="AB741" t="s">
        <v>921</v>
      </c>
      <c r="AC741" t="s">
        <v>1007</v>
      </c>
      <c r="AD741" t="s">
        <v>39</v>
      </c>
    </row>
    <row r="742" spans="1:30" hidden="1" x14ac:dyDescent="0.25">
      <c r="A742">
        <v>226</v>
      </c>
      <c r="B742" t="s">
        <v>330</v>
      </c>
      <c r="C742">
        <v>8</v>
      </c>
      <c r="D742">
        <v>196</v>
      </c>
      <c r="E742">
        <v>340</v>
      </c>
      <c r="F742" t="s">
        <v>77</v>
      </c>
      <c r="G742" t="s">
        <v>746</v>
      </c>
      <c r="H742">
        <v>2</v>
      </c>
      <c r="I742">
        <v>8.36</v>
      </c>
      <c r="J742" t="s">
        <v>839</v>
      </c>
      <c r="K742" t="s">
        <v>812</v>
      </c>
      <c r="M742" t="s">
        <v>1085</v>
      </c>
      <c r="P742" t="s">
        <v>924</v>
      </c>
      <c r="Q742" t="s">
        <v>26</v>
      </c>
      <c r="R742" t="s">
        <v>81</v>
      </c>
      <c r="W742">
        <v>2</v>
      </c>
      <c r="X742" s="24">
        <v>46032</v>
      </c>
      <c r="Z742" t="s">
        <v>38</v>
      </c>
      <c r="AB742" t="s">
        <v>921</v>
      </c>
      <c r="AC742" t="s">
        <v>1007</v>
      </c>
      <c r="AD742" t="s">
        <v>39</v>
      </c>
    </row>
    <row r="743" spans="1:30" hidden="1" x14ac:dyDescent="0.25">
      <c r="A743">
        <v>227</v>
      </c>
      <c r="B743" t="s">
        <v>331</v>
      </c>
      <c r="C743">
        <v>8</v>
      </c>
      <c r="D743">
        <v>148</v>
      </c>
      <c r="E743">
        <v>441</v>
      </c>
      <c r="F743" t="s">
        <v>77</v>
      </c>
      <c r="G743" t="s">
        <v>746</v>
      </c>
      <c r="H743">
        <v>1</v>
      </c>
      <c r="I743">
        <v>4.0999999999999996</v>
      </c>
      <c r="J743" t="s">
        <v>839</v>
      </c>
      <c r="K743" t="s">
        <v>812</v>
      </c>
      <c r="M743" t="s">
        <v>1085</v>
      </c>
      <c r="P743" t="s">
        <v>924</v>
      </c>
      <c r="Q743" t="s">
        <v>26</v>
      </c>
      <c r="R743" t="s">
        <v>81</v>
      </c>
      <c r="W743">
        <v>2</v>
      </c>
      <c r="X743" s="24">
        <v>46032</v>
      </c>
      <c r="Z743" t="s">
        <v>38</v>
      </c>
      <c r="AB743" t="s">
        <v>921</v>
      </c>
      <c r="AC743" t="s">
        <v>1007</v>
      </c>
      <c r="AD743" t="s">
        <v>39</v>
      </c>
    </row>
    <row r="744" spans="1:30" hidden="1" x14ac:dyDescent="0.25">
      <c r="A744">
        <v>228</v>
      </c>
      <c r="B744" t="s">
        <v>332</v>
      </c>
      <c r="C744">
        <v>8</v>
      </c>
      <c r="D744">
        <v>148</v>
      </c>
      <c r="E744">
        <v>324</v>
      </c>
      <c r="F744" t="s">
        <v>77</v>
      </c>
      <c r="G744" t="s">
        <v>746</v>
      </c>
      <c r="H744">
        <v>2</v>
      </c>
      <c r="I744">
        <v>6.02</v>
      </c>
      <c r="J744" t="s">
        <v>839</v>
      </c>
      <c r="K744" t="s">
        <v>812</v>
      </c>
      <c r="M744" t="s">
        <v>1085</v>
      </c>
      <c r="P744" t="s">
        <v>924</v>
      </c>
      <c r="Q744" t="s">
        <v>26</v>
      </c>
      <c r="R744" t="s">
        <v>81</v>
      </c>
      <c r="W744">
        <v>2</v>
      </c>
      <c r="X744" s="24">
        <v>46032</v>
      </c>
      <c r="Z744" t="s">
        <v>38</v>
      </c>
      <c r="AB744" t="s">
        <v>921</v>
      </c>
      <c r="AC744" t="s">
        <v>1007</v>
      </c>
      <c r="AD744" t="s">
        <v>39</v>
      </c>
    </row>
    <row r="745" spans="1:30" hidden="1" x14ac:dyDescent="0.25">
      <c r="A745">
        <v>229</v>
      </c>
      <c r="B745" t="s">
        <v>333</v>
      </c>
      <c r="C745">
        <v>8</v>
      </c>
      <c r="D745">
        <v>156</v>
      </c>
      <c r="E745">
        <v>465</v>
      </c>
      <c r="F745" t="s">
        <v>77</v>
      </c>
      <c r="G745" t="s">
        <v>746</v>
      </c>
      <c r="H745">
        <v>1</v>
      </c>
      <c r="I745">
        <v>4.55</v>
      </c>
      <c r="J745" t="s">
        <v>839</v>
      </c>
      <c r="K745" t="s">
        <v>812</v>
      </c>
      <c r="M745" t="s">
        <v>1085</v>
      </c>
      <c r="P745" t="s">
        <v>924</v>
      </c>
      <c r="Q745" t="s">
        <v>26</v>
      </c>
      <c r="R745" t="s">
        <v>81</v>
      </c>
      <c r="W745">
        <v>2</v>
      </c>
      <c r="X745" s="24">
        <v>46032</v>
      </c>
      <c r="Z745" t="s">
        <v>38</v>
      </c>
      <c r="AB745" t="s">
        <v>921</v>
      </c>
      <c r="AC745" t="s">
        <v>1007</v>
      </c>
      <c r="AD745" t="s">
        <v>39</v>
      </c>
    </row>
    <row r="746" spans="1:30" hidden="1" x14ac:dyDescent="0.25">
      <c r="A746">
        <v>230</v>
      </c>
      <c r="B746" t="s">
        <v>334</v>
      </c>
      <c r="C746">
        <v>8</v>
      </c>
      <c r="D746">
        <v>160</v>
      </c>
      <c r="E746">
        <v>340</v>
      </c>
      <c r="F746" t="s">
        <v>77</v>
      </c>
      <c r="G746" t="s">
        <v>746</v>
      </c>
      <c r="H746">
        <v>2</v>
      </c>
      <c r="I746">
        <v>6.83</v>
      </c>
      <c r="J746" t="s">
        <v>839</v>
      </c>
      <c r="K746" t="s">
        <v>812</v>
      </c>
      <c r="M746" t="s">
        <v>1085</v>
      </c>
      <c r="P746" t="s">
        <v>924</v>
      </c>
      <c r="Q746" t="s">
        <v>26</v>
      </c>
      <c r="R746" t="s">
        <v>81</v>
      </c>
      <c r="W746">
        <v>2</v>
      </c>
      <c r="X746" s="24">
        <v>46032</v>
      </c>
      <c r="Z746" t="s">
        <v>38</v>
      </c>
      <c r="AB746" t="s">
        <v>921</v>
      </c>
      <c r="AC746" t="s">
        <v>1007</v>
      </c>
      <c r="AD746" t="s">
        <v>39</v>
      </c>
    </row>
    <row r="747" spans="1:30" hidden="1" x14ac:dyDescent="0.25">
      <c r="A747">
        <v>231</v>
      </c>
      <c r="B747" t="s">
        <v>335</v>
      </c>
      <c r="C747">
        <v>8</v>
      </c>
      <c r="D747">
        <v>148</v>
      </c>
      <c r="E747">
        <v>441</v>
      </c>
      <c r="F747" t="s">
        <v>77</v>
      </c>
      <c r="G747" t="s">
        <v>746</v>
      </c>
      <c r="H747">
        <v>1</v>
      </c>
      <c r="I747">
        <v>4.0999999999999996</v>
      </c>
      <c r="J747" t="s">
        <v>839</v>
      </c>
      <c r="K747" t="s">
        <v>812</v>
      </c>
      <c r="M747" t="s">
        <v>1085</v>
      </c>
      <c r="P747" t="s">
        <v>924</v>
      </c>
      <c r="Q747" t="s">
        <v>26</v>
      </c>
      <c r="R747" t="s">
        <v>81</v>
      </c>
      <c r="W747">
        <v>2</v>
      </c>
      <c r="X747" s="24">
        <v>46032</v>
      </c>
      <c r="Z747" t="s">
        <v>38</v>
      </c>
      <c r="AB747" t="s">
        <v>921</v>
      </c>
      <c r="AC747" t="s">
        <v>1007</v>
      </c>
      <c r="AD747" t="s">
        <v>39</v>
      </c>
    </row>
    <row r="748" spans="1:30" hidden="1" x14ac:dyDescent="0.25">
      <c r="A748">
        <v>232</v>
      </c>
      <c r="B748" t="s">
        <v>336</v>
      </c>
      <c r="C748">
        <v>8</v>
      </c>
      <c r="D748">
        <v>148</v>
      </c>
      <c r="E748">
        <v>324</v>
      </c>
      <c r="F748" t="s">
        <v>77</v>
      </c>
      <c r="G748" t="s">
        <v>746</v>
      </c>
      <c r="H748">
        <v>2</v>
      </c>
      <c r="I748">
        <v>6.02</v>
      </c>
      <c r="J748" t="s">
        <v>839</v>
      </c>
      <c r="K748" t="s">
        <v>812</v>
      </c>
      <c r="M748" t="s">
        <v>1085</v>
      </c>
      <c r="P748" t="s">
        <v>924</v>
      </c>
      <c r="Q748" t="s">
        <v>26</v>
      </c>
      <c r="R748" t="s">
        <v>81</v>
      </c>
      <c r="W748">
        <v>2</v>
      </c>
      <c r="X748" s="24">
        <v>46032</v>
      </c>
      <c r="Z748" t="s">
        <v>38</v>
      </c>
      <c r="AB748" t="s">
        <v>921</v>
      </c>
      <c r="AC748" t="s">
        <v>1007</v>
      </c>
      <c r="AD748" t="s">
        <v>39</v>
      </c>
    </row>
    <row r="749" spans="1:30" hidden="1" x14ac:dyDescent="0.25">
      <c r="A749">
        <v>233</v>
      </c>
      <c r="B749" t="s">
        <v>337</v>
      </c>
      <c r="C749">
        <v>8</v>
      </c>
      <c r="D749">
        <v>148</v>
      </c>
      <c r="E749">
        <v>441</v>
      </c>
      <c r="F749" t="s">
        <v>77</v>
      </c>
      <c r="G749" t="s">
        <v>746</v>
      </c>
      <c r="H749">
        <v>2</v>
      </c>
      <c r="I749">
        <v>8.19</v>
      </c>
      <c r="J749" t="s">
        <v>839</v>
      </c>
      <c r="K749" t="s">
        <v>812</v>
      </c>
      <c r="M749" t="s">
        <v>1085</v>
      </c>
      <c r="P749" t="s">
        <v>924</v>
      </c>
      <c r="Q749" t="s">
        <v>26</v>
      </c>
      <c r="R749" t="s">
        <v>81</v>
      </c>
      <c r="W749">
        <v>2</v>
      </c>
      <c r="X749" s="24">
        <v>46032</v>
      </c>
      <c r="Z749" t="s">
        <v>38</v>
      </c>
      <c r="AB749" t="s">
        <v>921</v>
      </c>
      <c r="AC749" t="s">
        <v>1007</v>
      </c>
      <c r="AD749" t="s">
        <v>39</v>
      </c>
    </row>
    <row r="750" spans="1:30" hidden="1" x14ac:dyDescent="0.25">
      <c r="A750">
        <v>234</v>
      </c>
      <c r="B750" t="s">
        <v>338</v>
      </c>
      <c r="C750">
        <v>8</v>
      </c>
      <c r="D750">
        <v>148</v>
      </c>
      <c r="E750">
        <v>324</v>
      </c>
      <c r="F750" t="s">
        <v>77</v>
      </c>
      <c r="G750" t="s">
        <v>746</v>
      </c>
      <c r="H750">
        <v>4</v>
      </c>
      <c r="I750">
        <v>12.03</v>
      </c>
      <c r="J750" t="s">
        <v>839</v>
      </c>
      <c r="K750" t="s">
        <v>812</v>
      </c>
      <c r="M750" t="s">
        <v>1085</v>
      </c>
      <c r="P750" t="s">
        <v>924</v>
      </c>
      <c r="Q750" t="s">
        <v>26</v>
      </c>
      <c r="R750" t="s">
        <v>81</v>
      </c>
      <c r="W750">
        <v>2</v>
      </c>
      <c r="X750" s="24">
        <v>46032</v>
      </c>
      <c r="Z750" t="s">
        <v>38</v>
      </c>
      <c r="AB750" t="s">
        <v>921</v>
      </c>
      <c r="AC750" t="s">
        <v>1007</v>
      </c>
      <c r="AD750" t="s">
        <v>39</v>
      </c>
    </row>
    <row r="751" spans="1:30" hidden="1" x14ac:dyDescent="0.25">
      <c r="A751">
        <v>235</v>
      </c>
      <c r="B751" t="s">
        <v>298</v>
      </c>
      <c r="C751">
        <v>8</v>
      </c>
      <c r="D751">
        <v>329</v>
      </c>
      <c r="E751">
        <v>7566</v>
      </c>
      <c r="F751" t="s">
        <v>77</v>
      </c>
      <c r="G751" t="s">
        <v>746</v>
      </c>
      <c r="H751">
        <v>3</v>
      </c>
      <c r="I751">
        <v>464.63</v>
      </c>
      <c r="J751" t="s">
        <v>839</v>
      </c>
      <c r="K751" t="s">
        <v>812</v>
      </c>
      <c r="M751" t="s">
        <v>1085</v>
      </c>
      <c r="O751" t="s">
        <v>228</v>
      </c>
      <c r="P751" t="s">
        <v>924</v>
      </c>
      <c r="Q751" t="s">
        <v>28</v>
      </c>
      <c r="R751" t="s">
        <v>81</v>
      </c>
      <c r="W751">
        <v>2</v>
      </c>
      <c r="X751" s="24">
        <v>46032</v>
      </c>
      <c r="Z751" t="s">
        <v>38</v>
      </c>
      <c r="AB751" t="s">
        <v>921</v>
      </c>
      <c r="AC751" t="s">
        <v>1007</v>
      </c>
      <c r="AD751" t="s">
        <v>39</v>
      </c>
    </row>
    <row r="752" spans="1:30" hidden="1" x14ac:dyDescent="0.25">
      <c r="A752">
        <v>236</v>
      </c>
      <c r="B752" t="s">
        <v>339</v>
      </c>
      <c r="C752">
        <v>8</v>
      </c>
      <c r="D752">
        <v>142</v>
      </c>
      <c r="E752">
        <v>1799</v>
      </c>
      <c r="F752" t="s">
        <v>77</v>
      </c>
      <c r="G752" t="s">
        <v>746</v>
      </c>
      <c r="H752">
        <v>1</v>
      </c>
      <c r="I752">
        <v>16.04</v>
      </c>
      <c r="J752" t="s">
        <v>839</v>
      </c>
      <c r="K752" t="s">
        <v>812</v>
      </c>
      <c r="M752" t="s">
        <v>1085</v>
      </c>
      <c r="P752" t="s">
        <v>924</v>
      </c>
      <c r="R752" t="s">
        <v>81</v>
      </c>
      <c r="U752" t="s">
        <v>81</v>
      </c>
      <c r="W752">
        <v>2</v>
      </c>
      <c r="X752" s="24">
        <v>46032</v>
      </c>
      <c r="Z752" t="s">
        <v>38</v>
      </c>
      <c r="AB752" t="s">
        <v>921</v>
      </c>
      <c r="AC752" t="s">
        <v>1007</v>
      </c>
      <c r="AD752" t="s">
        <v>39</v>
      </c>
    </row>
    <row r="753" spans="1:30" hidden="1" x14ac:dyDescent="0.25">
      <c r="A753">
        <v>237</v>
      </c>
      <c r="B753" t="s">
        <v>341</v>
      </c>
      <c r="C753">
        <v>8</v>
      </c>
      <c r="D753">
        <v>74</v>
      </c>
      <c r="E753">
        <v>172</v>
      </c>
      <c r="F753" t="s">
        <v>77</v>
      </c>
      <c r="G753" t="s">
        <v>746</v>
      </c>
      <c r="H753">
        <v>2</v>
      </c>
      <c r="I753">
        <v>1.07</v>
      </c>
      <c r="J753" t="s">
        <v>839</v>
      </c>
      <c r="K753" t="s">
        <v>812</v>
      </c>
      <c r="M753" t="s">
        <v>1085</v>
      </c>
      <c r="P753" t="s">
        <v>924</v>
      </c>
      <c r="Q753" t="s">
        <v>26</v>
      </c>
      <c r="R753" t="s">
        <v>81</v>
      </c>
      <c r="W753">
        <v>2</v>
      </c>
      <c r="X753" s="24">
        <v>46032</v>
      </c>
      <c r="Z753" t="s">
        <v>38</v>
      </c>
      <c r="AB753" t="s">
        <v>921</v>
      </c>
      <c r="AC753" t="s">
        <v>1007</v>
      </c>
      <c r="AD753" t="s">
        <v>39</v>
      </c>
    </row>
    <row r="754" spans="1:30" hidden="1" x14ac:dyDescent="0.25">
      <c r="A754">
        <v>238</v>
      </c>
      <c r="B754" t="s">
        <v>343</v>
      </c>
      <c r="C754">
        <v>8</v>
      </c>
      <c r="D754">
        <v>90</v>
      </c>
      <c r="E754">
        <v>150</v>
      </c>
      <c r="F754" t="s">
        <v>77</v>
      </c>
      <c r="G754" t="s">
        <v>746</v>
      </c>
      <c r="H754">
        <v>6</v>
      </c>
      <c r="I754">
        <v>3.71</v>
      </c>
      <c r="J754" t="s">
        <v>839</v>
      </c>
      <c r="K754" t="s">
        <v>812</v>
      </c>
      <c r="M754" t="s">
        <v>1085</v>
      </c>
      <c r="P754" t="s">
        <v>924</v>
      </c>
      <c r="Q754" t="s">
        <v>26</v>
      </c>
      <c r="R754" t="s">
        <v>81</v>
      </c>
      <c r="W754">
        <v>2</v>
      </c>
      <c r="X754" s="24">
        <v>46032</v>
      </c>
      <c r="Z754" t="s">
        <v>38</v>
      </c>
      <c r="AB754" t="s">
        <v>921</v>
      </c>
      <c r="AC754" t="s">
        <v>1007</v>
      </c>
      <c r="AD754" t="s">
        <v>39</v>
      </c>
    </row>
    <row r="755" spans="1:30" hidden="1" x14ac:dyDescent="0.25">
      <c r="A755">
        <v>239</v>
      </c>
      <c r="B755" t="s">
        <v>344</v>
      </c>
      <c r="C755">
        <v>8</v>
      </c>
      <c r="D755">
        <v>142</v>
      </c>
      <c r="E755">
        <v>1799</v>
      </c>
      <c r="F755" t="s">
        <v>77</v>
      </c>
      <c r="G755" t="s">
        <v>746</v>
      </c>
      <c r="H755">
        <v>2</v>
      </c>
      <c r="I755">
        <v>32.090000000000003</v>
      </c>
      <c r="J755" t="s">
        <v>839</v>
      </c>
      <c r="K755" t="s">
        <v>812</v>
      </c>
      <c r="M755" t="s">
        <v>1085</v>
      </c>
      <c r="P755" t="s">
        <v>924</v>
      </c>
      <c r="R755" t="s">
        <v>81</v>
      </c>
      <c r="U755" t="s">
        <v>81</v>
      </c>
      <c r="W755">
        <v>2</v>
      </c>
      <c r="X755" s="24">
        <v>46032</v>
      </c>
      <c r="Z755" t="s">
        <v>38</v>
      </c>
      <c r="AB755" t="s">
        <v>921</v>
      </c>
      <c r="AC755" t="s">
        <v>1007</v>
      </c>
      <c r="AD755" t="s">
        <v>39</v>
      </c>
    </row>
    <row r="756" spans="1:30" hidden="1" x14ac:dyDescent="0.25">
      <c r="A756">
        <v>240</v>
      </c>
      <c r="B756" t="s">
        <v>229</v>
      </c>
      <c r="C756">
        <v>8</v>
      </c>
      <c r="D756">
        <v>90</v>
      </c>
      <c r="E756">
        <v>150</v>
      </c>
      <c r="F756" t="s">
        <v>77</v>
      </c>
      <c r="G756" t="s">
        <v>746</v>
      </c>
      <c r="H756">
        <v>9</v>
      </c>
      <c r="I756">
        <v>5.57</v>
      </c>
      <c r="J756" t="s">
        <v>839</v>
      </c>
      <c r="K756" t="s">
        <v>812</v>
      </c>
      <c r="M756" t="s">
        <v>1085</v>
      </c>
      <c r="P756" t="s">
        <v>924</v>
      </c>
      <c r="Q756" t="s">
        <v>26</v>
      </c>
      <c r="R756" t="s">
        <v>81</v>
      </c>
      <c r="W756">
        <v>2</v>
      </c>
      <c r="X756" s="24">
        <v>46032</v>
      </c>
      <c r="Z756" t="s">
        <v>38</v>
      </c>
      <c r="AB756" t="s">
        <v>921</v>
      </c>
      <c r="AC756" t="s">
        <v>1007</v>
      </c>
      <c r="AD756" t="s">
        <v>39</v>
      </c>
    </row>
    <row r="757" spans="1:30" hidden="1" x14ac:dyDescent="0.25">
      <c r="A757">
        <v>241</v>
      </c>
      <c r="B757" t="s">
        <v>345</v>
      </c>
      <c r="C757">
        <v>8</v>
      </c>
      <c r="D757">
        <v>142</v>
      </c>
      <c r="E757">
        <v>1799</v>
      </c>
      <c r="F757" t="s">
        <v>77</v>
      </c>
      <c r="G757" t="s">
        <v>746</v>
      </c>
      <c r="H757">
        <v>1</v>
      </c>
      <c r="I757">
        <v>16.04</v>
      </c>
      <c r="J757" t="s">
        <v>839</v>
      </c>
      <c r="K757" t="s">
        <v>812</v>
      </c>
      <c r="M757" t="s">
        <v>1085</v>
      </c>
      <c r="P757" t="s">
        <v>924</v>
      </c>
      <c r="R757" t="s">
        <v>81</v>
      </c>
      <c r="U757" t="s">
        <v>81</v>
      </c>
      <c r="W757">
        <v>2</v>
      </c>
      <c r="X757" s="24">
        <v>46032</v>
      </c>
      <c r="Z757" t="s">
        <v>38</v>
      </c>
      <c r="AB757" t="s">
        <v>921</v>
      </c>
      <c r="AC757" t="s">
        <v>1007</v>
      </c>
      <c r="AD757" t="s">
        <v>39</v>
      </c>
    </row>
    <row r="758" spans="1:30" hidden="1" x14ac:dyDescent="0.25">
      <c r="A758">
        <v>242</v>
      </c>
      <c r="B758" t="s">
        <v>346</v>
      </c>
      <c r="C758">
        <v>8</v>
      </c>
      <c r="D758">
        <v>74</v>
      </c>
      <c r="E758">
        <v>172</v>
      </c>
      <c r="F758" t="s">
        <v>77</v>
      </c>
      <c r="G758" t="s">
        <v>746</v>
      </c>
      <c r="H758">
        <v>3</v>
      </c>
      <c r="I758">
        <v>1.6</v>
      </c>
      <c r="J758" t="s">
        <v>839</v>
      </c>
      <c r="K758" t="s">
        <v>812</v>
      </c>
      <c r="M758" t="s">
        <v>1085</v>
      </c>
      <c r="P758" t="s">
        <v>924</v>
      </c>
      <c r="Q758" t="s">
        <v>26</v>
      </c>
      <c r="R758" t="s">
        <v>81</v>
      </c>
      <c r="W758">
        <v>2</v>
      </c>
      <c r="X758" s="24">
        <v>46032</v>
      </c>
      <c r="Z758" t="s">
        <v>38</v>
      </c>
      <c r="AB758" t="s">
        <v>921</v>
      </c>
      <c r="AC758" t="s">
        <v>1007</v>
      </c>
      <c r="AD758" t="s">
        <v>39</v>
      </c>
    </row>
    <row r="759" spans="1:30" hidden="1" x14ac:dyDescent="0.25">
      <c r="A759">
        <v>243</v>
      </c>
      <c r="B759" t="s">
        <v>347</v>
      </c>
      <c r="C759">
        <v>8</v>
      </c>
      <c r="D759">
        <v>90</v>
      </c>
      <c r="E759">
        <v>150</v>
      </c>
      <c r="F759" t="s">
        <v>77</v>
      </c>
      <c r="G759" t="s">
        <v>746</v>
      </c>
      <c r="H759">
        <v>5</v>
      </c>
      <c r="I759">
        <v>3.09</v>
      </c>
      <c r="J759" t="s">
        <v>839</v>
      </c>
      <c r="K759" t="s">
        <v>812</v>
      </c>
      <c r="M759" t="s">
        <v>1085</v>
      </c>
      <c r="P759" t="s">
        <v>924</v>
      </c>
      <c r="Q759" t="s">
        <v>26</v>
      </c>
      <c r="R759" t="s">
        <v>81</v>
      </c>
      <c r="W759">
        <v>2</v>
      </c>
      <c r="X759" s="24">
        <v>46032</v>
      </c>
      <c r="Z759" t="s">
        <v>38</v>
      </c>
      <c r="AB759" t="s">
        <v>921</v>
      </c>
      <c r="AC759" t="s">
        <v>1007</v>
      </c>
      <c r="AD759" t="s">
        <v>39</v>
      </c>
    </row>
    <row r="760" spans="1:30" hidden="1" x14ac:dyDescent="0.25">
      <c r="A760">
        <v>244</v>
      </c>
      <c r="B760" t="s">
        <v>348</v>
      </c>
      <c r="C760">
        <v>8</v>
      </c>
      <c r="D760">
        <v>158</v>
      </c>
      <c r="E760">
        <v>228</v>
      </c>
      <c r="F760" t="s">
        <v>77</v>
      </c>
      <c r="G760" t="s">
        <v>746</v>
      </c>
      <c r="H760">
        <v>27</v>
      </c>
      <c r="I760">
        <v>59.73</v>
      </c>
      <c r="J760" t="s">
        <v>839</v>
      </c>
      <c r="K760" t="s">
        <v>812</v>
      </c>
      <c r="M760" t="s">
        <v>1085</v>
      </c>
      <c r="P760" t="s">
        <v>924</v>
      </c>
      <c r="Q760" t="s">
        <v>26</v>
      </c>
      <c r="R760" t="s">
        <v>81</v>
      </c>
      <c r="W760">
        <v>2</v>
      </c>
      <c r="X760" s="24">
        <v>46032</v>
      </c>
      <c r="Z760" t="s">
        <v>38</v>
      </c>
      <c r="AB760" t="s">
        <v>921</v>
      </c>
      <c r="AC760" t="s">
        <v>1007</v>
      </c>
      <c r="AD760" t="s">
        <v>39</v>
      </c>
    </row>
    <row r="761" spans="1:30" hidden="1" x14ac:dyDescent="0.25">
      <c r="A761">
        <v>245</v>
      </c>
      <c r="B761" t="s">
        <v>306</v>
      </c>
      <c r="C761">
        <v>8</v>
      </c>
      <c r="D761">
        <v>124</v>
      </c>
      <c r="E761">
        <v>1882</v>
      </c>
      <c r="F761" t="s">
        <v>77</v>
      </c>
      <c r="G761" t="s">
        <v>746</v>
      </c>
      <c r="H761">
        <v>4</v>
      </c>
      <c r="I761">
        <v>58.62</v>
      </c>
      <c r="J761" t="s">
        <v>839</v>
      </c>
      <c r="K761" t="s">
        <v>812</v>
      </c>
      <c r="M761" t="s">
        <v>1085</v>
      </c>
      <c r="P761" t="s">
        <v>924</v>
      </c>
      <c r="Q761" t="s">
        <v>28</v>
      </c>
      <c r="R761" t="s">
        <v>81</v>
      </c>
      <c r="W761">
        <v>2</v>
      </c>
      <c r="X761" s="24">
        <v>46032</v>
      </c>
      <c r="Z761" t="s">
        <v>38</v>
      </c>
      <c r="AB761" t="s">
        <v>921</v>
      </c>
      <c r="AC761" t="s">
        <v>1007</v>
      </c>
      <c r="AD761" t="s">
        <v>39</v>
      </c>
    </row>
    <row r="762" spans="1:30" hidden="1" x14ac:dyDescent="0.25">
      <c r="A762">
        <v>246</v>
      </c>
      <c r="B762" t="s">
        <v>308</v>
      </c>
      <c r="C762">
        <v>8</v>
      </c>
      <c r="D762">
        <v>150</v>
      </c>
      <c r="E762">
        <v>2523</v>
      </c>
      <c r="F762" t="s">
        <v>77</v>
      </c>
      <c r="G762" t="s">
        <v>746</v>
      </c>
      <c r="H762">
        <v>2</v>
      </c>
      <c r="I762">
        <v>47.53</v>
      </c>
      <c r="J762" t="s">
        <v>839</v>
      </c>
      <c r="K762" t="s">
        <v>812</v>
      </c>
      <c r="M762" t="s">
        <v>1085</v>
      </c>
      <c r="P762" t="s">
        <v>924</v>
      </c>
      <c r="Q762" t="s">
        <v>28</v>
      </c>
      <c r="R762" t="s">
        <v>81</v>
      </c>
      <c r="W762">
        <v>2</v>
      </c>
      <c r="X762" s="24">
        <v>46032</v>
      </c>
      <c r="Z762" t="s">
        <v>38</v>
      </c>
      <c r="AB762" t="s">
        <v>921</v>
      </c>
      <c r="AC762" t="s">
        <v>1007</v>
      </c>
      <c r="AD762" t="s">
        <v>39</v>
      </c>
    </row>
    <row r="763" spans="1:30" hidden="1" x14ac:dyDescent="0.25">
      <c r="A763">
        <v>247</v>
      </c>
      <c r="B763" t="s">
        <v>310</v>
      </c>
      <c r="C763">
        <v>8</v>
      </c>
      <c r="D763">
        <v>124</v>
      </c>
      <c r="E763">
        <v>2523</v>
      </c>
      <c r="F763" t="s">
        <v>77</v>
      </c>
      <c r="G763" t="s">
        <v>746</v>
      </c>
      <c r="H763">
        <v>2</v>
      </c>
      <c r="I763">
        <v>39.29</v>
      </c>
      <c r="J763" t="s">
        <v>839</v>
      </c>
      <c r="K763" t="s">
        <v>812</v>
      </c>
      <c r="M763" t="s">
        <v>1085</v>
      </c>
      <c r="P763" t="s">
        <v>924</v>
      </c>
      <c r="Q763" t="s">
        <v>28</v>
      </c>
      <c r="R763" t="s">
        <v>81</v>
      </c>
      <c r="W763">
        <v>2</v>
      </c>
      <c r="X763" s="24">
        <v>46032</v>
      </c>
      <c r="Z763" t="s">
        <v>38</v>
      </c>
      <c r="AB763" t="s">
        <v>921</v>
      </c>
      <c r="AC763" t="s">
        <v>1007</v>
      </c>
      <c r="AD763" t="s">
        <v>39</v>
      </c>
    </row>
    <row r="764" spans="1:30" hidden="1" x14ac:dyDescent="0.25">
      <c r="A764">
        <v>248</v>
      </c>
      <c r="B764" t="s">
        <v>349</v>
      </c>
      <c r="C764">
        <v>8</v>
      </c>
      <c r="D764">
        <v>124</v>
      </c>
      <c r="E764">
        <v>2523</v>
      </c>
      <c r="F764" t="s">
        <v>77</v>
      </c>
      <c r="G764" t="s">
        <v>746</v>
      </c>
      <c r="H764">
        <v>4</v>
      </c>
      <c r="I764">
        <v>78.59</v>
      </c>
      <c r="J764" t="s">
        <v>839</v>
      </c>
      <c r="K764" t="s">
        <v>812</v>
      </c>
      <c r="M764" t="s">
        <v>1085</v>
      </c>
      <c r="P764" t="s">
        <v>924</v>
      </c>
      <c r="Q764" t="s">
        <v>28</v>
      </c>
      <c r="R764" t="s">
        <v>81</v>
      </c>
      <c r="W764">
        <v>2</v>
      </c>
      <c r="X764" s="24">
        <v>46032</v>
      </c>
      <c r="Z764" t="s">
        <v>38</v>
      </c>
      <c r="AB764" t="s">
        <v>921</v>
      </c>
      <c r="AC764" t="s">
        <v>1007</v>
      </c>
      <c r="AD764" t="s">
        <v>39</v>
      </c>
    </row>
    <row r="765" spans="1:30" hidden="1" x14ac:dyDescent="0.25">
      <c r="A765">
        <v>249</v>
      </c>
      <c r="B765" t="s">
        <v>350</v>
      </c>
      <c r="C765">
        <v>8</v>
      </c>
      <c r="D765">
        <v>150</v>
      </c>
      <c r="E765">
        <v>601</v>
      </c>
      <c r="F765" t="s">
        <v>77</v>
      </c>
      <c r="G765" t="s">
        <v>746</v>
      </c>
      <c r="H765">
        <v>4</v>
      </c>
      <c r="I765">
        <v>22.65</v>
      </c>
      <c r="J765" t="s">
        <v>839</v>
      </c>
      <c r="K765" t="s">
        <v>812</v>
      </c>
      <c r="M765" t="s">
        <v>1085</v>
      </c>
      <c r="P765" t="s">
        <v>924</v>
      </c>
      <c r="Q765" t="s">
        <v>28</v>
      </c>
      <c r="R765" t="s">
        <v>81</v>
      </c>
      <c r="W765">
        <v>2</v>
      </c>
      <c r="X765" s="24">
        <v>46032</v>
      </c>
      <c r="Z765" t="s">
        <v>38</v>
      </c>
      <c r="AB765" t="s">
        <v>921</v>
      </c>
      <c r="AC765" t="s">
        <v>1007</v>
      </c>
      <c r="AD765" t="s">
        <v>39</v>
      </c>
    </row>
    <row r="766" spans="1:30" hidden="1" x14ac:dyDescent="0.25">
      <c r="A766">
        <v>250</v>
      </c>
      <c r="B766" t="s">
        <v>267</v>
      </c>
      <c r="C766">
        <v>8</v>
      </c>
      <c r="D766">
        <v>124</v>
      </c>
      <c r="E766">
        <v>6824</v>
      </c>
      <c r="F766" t="s">
        <v>77</v>
      </c>
      <c r="G766" t="s">
        <v>746</v>
      </c>
      <c r="H766">
        <v>1</v>
      </c>
      <c r="I766">
        <v>53.14</v>
      </c>
      <c r="J766" t="s">
        <v>839</v>
      </c>
      <c r="K766" t="s">
        <v>812</v>
      </c>
      <c r="M766" t="s">
        <v>1085</v>
      </c>
      <c r="P766" t="s">
        <v>924</v>
      </c>
      <c r="Q766" t="s">
        <v>28</v>
      </c>
      <c r="R766" t="s">
        <v>81</v>
      </c>
      <c r="W766">
        <v>2</v>
      </c>
      <c r="X766" s="24">
        <v>46032</v>
      </c>
      <c r="Z766" t="s">
        <v>38</v>
      </c>
      <c r="AB766" t="s">
        <v>921</v>
      </c>
      <c r="AC766" t="s">
        <v>1007</v>
      </c>
      <c r="AD766" t="s">
        <v>39</v>
      </c>
    </row>
    <row r="767" spans="1:30" hidden="1" x14ac:dyDescent="0.25">
      <c r="A767">
        <v>251</v>
      </c>
      <c r="B767" t="s">
        <v>235</v>
      </c>
      <c r="C767">
        <v>8</v>
      </c>
      <c r="D767">
        <v>150</v>
      </c>
      <c r="E767">
        <v>792</v>
      </c>
      <c r="F767" t="s">
        <v>77</v>
      </c>
      <c r="G767" t="s">
        <v>746</v>
      </c>
      <c r="H767">
        <v>2</v>
      </c>
      <c r="I767">
        <v>14.92</v>
      </c>
      <c r="J767" t="s">
        <v>839</v>
      </c>
      <c r="K767" t="s">
        <v>812</v>
      </c>
      <c r="M767" t="s">
        <v>1085</v>
      </c>
      <c r="P767" t="s">
        <v>924</v>
      </c>
      <c r="Q767" t="s">
        <v>28</v>
      </c>
      <c r="R767" t="s">
        <v>81</v>
      </c>
      <c r="W767">
        <v>2</v>
      </c>
      <c r="X767" s="24">
        <v>46032</v>
      </c>
      <c r="Z767" t="s">
        <v>38</v>
      </c>
      <c r="AB767" t="s">
        <v>921</v>
      </c>
      <c r="AC767" t="s">
        <v>1007</v>
      </c>
      <c r="AD767" t="s">
        <v>39</v>
      </c>
    </row>
    <row r="768" spans="1:30" hidden="1" x14ac:dyDescent="0.25">
      <c r="A768">
        <v>252</v>
      </c>
      <c r="B768" t="s">
        <v>352</v>
      </c>
      <c r="C768">
        <v>8</v>
      </c>
      <c r="D768">
        <v>142</v>
      </c>
      <c r="E768">
        <v>1799</v>
      </c>
      <c r="F768" t="s">
        <v>77</v>
      </c>
      <c r="G768" t="s">
        <v>746</v>
      </c>
      <c r="H768">
        <v>2</v>
      </c>
      <c r="I768">
        <v>32.090000000000003</v>
      </c>
      <c r="J768" t="s">
        <v>839</v>
      </c>
      <c r="K768" t="s">
        <v>812</v>
      </c>
      <c r="M768" t="s">
        <v>1085</v>
      </c>
      <c r="P768" t="s">
        <v>924</v>
      </c>
      <c r="R768" t="s">
        <v>81</v>
      </c>
      <c r="U768" t="s">
        <v>81</v>
      </c>
      <c r="W768">
        <v>2</v>
      </c>
      <c r="X768" s="24">
        <v>46032</v>
      </c>
      <c r="Z768" t="s">
        <v>38</v>
      </c>
      <c r="AB768" t="s">
        <v>921</v>
      </c>
      <c r="AC768" t="s">
        <v>1007</v>
      </c>
      <c r="AD768" t="s">
        <v>39</v>
      </c>
    </row>
    <row r="769" spans="1:30" hidden="1" x14ac:dyDescent="0.25">
      <c r="A769">
        <v>253</v>
      </c>
      <c r="B769" t="s">
        <v>341</v>
      </c>
      <c r="C769">
        <v>8</v>
      </c>
      <c r="D769">
        <v>74</v>
      </c>
      <c r="E769">
        <v>172</v>
      </c>
      <c r="F769" t="s">
        <v>77</v>
      </c>
      <c r="G769" t="s">
        <v>746</v>
      </c>
      <c r="H769">
        <v>1</v>
      </c>
      <c r="I769">
        <v>0.53</v>
      </c>
      <c r="J769" t="s">
        <v>839</v>
      </c>
      <c r="K769" t="s">
        <v>812</v>
      </c>
      <c r="M769" t="s">
        <v>1085</v>
      </c>
      <c r="P769" t="s">
        <v>924</v>
      </c>
      <c r="Q769" t="s">
        <v>26</v>
      </c>
      <c r="S769" t="s">
        <v>81</v>
      </c>
      <c r="W769">
        <v>2</v>
      </c>
      <c r="X769" s="24">
        <v>46032</v>
      </c>
      <c r="Z769" t="s">
        <v>38</v>
      </c>
      <c r="AB769" t="s">
        <v>921</v>
      </c>
      <c r="AC769" t="s">
        <v>1009</v>
      </c>
      <c r="AD769" t="s">
        <v>355</v>
      </c>
    </row>
    <row r="770" spans="1:30" hidden="1" x14ac:dyDescent="0.25">
      <c r="A770">
        <v>254</v>
      </c>
      <c r="B770" t="s">
        <v>357</v>
      </c>
      <c r="C770">
        <v>8</v>
      </c>
      <c r="D770">
        <v>74</v>
      </c>
      <c r="E770">
        <v>172</v>
      </c>
      <c r="F770" t="s">
        <v>77</v>
      </c>
      <c r="G770" t="s">
        <v>746</v>
      </c>
      <c r="H770">
        <v>6</v>
      </c>
      <c r="I770">
        <v>3.2</v>
      </c>
      <c r="J770" t="s">
        <v>839</v>
      </c>
      <c r="K770" t="s">
        <v>812</v>
      </c>
      <c r="M770" t="s">
        <v>1085</v>
      </c>
      <c r="P770" t="s">
        <v>924</v>
      </c>
      <c r="Q770" t="s">
        <v>26</v>
      </c>
      <c r="S770" t="s">
        <v>81</v>
      </c>
      <c r="W770">
        <v>2</v>
      </c>
      <c r="X770" s="24">
        <v>46032</v>
      </c>
      <c r="Z770" t="s">
        <v>38</v>
      </c>
      <c r="AB770" t="s">
        <v>921</v>
      </c>
      <c r="AC770" t="s">
        <v>1009</v>
      </c>
      <c r="AD770" t="s">
        <v>355</v>
      </c>
    </row>
    <row r="771" spans="1:30" hidden="1" x14ac:dyDescent="0.25">
      <c r="A771">
        <v>255</v>
      </c>
      <c r="B771" t="s">
        <v>347</v>
      </c>
      <c r="C771">
        <v>8</v>
      </c>
      <c r="D771">
        <v>90</v>
      </c>
      <c r="E771">
        <v>150</v>
      </c>
      <c r="F771" t="s">
        <v>77</v>
      </c>
      <c r="G771" t="s">
        <v>746</v>
      </c>
      <c r="H771">
        <v>1</v>
      </c>
      <c r="I771">
        <v>0.62</v>
      </c>
      <c r="J771" t="s">
        <v>839</v>
      </c>
      <c r="K771" t="s">
        <v>812</v>
      </c>
      <c r="M771" t="s">
        <v>1085</v>
      </c>
      <c r="P771" t="s">
        <v>924</v>
      </c>
      <c r="Q771" t="s">
        <v>26</v>
      </c>
      <c r="S771" t="s">
        <v>81</v>
      </c>
      <c r="W771">
        <v>2</v>
      </c>
      <c r="X771" s="24">
        <v>46032</v>
      </c>
      <c r="Z771" t="s">
        <v>38</v>
      </c>
      <c r="AB771" t="s">
        <v>921</v>
      </c>
      <c r="AC771" t="s">
        <v>1009</v>
      </c>
      <c r="AD771" t="s">
        <v>355</v>
      </c>
    </row>
    <row r="772" spans="1:30" hidden="1" x14ac:dyDescent="0.25">
      <c r="A772">
        <v>256</v>
      </c>
      <c r="B772" t="s">
        <v>348</v>
      </c>
      <c r="C772">
        <v>8</v>
      </c>
      <c r="D772">
        <v>158</v>
      </c>
      <c r="E772">
        <v>228</v>
      </c>
      <c r="F772" t="s">
        <v>77</v>
      </c>
      <c r="G772" t="s">
        <v>746</v>
      </c>
      <c r="H772">
        <v>3</v>
      </c>
      <c r="I772">
        <v>6.64</v>
      </c>
      <c r="J772" t="s">
        <v>839</v>
      </c>
      <c r="K772" t="s">
        <v>812</v>
      </c>
      <c r="M772" t="s">
        <v>1085</v>
      </c>
      <c r="P772" t="s">
        <v>924</v>
      </c>
      <c r="Q772" t="s">
        <v>26</v>
      </c>
      <c r="S772" t="s">
        <v>81</v>
      </c>
      <c r="W772">
        <v>2</v>
      </c>
      <c r="X772" s="24">
        <v>46032</v>
      </c>
      <c r="Z772" t="s">
        <v>38</v>
      </c>
      <c r="AB772" t="s">
        <v>921</v>
      </c>
      <c r="AC772" t="s">
        <v>1009</v>
      </c>
      <c r="AD772" t="s">
        <v>355</v>
      </c>
    </row>
    <row r="773" spans="1:30" hidden="1" x14ac:dyDescent="0.25">
      <c r="A773">
        <v>257</v>
      </c>
      <c r="B773" t="s">
        <v>358</v>
      </c>
      <c r="C773">
        <v>10</v>
      </c>
      <c r="D773">
        <v>350</v>
      </c>
      <c r="E773">
        <v>12000</v>
      </c>
      <c r="F773" t="s">
        <v>77</v>
      </c>
      <c r="G773" t="s">
        <v>746</v>
      </c>
      <c r="H773">
        <v>1</v>
      </c>
      <c r="I773">
        <v>329.7</v>
      </c>
      <c r="J773" t="s">
        <v>839</v>
      </c>
      <c r="K773" t="s">
        <v>812</v>
      </c>
      <c r="M773" t="s">
        <v>1085</v>
      </c>
      <c r="P773" t="s">
        <v>924</v>
      </c>
      <c r="Q773" t="s">
        <v>28</v>
      </c>
      <c r="R773" t="s">
        <v>81</v>
      </c>
      <c r="V773" t="s">
        <v>81</v>
      </c>
      <c r="W773">
        <v>2</v>
      </c>
      <c r="X773" s="24">
        <v>46032</v>
      </c>
      <c r="Z773" t="s">
        <v>38</v>
      </c>
      <c r="AB773" t="s">
        <v>921</v>
      </c>
      <c r="AC773" t="s">
        <v>1011</v>
      </c>
      <c r="AD773" t="s">
        <v>39</v>
      </c>
    </row>
    <row r="774" spans="1:30" hidden="1" x14ac:dyDescent="0.25">
      <c r="A774">
        <v>258</v>
      </c>
      <c r="B774" t="s">
        <v>363</v>
      </c>
      <c r="C774">
        <v>10</v>
      </c>
      <c r="D774">
        <v>350</v>
      </c>
      <c r="E774">
        <v>12000</v>
      </c>
      <c r="F774" t="s">
        <v>77</v>
      </c>
      <c r="G774" t="s">
        <v>746</v>
      </c>
      <c r="H774">
        <v>1</v>
      </c>
      <c r="I774">
        <v>329.7</v>
      </c>
      <c r="J774" t="s">
        <v>839</v>
      </c>
      <c r="K774" t="s">
        <v>812</v>
      </c>
      <c r="M774" t="s">
        <v>1085</v>
      </c>
      <c r="P774" t="s">
        <v>924</v>
      </c>
      <c r="Q774" t="s">
        <v>28</v>
      </c>
      <c r="R774" t="s">
        <v>81</v>
      </c>
      <c r="V774" t="s">
        <v>81</v>
      </c>
      <c r="W774">
        <v>2</v>
      </c>
      <c r="X774" s="24">
        <v>46032</v>
      </c>
      <c r="Z774" t="s">
        <v>38</v>
      </c>
      <c r="AB774" t="s">
        <v>921</v>
      </c>
      <c r="AC774" t="s">
        <v>1011</v>
      </c>
      <c r="AD774" t="s">
        <v>39</v>
      </c>
    </row>
    <row r="775" spans="1:30" hidden="1" x14ac:dyDescent="0.25">
      <c r="A775">
        <v>259</v>
      </c>
      <c r="B775" t="s">
        <v>364</v>
      </c>
      <c r="C775">
        <v>10</v>
      </c>
      <c r="D775">
        <v>380</v>
      </c>
      <c r="E775">
        <v>12000</v>
      </c>
      <c r="F775" t="s">
        <v>77</v>
      </c>
      <c r="G775" t="s">
        <v>746</v>
      </c>
      <c r="H775">
        <v>2</v>
      </c>
      <c r="I775">
        <v>715.91</v>
      </c>
      <c r="J775" t="s">
        <v>839</v>
      </c>
      <c r="K775" t="s">
        <v>812</v>
      </c>
      <c r="M775" t="s">
        <v>1085</v>
      </c>
      <c r="P775" t="s">
        <v>924</v>
      </c>
      <c r="Q775" t="s">
        <v>28</v>
      </c>
      <c r="R775" t="s">
        <v>81</v>
      </c>
      <c r="W775">
        <v>2</v>
      </c>
      <c r="X775" s="24">
        <v>46032</v>
      </c>
      <c r="Z775" t="s">
        <v>38</v>
      </c>
      <c r="AB775" t="s">
        <v>921</v>
      </c>
      <c r="AC775" t="s">
        <v>1011</v>
      </c>
      <c r="AD775" t="s">
        <v>39</v>
      </c>
    </row>
    <row r="776" spans="1:30" hidden="1" x14ac:dyDescent="0.25">
      <c r="A776">
        <v>260</v>
      </c>
      <c r="B776" t="s">
        <v>366</v>
      </c>
      <c r="C776">
        <v>10</v>
      </c>
      <c r="D776">
        <v>380</v>
      </c>
      <c r="E776">
        <v>12000</v>
      </c>
      <c r="F776" t="s">
        <v>77</v>
      </c>
      <c r="G776" t="s">
        <v>746</v>
      </c>
      <c r="H776">
        <v>2</v>
      </c>
      <c r="I776">
        <v>715.91</v>
      </c>
      <c r="J776" t="s">
        <v>839</v>
      </c>
      <c r="K776" t="s">
        <v>812</v>
      </c>
      <c r="M776" t="s">
        <v>1085</v>
      </c>
      <c r="P776" t="s">
        <v>924</v>
      </c>
      <c r="Q776" t="s">
        <v>28</v>
      </c>
      <c r="R776" t="s">
        <v>81</v>
      </c>
      <c r="W776">
        <v>2</v>
      </c>
      <c r="X776" s="24">
        <v>46032</v>
      </c>
      <c r="Z776" t="s">
        <v>38</v>
      </c>
      <c r="AB776" t="s">
        <v>921</v>
      </c>
      <c r="AC776" t="s">
        <v>1013</v>
      </c>
      <c r="AD776" t="s">
        <v>39</v>
      </c>
    </row>
    <row r="777" spans="1:30" hidden="1" x14ac:dyDescent="0.25">
      <c r="A777">
        <v>261</v>
      </c>
      <c r="B777" t="s">
        <v>369</v>
      </c>
      <c r="C777">
        <v>10</v>
      </c>
      <c r="D777">
        <v>350</v>
      </c>
      <c r="E777">
        <v>12000</v>
      </c>
      <c r="F777" t="s">
        <v>77</v>
      </c>
      <c r="G777" t="s">
        <v>746</v>
      </c>
      <c r="H777">
        <v>1</v>
      </c>
      <c r="I777">
        <v>329.7</v>
      </c>
      <c r="J777" t="s">
        <v>839</v>
      </c>
      <c r="K777" t="s">
        <v>812</v>
      </c>
      <c r="M777" t="s">
        <v>1085</v>
      </c>
      <c r="P777" t="s">
        <v>924</v>
      </c>
      <c r="Q777" t="s">
        <v>28</v>
      </c>
      <c r="R777" t="s">
        <v>81</v>
      </c>
      <c r="V777" t="s">
        <v>81</v>
      </c>
      <c r="W777">
        <v>2</v>
      </c>
      <c r="X777" s="24">
        <v>46032</v>
      </c>
      <c r="Z777" t="s">
        <v>38</v>
      </c>
      <c r="AB777" t="s">
        <v>921</v>
      </c>
      <c r="AC777" t="s">
        <v>1013</v>
      </c>
      <c r="AD777" t="s">
        <v>39</v>
      </c>
    </row>
    <row r="778" spans="1:30" hidden="1" x14ac:dyDescent="0.25">
      <c r="A778">
        <v>262</v>
      </c>
      <c r="B778" t="s">
        <v>370</v>
      </c>
      <c r="C778">
        <v>10</v>
      </c>
      <c r="D778">
        <v>350</v>
      </c>
      <c r="E778">
        <v>12000</v>
      </c>
      <c r="F778" t="s">
        <v>77</v>
      </c>
      <c r="G778" t="s">
        <v>746</v>
      </c>
      <c r="H778">
        <v>1</v>
      </c>
      <c r="I778">
        <v>329.7</v>
      </c>
      <c r="J778" t="s">
        <v>839</v>
      </c>
      <c r="K778" t="s">
        <v>812</v>
      </c>
      <c r="M778" t="s">
        <v>1085</v>
      </c>
      <c r="P778" t="s">
        <v>924</v>
      </c>
      <c r="Q778" t="s">
        <v>28</v>
      </c>
      <c r="R778" t="s">
        <v>81</v>
      </c>
      <c r="V778" t="s">
        <v>81</v>
      </c>
      <c r="W778">
        <v>2</v>
      </c>
      <c r="X778" s="24">
        <v>46032</v>
      </c>
      <c r="Z778" t="s">
        <v>38</v>
      </c>
      <c r="AB778" t="s">
        <v>921</v>
      </c>
      <c r="AC778" t="s">
        <v>1013</v>
      </c>
      <c r="AD778" t="s">
        <v>39</v>
      </c>
    </row>
    <row r="779" spans="1:30" hidden="1" x14ac:dyDescent="0.25">
      <c r="A779">
        <v>263</v>
      </c>
      <c r="B779" t="s">
        <v>371</v>
      </c>
      <c r="C779">
        <v>10</v>
      </c>
      <c r="D779">
        <v>350</v>
      </c>
      <c r="E779">
        <v>12000</v>
      </c>
      <c r="F779" t="s">
        <v>77</v>
      </c>
      <c r="G779" t="s">
        <v>746</v>
      </c>
      <c r="H779">
        <v>2</v>
      </c>
      <c r="I779">
        <v>659.41</v>
      </c>
      <c r="J779" t="s">
        <v>839</v>
      </c>
      <c r="K779" t="s">
        <v>812</v>
      </c>
      <c r="M779" t="s">
        <v>1085</v>
      </c>
      <c r="P779" t="s">
        <v>924</v>
      </c>
      <c r="Q779" t="s">
        <v>28</v>
      </c>
      <c r="R779" t="s">
        <v>81</v>
      </c>
      <c r="V779" t="s">
        <v>81</v>
      </c>
      <c r="W779">
        <v>2</v>
      </c>
      <c r="X779" s="24">
        <v>46032</v>
      </c>
      <c r="Z779" t="s">
        <v>38</v>
      </c>
      <c r="AB779" t="s">
        <v>921</v>
      </c>
      <c r="AC779" t="s">
        <v>1015</v>
      </c>
      <c r="AD779" t="s">
        <v>39</v>
      </c>
    </row>
    <row r="780" spans="1:30" hidden="1" x14ac:dyDescent="0.25">
      <c r="A780">
        <v>264</v>
      </c>
      <c r="B780" t="s">
        <v>366</v>
      </c>
      <c r="C780">
        <v>10</v>
      </c>
      <c r="D780">
        <v>380</v>
      </c>
      <c r="E780">
        <v>12000</v>
      </c>
      <c r="F780" t="s">
        <v>77</v>
      </c>
      <c r="G780" t="s">
        <v>746</v>
      </c>
      <c r="H780">
        <v>2</v>
      </c>
      <c r="I780">
        <v>715.91</v>
      </c>
      <c r="J780" t="s">
        <v>839</v>
      </c>
      <c r="K780" t="s">
        <v>812</v>
      </c>
      <c r="M780" t="s">
        <v>1085</v>
      </c>
      <c r="P780" t="s">
        <v>924</v>
      </c>
      <c r="Q780" t="s">
        <v>28</v>
      </c>
      <c r="R780" t="s">
        <v>81</v>
      </c>
      <c r="W780">
        <v>2</v>
      </c>
      <c r="X780" s="24">
        <v>46032</v>
      </c>
      <c r="Z780" t="s">
        <v>38</v>
      </c>
      <c r="AB780" t="s">
        <v>921</v>
      </c>
      <c r="AC780" t="s">
        <v>1015</v>
      </c>
      <c r="AD780" t="s">
        <v>39</v>
      </c>
    </row>
    <row r="781" spans="1:30" hidden="1" x14ac:dyDescent="0.25">
      <c r="A781">
        <v>265</v>
      </c>
      <c r="B781" t="s">
        <v>374</v>
      </c>
      <c r="C781">
        <v>10</v>
      </c>
      <c r="D781">
        <v>380</v>
      </c>
      <c r="E781">
        <v>12000</v>
      </c>
      <c r="F781" t="s">
        <v>77</v>
      </c>
      <c r="G781" t="s">
        <v>746</v>
      </c>
      <c r="H781">
        <v>2</v>
      </c>
      <c r="I781">
        <v>715.91</v>
      </c>
      <c r="J781" t="s">
        <v>839</v>
      </c>
      <c r="K781" t="s">
        <v>812</v>
      </c>
      <c r="M781" t="s">
        <v>1085</v>
      </c>
      <c r="P781" t="s">
        <v>924</v>
      </c>
      <c r="Q781" t="s">
        <v>28</v>
      </c>
      <c r="R781" t="s">
        <v>81</v>
      </c>
      <c r="W781">
        <v>2</v>
      </c>
      <c r="X781" s="24">
        <v>46032</v>
      </c>
      <c r="Z781" t="s">
        <v>38</v>
      </c>
      <c r="AB781" t="s">
        <v>921</v>
      </c>
      <c r="AC781" t="s">
        <v>1017</v>
      </c>
      <c r="AD781" t="s">
        <v>39</v>
      </c>
    </row>
    <row r="782" spans="1:30" hidden="1" x14ac:dyDescent="0.25">
      <c r="A782">
        <v>266</v>
      </c>
      <c r="B782" t="s">
        <v>377</v>
      </c>
      <c r="C782">
        <v>10</v>
      </c>
      <c r="D782">
        <v>230</v>
      </c>
      <c r="E782">
        <v>12000</v>
      </c>
      <c r="F782" t="s">
        <v>77</v>
      </c>
      <c r="G782" t="s">
        <v>746</v>
      </c>
      <c r="H782">
        <v>3</v>
      </c>
      <c r="I782">
        <v>649.98</v>
      </c>
      <c r="J782" t="s">
        <v>839</v>
      </c>
      <c r="K782" t="s">
        <v>812</v>
      </c>
      <c r="M782" t="s">
        <v>1085</v>
      </c>
      <c r="P782" t="s">
        <v>924</v>
      </c>
      <c r="Q782" t="s">
        <v>28</v>
      </c>
      <c r="R782" t="s">
        <v>81</v>
      </c>
      <c r="W782">
        <v>2</v>
      </c>
      <c r="X782" s="24">
        <v>46032</v>
      </c>
      <c r="Z782" t="s">
        <v>38</v>
      </c>
      <c r="AB782" t="s">
        <v>921</v>
      </c>
      <c r="AC782" t="s">
        <v>1017</v>
      </c>
      <c r="AD782" t="s">
        <v>39</v>
      </c>
    </row>
    <row r="783" spans="1:30" hidden="1" x14ac:dyDescent="0.25">
      <c r="A783">
        <v>267</v>
      </c>
      <c r="B783" t="s">
        <v>379</v>
      </c>
      <c r="C783">
        <v>10</v>
      </c>
      <c r="D783">
        <v>230</v>
      </c>
      <c r="E783">
        <v>9518</v>
      </c>
      <c r="F783" t="s">
        <v>77</v>
      </c>
      <c r="G783" t="s">
        <v>746</v>
      </c>
      <c r="H783">
        <v>2</v>
      </c>
      <c r="I783">
        <v>343.69</v>
      </c>
      <c r="J783" t="s">
        <v>839</v>
      </c>
      <c r="K783" t="s">
        <v>812</v>
      </c>
      <c r="M783" t="s">
        <v>1085</v>
      </c>
      <c r="P783" t="s">
        <v>924</v>
      </c>
      <c r="Q783" t="s">
        <v>28</v>
      </c>
      <c r="R783" t="s">
        <v>81</v>
      </c>
      <c r="W783">
        <v>2</v>
      </c>
      <c r="X783" s="24">
        <v>46032</v>
      </c>
      <c r="Z783" t="s">
        <v>38</v>
      </c>
      <c r="AB783" t="s">
        <v>921</v>
      </c>
      <c r="AC783" t="s">
        <v>1019</v>
      </c>
      <c r="AD783" t="s">
        <v>39</v>
      </c>
    </row>
    <row r="784" spans="1:30" hidden="1" x14ac:dyDescent="0.25">
      <c r="A784">
        <v>268</v>
      </c>
      <c r="B784" t="s">
        <v>383</v>
      </c>
      <c r="C784">
        <v>10</v>
      </c>
      <c r="D784">
        <v>375</v>
      </c>
      <c r="E784">
        <v>500</v>
      </c>
      <c r="F784" t="s">
        <v>77</v>
      </c>
      <c r="G784" t="s">
        <v>746</v>
      </c>
      <c r="H784">
        <v>4</v>
      </c>
      <c r="I784">
        <v>58.88</v>
      </c>
      <c r="J784" t="s">
        <v>839</v>
      </c>
      <c r="K784" t="s">
        <v>812</v>
      </c>
      <c r="M784" t="s">
        <v>1085</v>
      </c>
      <c r="P784" t="s">
        <v>924</v>
      </c>
      <c r="Q784" t="s">
        <v>26</v>
      </c>
      <c r="R784" t="s">
        <v>81</v>
      </c>
      <c r="W784">
        <v>2</v>
      </c>
      <c r="X784" s="24">
        <v>46032</v>
      </c>
      <c r="Z784" t="s">
        <v>38</v>
      </c>
      <c r="AB784" t="s">
        <v>921</v>
      </c>
      <c r="AC784" t="s">
        <v>1019</v>
      </c>
      <c r="AD784" t="s">
        <v>39</v>
      </c>
    </row>
    <row r="785" spans="1:30" hidden="1" x14ac:dyDescent="0.25">
      <c r="A785">
        <v>269</v>
      </c>
      <c r="B785" t="s">
        <v>385</v>
      </c>
      <c r="C785">
        <v>10</v>
      </c>
      <c r="D785">
        <v>375</v>
      </c>
      <c r="E785">
        <v>500</v>
      </c>
      <c r="F785" t="s">
        <v>77</v>
      </c>
      <c r="G785" t="s">
        <v>746</v>
      </c>
      <c r="H785">
        <v>2</v>
      </c>
      <c r="I785">
        <v>29.44</v>
      </c>
      <c r="J785" t="s">
        <v>839</v>
      </c>
      <c r="K785" t="s">
        <v>812</v>
      </c>
      <c r="M785" t="s">
        <v>1085</v>
      </c>
      <c r="P785" t="s">
        <v>924</v>
      </c>
      <c r="Q785" t="s">
        <v>26</v>
      </c>
      <c r="R785" t="s">
        <v>81</v>
      </c>
      <c r="W785">
        <v>2</v>
      </c>
      <c r="X785" s="24">
        <v>46032</v>
      </c>
      <c r="Z785" t="s">
        <v>38</v>
      </c>
      <c r="AB785" t="s">
        <v>921</v>
      </c>
      <c r="AC785" t="s">
        <v>1019</v>
      </c>
      <c r="AD785" t="s">
        <v>39</v>
      </c>
    </row>
    <row r="786" spans="1:30" hidden="1" x14ac:dyDescent="0.25">
      <c r="A786">
        <v>270</v>
      </c>
      <c r="B786" t="s">
        <v>386</v>
      </c>
      <c r="C786">
        <v>10</v>
      </c>
      <c r="D786">
        <v>148</v>
      </c>
      <c r="E786">
        <v>441</v>
      </c>
      <c r="F786" t="s">
        <v>77</v>
      </c>
      <c r="G786" t="s">
        <v>746</v>
      </c>
      <c r="H786">
        <v>1</v>
      </c>
      <c r="I786">
        <v>5.0599999999999996</v>
      </c>
      <c r="J786" t="s">
        <v>839</v>
      </c>
      <c r="K786" t="s">
        <v>812</v>
      </c>
      <c r="M786" t="s">
        <v>1085</v>
      </c>
      <c r="P786" t="s">
        <v>924</v>
      </c>
      <c r="Q786" t="s">
        <v>26</v>
      </c>
      <c r="R786" t="s">
        <v>81</v>
      </c>
      <c r="W786">
        <v>2</v>
      </c>
      <c r="X786" s="24">
        <v>46032</v>
      </c>
      <c r="Z786" t="s">
        <v>38</v>
      </c>
      <c r="AB786" t="s">
        <v>921</v>
      </c>
      <c r="AC786" t="s">
        <v>1019</v>
      </c>
      <c r="AD786" t="s">
        <v>39</v>
      </c>
    </row>
    <row r="787" spans="1:30" hidden="1" x14ac:dyDescent="0.25">
      <c r="A787">
        <v>271</v>
      </c>
      <c r="B787" t="s">
        <v>388</v>
      </c>
      <c r="C787">
        <v>10</v>
      </c>
      <c r="D787">
        <v>350</v>
      </c>
      <c r="E787">
        <v>12000</v>
      </c>
      <c r="F787" t="s">
        <v>77</v>
      </c>
      <c r="G787" t="s">
        <v>746</v>
      </c>
      <c r="H787">
        <v>2</v>
      </c>
      <c r="I787">
        <v>659.41</v>
      </c>
      <c r="J787" t="s">
        <v>839</v>
      </c>
      <c r="K787" t="s">
        <v>812</v>
      </c>
      <c r="M787" t="s">
        <v>1085</v>
      </c>
      <c r="P787" t="s">
        <v>924</v>
      </c>
      <c r="Q787" t="s">
        <v>28</v>
      </c>
      <c r="R787" t="s">
        <v>81</v>
      </c>
      <c r="V787" t="s">
        <v>81</v>
      </c>
      <c r="W787">
        <v>2</v>
      </c>
      <c r="X787" s="24">
        <v>46032</v>
      </c>
      <c r="Z787" t="s">
        <v>38</v>
      </c>
      <c r="AB787" t="s">
        <v>921</v>
      </c>
      <c r="AC787" t="s">
        <v>1019</v>
      </c>
      <c r="AD787" t="s">
        <v>39</v>
      </c>
    </row>
    <row r="788" spans="1:30" hidden="1" x14ac:dyDescent="0.25">
      <c r="A788">
        <v>272</v>
      </c>
      <c r="B788" t="s">
        <v>377</v>
      </c>
      <c r="C788">
        <v>10</v>
      </c>
      <c r="D788">
        <v>230</v>
      </c>
      <c r="E788">
        <v>12000</v>
      </c>
      <c r="F788" t="s">
        <v>77</v>
      </c>
      <c r="G788" t="s">
        <v>746</v>
      </c>
      <c r="H788">
        <v>1</v>
      </c>
      <c r="I788">
        <v>216.66</v>
      </c>
      <c r="J788" t="s">
        <v>839</v>
      </c>
      <c r="K788" t="s">
        <v>812</v>
      </c>
      <c r="M788" t="s">
        <v>1085</v>
      </c>
      <c r="P788" t="s">
        <v>924</v>
      </c>
      <c r="Q788" t="s">
        <v>28</v>
      </c>
      <c r="R788" t="s">
        <v>81</v>
      </c>
      <c r="W788">
        <v>2</v>
      </c>
      <c r="X788" s="24">
        <v>46032</v>
      </c>
      <c r="Z788" t="s">
        <v>38</v>
      </c>
      <c r="AB788" t="s">
        <v>921</v>
      </c>
      <c r="AC788" t="s">
        <v>1019</v>
      </c>
      <c r="AD788" t="s">
        <v>39</v>
      </c>
    </row>
    <row r="789" spans="1:30" hidden="1" x14ac:dyDescent="0.25">
      <c r="A789">
        <v>273</v>
      </c>
      <c r="B789" t="s">
        <v>389</v>
      </c>
      <c r="C789">
        <v>10</v>
      </c>
      <c r="D789">
        <v>200</v>
      </c>
      <c r="E789">
        <v>9518</v>
      </c>
      <c r="F789" t="s">
        <v>77</v>
      </c>
      <c r="G789" t="s">
        <v>746</v>
      </c>
      <c r="H789">
        <v>3</v>
      </c>
      <c r="I789">
        <v>448.3</v>
      </c>
      <c r="J789" t="s">
        <v>839</v>
      </c>
      <c r="K789" t="s">
        <v>812</v>
      </c>
      <c r="M789" t="s">
        <v>1085</v>
      </c>
      <c r="P789" t="s">
        <v>924</v>
      </c>
      <c r="Q789" t="s">
        <v>28</v>
      </c>
      <c r="R789" t="s">
        <v>81</v>
      </c>
      <c r="W789">
        <v>2</v>
      </c>
      <c r="X789" s="24">
        <v>46032</v>
      </c>
      <c r="Z789" t="s">
        <v>38</v>
      </c>
      <c r="AB789" t="s">
        <v>921</v>
      </c>
      <c r="AC789" t="s">
        <v>1021</v>
      </c>
      <c r="AD789" t="s">
        <v>39</v>
      </c>
    </row>
    <row r="790" spans="1:30" hidden="1" x14ac:dyDescent="0.25">
      <c r="A790">
        <v>274</v>
      </c>
      <c r="B790" t="s">
        <v>379</v>
      </c>
      <c r="C790">
        <v>10</v>
      </c>
      <c r="D790">
        <v>230</v>
      </c>
      <c r="E790">
        <v>9518</v>
      </c>
      <c r="F790" t="s">
        <v>77</v>
      </c>
      <c r="G790" t="s">
        <v>746</v>
      </c>
      <c r="H790">
        <v>2</v>
      </c>
      <c r="I790">
        <v>343.69</v>
      </c>
      <c r="J790" t="s">
        <v>839</v>
      </c>
      <c r="K790" t="s">
        <v>812</v>
      </c>
      <c r="M790" t="s">
        <v>1085</v>
      </c>
      <c r="P790" t="s">
        <v>924</v>
      </c>
      <c r="Q790" t="s">
        <v>28</v>
      </c>
      <c r="R790" t="s">
        <v>81</v>
      </c>
      <c r="W790">
        <v>2</v>
      </c>
      <c r="X790" s="24">
        <v>46032</v>
      </c>
      <c r="Z790" t="s">
        <v>38</v>
      </c>
      <c r="AB790" t="s">
        <v>921</v>
      </c>
      <c r="AC790" t="s">
        <v>1021</v>
      </c>
      <c r="AD790" t="s">
        <v>39</v>
      </c>
    </row>
    <row r="791" spans="1:30" hidden="1" x14ac:dyDescent="0.25">
      <c r="A791">
        <v>275</v>
      </c>
      <c r="B791" t="s">
        <v>393</v>
      </c>
      <c r="C791">
        <v>10</v>
      </c>
      <c r="D791">
        <v>240</v>
      </c>
      <c r="E791">
        <v>375</v>
      </c>
      <c r="F791" t="s">
        <v>77</v>
      </c>
      <c r="G791" t="s">
        <v>746</v>
      </c>
      <c r="H791">
        <v>4</v>
      </c>
      <c r="I791">
        <v>28.26</v>
      </c>
      <c r="J791" t="s">
        <v>839</v>
      </c>
      <c r="K791" t="s">
        <v>812</v>
      </c>
      <c r="M791" t="s">
        <v>1085</v>
      </c>
      <c r="P791" t="s">
        <v>924</v>
      </c>
      <c r="Q791" t="s">
        <v>26</v>
      </c>
      <c r="R791" t="s">
        <v>81</v>
      </c>
      <c r="W791">
        <v>2</v>
      </c>
      <c r="X791" s="24">
        <v>46032</v>
      </c>
      <c r="Z791" t="s">
        <v>38</v>
      </c>
      <c r="AB791" t="s">
        <v>921</v>
      </c>
      <c r="AC791" t="s">
        <v>1021</v>
      </c>
      <c r="AD791" t="s">
        <v>39</v>
      </c>
    </row>
    <row r="792" spans="1:30" hidden="1" x14ac:dyDescent="0.25">
      <c r="A792">
        <v>276</v>
      </c>
      <c r="B792" t="s">
        <v>395</v>
      </c>
      <c r="C792">
        <v>10</v>
      </c>
      <c r="D792">
        <v>240</v>
      </c>
      <c r="E792">
        <v>375</v>
      </c>
      <c r="F792" t="s">
        <v>77</v>
      </c>
      <c r="G792" t="s">
        <v>746</v>
      </c>
      <c r="H792">
        <v>2</v>
      </c>
      <c r="I792">
        <v>14.13</v>
      </c>
      <c r="J792" t="s">
        <v>839</v>
      </c>
      <c r="K792" t="s">
        <v>812</v>
      </c>
      <c r="M792" t="s">
        <v>1085</v>
      </c>
      <c r="P792" t="s">
        <v>924</v>
      </c>
      <c r="Q792" t="s">
        <v>26</v>
      </c>
      <c r="R792" t="s">
        <v>81</v>
      </c>
      <c r="W792">
        <v>2</v>
      </c>
      <c r="X792" s="24">
        <v>46032</v>
      </c>
      <c r="Z792" t="s">
        <v>38</v>
      </c>
      <c r="AB792" t="s">
        <v>921</v>
      </c>
      <c r="AC792" t="s">
        <v>1021</v>
      </c>
      <c r="AD792" t="s">
        <v>39</v>
      </c>
    </row>
    <row r="793" spans="1:30" hidden="1" x14ac:dyDescent="0.25">
      <c r="A793">
        <v>277</v>
      </c>
      <c r="B793" t="s">
        <v>396</v>
      </c>
      <c r="C793">
        <v>10</v>
      </c>
      <c r="D793">
        <v>86</v>
      </c>
      <c r="E793">
        <v>338</v>
      </c>
      <c r="F793" t="s">
        <v>77</v>
      </c>
      <c r="G793" t="s">
        <v>746</v>
      </c>
      <c r="H793">
        <v>4</v>
      </c>
      <c r="I793">
        <v>9.06</v>
      </c>
      <c r="J793" t="s">
        <v>839</v>
      </c>
      <c r="K793" t="s">
        <v>812</v>
      </c>
      <c r="M793" t="s">
        <v>1085</v>
      </c>
      <c r="P793" t="s">
        <v>924</v>
      </c>
      <c r="Q793" t="s">
        <v>26</v>
      </c>
      <c r="R793" t="s">
        <v>81</v>
      </c>
      <c r="W793">
        <v>2</v>
      </c>
      <c r="X793" s="24">
        <v>46032</v>
      </c>
      <c r="Z793" t="s">
        <v>38</v>
      </c>
      <c r="AB793" t="s">
        <v>921</v>
      </c>
      <c r="AC793" t="s">
        <v>1021</v>
      </c>
      <c r="AD793" t="s">
        <v>39</v>
      </c>
    </row>
    <row r="794" spans="1:30" hidden="1" x14ac:dyDescent="0.25">
      <c r="A794">
        <v>278</v>
      </c>
      <c r="B794" t="s">
        <v>386</v>
      </c>
      <c r="C794">
        <v>10</v>
      </c>
      <c r="D794">
        <v>148</v>
      </c>
      <c r="E794">
        <v>441</v>
      </c>
      <c r="F794" t="s">
        <v>77</v>
      </c>
      <c r="G794" t="s">
        <v>746</v>
      </c>
      <c r="H794">
        <v>12</v>
      </c>
      <c r="I794">
        <v>60.73</v>
      </c>
      <c r="J794" t="s">
        <v>839</v>
      </c>
      <c r="K794" t="s">
        <v>812</v>
      </c>
      <c r="M794" t="s">
        <v>1085</v>
      </c>
      <c r="P794" t="s">
        <v>924</v>
      </c>
      <c r="Q794" t="s">
        <v>26</v>
      </c>
      <c r="R794" t="s">
        <v>81</v>
      </c>
      <c r="W794">
        <v>2</v>
      </c>
      <c r="X794" s="24">
        <v>46032</v>
      </c>
      <c r="Z794" t="s">
        <v>38</v>
      </c>
      <c r="AB794" t="s">
        <v>921</v>
      </c>
      <c r="AC794" t="s">
        <v>1021</v>
      </c>
      <c r="AD794" t="s">
        <v>39</v>
      </c>
    </row>
    <row r="795" spans="1:30" hidden="1" x14ac:dyDescent="0.25">
      <c r="A795">
        <v>279</v>
      </c>
      <c r="B795" t="s">
        <v>398</v>
      </c>
      <c r="C795">
        <v>10</v>
      </c>
      <c r="D795">
        <v>200</v>
      </c>
      <c r="E795">
        <v>250</v>
      </c>
      <c r="F795" t="s">
        <v>77</v>
      </c>
      <c r="G795" t="s">
        <v>746</v>
      </c>
      <c r="H795">
        <v>1</v>
      </c>
      <c r="I795">
        <v>3.93</v>
      </c>
      <c r="J795" t="s">
        <v>839</v>
      </c>
      <c r="K795" t="s">
        <v>812</v>
      </c>
      <c r="M795" t="s">
        <v>1085</v>
      </c>
      <c r="P795" t="s">
        <v>924</v>
      </c>
      <c r="Q795" t="s">
        <v>26</v>
      </c>
      <c r="R795" t="s">
        <v>81</v>
      </c>
      <c r="W795">
        <v>2</v>
      </c>
      <c r="X795" s="24">
        <v>46032</v>
      </c>
      <c r="Z795" t="s">
        <v>38</v>
      </c>
      <c r="AB795" t="s">
        <v>921</v>
      </c>
      <c r="AC795" t="s">
        <v>1021</v>
      </c>
      <c r="AD795" t="s">
        <v>39</v>
      </c>
    </row>
    <row r="796" spans="1:30" hidden="1" x14ac:dyDescent="0.25">
      <c r="A796">
        <v>280</v>
      </c>
      <c r="B796" t="s">
        <v>400</v>
      </c>
      <c r="C796">
        <v>10</v>
      </c>
      <c r="D796">
        <v>148</v>
      </c>
      <c r="E796">
        <v>441</v>
      </c>
      <c r="F796" t="s">
        <v>77</v>
      </c>
      <c r="G796" t="s">
        <v>746</v>
      </c>
      <c r="H796">
        <v>10</v>
      </c>
      <c r="I796">
        <v>50.61</v>
      </c>
      <c r="J796" t="s">
        <v>839</v>
      </c>
      <c r="K796" t="s">
        <v>812</v>
      </c>
      <c r="M796" t="s">
        <v>1085</v>
      </c>
      <c r="P796" t="s">
        <v>924</v>
      </c>
      <c r="Q796" t="s">
        <v>26</v>
      </c>
      <c r="R796" t="s">
        <v>81</v>
      </c>
      <c r="W796">
        <v>2</v>
      </c>
      <c r="X796" s="24">
        <v>46032</v>
      </c>
      <c r="Z796" t="s">
        <v>38</v>
      </c>
      <c r="AB796" t="s">
        <v>921</v>
      </c>
      <c r="AC796" t="s">
        <v>1021</v>
      </c>
      <c r="AD796" t="s">
        <v>39</v>
      </c>
    </row>
    <row r="797" spans="1:30" hidden="1" x14ac:dyDescent="0.25">
      <c r="A797">
        <v>281</v>
      </c>
      <c r="B797" t="s">
        <v>401</v>
      </c>
      <c r="C797">
        <v>10</v>
      </c>
      <c r="D797">
        <v>80</v>
      </c>
      <c r="E797">
        <v>120</v>
      </c>
      <c r="F797" t="s">
        <v>77</v>
      </c>
      <c r="G797" t="s">
        <v>746</v>
      </c>
      <c r="H797">
        <v>2</v>
      </c>
      <c r="I797">
        <v>1.45</v>
      </c>
      <c r="J797" t="s">
        <v>839</v>
      </c>
      <c r="K797" t="s">
        <v>812</v>
      </c>
      <c r="M797" t="s">
        <v>1085</v>
      </c>
      <c r="O797" t="s">
        <v>228</v>
      </c>
      <c r="P797" t="s">
        <v>924</v>
      </c>
      <c r="Q797" t="s">
        <v>26</v>
      </c>
      <c r="R797" t="s">
        <v>81</v>
      </c>
      <c r="W797">
        <v>2</v>
      </c>
      <c r="X797" s="24">
        <v>46032</v>
      </c>
      <c r="Z797" t="s">
        <v>38</v>
      </c>
      <c r="AB797" t="s">
        <v>921</v>
      </c>
      <c r="AC797" t="s">
        <v>1021</v>
      </c>
      <c r="AD797" t="s">
        <v>39</v>
      </c>
    </row>
    <row r="798" spans="1:30" hidden="1" x14ac:dyDescent="0.25">
      <c r="A798">
        <v>282</v>
      </c>
      <c r="B798" t="s">
        <v>403</v>
      </c>
      <c r="C798">
        <v>10</v>
      </c>
      <c r="D798">
        <v>148</v>
      </c>
      <c r="E798">
        <v>441</v>
      </c>
      <c r="F798" t="s">
        <v>77</v>
      </c>
      <c r="G798" t="s">
        <v>746</v>
      </c>
      <c r="H798">
        <v>21</v>
      </c>
      <c r="I798">
        <v>106.28</v>
      </c>
      <c r="J798" t="s">
        <v>839</v>
      </c>
      <c r="K798" t="s">
        <v>812</v>
      </c>
      <c r="M798" t="s">
        <v>1085</v>
      </c>
      <c r="P798" t="s">
        <v>924</v>
      </c>
      <c r="Q798" t="s">
        <v>26</v>
      </c>
      <c r="R798" t="s">
        <v>81</v>
      </c>
      <c r="W798">
        <v>2</v>
      </c>
      <c r="X798" s="24">
        <v>46032</v>
      </c>
      <c r="Z798" t="s">
        <v>38</v>
      </c>
      <c r="AB798" t="s">
        <v>921</v>
      </c>
      <c r="AC798" t="s">
        <v>1021</v>
      </c>
      <c r="AD798" t="s">
        <v>39</v>
      </c>
    </row>
    <row r="799" spans="1:30" hidden="1" x14ac:dyDescent="0.25">
      <c r="A799">
        <v>283</v>
      </c>
      <c r="B799" t="s">
        <v>404</v>
      </c>
      <c r="C799">
        <v>10</v>
      </c>
      <c r="D799">
        <v>120</v>
      </c>
      <c r="E799">
        <v>220</v>
      </c>
      <c r="F799" t="s">
        <v>77</v>
      </c>
      <c r="G799" t="s">
        <v>746</v>
      </c>
      <c r="H799">
        <v>1</v>
      </c>
      <c r="I799">
        <v>2.0099999999999998</v>
      </c>
      <c r="J799" t="s">
        <v>839</v>
      </c>
      <c r="K799" t="s">
        <v>812</v>
      </c>
      <c r="M799" t="s">
        <v>1085</v>
      </c>
      <c r="O799" t="s">
        <v>228</v>
      </c>
      <c r="P799" t="s">
        <v>924</v>
      </c>
      <c r="Q799" t="s">
        <v>26</v>
      </c>
      <c r="R799" t="s">
        <v>81</v>
      </c>
      <c r="W799">
        <v>2</v>
      </c>
      <c r="X799" s="24">
        <v>46032</v>
      </c>
      <c r="Z799" t="s">
        <v>38</v>
      </c>
      <c r="AB799" t="s">
        <v>921</v>
      </c>
      <c r="AC799" t="s">
        <v>1021</v>
      </c>
      <c r="AD799" t="s">
        <v>39</v>
      </c>
    </row>
    <row r="800" spans="1:30" hidden="1" x14ac:dyDescent="0.25">
      <c r="A800">
        <v>284</v>
      </c>
      <c r="B800" t="s">
        <v>406</v>
      </c>
      <c r="C800">
        <v>10</v>
      </c>
      <c r="D800">
        <v>380</v>
      </c>
      <c r="E800">
        <v>4577</v>
      </c>
      <c r="F800" t="s">
        <v>77</v>
      </c>
      <c r="G800" t="s">
        <v>746</v>
      </c>
      <c r="H800">
        <v>2</v>
      </c>
      <c r="I800">
        <v>270.14999999999998</v>
      </c>
      <c r="J800" t="s">
        <v>839</v>
      </c>
      <c r="K800" t="s">
        <v>812</v>
      </c>
      <c r="M800" t="s">
        <v>1085</v>
      </c>
      <c r="P800" t="s">
        <v>924</v>
      </c>
      <c r="Q800" t="s">
        <v>28</v>
      </c>
      <c r="R800" t="s">
        <v>81</v>
      </c>
      <c r="W800">
        <v>2</v>
      </c>
      <c r="X800" s="24">
        <v>46032</v>
      </c>
      <c r="Z800" t="s">
        <v>38</v>
      </c>
      <c r="AB800" t="s">
        <v>921</v>
      </c>
      <c r="AC800" t="s">
        <v>1021</v>
      </c>
      <c r="AD800" t="s">
        <v>39</v>
      </c>
    </row>
    <row r="801" spans="1:30" hidden="1" x14ac:dyDescent="0.25">
      <c r="A801">
        <v>285</v>
      </c>
      <c r="B801" t="s">
        <v>408</v>
      </c>
      <c r="C801">
        <v>10</v>
      </c>
      <c r="D801">
        <v>86</v>
      </c>
      <c r="E801">
        <v>338</v>
      </c>
      <c r="F801" t="s">
        <v>77</v>
      </c>
      <c r="G801" t="s">
        <v>746</v>
      </c>
      <c r="H801">
        <v>16</v>
      </c>
      <c r="I801">
        <v>36.229999999999997</v>
      </c>
      <c r="J801" t="s">
        <v>839</v>
      </c>
      <c r="K801" t="s">
        <v>812</v>
      </c>
      <c r="M801" t="s">
        <v>1085</v>
      </c>
      <c r="P801" t="s">
        <v>924</v>
      </c>
      <c r="Q801" t="s">
        <v>26</v>
      </c>
      <c r="R801" t="s">
        <v>81</v>
      </c>
      <c r="W801">
        <v>2</v>
      </c>
      <c r="X801" s="24">
        <v>46032</v>
      </c>
      <c r="Z801" t="s">
        <v>38</v>
      </c>
      <c r="AB801" t="s">
        <v>921</v>
      </c>
      <c r="AC801" t="s">
        <v>1023</v>
      </c>
      <c r="AD801" t="s">
        <v>39</v>
      </c>
    </row>
    <row r="802" spans="1:30" hidden="1" x14ac:dyDescent="0.25">
      <c r="A802">
        <v>286</v>
      </c>
      <c r="B802" t="s">
        <v>411</v>
      </c>
      <c r="C802">
        <v>10</v>
      </c>
      <c r="D802">
        <v>532</v>
      </c>
      <c r="E802">
        <v>4080</v>
      </c>
      <c r="F802" t="s">
        <v>77</v>
      </c>
      <c r="G802" t="s">
        <v>746</v>
      </c>
      <c r="H802">
        <v>2</v>
      </c>
      <c r="I802">
        <v>336.54</v>
      </c>
      <c r="J802" t="s">
        <v>839</v>
      </c>
      <c r="K802" t="s">
        <v>812</v>
      </c>
      <c r="M802" t="s">
        <v>1085</v>
      </c>
      <c r="P802" t="s">
        <v>924</v>
      </c>
      <c r="R802" t="s">
        <v>81</v>
      </c>
      <c r="U802" t="s">
        <v>81</v>
      </c>
      <c r="V802" t="s">
        <v>81</v>
      </c>
      <c r="W802">
        <v>2</v>
      </c>
      <c r="X802" s="24">
        <v>46032</v>
      </c>
      <c r="Z802" t="s">
        <v>38</v>
      </c>
      <c r="AB802" t="s">
        <v>921</v>
      </c>
      <c r="AC802" t="s">
        <v>1023</v>
      </c>
      <c r="AD802" t="s">
        <v>39</v>
      </c>
    </row>
    <row r="803" spans="1:30" hidden="1" x14ac:dyDescent="0.25">
      <c r="A803">
        <v>287</v>
      </c>
      <c r="B803" t="s">
        <v>396</v>
      </c>
      <c r="C803">
        <v>10</v>
      </c>
      <c r="D803">
        <v>86</v>
      </c>
      <c r="E803">
        <v>338</v>
      </c>
      <c r="F803" t="s">
        <v>77</v>
      </c>
      <c r="G803" t="s">
        <v>746</v>
      </c>
      <c r="H803">
        <v>4</v>
      </c>
      <c r="I803">
        <v>9.06</v>
      </c>
      <c r="J803" t="s">
        <v>839</v>
      </c>
      <c r="K803" t="s">
        <v>812</v>
      </c>
      <c r="M803" t="s">
        <v>1085</v>
      </c>
      <c r="P803" t="s">
        <v>924</v>
      </c>
      <c r="Q803" t="s">
        <v>26</v>
      </c>
      <c r="R803" t="s">
        <v>81</v>
      </c>
      <c r="W803">
        <v>2</v>
      </c>
      <c r="X803" s="24">
        <v>46032</v>
      </c>
      <c r="Z803" t="s">
        <v>38</v>
      </c>
      <c r="AB803" t="s">
        <v>921</v>
      </c>
      <c r="AC803" t="s">
        <v>1023</v>
      </c>
      <c r="AD803" t="s">
        <v>39</v>
      </c>
    </row>
    <row r="804" spans="1:30" hidden="1" x14ac:dyDescent="0.25">
      <c r="A804">
        <v>288</v>
      </c>
      <c r="B804" t="s">
        <v>401</v>
      </c>
      <c r="C804">
        <v>10</v>
      </c>
      <c r="D804">
        <v>80</v>
      </c>
      <c r="E804">
        <v>120</v>
      </c>
      <c r="F804" t="s">
        <v>77</v>
      </c>
      <c r="G804" t="s">
        <v>746</v>
      </c>
      <c r="H804">
        <v>1</v>
      </c>
      <c r="I804">
        <v>0.72</v>
      </c>
      <c r="J804" t="s">
        <v>839</v>
      </c>
      <c r="K804" t="s">
        <v>812</v>
      </c>
      <c r="M804" t="s">
        <v>1085</v>
      </c>
      <c r="O804" t="s">
        <v>228</v>
      </c>
      <c r="P804" t="s">
        <v>924</v>
      </c>
      <c r="Q804" t="s">
        <v>26</v>
      </c>
      <c r="R804" t="s">
        <v>81</v>
      </c>
      <c r="W804">
        <v>2</v>
      </c>
      <c r="X804" s="24">
        <v>46032</v>
      </c>
      <c r="Z804" t="s">
        <v>38</v>
      </c>
      <c r="AB804" t="s">
        <v>921</v>
      </c>
      <c r="AC804" t="s">
        <v>1023</v>
      </c>
      <c r="AD804" t="s">
        <v>39</v>
      </c>
    </row>
    <row r="805" spans="1:30" hidden="1" x14ac:dyDescent="0.25">
      <c r="A805">
        <v>289</v>
      </c>
      <c r="B805" t="s">
        <v>413</v>
      </c>
      <c r="C805">
        <v>10</v>
      </c>
      <c r="D805">
        <v>100</v>
      </c>
      <c r="E805">
        <v>100</v>
      </c>
      <c r="F805" t="s">
        <v>77</v>
      </c>
      <c r="G805" t="s">
        <v>746</v>
      </c>
      <c r="H805">
        <v>2</v>
      </c>
      <c r="I805">
        <v>0.79</v>
      </c>
      <c r="J805" t="s">
        <v>839</v>
      </c>
      <c r="K805" t="s">
        <v>812</v>
      </c>
      <c r="M805" t="s">
        <v>1085</v>
      </c>
      <c r="O805" t="s">
        <v>228</v>
      </c>
      <c r="P805" t="s">
        <v>924</v>
      </c>
      <c r="Q805" t="s">
        <v>27</v>
      </c>
      <c r="R805" t="s">
        <v>81</v>
      </c>
      <c r="W805">
        <v>2</v>
      </c>
      <c r="X805" s="24">
        <v>46032</v>
      </c>
      <c r="Z805" t="s">
        <v>38</v>
      </c>
      <c r="AB805" t="s">
        <v>921</v>
      </c>
      <c r="AC805" t="s">
        <v>1023</v>
      </c>
      <c r="AD805" t="s">
        <v>39</v>
      </c>
    </row>
    <row r="806" spans="1:30" hidden="1" x14ac:dyDescent="0.25">
      <c r="A806">
        <v>290</v>
      </c>
      <c r="B806" t="s">
        <v>415</v>
      </c>
      <c r="C806">
        <v>10</v>
      </c>
      <c r="D806">
        <v>100</v>
      </c>
      <c r="E806">
        <v>100</v>
      </c>
      <c r="F806" t="s">
        <v>77</v>
      </c>
      <c r="G806" t="s">
        <v>746</v>
      </c>
      <c r="H806">
        <v>4</v>
      </c>
      <c r="I806">
        <v>1.58</v>
      </c>
      <c r="J806" t="s">
        <v>839</v>
      </c>
      <c r="K806" t="s">
        <v>812</v>
      </c>
      <c r="M806" t="s">
        <v>1085</v>
      </c>
      <c r="O806" t="s">
        <v>228</v>
      </c>
      <c r="P806" t="s">
        <v>924</v>
      </c>
      <c r="Q806" t="s">
        <v>27</v>
      </c>
      <c r="R806" t="s">
        <v>81</v>
      </c>
      <c r="W806">
        <v>2</v>
      </c>
      <c r="X806" s="24">
        <v>46032</v>
      </c>
      <c r="Z806" t="s">
        <v>38</v>
      </c>
      <c r="AB806" t="s">
        <v>921</v>
      </c>
      <c r="AC806" t="s">
        <v>1023</v>
      </c>
      <c r="AD806" t="s">
        <v>39</v>
      </c>
    </row>
    <row r="807" spans="1:30" hidden="1" x14ac:dyDescent="0.25">
      <c r="A807">
        <v>291</v>
      </c>
      <c r="B807" t="s">
        <v>404</v>
      </c>
      <c r="C807">
        <v>10</v>
      </c>
      <c r="D807">
        <v>120</v>
      </c>
      <c r="E807">
        <v>220</v>
      </c>
      <c r="F807" t="s">
        <v>77</v>
      </c>
      <c r="G807" t="s">
        <v>746</v>
      </c>
      <c r="H807">
        <v>5</v>
      </c>
      <c r="I807">
        <v>10.06</v>
      </c>
      <c r="J807" t="s">
        <v>839</v>
      </c>
      <c r="K807" t="s">
        <v>812</v>
      </c>
      <c r="M807" t="s">
        <v>1085</v>
      </c>
      <c r="O807" t="s">
        <v>228</v>
      </c>
      <c r="P807" t="s">
        <v>924</v>
      </c>
      <c r="Q807" t="s">
        <v>26</v>
      </c>
      <c r="R807" t="s">
        <v>81</v>
      </c>
      <c r="W807">
        <v>2</v>
      </c>
      <c r="X807" s="24">
        <v>46032</v>
      </c>
      <c r="Z807" t="s">
        <v>38</v>
      </c>
      <c r="AB807" t="s">
        <v>921</v>
      </c>
      <c r="AC807" t="s">
        <v>1023</v>
      </c>
      <c r="AD807" t="s">
        <v>39</v>
      </c>
    </row>
    <row r="808" spans="1:30" hidden="1" x14ac:dyDescent="0.25">
      <c r="A808">
        <v>292</v>
      </c>
      <c r="B808" t="s">
        <v>416</v>
      </c>
      <c r="C808">
        <v>10</v>
      </c>
      <c r="D808">
        <v>100</v>
      </c>
      <c r="E808">
        <v>100</v>
      </c>
      <c r="F808" t="s">
        <v>77</v>
      </c>
      <c r="G808" t="s">
        <v>746</v>
      </c>
      <c r="H808">
        <v>1</v>
      </c>
      <c r="I808">
        <v>0.39</v>
      </c>
      <c r="J808" t="s">
        <v>839</v>
      </c>
      <c r="K808" t="s">
        <v>812</v>
      </c>
      <c r="M808" t="s">
        <v>1085</v>
      </c>
      <c r="O808" t="s">
        <v>228</v>
      </c>
      <c r="P808" t="s">
        <v>924</v>
      </c>
      <c r="Q808" t="s">
        <v>27</v>
      </c>
      <c r="R808" t="s">
        <v>81</v>
      </c>
      <c r="W808">
        <v>2</v>
      </c>
      <c r="X808" s="24">
        <v>46032</v>
      </c>
      <c r="Z808" t="s">
        <v>38</v>
      </c>
      <c r="AB808" t="s">
        <v>921</v>
      </c>
      <c r="AC808" t="s">
        <v>1023</v>
      </c>
      <c r="AD808" t="s">
        <v>39</v>
      </c>
    </row>
    <row r="809" spans="1:30" hidden="1" x14ac:dyDescent="0.25">
      <c r="A809">
        <v>293</v>
      </c>
      <c r="B809" t="s">
        <v>417</v>
      </c>
      <c r="C809">
        <v>10</v>
      </c>
      <c r="D809">
        <v>200</v>
      </c>
      <c r="E809">
        <v>12000</v>
      </c>
      <c r="F809" t="s">
        <v>77</v>
      </c>
      <c r="G809" t="s">
        <v>746</v>
      </c>
      <c r="H809">
        <v>4</v>
      </c>
      <c r="I809">
        <v>753.62</v>
      </c>
      <c r="J809" t="s">
        <v>839</v>
      </c>
      <c r="K809" t="s">
        <v>812</v>
      </c>
      <c r="M809" t="s">
        <v>1085</v>
      </c>
      <c r="P809" t="s">
        <v>924</v>
      </c>
      <c r="Q809" t="s">
        <v>28</v>
      </c>
      <c r="R809" t="s">
        <v>81</v>
      </c>
      <c r="W809">
        <v>2</v>
      </c>
      <c r="X809" s="24">
        <v>46032</v>
      </c>
      <c r="Z809" t="s">
        <v>38</v>
      </c>
      <c r="AB809" t="s">
        <v>921</v>
      </c>
      <c r="AC809" t="s">
        <v>1023</v>
      </c>
      <c r="AD809" t="s">
        <v>39</v>
      </c>
    </row>
    <row r="810" spans="1:30" hidden="1" x14ac:dyDescent="0.25">
      <c r="A810">
        <v>294</v>
      </c>
      <c r="B810" t="s">
        <v>419</v>
      </c>
      <c r="C810">
        <v>10</v>
      </c>
      <c r="D810">
        <v>200</v>
      </c>
      <c r="E810">
        <v>3586</v>
      </c>
      <c r="F810" t="s">
        <v>77</v>
      </c>
      <c r="G810" t="s">
        <v>746</v>
      </c>
      <c r="H810">
        <v>2</v>
      </c>
      <c r="I810">
        <v>112.6</v>
      </c>
      <c r="J810" t="s">
        <v>839</v>
      </c>
      <c r="K810" t="s">
        <v>812</v>
      </c>
      <c r="M810" t="s">
        <v>1085</v>
      </c>
      <c r="P810" t="s">
        <v>924</v>
      </c>
      <c r="Q810" t="s">
        <v>28</v>
      </c>
      <c r="R810" t="s">
        <v>81</v>
      </c>
      <c r="W810">
        <v>2</v>
      </c>
      <c r="X810" s="24">
        <v>46032</v>
      </c>
      <c r="Z810" t="s">
        <v>38</v>
      </c>
      <c r="AB810" t="s">
        <v>921</v>
      </c>
      <c r="AC810" t="s">
        <v>1023</v>
      </c>
      <c r="AD810" t="s">
        <v>39</v>
      </c>
    </row>
    <row r="811" spans="1:30" hidden="1" x14ac:dyDescent="0.25">
      <c r="A811">
        <v>295</v>
      </c>
      <c r="B811" t="s">
        <v>421</v>
      </c>
      <c r="C811">
        <v>10</v>
      </c>
      <c r="D811">
        <v>230</v>
      </c>
      <c r="E811">
        <v>3586</v>
      </c>
      <c r="F811" t="s">
        <v>77</v>
      </c>
      <c r="G811" t="s">
        <v>746</v>
      </c>
      <c r="H811">
        <v>1</v>
      </c>
      <c r="I811">
        <v>64.75</v>
      </c>
      <c r="J811" t="s">
        <v>839</v>
      </c>
      <c r="K811" t="s">
        <v>812</v>
      </c>
      <c r="M811" t="s">
        <v>1085</v>
      </c>
      <c r="P811" t="s">
        <v>924</v>
      </c>
      <c r="Q811" t="s">
        <v>28</v>
      </c>
      <c r="R811" t="s">
        <v>81</v>
      </c>
      <c r="W811">
        <v>2</v>
      </c>
      <c r="X811" s="24">
        <v>46032</v>
      </c>
      <c r="Z811" t="s">
        <v>38</v>
      </c>
      <c r="AB811" t="s">
        <v>921</v>
      </c>
      <c r="AC811" t="s">
        <v>1023</v>
      </c>
      <c r="AD811" t="s">
        <v>39</v>
      </c>
    </row>
    <row r="812" spans="1:30" hidden="1" x14ac:dyDescent="0.25">
      <c r="A812">
        <v>296</v>
      </c>
      <c r="B812" t="s">
        <v>423</v>
      </c>
      <c r="C812">
        <v>10</v>
      </c>
      <c r="D812">
        <v>100</v>
      </c>
      <c r="E812">
        <v>100</v>
      </c>
      <c r="F812" t="s">
        <v>77</v>
      </c>
      <c r="G812" t="s">
        <v>746</v>
      </c>
      <c r="H812">
        <v>4</v>
      </c>
      <c r="I812">
        <v>1.58</v>
      </c>
      <c r="J812" t="s">
        <v>839</v>
      </c>
      <c r="K812" t="s">
        <v>812</v>
      </c>
      <c r="M812" t="s">
        <v>1085</v>
      </c>
      <c r="O812" t="s">
        <v>228</v>
      </c>
      <c r="P812" t="s">
        <v>924</v>
      </c>
      <c r="Q812" t="s">
        <v>27</v>
      </c>
      <c r="R812" t="s">
        <v>81</v>
      </c>
      <c r="W812">
        <v>2</v>
      </c>
      <c r="X812" s="24">
        <v>46032</v>
      </c>
      <c r="Z812" t="s">
        <v>38</v>
      </c>
      <c r="AB812" t="s">
        <v>921</v>
      </c>
      <c r="AC812" t="s">
        <v>1023</v>
      </c>
      <c r="AD812" t="s">
        <v>39</v>
      </c>
    </row>
    <row r="813" spans="1:30" hidden="1" x14ac:dyDescent="0.25">
      <c r="A813">
        <v>297</v>
      </c>
      <c r="B813" t="s">
        <v>389</v>
      </c>
      <c r="C813">
        <v>10</v>
      </c>
      <c r="D813">
        <v>200</v>
      </c>
      <c r="E813">
        <v>9518</v>
      </c>
      <c r="F813" t="s">
        <v>77</v>
      </c>
      <c r="G813" t="s">
        <v>746</v>
      </c>
      <c r="H813">
        <v>1</v>
      </c>
      <c r="I813">
        <v>149.43</v>
      </c>
      <c r="J813" t="s">
        <v>839</v>
      </c>
      <c r="K813" t="s">
        <v>812</v>
      </c>
      <c r="M813" t="s">
        <v>1085</v>
      </c>
      <c r="P813" t="s">
        <v>924</v>
      </c>
      <c r="Q813" t="s">
        <v>28</v>
      </c>
      <c r="R813" t="s">
        <v>81</v>
      </c>
      <c r="W813">
        <v>2</v>
      </c>
      <c r="X813" s="24">
        <v>46032</v>
      </c>
      <c r="Z813" t="s">
        <v>38</v>
      </c>
      <c r="AB813" t="s">
        <v>921</v>
      </c>
      <c r="AC813" t="s">
        <v>1025</v>
      </c>
      <c r="AD813" t="s">
        <v>39</v>
      </c>
    </row>
    <row r="814" spans="1:30" hidden="1" x14ac:dyDescent="0.25">
      <c r="A814">
        <v>298</v>
      </c>
      <c r="B814" t="s">
        <v>426</v>
      </c>
      <c r="C814">
        <v>10</v>
      </c>
      <c r="D814">
        <v>532</v>
      </c>
      <c r="E814">
        <v>4080</v>
      </c>
      <c r="F814" t="s">
        <v>77</v>
      </c>
      <c r="G814" t="s">
        <v>746</v>
      </c>
      <c r="H814">
        <v>2</v>
      </c>
      <c r="I814">
        <v>336.54</v>
      </c>
      <c r="J814" t="s">
        <v>839</v>
      </c>
      <c r="K814" t="s">
        <v>812</v>
      </c>
      <c r="M814" t="s">
        <v>1085</v>
      </c>
      <c r="P814" t="s">
        <v>924</v>
      </c>
      <c r="R814" t="s">
        <v>81</v>
      </c>
      <c r="U814" t="s">
        <v>81</v>
      </c>
      <c r="V814" t="s">
        <v>81</v>
      </c>
      <c r="W814">
        <v>2</v>
      </c>
      <c r="X814" s="24">
        <v>46032</v>
      </c>
      <c r="Z814" t="s">
        <v>38</v>
      </c>
      <c r="AB814" t="s">
        <v>921</v>
      </c>
      <c r="AC814" t="s">
        <v>1025</v>
      </c>
      <c r="AD814" t="s">
        <v>39</v>
      </c>
    </row>
    <row r="815" spans="1:30" hidden="1" x14ac:dyDescent="0.25">
      <c r="A815">
        <v>299</v>
      </c>
      <c r="B815" t="s">
        <v>427</v>
      </c>
      <c r="C815">
        <v>10</v>
      </c>
      <c r="D815">
        <v>280</v>
      </c>
      <c r="E815">
        <v>349</v>
      </c>
      <c r="F815" t="s">
        <v>77</v>
      </c>
      <c r="G815" t="s">
        <v>746</v>
      </c>
      <c r="H815">
        <v>8</v>
      </c>
      <c r="I815">
        <v>42.42</v>
      </c>
      <c r="J815" t="s">
        <v>839</v>
      </c>
      <c r="K815" t="s">
        <v>812</v>
      </c>
      <c r="M815" t="s">
        <v>1085</v>
      </c>
      <c r="P815" t="s">
        <v>924</v>
      </c>
      <c r="Q815" t="s">
        <v>26</v>
      </c>
      <c r="R815" t="s">
        <v>81</v>
      </c>
      <c r="W815">
        <v>2</v>
      </c>
      <c r="X815" s="24">
        <v>46032</v>
      </c>
      <c r="Z815" t="s">
        <v>38</v>
      </c>
      <c r="AB815" t="s">
        <v>921</v>
      </c>
      <c r="AC815" t="s">
        <v>1025</v>
      </c>
      <c r="AD815" t="s">
        <v>39</v>
      </c>
    </row>
    <row r="816" spans="1:30" hidden="1" x14ac:dyDescent="0.25">
      <c r="A816">
        <v>300</v>
      </c>
      <c r="B816" t="s">
        <v>429</v>
      </c>
      <c r="C816">
        <v>10</v>
      </c>
      <c r="D816">
        <v>80</v>
      </c>
      <c r="E816">
        <v>120</v>
      </c>
      <c r="F816" t="s">
        <v>77</v>
      </c>
      <c r="G816" t="s">
        <v>746</v>
      </c>
      <c r="H816">
        <v>1</v>
      </c>
      <c r="I816">
        <v>0.72</v>
      </c>
      <c r="J816" t="s">
        <v>839</v>
      </c>
      <c r="K816" t="s">
        <v>812</v>
      </c>
      <c r="M816" t="s">
        <v>1085</v>
      </c>
      <c r="O816" t="s">
        <v>228</v>
      </c>
      <c r="P816" t="s">
        <v>924</v>
      </c>
      <c r="Q816" t="s">
        <v>26</v>
      </c>
      <c r="R816" t="s">
        <v>81</v>
      </c>
      <c r="W816">
        <v>2</v>
      </c>
      <c r="X816" s="24">
        <v>46032</v>
      </c>
      <c r="Z816" t="s">
        <v>38</v>
      </c>
      <c r="AB816" t="s">
        <v>921</v>
      </c>
      <c r="AC816" t="s">
        <v>1025</v>
      </c>
      <c r="AD816" t="s">
        <v>39</v>
      </c>
    </row>
    <row r="817" spans="1:30" hidden="1" x14ac:dyDescent="0.25">
      <c r="A817">
        <v>301</v>
      </c>
      <c r="B817" t="s">
        <v>430</v>
      </c>
      <c r="C817">
        <v>10</v>
      </c>
      <c r="D817">
        <v>120</v>
      </c>
      <c r="E817">
        <v>250</v>
      </c>
      <c r="F817" t="s">
        <v>77</v>
      </c>
      <c r="G817" t="s">
        <v>746</v>
      </c>
      <c r="H817">
        <v>1</v>
      </c>
      <c r="I817">
        <v>2.36</v>
      </c>
      <c r="J817" t="s">
        <v>839</v>
      </c>
      <c r="K817" t="s">
        <v>812</v>
      </c>
      <c r="M817" t="s">
        <v>1085</v>
      </c>
      <c r="P817" t="s">
        <v>924</v>
      </c>
      <c r="Q817" t="s">
        <v>26</v>
      </c>
      <c r="R817" t="s">
        <v>81</v>
      </c>
      <c r="W817">
        <v>2</v>
      </c>
      <c r="X817" s="24">
        <v>46032</v>
      </c>
      <c r="Z817" t="s">
        <v>38</v>
      </c>
      <c r="AB817" t="s">
        <v>921</v>
      </c>
      <c r="AC817" t="s">
        <v>1025</v>
      </c>
      <c r="AD817" t="s">
        <v>39</v>
      </c>
    </row>
    <row r="818" spans="1:30" hidden="1" x14ac:dyDescent="0.25">
      <c r="A818">
        <v>302</v>
      </c>
      <c r="B818" t="s">
        <v>432</v>
      </c>
      <c r="C818">
        <v>10</v>
      </c>
      <c r="D818">
        <v>105</v>
      </c>
      <c r="E818">
        <v>195</v>
      </c>
      <c r="F818" t="s">
        <v>77</v>
      </c>
      <c r="G818" t="s">
        <v>746</v>
      </c>
      <c r="H818">
        <v>1</v>
      </c>
      <c r="I818">
        <v>1.02</v>
      </c>
      <c r="J818" t="s">
        <v>839</v>
      </c>
      <c r="K818" t="s">
        <v>812</v>
      </c>
      <c r="M818" t="s">
        <v>1085</v>
      </c>
      <c r="P818" t="s">
        <v>924</v>
      </c>
      <c r="Q818" t="s">
        <v>26</v>
      </c>
      <c r="R818" t="s">
        <v>81</v>
      </c>
      <c r="W818">
        <v>2</v>
      </c>
      <c r="X818" s="24">
        <v>46032</v>
      </c>
      <c r="Z818" t="s">
        <v>38</v>
      </c>
      <c r="AB818" t="s">
        <v>921</v>
      </c>
      <c r="AC818" t="s">
        <v>1025</v>
      </c>
      <c r="AD818" t="s">
        <v>39</v>
      </c>
    </row>
    <row r="819" spans="1:30" hidden="1" x14ac:dyDescent="0.25">
      <c r="A819">
        <v>303</v>
      </c>
      <c r="B819" t="s">
        <v>434</v>
      </c>
      <c r="C819">
        <v>10</v>
      </c>
      <c r="D819">
        <v>148</v>
      </c>
      <c r="E819">
        <v>324</v>
      </c>
      <c r="F819" t="s">
        <v>77</v>
      </c>
      <c r="G819" t="s">
        <v>746</v>
      </c>
      <c r="H819">
        <v>2</v>
      </c>
      <c r="I819">
        <v>7.4</v>
      </c>
      <c r="J819" t="s">
        <v>839</v>
      </c>
      <c r="K819" t="s">
        <v>812</v>
      </c>
      <c r="M819" t="s">
        <v>1085</v>
      </c>
      <c r="P819" t="s">
        <v>924</v>
      </c>
      <c r="Q819" t="s">
        <v>26</v>
      </c>
      <c r="R819" t="s">
        <v>81</v>
      </c>
      <c r="W819">
        <v>2</v>
      </c>
      <c r="X819" s="24">
        <v>46032</v>
      </c>
      <c r="Z819" t="s">
        <v>38</v>
      </c>
      <c r="AB819" t="s">
        <v>921</v>
      </c>
      <c r="AC819" t="s">
        <v>1025</v>
      </c>
      <c r="AD819" t="s">
        <v>39</v>
      </c>
    </row>
    <row r="820" spans="1:30" hidden="1" x14ac:dyDescent="0.25">
      <c r="A820">
        <v>304</v>
      </c>
      <c r="B820" t="s">
        <v>436</v>
      </c>
      <c r="C820">
        <v>10</v>
      </c>
      <c r="D820">
        <v>148</v>
      </c>
      <c r="E820">
        <v>441</v>
      </c>
      <c r="F820" t="s">
        <v>77</v>
      </c>
      <c r="G820" t="s">
        <v>746</v>
      </c>
      <c r="H820">
        <v>9</v>
      </c>
      <c r="I820">
        <v>45.55</v>
      </c>
      <c r="J820" t="s">
        <v>839</v>
      </c>
      <c r="K820" t="s">
        <v>812</v>
      </c>
      <c r="M820" t="s">
        <v>1085</v>
      </c>
      <c r="P820" t="s">
        <v>924</v>
      </c>
      <c r="Q820" t="s">
        <v>26</v>
      </c>
      <c r="R820" t="s">
        <v>81</v>
      </c>
      <c r="W820">
        <v>2</v>
      </c>
      <c r="X820" s="24">
        <v>46032</v>
      </c>
      <c r="Z820" t="s">
        <v>38</v>
      </c>
      <c r="AB820" t="s">
        <v>921</v>
      </c>
      <c r="AC820" t="s">
        <v>1025</v>
      </c>
      <c r="AD820" t="s">
        <v>39</v>
      </c>
    </row>
    <row r="821" spans="1:30" hidden="1" x14ac:dyDescent="0.25">
      <c r="A821">
        <v>305</v>
      </c>
      <c r="B821" t="s">
        <v>437</v>
      </c>
      <c r="C821">
        <v>10</v>
      </c>
      <c r="D821">
        <v>148</v>
      </c>
      <c r="E821">
        <v>441</v>
      </c>
      <c r="F821" t="s">
        <v>77</v>
      </c>
      <c r="G821" t="s">
        <v>746</v>
      </c>
      <c r="H821">
        <v>13</v>
      </c>
      <c r="I821">
        <v>65.790000000000006</v>
      </c>
      <c r="J821" t="s">
        <v>839</v>
      </c>
      <c r="K821" t="s">
        <v>812</v>
      </c>
      <c r="M821" t="s">
        <v>1085</v>
      </c>
      <c r="P821" t="s">
        <v>924</v>
      </c>
      <c r="Q821" t="s">
        <v>26</v>
      </c>
      <c r="R821" t="s">
        <v>81</v>
      </c>
      <c r="W821">
        <v>2</v>
      </c>
      <c r="X821" s="24">
        <v>46032</v>
      </c>
      <c r="Z821" t="s">
        <v>38</v>
      </c>
      <c r="AB821" t="s">
        <v>921</v>
      </c>
      <c r="AC821" t="s">
        <v>1025</v>
      </c>
      <c r="AD821" t="s">
        <v>39</v>
      </c>
    </row>
    <row r="822" spans="1:30" hidden="1" x14ac:dyDescent="0.25">
      <c r="A822">
        <v>306</v>
      </c>
      <c r="B822" t="s">
        <v>400</v>
      </c>
      <c r="C822">
        <v>10</v>
      </c>
      <c r="D822">
        <v>148</v>
      </c>
      <c r="E822">
        <v>441</v>
      </c>
      <c r="F822" t="s">
        <v>77</v>
      </c>
      <c r="G822" t="s">
        <v>746</v>
      </c>
      <c r="H822">
        <v>2</v>
      </c>
      <c r="I822">
        <v>10.119999999999999</v>
      </c>
      <c r="J822" t="s">
        <v>839</v>
      </c>
      <c r="K822" t="s">
        <v>812</v>
      </c>
      <c r="M822" t="s">
        <v>1085</v>
      </c>
      <c r="P822" t="s">
        <v>924</v>
      </c>
      <c r="Q822" t="s">
        <v>26</v>
      </c>
      <c r="R822" t="s">
        <v>81</v>
      </c>
      <c r="W822">
        <v>2</v>
      </c>
      <c r="X822" s="24">
        <v>46032</v>
      </c>
      <c r="Z822" t="s">
        <v>38</v>
      </c>
      <c r="AB822" t="s">
        <v>921</v>
      </c>
      <c r="AC822" t="s">
        <v>1025</v>
      </c>
      <c r="AD822" t="s">
        <v>39</v>
      </c>
    </row>
    <row r="823" spans="1:30" hidden="1" x14ac:dyDescent="0.25">
      <c r="A823">
        <v>307</v>
      </c>
      <c r="B823" t="s">
        <v>401</v>
      </c>
      <c r="C823">
        <v>10</v>
      </c>
      <c r="D823">
        <v>80</v>
      </c>
      <c r="E823">
        <v>120</v>
      </c>
      <c r="F823" t="s">
        <v>77</v>
      </c>
      <c r="G823" t="s">
        <v>746</v>
      </c>
      <c r="H823">
        <v>5</v>
      </c>
      <c r="I823">
        <v>3.62</v>
      </c>
      <c r="J823" t="s">
        <v>839</v>
      </c>
      <c r="K823" t="s">
        <v>812</v>
      </c>
      <c r="M823" t="s">
        <v>1085</v>
      </c>
      <c r="O823" t="s">
        <v>228</v>
      </c>
      <c r="P823" t="s">
        <v>924</v>
      </c>
      <c r="Q823" t="s">
        <v>26</v>
      </c>
      <c r="R823" t="s">
        <v>81</v>
      </c>
      <c r="W823">
        <v>2</v>
      </c>
      <c r="X823" s="24">
        <v>46032</v>
      </c>
      <c r="Z823" t="s">
        <v>38</v>
      </c>
      <c r="AB823" t="s">
        <v>921</v>
      </c>
      <c r="AC823" t="s">
        <v>1025</v>
      </c>
      <c r="AD823" t="s">
        <v>39</v>
      </c>
    </row>
    <row r="824" spans="1:30" hidden="1" x14ac:dyDescent="0.25">
      <c r="A824">
        <v>308</v>
      </c>
      <c r="B824" t="s">
        <v>438</v>
      </c>
      <c r="C824">
        <v>10</v>
      </c>
      <c r="D824">
        <v>120</v>
      </c>
      <c r="E824">
        <v>220</v>
      </c>
      <c r="F824" t="s">
        <v>77</v>
      </c>
      <c r="G824" t="s">
        <v>746</v>
      </c>
      <c r="H824">
        <v>6</v>
      </c>
      <c r="I824">
        <v>12.08</v>
      </c>
      <c r="J824" t="s">
        <v>839</v>
      </c>
      <c r="K824" t="s">
        <v>812</v>
      </c>
      <c r="M824" t="s">
        <v>1085</v>
      </c>
      <c r="O824" t="s">
        <v>228</v>
      </c>
      <c r="P824" t="s">
        <v>924</v>
      </c>
      <c r="Q824" t="s">
        <v>26</v>
      </c>
      <c r="R824" t="s">
        <v>81</v>
      </c>
      <c r="W824">
        <v>2</v>
      </c>
      <c r="X824" s="24">
        <v>46032</v>
      </c>
      <c r="Z824" t="s">
        <v>38</v>
      </c>
      <c r="AB824" t="s">
        <v>921</v>
      </c>
      <c r="AC824" t="s">
        <v>1025</v>
      </c>
      <c r="AD824" t="s">
        <v>39</v>
      </c>
    </row>
    <row r="825" spans="1:30" hidden="1" x14ac:dyDescent="0.25">
      <c r="A825">
        <v>309</v>
      </c>
      <c r="B825" t="s">
        <v>439</v>
      </c>
      <c r="C825">
        <v>10</v>
      </c>
      <c r="D825">
        <v>350</v>
      </c>
      <c r="E825">
        <v>4580</v>
      </c>
      <c r="F825" t="s">
        <v>77</v>
      </c>
      <c r="G825" t="s">
        <v>746</v>
      </c>
      <c r="H825">
        <v>1</v>
      </c>
      <c r="I825">
        <v>125.84</v>
      </c>
      <c r="J825" t="s">
        <v>839</v>
      </c>
      <c r="K825" t="s">
        <v>812</v>
      </c>
      <c r="M825" t="s">
        <v>1085</v>
      </c>
      <c r="P825" t="s">
        <v>924</v>
      </c>
      <c r="Q825" t="s">
        <v>28</v>
      </c>
      <c r="R825" t="s">
        <v>81</v>
      </c>
      <c r="V825" t="s">
        <v>81</v>
      </c>
      <c r="W825">
        <v>2</v>
      </c>
      <c r="X825" s="24">
        <v>46032</v>
      </c>
      <c r="Z825" t="s">
        <v>38</v>
      </c>
      <c r="AB825" t="s">
        <v>921</v>
      </c>
      <c r="AC825" t="s">
        <v>1025</v>
      </c>
      <c r="AD825" t="s">
        <v>39</v>
      </c>
    </row>
    <row r="826" spans="1:30" hidden="1" x14ac:dyDescent="0.25">
      <c r="A826">
        <v>310</v>
      </c>
      <c r="B826" t="s">
        <v>441</v>
      </c>
      <c r="C826">
        <v>10</v>
      </c>
      <c r="D826">
        <v>380</v>
      </c>
      <c r="E826">
        <v>4577</v>
      </c>
      <c r="F826" t="s">
        <v>77</v>
      </c>
      <c r="G826" t="s">
        <v>746</v>
      </c>
      <c r="H826">
        <v>2</v>
      </c>
      <c r="I826">
        <v>270.14999999999998</v>
      </c>
      <c r="J826" t="s">
        <v>839</v>
      </c>
      <c r="K826" t="s">
        <v>812</v>
      </c>
      <c r="M826" t="s">
        <v>1085</v>
      </c>
      <c r="P826" t="s">
        <v>924</v>
      </c>
      <c r="Q826" t="s">
        <v>28</v>
      </c>
      <c r="R826" t="s">
        <v>81</v>
      </c>
      <c r="W826">
        <v>2</v>
      </c>
      <c r="X826" s="24">
        <v>46032</v>
      </c>
      <c r="Z826" t="s">
        <v>38</v>
      </c>
      <c r="AB826" t="s">
        <v>921</v>
      </c>
      <c r="AC826" t="s">
        <v>1025</v>
      </c>
      <c r="AD826" t="s">
        <v>39</v>
      </c>
    </row>
    <row r="827" spans="1:30" hidden="1" x14ac:dyDescent="0.25">
      <c r="A827">
        <v>311</v>
      </c>
      <c r="B827" t="s">
        <v>404</v>
      </c>
      <c r="C827">
        <v>10</v>
      </c>
      <c r="D827">
        <v>120</v>
      </c>
      <c r="E827">
        <v>220</v>
      </c>
      <c r="F827" t="s">
        <v>77</v>
      </c>
      <c r="G827" t="s">
        <v>746</v>
      </c>
      <c r="H827">
        <v>5</v>
      </c>
      <c r="I827">
        <v>10.06</v>
      </c>
      <c r="J827" t="s">
        <v>839</v>
      </c>
      <c r="K827" t="s">
        <v>812</v>
      </c>
      <c r="M827" t="s">
        <v>1085</v>
      </c>
      <c r="O827" t="s">
        <v>228</v>
      </c>
      <c r="P827" t="s">
        <v>924</v>
      </c>
      <c r="Q827" t="s">
        <v>26</v>
      </c>
      <c r="R827" t="s">
        <v>81</v>
      </c>
      <c r="W827">
        <v>2</v>
      </c>
      <c r="X827" s="24">
        <v>46032</v>
      </c>
      <c r="Z827" t="s">
        <v>38</v>
      </c>
      <c r="AB827" t="s">
        <v>921</v>
      </c>
      <c r="AC827" t="s">
        <v>1025</v>
      </c>
      <c r="AD827" t="s">
        <v>39</v>
      </c>
    </row>
    <row r="828" spans="1:30" hidden="1" x14ac:dyDescent="0.25">
      <c r="A828">
        <v>312</v>
      </c>
      <c r="B828" t="s">
        <v>442</v>
      </c>
      <c r="C828">
        <v>10</v>
      </c>
      <c r="D828">
        <v>350</v>
      </c>
      <c r="E828">
        <v>4580</v>
      </c>
      <c r="F828" t="s">
        <v>77</v>
      </c>
      <c r="G828" t="s">
        <v>746</v>
      </c>
      <c r="H828">
        <v>1</v>
      </c>
      <c r="I828">
        <v>125.84</v>
      </c>
      <c r="J828" t="s">
        <v>839</v>
      </c>
      <c r="K828" t="s">
        <v>812</v>
      </c>
      <c r="M828" t="s">
        <v>1085</v>
      </c>
      <c r="P828" t="s">
        <v>924</v>
      </c>
      <c r="Q828" t="s">
        <v>28</v>
      </c>
      <c r="R828" t="s">
        <v>81</v>
      </c>
      <c r="V828" t="s">
        <v>81</v>
      </c>
      <c r="W828">
        <v>2</v>
      </c>
      <c r="X828" s="24">
        <v>46032</v>
      </c>
      <c r="Z828" t="s">
        <v>38</v>
      </c>
      <c r="AB828" t="s">
        <v>921</v>
      </c>
      <c r="AC828" t="s">
        <v>1025</v>
      </c>
      <c r="AD828" t="s">
        <v>39</v>
      </c>
    </row>
    <row r="829" spans="1:30" hidden="1" x14ac:dyDescent="0.25">
      <c r="A829">
        <v>313</v>
      </c>
      <c r="B829" t="s">
        <v>416</v>
      </c>
      <c r="C829">
        <v>10</v>
      </c>
      <c r="D829">
        <v>100</v>
      </c>
      <c r="E829">
        <v>100</v>
      </c>
      <c r="F829" t="s">
        <v>77</v>
      </c>
      <c r="G829" t="s">
        <v>746</v>
      </c>
      <c r="H829">
        <v>1</v>
      </c>
      <c r="I829">
        <v>0.39</v>
      </c>
      <c r="J829" t="s">
        <v>839</v>
      </c>
      <c r="K829" t="s">
        <v>812</v>
      </c>
      <c r="M829" t="s">
        <v>1085</v>
      </c>
      <c r="O829" t="s">
        <v>228</v>
      </c>
      <c r="P829" t="s">
        <v>924</v>
      </c>
      <c r="Q829" t="s">
        <v>27</v>
      </c>
      <c r="R829" t="s">
        <v>81</v>
      </c>
      <c r="W829">
        <v>2</v>
      </c>
      <c r="X829" s="24">
        <v>46032</v>
      </c>
      <c r="Z829" t="s">
        <v>38</v>
      </c>
      <c r="AB829" t="s">
        <v>921</v>
      </c>
      <c r="AC829" t="s">
        <v>1025</v>
      </c>
      <c r="AD829" t="s">
        <v>39</v>
      </c>
    </row>
    <row r="830" spans="1:30" hidden="1" x14ac:dyDescent="0.25">
      <c r="A830">
        <v>314</v>
      </c>
      <c r="B830" t="s">
        <v>421</v>
      </c>
      <c r="C830">
        <v>10</v>
      </c>
      <c r="D830">
        <v>230</v>
      </c>
      <c r="E830">
        <v>3586</v>
      </c>
      <c r="F830" t="s">
        <v>77</v>
      </c>
      <c r="G830" t="s">
        <v>746</v>
      </c>
      <c r="H830">
        <v>2</v>
      </c>
      <c r="I830">
        <v>129.49</v>
      </c>
      <c r="J830" t="s">
        <v>839</v>
      </c>
      <c r="K830" t="s">
        <v>812</v>
      </c>
      <c r="M830" t="s">
        <v>1085</v>
      </c>
      <c r="P830" t="s">
        <v>924</v>
      </c>
      <c r="Q830" t="s">
        <v>28</v>
      </c>
      <c r="R830" t="s">
        <v>81</v>
      </c>
      <c r="W830">
        <v>2</v>
      </c>
      <c r="X830" s="24">
        <v>46032</v>
      </c>
      <c r="Z830" t="s">
        <v>38</v>
      </c>
      <c r="AB830" t="s">
        <v>921</v>
      </c>
      <c r="AC830" t="s">
        <v>1025</v>
      </c>
      <c r="AD830" t="s">
        <v>39</v>
      </c>
    </row>
    <row r="831" spans="1:30" hidden="1" x14ac:dyDescent="0.25">
      <c r="A831">
        <v>315</v>
      </c>
      <c r="B831" t="s">
        <v>429</v>
      </c>
      <c r="C831">
        <v>10</v>
      </c>
      <c r="D831">
        <v>80</v>
      </c>
      <c r="E831">
        <v>120</v>
      </c>
      <c r="F831" t="s">
        <v>77</v>
      </c>
      <c r="G831" t="s">
        <v>746</v>
      </c>
      <c r="H831">
        <v>1</v>
      </c>
      <c r="I831">
        <v>0.72</v>
      </c>
      <c r="J831" t="s">
        <v>839</v>
      </c>
      <c r="K831" t="s">
        <v>812</v>
      </c>
      <c r="M831" t="s">
        <v>1085</v>
      </c>
      <c r="O831" t="s">
        <v>228</v>
      </c>
      <c r="P831" t="s">
        <v>924</v>
      </c>
      <c r="Q831" t="s">
        <v>26</v>
      </c>
      <c r="R831" t="s">
        <v>81</v>
      </c>
      <c r="W831">
        <v>2</v>
      </c>
      <c r="X831" s="24">
        <v>46032</v>
      </c>
      <c r="Z831" t="s">
        <v>38</v>
      </c>
      <c r="AB831" t="s">
        <v>921</v>
      </c>
      <c r="AC831" t="s">
        <v>1027</v>
      </c>
      <c r="AD831" t="s">
        <v>39</v>
      </c>
    </row>
    <row r="832" spans="1:30" hidden="1" x14ac:dyDescent="0.25">
      <c r="A832">
        <v>316</v>
      </c>
      <c r="B832" t="s">
        <v>445</v>
      </c>
      <c r="C832">
        <v>10</v>
      </c>
      <c r="D832">
        <v>148</v>
      </c>
      <c r="E832">
        <v>324</v>
      </c>
      <c r="F832" t="s">
        <v>77</v>
      </c>
      <c r="G832" t="s">
        <v>746</v>
      </c>
      <c r="H832">
        <v>26</v>
      </c>
      <c r="I832">
        <v>96.24</v>
      </c>
      <c r="J832" t="s">
        <v>839</v>
      </c>
      <c r="K832" t="s">
        <v>812</v>
      </c>
      <c r="M832" t="s">
        <v>1085</v>
      </c>
      <c r="P832" t="s">
        <v>924</v>
      </c>
      <c r="Q832" t="s">
        <v>26</v>
      </c>
      <c r="R832" t="s">
        <v>81</v>
      </c>
      <c r="W832">
        <v>2</v>
      </c>
      <c r="X832" s="24">
        <v>46032</v>
      </c>
      <c r="Z832" t="s">
        <v>38</v>
      </c>
      <c r="AB832" t="s">
        <v>921</v>
      </c>
      <c r="AC832" t="s">
        <v>1027</v>
      </c>
      <c r="AD832" t="s">
        <v>39</v>
      </c>
    </row>
    <row r="833" spans="1:30" hidden="1" x14ac:dyDescent="0.25">
      <c r="A833">
        <v>317</v>
      </c>
      <c r="B833" t="s">
        <v>446</v>
      </c>
      <c r="C833">
        <v>10</v>
      </c>
      <c r="D833">
        <v>148</v>
      </c>
      <c r="E833">
        <v>441</v>
      </c>
      <c r="F833" t="s">
        <v>77</v>
      </c>
      <c r="G833" t="s">
        <v>746</v>
      </c>
      <c r="H833">
        <v>8</v>
      </c>
      <c r="I833">
        <v>40.49</v>
      </c>
      <c r="J833" t="s">
        <v>839</v>
      </c>
      <c r="K833" t="s">
        <v>812</v>
      </c>
      <c r="M833" t="s">
        <v>1085</v>
      </c>
      <c r="P833" t="s">
        <v>924</v>
      </c>
      <c r="Q833" t="s">
        <v>26</v>
      </c>
      <c r="R833" t="s">
        <v>81</v>
      </c>
      <c r="W833">
        <v>2</v>
      </c>
      <c r="X833" s="24">
        <v>46032</v>
      </c>
      <c r="Z833" t="s">
        <v>38</v>
      </c>
      <c r="AB833" t="s">
        <v>921</v>
      </c>
      <c r="AC833" t="s">
        <v>1027</v>
      </c>
      <c r="AD833" t="s">
        <v>39</v>
      </c>
    </row>
    <row r="834" spans="1:30" hidden="1" x14ac:dyDescent="0.25">
      <c r="A834">
        <v>318</v>
      </c>
      <c r="B834" t="s">
        <v>434</v>
      </c>
      <c r="C834">
        <v>10</v>
      </c>
      <c r="D834">
        <v>148</v>
      </c>
      <c r="E834">
        <v>324</v>
      </c>
      <c r="F834" t="s">
        <v>77</v>
      </c>
      <c r="G834" t="s">
        <v>746</v>
      </c>
      <c r="H834">
        <v>26</v>
      </c>
      <c r="I834">
        <v>96.24</v>
      </c>
      <c r="J834" t="s">
        <v>839</v>
      </c>
      <c r="K834" t="s">
        <v>812</v>
      </c>
      <c r="M834" t="s">
        <v>1085</v>
      </c>
      <c r="P834" t="s">
        <v>924</v>
      </c>
      <c r="Q834" t="s">
        <v>26</v>
      </c>
      <c r="R834" t="s">
        <v>81</v>
      </c>
      <c r="W834">
        <v>2</v>
      </c>
      <c r="X834" s="24">
        <v>46032</v>
      </c>
      <c r="Z834" t="s">
        <v>38</v>
      </c>
      <c r="AB834" t="s">
        <v>921</v>
      </c>
      <c r="AC834" t="s">
        <v>1027</v>
      </c>
      <c r="AD834" t="s">
        <v>39</v>
      </c>
    </row>
    <row r="835" spans="1:30" hidden="1" x14ac:dyDescent="0.25">
      <c r="A835">
        <v>319</v>
      </c>
      <c r="B835" t="s">
        <v>436</v>
      </c>
      <c r="C835">
        <v>10</v>
      </c>
      <c r="D835">
        <v>148</v>
      </c>
      <c r="E835">
        <v>441</v>
      </c>
      <c r="F835" t="s">
        <v>77</v>
      </c>
      <c r="G835" t="s">
        <v>746</v>
      </c>
      <c r="H835">
        <v>12</v>
      </c>
      <c r="I835">
        <v>60.73</v>
      </c>
      <c r="J835" t="s">
        <v>839</v>
      </c>
      <c r="K835" t="s">
        <v>812</v>
      </c>
      <c r="M835" t="s">
        <v>1085</v>
      </c>
      <c r="P835" t="s">
        <v>924</v>
      </c>
      <c r="Q835" t="s">
        <v>26</v>
      </c>
      <c r="R835" t="s">
        <v>81</v>
      </c>
      <c r="W835">
        <v>2</v>
      </c>
      <c r="X835" s="24">
        <v>46032</v>
      </c>
      <c r="Z835" t="s">
        <v>38</v>
      </c>
      <c r="AB835" t="s">
        <v>921</v>
      </c>
      <c r="AC835" t="s">
        <v>1027</v>
      </c>
      <c r="AD835" t="s">
        <v>39</v>
      </c>
    </row>
    <row r="836" spans="1:30" hidden="1" x14ac:dyDescent="0.25">
      <c r="A836">
        <v>320</v>
      </c>
      <c r="B836" t="s">
        <v>438</v>
      </c>
      <c r="C836">
        <v>10</v>
      </c>
      <c r="D836">
        <v>120</v>
      </c>
      <c r="E836">
        <v>220</v>
      </c>
      <c r="F836" t="s">
        <v>77</v>
      </c>
      <c r="G836" t="s">
        <v>746</v>
      </c>
      <c r="H836">
        <v>2</v>
      </c>
      <c r="I836">
        <v>4.03</v>
      </c>
      <c r="J836" t="s">
        <v>839</v>
      </c>
      <c r="K836" t="s">
        <v>812</v>
      </c>
      <c r="M836" t="s">
        <v>1085</v>
      </c>
      <c r="O836" t="s">
        <v>228</v>
      </c>
      <c r="P836" t="s">
        <v>924</v>
      </c>
      <c r="Q836" t="s">
        <v>26</v>
      </c>
      <c r="R836" t="s">
        <v>81</v>
      </c>
      <c r="W836">
        <v>2</v>
      </c>
      <c r="X836" s="24">
        <v>46032</v>
      </c>
      <c r="Z836" t="s">
        <v>38</v>
      </c>
      <c r="AB836" t="s">
        <v>921</v>
      </c>
      <c r="AC836" t="s">
        <v>1027</v>
      </c>
      <c r="AD836" t="s">
        <v>39</v>
      </c>
    </row>
    <row r="837" spans="1:30" hidden="1" x14ac:dyDescent="0.25">
      <c r="A837">
        <v>321</v>
      </c>
      <c r="B837" t="s">
        <v>447</v>
      </c>
      <c r="C837">
        <v>10</v>
      </c>
      <c r="D837">
        <v>148</v>
      </c>
      <c r="E837">
        <v>324</v>
      </c>
      <c r="F837" t="s">
        <v>77</v>
      </c>
      <c r="G837" t="s">
        <v>746</v>
      </c>
      <c r="H837">
        <v>2</v>
      </c>
      <c r="I837">
        <v>7.4</v>
      </c>
      <c r="J837" t="s">
        <v>839</v>
      </c>
      <c r="K837" t="s">
        <v>812</v>
      </c>
      <c r="M837" t="s">
        <v>1085</v>
      </c>
      <c r="P837" t="s">
        <v>924</v>
      </c>
      <c r="Q837" t="s">
        <v>26</v>
      </c>
      <c r="R837" t="s">
        <v>81</v>
      </c>
      <c r="W837">
        <v>2</v>
      </c>
      <c r="X837" s="24">
        <v>46032</v>
      </c>
      <c r="Z837" t="s">
        <v>38</v>
      </c>
      <c r="AB837" t="s">
        <v>921</v>
      </c>
      <c r="AC837" t="s">
        <v>1027</v>
      </c>
      <c r="AD837" t="s">
        <v>39</v>
      </c>
    </row>
    <row r="838" spans="1:30" hidden="1" x14ac:dyDescent="0.25">
      <c r="A838">
        <v>322</v>
      </c>
      <c r="B838" t="s">
        <v>448</v>
      </c>
      <c r="C838">
        <v>10</v>
      </c>
      <c r="D838">
        <v>380</v>
      </c>
      <c r="E838">
        <v>4577</v>
      </c>
      <c r="F838" t="s">
        <v>77</v>
      </c>
      <c r="G838" t="s">
        <v>746</v>
      </c>
      <c r="H838">
        <v>2</v>
      </c>
      <c r="I838">
        <v>270.14999999999998</v>
      </c>
      <c r="J838" t="s">
        <v>839</v>
      </c>
      <c r="K838" t="s">
        <v>812</v>
      </c>
      <c r="M838" t="s">
        <v>1085</v>
      </c>
      <c r="P838" t="s">
        <v>924</v>
      </c>
      <c r="Q838" t="s">
        <v>28</v>
      </c>
      <c r="R838" t="s">
        <v>81</v>
      </c>
      <c r="W838">
        <v>2</v>
      </c>
      <c r="X838" s="24">
        <v>46032</v>
      </c>
      <c r="Z838" t="s">
        <v>38</v>
      </c>
      <c r="AB838" t="s">
        <v>921</v>
      </c>
      <c r="AC838" t="s">
        <v>1027</v>
      </c>
      <c r="AD838" t="s">
        <v>39</v>
      </c>
    </row>
    <row r="839" spans="1:30" hidden="1" x14ac:dyDescent="0.25">
      <c r="A839">
        <v>323</v>
      </c>
      <c r="B839" t="s">
        <v>439</v>
      </c>
      <c r="C839">
        <v>10</v>
      </c>
      <c r="D839">
        <v>350</v>
      </c>
      <c r="E839">
        <v>4580</v>
      </c>
      <c r="F839" t="s">
        <v>77</v>
      </c>
      <c r="G839" t="s">
        <v>746</v>
      </c>
      <c r="H839">
        <v>1</v>
      </c>
      <c r="I839">
        <v>125.84</v>
      </c>
      <c r="J839" t="s">
        <v>839</v>
      </c>
      <c r="K839" t="s">
        <v>812</v>
      </c>
      <c r="M839" t="s">
        <v>1085</v>
      </c>
      <c r="P839" t="s">
        <v>924</v>
      </c>
      <c r="Q839" t="s">
        <v>28</v>
      </c>
      <c r="R839" t="s">
        <v>81</v>
      </c>
      <c r="V839" t="s">
        <v>81</v>
      </c>
      <c r="W839">
        <v>2</v>
      </c>
      <c r="X839" s="24">
        <v>46032</v>
      </c>
      <c r="Z839" t="s">
        <v>38</v>
      </c>
      <c r="AB839" t="s">
        <v>921</v>
      </c>
      <c r="AC839" t="s">
        <v>1027</v>
      </c>
      <c r="AD839" t="s">
        <v>39</v>
      </c>
    </row>
    <row r="840" spans="1:30" hidden="1" x14ac:dyDescent="0.25">
      <c r="A840">
        <v>324</v>
      </c>
      <c r="B840" t="s">
        <v>449</v>
      </c>
      <c r="C840">
        <v>10</v>
      </c>
      <c r="D840">
        <v>350</v>
      </c>
      <c r="E840">
        <v>4480</v>
      </c>
      <c r="F840" t="s">
        <v>77</v>
      </c>
      <c r="G840" t="s">
        <v>746</v>
      </c>
      <c r="H840">
        <v>2</v>
      </c>
      <c r="I840">
        <v>246.18</v>
      </c>
      <c r="J840" t="s">
        <v>839</v>
      </c>
      <c r="K840" t="s">
        <v>812</v>
      </c>
      <c r="M840" t="s">
        <v>1085</v>
      </c>
      <c r="P840" t="s">
        <v>924</v>
      </c>
      <c r="Q840" t="s">
        <v>28</v>
      </c>
      <c r="R840" t="s">
        <v>81</v>
      </c>
      <c r="V840" t="s">
        <v>81</v>
      </c>
      <c r="W840">
        <v>2</v>
      </c>
      <c r="X840" s="24">
        <v>46032</v>
      </c>
      <c r="Z840" t="s">
        <v>38</v>
      </c>
      <c r="AB840" t="s">
        <v>921</v>
      </c>
      <c r="AC840" t="s">
        <v>1027</v>
      </c>
      <c r="AD840" t="s">
        <v>39</v>
      </c>
    </row>
    <row r="841" spans="1:30" hidden="1" x14ac:dyDescent="0.25">
      <c r="A841">
        <v>325</v>
      </c>
      <c r="B841" t="s">
        <v>441</v>
      </c>
      <c r="C841">
        <v>10</v>
      </c>
      <c r="D841">
        <v>380</v>
      </c>
      <c r="E841">
        <v>4577</v>
      </c>
      <c r="F841" t="s">
        <v>77</v>
      </c>
      <c r="G841" t="s">
        <v>746</v>
      </c>
      <c r="H841">
        <v>2</v>
      </c>
      <c r="I841">
        <v>270.14999999999998</v>
      </c>
      <c r="J841" t="s">
        <v>839</v>
      </c>
      <c r="K841" t="s">
        <v>812</v>
      </c>
      <c r="M841" t="s">
        <v>1085</v>
      </c>
      <c r="P841" t="s">
        <v>924</v>
      </c>
      <c r="Q841" t="s">
        <v>28</v>
      </c>
      <c r="R841" t="s">
        <v>81</v>
      </c>
      <c r="W841">
        <v>2</v>
      </c>
      <c r="X841" s="24">
        <v>46032</v>
      </c>
      <c r="Z841" t="s">
        <v>38</v>
      </c>
      <c r="AB841" t="s">
        <v>921</v>
      </c>
      <c r="AC841" t="s">
        <v>1027</v>
      </c>
      <c r="AD841" t="s">
        <v>39</v>
      </c>
    </row>
    <row r="842" spans="1:30" hidden="1" x14ac:dyDescent="0.25">
      <c r="A842">
        <v>326</v>
      </c>
      <c r="B842" t="s">
        <v>451</v>
      </c>
      <c r="C842">
        <v>10</v>
      </c>
      <c r="D842">
        <v>127</v>
      </c>
      <c r="E842">
        <v>220</v>
      </c>
      <c r="F842" t="s">
        <v>77</v>
      </c>
      <c r="G842" t="s">
        <v>746</v>
      </c>
      <c r="H842">
        <v>1</v>
      </c>
      <c r="I842">
        <v>2.13</v>
      </c>
      <c r="J842" t="s">
        <v>839</v>
      </c>
      <c r="K842" t="s">
        <v>812</v>
      </c>
      <c r="M842" t="s">
        <v>1085</v>
      </c>
      <c r="O842" t="s">
        <v>228</v>
      </c>
      <c r="P842" t="s">
        <v>924</v>
      </c>
      <c r="Q842" t="s">
        <v>26</v>
      </c>
      <c r="R842" t="s">
        <v>81</v>
      </c>
      <c r="W842">
        <v>2</v>
      </c>
      <c r="X842" s="24">
        <v>46032</v>
      </c>
      <c r="Z842" t="s">
        <v>38</v>
      </c>
      <c r="AB842" t="s">
        <v>921</v>
      </c>
      <c r="AC842" t="s">
        <v>1027</v>
      </c>
      <c r="AD842" t="s">
        <v>39</v>
      </c>
    </row>
    <row r="843" spans="1:30" hidden="1" x14ac:dyDescent="0.25">
      <c r="A843">
        <v>327</v>
      </c>
      <c r="B843" t="s">
        <v>453</v>
      </c>
      <c r="C843">
        <v>10</v>
      </c>
      <c r="D843">
        <v>350</v>
      </c>
      <c r="E843">
        <v>4480</v>
      </c>
      <c r="F843" t="s">
        <v>77</v>
      </c>
      <c r="G843" t="s">
        <v>746</v>
      </c>
      <c r="H843">
        <v>1</v>
      </c>
      <c r="I843">
        <v>123.09</v>
      </c>
      <c r="J843" t="s">
        <v>839</v>
      </c>
      <c r="K843" t="s">
        <v>812</v>
      </c>
      <c r="M843" t="s">
        <v>1085</v>
      </c>
      <c r="P843" t="s">
        <v>924</v>
      </c>
      <c r="Q843" t="s">
        <v>28</v>
      </c>
      <c r="R843" t="s">
        <v>81</v>
      </c>
      <c r="V843" t="s">
        <v>81</v>
      </c>
      <c r="W843">
        <v>2</v>
      </c>
      <c r="X843" s="24">
        <v>46032</v>
      </c>
      <c r="Z843" t="s">
        <v>38</v>
      </c>
      <c r="AB843" t="s">
        <v>921</v>
      </c>
      <c r="AC843" t="s">
        <v>1027</v>
      </c>
      <c r="AD843" t="s">
        <v>39</v>
      </c>
    </row>
    <row r="844" spans="1:30" hidden="1" x14ac:dyDescent="0.25">
      <c r="A844">
        <v>328</v>
      </c>
      <c r="B844" t="s">
        <v>426</v>
      </c>
      <c r="C844">
        <v>10</v>
      </c>
      <c r="D844">
        <v>532</v>
      </c>
      <c r="E844">
        <v>4080</v>
      </c>
      <c r="F844" t="s">
        <v>77</v>
      </c>
      <c r="G844" t="s">
        <v>746</v>
      </c>
      <c r="H844">
        <v>2</v>
      </c>
      <c r="I844">
        <v>336.54</v>
      </c>
      <c r="J844" t="s">
        <v>839</v>
      </c>
      <c r="K844" t="s">
        <v>812</v>
      </c>
      <c r="M844" t="s">
        <v>1085</v>
      </c>
      <c r="P844" t="s">
        <v>924</v>
      </c>
      <c r="R844" t="s">
        <v>81</v>
      </c>
      <c r="U844" t="s">
        <v>81</v>
      </c>
      <c r="V844" t="s">
        <v>81</v>
      </c>
      <c r="W844">
        <v>2</v>
      </c>
      <c r="X844" s="24">
        <v>46032</v>
      </c>
      <c r="Z844" t="s">
        <v>38</v>
      </c>
      <c r="AB844" t="s">
        <v>921</v>
      </c>
      <c r="AC844" t="s">
        <v>1029</v>
      </c>
      <c r="AD844" t="s">
        <v>39</v>
      </c>
    </row>
    <row r="845" spans="1:30" hidden="1" x14ac:dyDescent="0.25">
      <c r="A845">
        <v>329</v>
      </c>
      <c r="B845" t="s">
        <v>456</v>
      </c>
      <c r="C845">
        <v>10</v>
      </c>
      <c r="D845">
        <v>70</v>
      </c>
      <c r="E845">
        <v>120</v>
      </c>
      <c r="F845" t="s">
        <v>77</v>
      </c>
      <c r="G845" t="s">
        <v>746</v>
      </c>
      <c r="H845">
        <v>4</v>
      </c>
      <c r="I845">
        <v>2.52</v>
      </c>
      <c r="J845" t="s">
        <v>839</v>
      </c>
      <c r="K845" t="s">
        <v>812</v>
      </c>
      <c r="M845" t="s">
        <v>1085</v>
      </c>
      <c r="O845" t="s">
        <v>228</v>
      </c>
      <c r="P845" t="s">
        <v>924</v>
      </c>
      <c r="Q845" t="s">
        <v>26</v>
      </c>
      <c r="R845" t="s">
        <v>81</v>
      </c>
      <c r="W845">
        <v>2</v>
      </c>
      <c r="X845" s="24">
        <v>46032</v>
      </c>
      <c r="Z845" t="s">
        <v>38</v>
      </c>
      <c r="AB845" t="s">
        <v>921</v>
      </c>
      <c r="AC845" t="s">
        <v>1029</v>
      </c>
      <c r="AD845" t="s">
        <v>39</v>
      </c>
    </row>
    <row r="846" spans="1:30" hidden="1" x14ac:dyDescent="0.25">
      <c r="A846">
        <v>330</v>
      </c>
      <c r="B846" t="s">
        <v>429</v>
      </c>
      <c r="C846">
        <v>10</v>
      </c>
      <c r="D846">
        <v>80</v>
      </c>
      <c r="E846">
        <v>120</v>
      </c>
      <c r="F846" t="s">
        <v>77</v>
      </c>
      <c r="G846" t="s">
        <v>746</v>
      </c>
      <c r="H846">
        <v>4</v>
      </c>
      <c r="I846">
        <v>2.9</v>
      </c>
      <c r="J846" t="s">
        <v>839</v>
      </c>
      <c r="K846" t="s">
        <v>812</v>
      </c>
      <c r="M846" t="s">
        <v>1085</v>
      </c>
      <c r="O846" t="s">
        <v>228</v>
      </c>
      <c r="P846" t="s">
        <v>924</v>
      </c>
      <c r="Q846" t="s">
        <v>26</v>
      </c>
      <c r="R846" t="s">
        <v>81</v>
      </c>
      <c r="W846">
        <v>2</v>
      </c>
      <c r="X846" s="24">
        <v>46032</v>
      </c>
      <c r="Z846" t="s">
        <v>38</v>
      </c>
      <c r="AB846" t="s">
        <v>921</v>
      </c>
      <c r="AC846" t="s">
        <v>1029</v>
      </c>
      <c r="AD846" t="s">
        <v>39</v>
      </c>
    </row>
    <row r="847" spans="1:30" hidden="1" x14ac:dyDescent="0.25">
      <c r="A847">
        <v>331</v>
      </c>
      <c r="B847" t="s">
        <v>458</v>
      </c>
      <c r="C847">
        <v>10</v>
      </c>
      <c r="D847">
        <v>120</v>
      </c>
      <c r="E847">
        <v>220</v>
      </c>
      <c r="F847" t="s">
        <v>77</v>
      </c>
      <c r="G847" t="s">
        <v>746</v>
      </c>
      <c r="H847">
        <v>9</v>
      </c>
      <c r="I847">
        <v>18.11</v>
      </c>
      <c r="J847" t="s">
        <v>839</v>
      </c>
      <c r="K847" t="s">
        <v>812</v>
      </c>
      <c r="M847" t="s">
        <v>1085</v>
      </c>
      <c r="O847" t="s">
        <v>228</v>
      </c>
      <c r="P847" t="s">
        <v>924</v>
      </c>
      <c r="Q847" t="s">
        <v>26</v>
      </c>
      <c r="R847" t="s">
        <v>81</v>
      </c>
      <c r="W847">
        <v>2</v>
      </c>
      <c r="X847" s="24">
        <v>46032</v>
      </c>
      <c r="Z847" t="s">
        <v>38</v>
      </c>
      <c r="AB847" t="s">
        <v>921</v>
      </c>
      <c r="AC847" t="s">
        <v>1029</v>
      </c>
      <c r="AD847" t="s">
        <v>39</v>
      </c>
    </row>
    <row r="848" spans="1:30" hidden="1" x14ac:dyDescent="0.25">
      <c r="A848">
        <v>332</v>
      </c>
      <c r="B848" t="s">
        <v>459</v>
      </c>
      <c r="C848">
        <v>10</v>
      </c>
      <c r="D848">
        <v>80</v>
      </c>
      <c r="E848">
        <v>120</v>
      </c>
      <c r="F848" t="s">
        <v>77</v>
      </c>
      <c r="G848" t="s">
        <v>746</v>
      </c>
      <c r="H848">
        <v>1</v>
      </c>
      <c r="I848">
        <v>0.72</v>
      </c>
      <c r="J848" t="s">
        <v>839</v>
      </c>
      <c r="K848" t="s">
        <v>812</v>
      </c>
      <c r="M848" t="s">
        <v>1085</v>
      </c>
      <c r="O848" t="s">
        <v>228</v>
      </c>
      <c r="P848" t="s">
        <v>924</v>
      </c>
      <c r="Q848" t="s">
        <v>26</v>
      </c>
      <c r="R848" t="s">
        <v>81</v>
      </c>
      <c r="W848">
        <v>2</v>
      </c>
      <c r="X848" s="24">
        <v>46032</v>
      </c>
      <c r="Z848" t="s">
        <v>38</v>
      </c>
      <c r="AB848" t="s">
        <v>921</v>
      </c>
      <c r="AC848" t="s">
        <v>1029</v>
      </c>
      <c r="AD848" t="s">
        <v>39</v>
      </c>
    </row>
    <row r="849" spans="1:30" hidden="1" x14ac:dyDescent="0.25">
      <c r="A849">
        <v>333</v>
      </c>
      <c r="B849" t="s">
        <v>446</v>
      </c>
      <c r="C849">
        <v>10</v>
      </c>
      <c r="D849">
        <v>148</v>
      </c>
      <c r="E849">
        <v>441</v>
      </c>
      <c r="F849" t="s">
        <v>77</v>
      </c>
      <c r="G849" t="s">
        <v>746</v>
      </c>
      <c r="H849">
        <v>4</v>
      </c>
      <c r="I849">
        <v>20.239999999999998</v>
      </c>
      <c r="J849" t="s">
        <v>839</v>
      </c>
      <c r="K849" t="s">
        <v>812</v>
      </c>
      <c r="M849" t="s">
        <v>1085</v>
      </c>
      <c r="P849" t="s">
        <v>924</v>
      </c>
      <c r="Q849" t="s">
        <v>26</v>
      </c>
      <c r="R849" t="s">
        <v>81</v>
      </c>
      <c r="W849">
        <v>2</v>
      </c>
      <c r="X849" s="24">
        <v>46032</v>
      </c>
      <c r="Z849" t="s">
        <v>38</v>
      </c>
      <c r="AB849" t="s">
        <v>921</v>
      </c>
      <c r="AC849" t="s">
        <v>1029</v>
      </c>
      <c r="AD849" t="s">
        <v>39</v>
      </c>
    </row>
    <row r="850" spans="1:30" hidden="1" x14ac:dyDescent="0.25">
      <c r="A850">
        <v>334</v>
      </c>
      <c r="B850" t="s">
        <v>460</v>
      </c>
      <c r="C850">
        <v>10</v>
      </c>
      <c r="D850">
        <v>148</v>
      </c>
      <c r="E850">
        <v>324</v>
      </c>
      <c r="F850" t="s">
        <v>77</v>
      </c>
      <c r="G850" t="s">
        <v>746</v>
      </c>
      <c r="H850">
        <v>40</v>
      </c>
      <c r="I850">
        <v>148.06</v>
      </c>
      <c r="J850" t="s">
        <v>839</v>
      </c>
      <c r="K850" t="s">
        <v>812</v>
      </c>
      <c r="M850" t="s">
        <v>1085</v>
      </c>
      <c r="P850" t="s">
        <v>924</v>
      </c>
      <c r="Q850" t="s">
        <v>26</v>
      </c>
      <c r="R850" t="s">
        <v>81</v>
      </c>
      <c r="W850">
        <v>2</v>
      </c>
      <c r="X850" s="24">
        <v>46032</v>
      </c>
      <c r="Z850" t="s">
        <v>38</v>
      </c>
      <c r="AB850" t="s">
        <v>921</v>
      </c>
      <c r="AC850" t="s">
        <v>1029</v>
      </c>
      <c r="AD850" t="s">
        <v>39</v>
      </c>
    </row>
    <row r="851" spans="1:30" hidden="1" x14ac:dyDescent="0.25">
      <c r="A851">
        <v>335</v>
      </c>
      <c r="B851" t="s">
        <v>461</v>
      </c>
      <c r="C851">
        <v>10</v>
      </c>
      <c r="D851">
        <v>148</v>
      </c>
      <c r="E851">
        <v>324</v>
      </c>
      <c r="F851" t="s">
        <v>77</v>
      </c>
      <c r="G851" t="s">
        <v>746</v>
      </c>
      <c r="H851">
        <v>26</v>
      </c>
      <c r="I851">
        <v>96.24</v>
      </c>
      <c r="J851" t="s">
        <v>839</v>
      </c>
      <c r="K851" t="s">
        <v>812</v>
      </c>
      <c r="M851" t="s">
        <v>1085</v>
      </c>
      <c r="P851" t="s">
        <v>924</v>
      </c>
      <c r="Q851" t="s">
        <v>26</v>
      </c>
      <c r="R851" t="s">
        <v>81</v>
      </c>
      <c r="W851">
        <v>2</v>
      </c>
      <c r="X851" s="24">
        <v>46032</v>
      </c>
      <c r="Z851" t="s">
        <v>38</v>
      </c>
      <c r="AB851" t="s">
        <v>921</v>
      </c>
      <c r="AC851" t="s">
        <v>1029</v>
      </c>
      <c r="AD851" t="s">
        <v>39</v>
      </c>
    </row>
    <row r="852" spans="1:30" hidden="1" x14ac:dyDescent="0.25">
      <c r="A852">
        <v>336</v>
      </c>
      <c r="B852" t="s">
        <v>462</v>
      </c>
      <c r="C852">
        <v>10</v>
      </c>
      <c r="D852">
        <v>148</v>
      </c>
      <c r="E852">
        <v>324</v>
      </c>
      <c r="F852" t="s">
        <v>77</v>
      </c>
      <c r="G852" t="s">
        <v>746</v>
      </c>
      <c r="H852">
        <v>28</v>
      </c>
      <c r="I852">
        <v>103.64</v>
      </c>
      <c r="J852" t="s">
        <v>839</v>
      </c>
      <c r="K852" t="s">
        <v>812</v>
      </c>
      <c r="M852" t="s">
        <v>1085</v>
      </c>
      <c r="P852" t="s">
        <v>924</v>
      </c>
      <c r="Q852" t="s">
        <v>26</v>
      </c>
      <c r="R852" t="s">
        <v>81</v>
      </c>
      <c r="W852">
        <v>2</v>
      </c>
      <c r="X852" s="24">
        <v>46032</v>
      </c>
      <c r="Z852" t="s">
        <v>38</v>
      </c>
      <c r="AB852" t="s">
        <v>921</v>
      </c>
      <c r="AC852" t="s">
        <v>1029</v>
      </c>
      <c r="AD852" t="s">
        <v>39</v>
      </c>
    </row>
    <row r="853" spans="1:30" hidden="1" x14ac:dyDescent="0.25">
      <c r="A853">
        <v>337</v>
      </c>
      <c r="B853" t="s">
        <v>438</v>
      </c>
      <c r="C853">
        <v>10</v>
      </c>
      <c r="D853">
        <v>120</v>
      </c>
      <c r="E853">
        <v>220</v>
      </c>
      <c r="F853" t="s">
        <v>77</v>
      </c>
      <c r="G853" t="s">
        <v>746</v>
      </c>
      <c r="H853">
        <v>3</v>
      </c>
      <c r="I853">
        <v>6.04</v>
      </c>
      <c r="J853" t="s">
        <v>839</v>
      </c>
      <c r="K853" t="s">
        <v>812</v>
      </c>
      <c r="M853" t="s">
        <v>1085</v>
      </c>
      <c r="O853" t="s">
        <v>228</v>
      </c>
      <c r="P853" t="s">
        <v>924</v>
      </c>
      <c r="Q853" t="s">
        <v>26</v>
      </c>
      <c r="R853" t="s">
        <v>81</v>
      </c>
      <c r="W853">
        <v>2</v>
      </c>
      <c r="X853" s="24">
        <v>46032</v>
      </c>
      <c r="Z853" t="s">
        <v>38</v>
      </c>
      <c r="AB853" t="s">
        <v>921</v>
      </c>
      <c r="AC853" t="s">
        <v>1029</v>
      </c>
      <c r="AD853" t="s">
        <v>39</v>
      </c>
    </row>
    <row r="854" spans="1:30" hidden="1" x14ac:dyDescent="0.25">
      <c r="A854">
        <v>338</v>
      </c>
      <c r="B854" t="s">
        <v>447</v>
      </c>
      <c r="C854">
        <v>10</v>
      </c>
      <c r="D854">
        <v>148</v>
      </c>
      <c r="E854">
        <v>324</v>
      </c>
      <c r="F854" t="s">
        <v>77</v>
      </c>
      <c r="G854" t="s">
        <v>746</v>
      </c>
      <c r="H854">
        <v>40</v>
      </c>
      <c r="I854">
        <v>148.06</v>
      </c>
      <c r="J854" t="s">
        <v>839</v>
      </c>
      <c r="K854" t="s">
        <v>812</v>
      </c>
      <c r="M854" t="s">
        <v>1085</v>
      </c>
      <c r="P854" t="s">
        <v>924</v>
      </c>
      <c r="Q854" t="s">
        <v>26</v>
      </c>
      <c r="R854" t="s">
        <v>81</v>
      </c>
      <c r="W854">
        <v>2</v>
      </c>
      <c r="X854" s="24">
        <v>46032</v>
      </c>
      <c r="Z854" t="s">
        <v>38</v>
      </c>
      <c r="AB854" t="s">
        <v>921</v>
      </c>
      <c r="AC854" t="s">
        <v>1029</v>
      </c>
      <c r="AD854" t="s">
        <v>39</v>
      </c>
    </row>
    <row r="855" spans="1:30" hidden="1" x14ac:dyDescent="0.25">
      <c r="A855">
        <v>339</v>
      </c>
      <c r="B855" t="s">
        <v>463</v>
      </c>
      <c r="C855">
        <v>10</v>
      </c>
      <c r="D855">
        <v>350</v>
      </c>
      <c r="E855">
        <v>4580</v>
      </c>
      <c r="F855" t="s">
        <v>77</v>
      </c>
      <c r="G855" t="s">
        <v>746</v>
      </c>
      <c r="H855">
        <v>1</v>
      </c>
      <c r="I855">
        <v>125.84</v>
      </c>
      <c r="J855" t="s">
        <v>839</v>
      </c>
      <c r="K855" t="s">
        <v>812</v>
      </c>
      <c r="M855" t="s">
        <v>1085</v>
      </c>
      <c r="P855" t="s">
        <v>924</v>
      </c>
      <c r="Q855" t="s">
        <v>28</v>
      </c>
      <c r="R855" t="s">
        <v>81</v>
      </c>
      <c r="V855" t="s">
        <v>81</v>
      </c>
      <c r="W855">
        <v>2</v>
      </c>
      <c r="X855" s="24">
        <v>46032</v>
      </c>
      <c r="Z855" t="s">
        <v>38</v>
      </c>
      <c r="AB855" t="s">
        <v>921</v>
      </c>
      <c r="AC855" t="s">
        <v>1029</v>
      </c>
      <c r="AD855" t="s">
        <v>39</v>
      </c>
    </row>
    <row r="856" spans="1:30" hidden="1" x14ac:dyDescent="0.25">
      <c r="A856">
        <v>340</v>
      </c>
      <c r="B856" t="s">
        <v>464</v>
      </c>
      <c r="C856">
        <v>10</v>
      </c>
      <c r="D856">
        <v>350</v>
      </c>
      <c r="E856">
        <v>4480</v>
      </c>
      <c r="F856" t="s">
        <v>77</v>
      </c>
      <c r="G856" t="s">
        <v>746</v>
      </c>
      <c r="H856">
        <v>1</v>
      </c>
      <c r="I856">
        <v>123.09</v>
      </c>
      <c r="J856" t="s">
        <v>839</v>
      </c>
      <c r="K856" t="s">
        <v>812</v>
      </c>
      <c r="M856" t="s">
        <v>1085</v>
      </c>
      <c r="P856" t="s">
        <v>924</v>
      </c>
      <c r="Q856" t="s">
        <v>28</v>
      </c>
      <c r="R856" t="s">
        <v>81</v>
      </c>
      <c r="V856" t="s">
        <v>81</v>
      </c>
      <c r="W856">
        <v>2</v>
      </c>
      <c r="X856" s="24">
        <v>46032</v>
      </c>
      <c r="Z856" t="s">
        <v>38</v>
      </c>
      <c r="AB856" t="s">
        <v>921</v>
      </c>
      <c r="AC856" t="s">
        <v>1029</v>
      </c>
      <c r="AD856" t="s">
        <v>39</v>
      </c>
    </row>
    <row r="857" spans="1:30" hidden="1" x14ac:dyDescent="0.25">
      <c r="A857">
        <v>341</v>
      </c>
      <c r="B857" t="s">
        <v>419</v>
      </c>
      <c r="C857">
        <v>10</v>
      </c>
      <c r="D857">
        <v>200</v>
      </c>
      <c r="E857">
        <v>3586</v>
      </c>
      <c r="F857" t="s">
        <v>77</v>
      </c>
      <c r="G857" t="s">
        <v>746</v>
      </c>
      <c r="H857">
        <v>2</v>
      </c>
      <c r="I857">
        <v>112.6</v>
      </c>
      <c r="J857" t="s">
        <v>839</v>
      </c>
      <c r="K857" t="s">
        <v>812</v>
      </c>
      <c r="M857" t="s">
        <v>1085</v>
      </c>
      <c r="P857" t="s">
        <v>924</v>
      </c>
      <c r="Q857" t="s">
        <v>28</v>
      </c>
      <c r="R857" t="s">
        <v>81</v>
      </c>
      <c r="W857">
        <v>2</v>
      </c>
      <c r="X857" s="24">
        <v>46032</v>
      </c>
      <c r="Z857" t="s">
        <v>38</v>
      </c>
      <c r="AB857" t="s">
        <v>921</v>
      </c>
      <c r="AC857" t="s">
        <v>1029</v>
      </c>
      <c r="AD857" t="s">
        <v>39</v>
      </c>
    </row>
    <row r="858" spans="1:30" hidden="1" x14ac:dyDescent="0.25">
      <c r="A858">
        <v>342</v>
      </c>
      <c r="B858" t="s">
        <v>421</v>
      </c>
      <c r="C858">
        <v>10</v>
      </c>
      <c r="D858">
        <v>230</v>
      </c>
      <c r="E858">
        <v>3586</v>
      </c>
      <c r="F858" t="s">
        <v>77</v>
      </c>
      <c r="G858" t="s">
        <v>746</v>
      </c>
      <c r="H858">
        <v>1</v>
      </c>
      <c r="I858">
        <v>64.75</v>
      </c>
      <c r="J858" t="s">
        <v>839</v>
      </c>
      <c r="K858" t="s">
        <v>812</v>
      </c>
      <c r="M858" t="s">
        <v>1085</v>
      </c>
      <c r="P858" t="s">
        <v>924</v>
      </c>
      <c r="Q858" t="s">
        <v>28</v>
      </c>
      <c r="R858" t="s">
        <v>81</v>
      </c>
      <c r="W858">
        <v>2</v>
      </c>
      <c r="X858" s="24">
        <v>46032</v>
      </c>
      <c r="Z858" t="s">
        <v>38</v>
      </c>
      <c r="AB858" t="s">
        <v>921</v>
      </c>
      <c r="AC858" t="s">
        <v>1029</v>
      </c>
      <c r="AD858" t="s">
        <v>39</v>
      </c>
    </row>
    <row r="859" spans="1:30" hidden="1" x14ac:dyDescent="0.25">
      <c r="A859">
        <v>343</v>
      </c>
      <c r="B859" t="s">
        <v>456</v>
      </c>
      <c r="C859">
        <v>10</v>
      </c>
      <c r="D859">
        <v>70</v>
      </c>
      <c r="E859">
        <v>120</v>
      </c>
      <c r="F859" t="s">
        <v>77</v>
      </c>
      <c r="G859" t="s">
        <v>746</v>
      </c>
      <c r="H859">
        <v>2</v>
      </c>
      <c r="I859">
        <v>1.26</v>
      </c>
      <c r="J859" t="s">
        <v>839</v>
      </c>
      <c r="K859" t="s">
        <v>812</v>
      </c>
      <c r="M859" t="s">
        <v>1085</v>
      </c>
      <c r="O859" t="s">
        <v>228</v>
      </c>
      <c r="P859" t="s">
        <v>924</v>
      </c>
      <c r="Q859" t="s">
        <v>26</v>
      </c>
      <c r="S859" t="s">
        <v>81</v>
      </c>
      <c r="W859">
        <v>2</v>
      </c>
      <c r="X859" s="24">
        <v>46032</v>
      </c>
      <c r="Z859" t="s">
        <v>38</v>
      </c>
      <c r="AB859" t="s">
        <v>921</v>
      </c>
      <c r="AC859" t="s">
        <v>1032</v>
      </c>
      <c r="AD859" t="s">
        <v>1033</v>
      </c>
    </row>
    <row r="860" spans="1:30" hidden="1" x14ac:dyDescent="0.25">
      <c r="A860">
        <v>344</v>
      </c>
      <c r="B860" t="s">
        <v>459</v>
      </c>
      <c r="C860">
        <v>10</v>
      </c>
      <c r="D860">
        <v>80</v>
      </c>
      <c r="E860">
        <v>120</v>
      </c>
      <c r="F860" t="s">
        <v>77</v>
      </c>
      <c r="G860" t="s">
        <v>746</v>
      </c>
      <c r="H860">
        <v>3</v>
      </c>
      <c r="I860">
        <v>2.17</v>
      </c>
      <c r="J860" t="s">
        <v>839</v>
      </c>
      <c r="K860" t="s">
        <v>812</v>
      </c>
      <c r="M860" t="s">
        <v>1085</v>
      </c>
      <c r="O860" t="s">
        <v>228</v>
      </c>
      <c r="P860" t="s">
        <v>924</v>
      </c>
      <c r="Q860" t="s">
        <v>26</v>
      </c>
      <c r="S860" t="s">
        <v>81</v>
      </c>
      <c r="W860">
        <v>2</v>
      </c>
      <c r="X860" s="24">
        <v>46032</v>
      </c>
      <c r="Z860" t="s">
        <v>38</v>
      </c>
      <c r="AB860" t="s">
        <v>921</v>
      </c>
      <c r="AC860" t="s">
        <v>1032</v>
      </c>
      <c r="AD860" t="s">
        <v>1033</v>
      </c>
    </row>
    <row r="861" spans="1:30" hidden="1" x14ac:dyDescent="0.25">
      <c r="A861">
        <v>345</v>
      </c>
      <c r="B861" t="s">
        <v>467</v>
      </c>
      <c r="C861">
        <v>10</v>
      </c>
      <c r="D861">
        <v>120</v>
      </c>
      <c r="E861">
        <v>220</v>
      </c>
      <c r="F861" t="s">
        <v>77</v>
      </c>
      <c r="G861" t="s">
        <v>746</v>
      </c>
      <c r="H861">
        <v>7</v>
      </c>
      <c r="I861">
        <v>14.09</v>
      </c>
      <c r="J861" t="s">
        <v>839</v>
      </c>
      <c r="K861" t="s">
        <v>812</v>
      </c>
      <c r="M861" t="s">
        <v>1085</v>
      </c>
      <c r="O861" t="s">
        <v>228</v>
      </c>
      <c r="P861" t="s">
        <v>924</v>
      </c>
      <c r="Q861" t="s">
        <v>26</v>
      </c>
      <c r="S861" t="s">
        <v>81</v>
      </c>
      <c r="W861">
        <v>2</v>
      </c>
      <c r="X861" s="24">
        <v>46032</v>
      </c>
      <c r="Z861" t="s">
        <v>38</v>
      </c>
      <c r="AB861" t="s">
        <v>921</v>
      </c>
      <c r="AC861" t="s">
        <v>1032</v>
      </c>
      <c r="AD861" t="s">
        <v>1033</v>
      </c>
    </row>
    <row r="862" spans="1:30" hidden="1" x14ac:dyDescent="0.25">
      <c r="A862">
        <v>346</v>
      </c>
      <c r="B862" t="s">
        <v>460</v>
      </c>
      <c r="C862">
        <v>10</v>
      </c>
      <c r="D862">
        <v>148</v>
      </c>
      <c r="E862">
        <v>324</v>
      </c>
      <c r="F862" t="s">
        <v>77</v>
      </c>
      <c r="G862" t="s">
        <v>746</v>
      </c>
      <c r="H862">
        <v>2</v>
      </c>
      <c r="I862">
        <v>7.4</v>
      </c>
      <c r="J862" t="s">
        <v>839</v>
      </c>
      <c r="K862" t="s">
        <v>812</v>
      </c>
      <c r="M862" t="s">
        <v>1085</v>
      </c>
      <c r="P862" t="s">
        <v>924</v>
      </c>
      <c r="Q862" t="s">
        <v>26</v>
      </c>
      <c r="S862" t="s">
        <v>81</v>
      </c>
      <c r="W862">
        <v>2</v>
      </c>
      <c r="X862" s="24">
        <v>46032</v>
      </c>
      <c r="Z862" t="s">
        <v>38</v>
      </c>
      <c r="AB862" t="s">
        <v>921</v>
      </c>
      <c r="AC862" t="s">
        <v>1032</v>
      </c>
      <c r="AD862" t="s">
        <v>1033</v>
      </c>
    </row>
    <row r="863" spans="1:30" hidden="1" x14ac:dyDescent="0.25">
      <c r="A863">
        <v>347</v>
      </c>
      <c r="B863" t="s">
        <v>468</v>
      </c>
      <c r="C863">
        <v>10</v>
      </c>
      <c r="D863">
        <v>160</v>
      </c>
      <c r="E863">
        <v>160</v>
      </c>
      <c r="F863" t="s">
        <v>77</v>
      </c>
      <c r="G863" t="s">
        <v>746</v>
      </c>
      <c r="H863">
        <v>2</v>
      </c>
      <c r="I863">
        <v>1.92</v>
      </c>
      <c r="J863" t="s">
        <v>839</v>
      </c>
      <c r="K863" t="s">
        <v>812</v>
      </c>
      <c r="M863" t="s">
        <v>1085</v>
      </c>
      <c r="O863" t="s">
        <v>228</v>
      </c>
      <c r="P863" t="s">
        <v>924</v>
      </c>
      <c r="Q863" t="s">
        <v>27</v>
      </c>
      <c r="S863" t="s">
        <v>81</v>
      </c>
      <c r="W863">
        <v>2</v>
      </c>
      <c r="X863" s="24">
        <v>46032</v>
      </c>
      <c r="Z863" t="s">
        <v>38</v>
      </c>
      <c r="AB863" t="s">
        <v>921</v>
      </c>
      <c r="AC863" t="s">
        <v>1032</v>
      </c>
      <c r="AD863" t="s">
        <v>1033</v>
      </c>
    </row>
    <row r="864" spans="1:30" hidden="1" x14ac:dyDescent="0.25">
      <c r="A864">
        <v>348</v>
      </c>
      <c r="B864" t="s">
        <v>470</v>
      </c>
      <c r="C864">
        <v>10</v>
      </c>
      <c r="D864">
        <v>160</v>
      </c>
      <c r="E864">
        <v>160</v>
      </c>
      <c r="F864" t="s">
        <v>77</v>
      </c>
      <c r="G864" t="s">
        <v>746</v>
      </c>
      <c r="H864">
        <v>4</v>
      </c>
      <c r="I864">
        <v>3.85</v>
      </c>
      <c r="J864" t="s">
        <v>839</v>
      </c>
      <c r="K864" t="s">
        <v>812</v>
      </c>
      <c r="M864" t="s">
        <v>1085</v>
      </c>
      <c r="O864" t="s">
        <v>228</v>
      </c>
      <c r="P864" t="s">
        <v>924</v>
      </c>
      <c r="Q864" t="s">
        <v>27</v>
      </c>
      <c r="S864" t="s">
        <v>81</v>
      </c>
      <c r="W864">
        <v>2</v>
      </c>
      <c r="X864" s="24">
        <v>46032</v>
      </c>
      <c r="Z864" t="s">
        <v>38</v>
      </c>
      <c r="AB864" t="s">
        <v>921</v>
      </c>
      <c r="AC864" t="s">
        <v>1032</v>
      </c>
      <c r="AD864" t="s">
        <v>1033</v>
      </c>
    </row>
    <row r="865" spans="1:30" hidden="1" x14ac:dyDescent="0.25">
      <c r="A865">
        <v>349</v>
      </c>
      <c r="B865" t="s">
        <v>471</v>
      </c>
      <c r="C865">
        <v>10</v>
      </c>
      <c r="D865">
        <v>160</v>
      </c>
      <c r="E865">
        <v>160</v>
      </c>
      <c r="F865" t="s">
        <v>77</v>
      </c>
      <c r="G865" t="s">
        <v>746</v>
      </c>
      <c r="H865">
        <v>2</v>
      </c>
      <c r="I865">
        <v>1.92</v>
      </c>
      <c r="J865" t="s">
        <v>839</v>
      </c>
      <c r="K865" t="s">
        <v>812</v>
      </c>
      <c r="M865" t="s">
        <v>1085</v>
      </c>
      <c r="O865" t="s">
        <v>228</v>
      </c>
      <c r="P865" t="s">
        <v>924</v>
      </c>
      <c r="Q865" t="s">
        <v>27</v>
      </c>
      <c r="S865" t="s">
        <v>81</v>
      </c>
      <c r="W865">
        <v>2</v>
      </c>
      <c r="X865" s="24">
        <v>46032</v>
      </c>
      <c r="Z865" t="s">
        <v>38</v>
      </c>
      <c r="AB865" t="s">
        <v>921</v>
      </c>
      <c r="AC865" t="s">
        <v>1032</v>
      </c>
      <c r="AD865" t="s">
        <v>1033</v>
      </c>
    </row>
    <row r="866" spans="1:30" hidden="1" x14ac:dyDescent="0.25">
      <c r="A866">
        <v>350</v>
      </c>
      <c r="B866" t="s">
        <v>472</v>
      </c>
      <c r="C866">
        <v>10</v>
      </c>
      <c r="D866">
        <v>160</v>
      </c>
      <c r="E866">
        <v>160</v>
      </c>
      <c r="F866" t="s">
        <v>77</v>
      </c>
      <c r="G866" t="s">
        <v>746</v>
      </c>
      <c r="H866">
        <v>4</v>
      </c>
      <c r="I866">
        <v>3.85</v>
      </c>
      <c r="J866" t="s">
        <v>839</v>
      </c>
      <c r="K866" t="s">
        <v>812</v>
      </c>
      <c r="M866" t="s">
        <v>1085</v>
      </c>
      <c r="O866" t="s">
        <v>228</v>
      </c>
      <c r="P866" t="s">
        <v>924</v>
      </c>
      <c r="Q866" t="s">
        <v>27</v>
      </c>
      <c r="S866" t="s">
        <v>81</v>
      </c>
      <c r="W866">
        <v>2</v>
      </c>
      <c r="X866" s="24">
        <v>46032</v>
      </c>
      <c r="Z866" t="s">
        <v>38</v>
      </c>
      <c r="AB866" t="s">
        <v>921</v>
      </c>
      <c r="AC866" t="s">
        <v>1032</v>
      </c>
      <c r="AD866" t="s">
        <v>1033</v>
      </c>
    </row>
    <row r="867" spans="1:30" hidden="1" x14ac:dyDescent="0.25">
      <c r="A867">
        <v>351</v>
      </c>
      <c r="B867" t="s">
        <v>473</v>
      </c>
      <c r="C867">
        <v>12</v>
      </c>
      <c r="D867">
        <v>220</v>
      </c>
      <c r="E867">
        <v>12000</v>
      </c>
      <c r="F867" t="s">
        <v>77</v>
      </c>
      <c r="G867" t="s">
        <v>746</v>
      </c>
      <c r="H867">
        <v>2</v>
      </c>
      <c r="I867">
        <v>497.38</v>
      </c>
      <c r="J867" t="s">
        <v>839</v>
      </c>
      <c r="K867" t="s">
        <v>812</v>
      </c>
      <c r="M867" t="s">
        <v>1085</v>
      </c>
      <c r="P867" t="s">
        <v>924</v>
      </c>
      <c r="Q867" t="s">
        <v>28</v>
      </c>
      <c r="R867" t="s">
        <v>81</v>
      </c>
      <c r="U867" t="s">
        <v>81</v>
      </c>
      <c r="W867">
        <v>2</v>
      </c>
      <c r="X867" s="24">
        <v>46032</v>
      </c>
      <c r="Z867" t="s">
        <v>38</v>
      </c>
      <c r="AB867" t="s">
        <v>921</v>
      </c>
      <c r="AC867" t="s">
        <v>1035</v>
      </c>
      <c r="AD867" t="s">
        <v>39</v>
      </c>
    </row>
    <row r="868" spans="1:30" hidden="1" x14ac:dyDescent="0.25">
      <c r="A868">
        <v>352</v>
      </c>
      <c r="B868" t="s">
        <v>478</v>
      </c>
      <c r="C868">
        <v>12</v>
      </c>
      <c r="D868">
        <v>220</v>
      </c>
      <c r="E868">
        <v>12000</v>
      </c>
      <c r="F868" t="s">
        <v>77</v>
      </c>
      <c r="G868" t="s">
        <v>746</v>
      </c>
      <c r="H868">
        <v>2</v>
      </c>
      <c r="I868">
        <v>497.38</v>
      </c>
      <c r="J868" t="s">
        <v>839</v>
      </c>
      <c r="K868" t="s">
        <v>812</v>
      </c>
      <c r="M868" t="s">
        <v>1085</v>
      </c>
      <c r="P868" t="s">
        <v>924</v>
      </c>
      <c r="Q868" t="s">
        <v>28</v>
      </c>
      <c r="R868" t="s">
        <v>81</v>
      </c>
      <c r="U868" t="s">
        <v>81</v>
      </c>
      <c r="W868">
        <v>2</v>
      </c>
      <c r="X868" s="24">
        <v>46032</v>
      </c>
      <c r="Z868" t="s">
        <v>38</v>
      </c>
      <c r="AB868" t="s">
        <v>921</v>
      </c>
      <c r="AC868" t="s">
        <v>1035</v>
      </c>
      <c r="AD868" t="s">
        <v>39</v>
      </c>
    </row>
    <row r="869" spans="1:30" hidden="1" x14ac:dyDescent="0.25">
      <c r="A869">
        <v>353</v>
      </c>
      <c r="B869" t="s">
        <v>479</v>
      </c>
      <c r="C869">
        <v>12</v>
      </c>
      <c r="D869">
        <v>220</v>
      </c>
      <c r="E869">
        <v>12000</v>
      </c>
      <c r="F869" t="s">
        <v>77</v>
      </c>
      <c r="G869" t="s">
        <v>746</v>
      </c>
      <c r="H869">
        <v>2</v>
      </c>
      <c r="I869">
        <v>497.38</v>
      </c>
      <c r="J869" t="s">
        <v>839</v>
      </c>
      <c r="K869" t="s">
        <v>812</v>
      </c>
      <c r="M869" t="s">
        <v>1085</v>
      </c>
      <c r="P869" t="s">
        <v>924</v>
      </c>
      <c r="Q869" t="s">
        <v>28</v>
      </c>
      <c r="R869" t="s">
        <v>81</v>
      </c>
      <c r="U869" t="s">
        <v>81</v>
      </c>
      <c r="W869">
        <v>2</v>
      </c>
      <c r="X869" s="24">
        <v>46032</v>
      </c>
      <c r="Z869" t="s">
        <v>38</v>
      </c>
      <c r="AB869" t="s">
        <v>921</v>
      </c>
      <c r="AC869" t="s">
        <v>1035</v>
      </c>
      <c r="AD869" t="s">
        <v>39</v>
      </c>
    </row>
    <row r="870" spans="1:30" hidden="1" x14ac:dyDescent="0.25">
      <c r="A870">
        <v>354</v>
      </c>
      <c r="B870" t="s">
        <v>480</v>
      </c>
      <c r="C870">
        <v>12</v>
      </c>
      <c r="D870">
        <v>220</v>
      </c>
      <c r="E870">
        <v>11989</v>
      </c>
      <c r="F870" t="s">
        <v>77</v>
      </c>
      <c r="G870" t="s">
        <v>746</v>
      </c>
      <c r="H870">
        <v>2</v>
      </c>
      <c r="I870">
        <v>496.92</v>
      </c>
      <c r="J870" t="s">
        <v>839</v>
      </c>
      <c r="K870" t="s">
        <v>812</v>
      </c>
      <c r="M870" t="s">
        <v>1085</v>
      </c>
      <c r="P870" t="s">
        <v>924</v>
      </c>
      <c r="Q870" t="s">
        <v>28</v>
      </c>
      <c r="R870" t="s">
        <v>81</v>
      </c>
      <c r="U870" t="s">
        <v>81</v>
      </c>
      <c r="W870">
        <v>2</v>
      </c>
      <c r="X870" s="24">
        <v>46032</v>
      </c>
      <c r="Z870" t="s">
        <v>38</v>
      </c>
      <c r="AB870" t="s">
        <v>921</v>
      </c>
      <c r="AC870" t="s">
        <v>1037</v>
      </c>
      <c r="AD870" t="s">
        <v>39</v>
      </c>
    </row>
    <row r="871" spans="1:30" hidden="1" x14ac:dyDescent="0.25">
      <c r="A871">
        <v>355</v>
      </c>
      <c r="B871" t="s">
        <v>484</v>
      </c>
      <c r="C871">
        <v>12</v>
      </c>
      <c r="D871">
        <v>220</v>
      </c>
      <c r="E871">
        <v>12000</v>
      </c>
      <c r="F871" t="s">
        <v>77</v>
      </c>
      <c r="G871" t="s">
        <v>746</v>
      </c>
      <c r="H871">
        <v>2</v>
      </c>
      <c r="I871">
        <v>497.39</v>
      </c>
      <c r="J871" t="s">
        <v>839</v>
      </c>
      <c r="K871" t="s">
        <v>812</v>
      </c>
      <c r="M871" t="s">
        <v>1085</v>
      </c>
      <c r="P871" t="s">
        <v>924</v>
      </c>
      <c r="Q871" t="s">
        <v>28</v>
      </c>
      <c r="R871" t="s">
        <v>81</v>
      </c>
      <c r="U871" t="s">
        <v>81</v>
      </c>
      <c r="W871">
        <v>2</v>
      </c>
      <c r="X871" s="24">
        <v>46032</v>
      </c>
      <c r="Z871" t="s">
        <v>38</v>
      </c>
      <c r="AB871" t="s">
        <v>921</v>
      </c>
      <c r="AC871" t="s">
        <v>1037</v>
      </c>
      <c r="AD871" t="s">
        <v>39</v>
      </c>
    </row>
    <row r="872" spans="1:30" hidden="1" x14ac:dyDescent="0.25">
      <c r="A872">
        <v>356</v>
      </c>
      <c r="B872" t="s">
        <v>485</v>
      </c>
      <c r="C872">
        <v>12</v>
      </c>
      <c r="D872">
        <v>220</v>
      </c>
      <c r="E872">
        <v>11989</v>
      </c>
      <c r="F872" t="s">
        <v>77</v>
      </c>
      <c r="G872" t="s">
        <v>746</v>
      </c>
      <c r="H872">
        <v>2</v>
      </c>
      <c r="I872">
        <v>496.92</v>
      </c>
      <c r="J872" t="s">
        <v>839</v>
      </c>
      <c r="K872" t="s">
        <v>812</v>
      </c>
      <c r="M872" t="s">
        <v>1085</v>
      </c>
      <c r="P872" t="s">
        <v>924</v>
      </c>
      <c r="Q872" t="s">
        <v>28</v>
      </c>
      <c r="R872" t="s">
        <v>81</v>
      </c>
      <c r="U872" t="s">
        <v>81</v>
      </c>
      <c r="W872">
        <v>2</v>
      </c>
      <c r="X872" s="24">
        <v>46032</v>
      </c>
      <c r="Z872" t="s">
        <v>38</v>
      </c>
      <c r="AB872" t="s">
        <v>921</v>
      </c>
      <c r="AC872" t="s">
        <v>1037</v>
      </c>
      <c r="AD872" t="s">
        <v>39</v>
      </c>
    </row>
    <row r="873" spans="1:30" hidden="1" x14ac:dyDescent="0.25">
      <c r="A873">
        <v>357</v>
      </c>
      <c r="B873" t="s">
        <v>486</v>
      </c>
      <c r="C873">
        <v>12</v>
      </c>
      <c r="D873">
        <v>220</v>
      </c>
      <c r="E873">
        <v>7562</v>
      </c>
      <c r="F873" t="s">
        <v>77</v>
      </c>
      <c r="G873" t="s">
        <v>746</v>
      </c>
      <c r="H873">
        <v>2</v>
      </c>
      <c r="I873">
        <v>313.44</v>
      </c>
      <c r="J873" t="s">
        <v>839</v>
      </c>
      <c r="K873" t="s">
        <v>812</v>
      </c>
      <c r="M873" t="s">
        <v>1085</v>
      </c>
      <c r="P873" t="s">
        <v>924</v>
      </c>
      <c r="Q873" t="s">
        <v>28</v>
      </c>
      <c r="R873" t="s">
        <v>81</v>
      </c>
      <c r="U873" t="s">
        <v>81</v>
      </c>
      <c r="W873">
        <v>2</v>
      </c>
      <c r="X873" s="24">
        <v>46032</v>
      </c>
      <c r="Z873" t="s">
        <v>38</v>
      </c>
      <c r="AB873" t="s">
        <v>921</v>
      </c>
      <c r="AC873" t="s">
        <v>1039</v>
      </c>
      <c r="AD873" t="s">
        <v>39</v>
      </c>
    </row>
    <row r="874" spans="1:30" hidden="1" x14ac:dyDescent="0.25">
      <c r="A874">
        <v>358</v>
      </c>
      <c r="B874" t="s">
        <v>490</v>
      </c>
      <c r="C874">
        <v>12</v>
      </c>
      <c r="D874">
        <v>220</v>
      </c>
      <c r="E874">
        <v>7565</v>
      </c>
      <c r="F874" t="s">
        <v>77</v>
      </c>
      <c r="G874" t="s">
        <v>746</v>
      </c>
      <c r="H874">
        <v>2</v>
      </c>
      <c r="I874">
        <v>313.56</v>
      </c>
      <c r="J874" t="s">
        <v>839</v>
      </c>
      <c r="K874" t="s">
        <v>812</v>
      </c>
      <c r="M874" t="s">
        <v>1085</v>
      </c>
      <c r="P874" t="s">
        <v>924</v>
      </c>
      <c r="Q874" t="s">
        <v>28</v>
      </c>
      <c r="R874" t="s">
        <v>81</v>
      </c>
      <c r="U874" t="s">
        <v>81</v>
      </c>
      <c r="W874">
        <v>2</v>
      </c>
      <c r="X874" s="24">
        <v>46032</v>
      </c>
      <c r="Z874" t="s">
        <v>38</v>
      </c>
      <c r="AB874" t="s">
        <v>921</v>
      </c>
      <c r="AC874" t="s">
        <v>1039</v>
      </c>
      <c r="AD874" t="s">
        <v>39</v>
      </c>
    </row>
    <row r="875" spans="1:30" hidden="1" x14ac:dyDescent="0.25">
      <c r="A875">
        <v>359</v>
      </c>
      <c r="B875" t="s">
        <v>492</v>
      </c>
      <c r="C875">
        <v>12</v>
      </c>
      <c r="D875">
        <v>220</v>
      </c>
      <c r="E875">
        <v>7561</v>
      </c>
      <c r="F875" t="s">
        <v>77</v>
      </c>
      <c r="G875" t="s">
        <v>746</v>
      </c>
      <c r="H875">
        <v>2</v>
      </c>
      <c r="I875">
        <v>313.39</v>
      </c>
      <c r="J875" t="s">
        <v>839</v>
      </c>
      <c r="K875" t="s">
        <v>812</v>
      </c>
      <c r="M875" t="s">
        <v>1085</v>
      </c>
      <c r="P875" t="s">
        <v>924</v>
      </c>
      <c r="Q875" t="s">
        <v>28</v>
      </c>
      <c r="R875" t="s">
        <v>81</v>
      </c>
      <c r="U875" t="s">
        <v>81</v>
      </c>
      <c r="W875">
        <v>2</v>
      </c>
      <c r="X875" s="24">
        <v>46032</v>
      </c>
      <c r="Z875" t="s">
        <v>38</v>
      </c>
      <c r="AB875" t="s">
        <v>921</v>
      </c>
      <c r="AC875" t="s">
        <v>1039</v>
      </c>
      <c r="AD875" t="s">
        <v>39</v>
      </c>
    </row>
    <row r="876" spans="1:30" hidden="1" x14ac:dyDescent="0.25">
      <c r="A876">
        <v>360</v>
      </c>
      <c r="B876" t="s">
        <v>494</v>
      </c>
      <c r="C876">
        <v>12</v>
      </c>
      <c r="D876">
        <v>220</v>
      </c>
      <c r="E876">
        <v>11993</v>
      </c>
      <c r="F876" t="s">
        <v>77</v>
      </c>
      <c r="G876" t="s">
        <v>746</v>
      </c>
      <c r="H876">
        <v>2</v>
      </c>
      <c r="I876">
        <v>497.09</v>
      </c>
      <c r="J876" t="s">
        <v>839</v>
      </c>
      <c r="K876" t="s">
        <v>812</v>
      </c>
      <c r="M876" t="s">
        <v>1085</v>
      </c>
      <c r="P876" t="s">
        <v>924</v>
      </c>
      <c r="Q876" t="s">
        <v>28</v>
      </c>
      <c r="R876" t="s">
        <v>81</v>
      </c>
      <c r="U876" t="s">
        <v>81</v>
      </c>
      <c r="W876">
        <v>2</v>
      </c>
      <c r="X876" s="24">
        <v>46032</v>
      </c>
      <c r="Z876" t="s">
        <v>38</v>
      </c>
      <c r="AB876" t="s">
        <v>921</v>
      </c>
      <c r="AC876" t="s">
        <v>1041</v>
      </c>
      <c r="AD876" t="s">
        <v>39</v>
      </c>
    </row>
    <row r="877" spans="1:30" hidden="1" x14ac:dyDescent="0.25">
      <c r="A877">
        <v>361</v>
      </c>
      <c r="B877" t="s">
        <v>498</v>
      </c>
      <c r="C877">
        <v>12</v>
      </c>
      <c r="D877">
        <v>220</v>
      </c>
      <c r="E877">
        <v>11991</v>
      </c>
      <c r="F877" t="s">
        <v>77</v>
      </c>
      <c r="G877" t="s">
        <v>746</v>
      </c>
      <c r="H877">
        <v>2</v>
      </c>
      <c r="I877">
        <v>497</v>
      </c>
      <c r="J877" t="s">
        <v>839</v>
      </c>
      <c r="K877" t="s">
        <v>812</v>
      </c>
      <c r="M877" t="s">
        <v>1085</v>
      </c>
      <c r="P877" t="s">
        <v>924</v>
      </c>
      <c r="Q877" t="s">
        <v>28</v>
      </c>
      <c r="R877" t="s">
        <v>81</v>
      </c>
      <c r="U877" t="s">
        <v>81</v>
      </c>
      <c r="W877">
        <v>2</v>
      </c>
      <c r="X877" s="24">
        <v>46032</v>
      </c>
      <c r="Z877" t="s">
        <v>38</v>
      </c>
      <c r="AB877" t="s">
        <v>921</v>
      </c>
      <c r="AC877" t="s">
        <v>1041</v>
      </c>
      <c r="AD877" t="s">
        <v>39</v>
      </c>
    </row>
    <row r="878" spans="1:30" hidden="1" x14ac:dyDescent="0.25">
      <c r="A878">
        <v>362</v>
      </c>
      <c r="B878" t="s">
        <v>500</v>
      </c>
      <c r="C878">
        <v>12</v>
      </c>
      <c r="D878">
        <v>220</v>
      </c>
      <c r="E878">
        <v>11993</v>
      </c>
      <c r="F878" t="s">
        <v>77</v>
      </c>
      <c r="G878" t="s">
        <v>746</v>
      </c>
      <c r="H878">
        <v>2</v>
      </c>
      <c r="I878">
        <v>497.09</v>
      </c>
      <c r="J878" t="s">
        <v>839</v>
      </c>
      <c r="K878" t="s">
        <v>812</v>
      </c>
      <c r="M878" t="s">
        <v>1085</v>
      </c>
      <c r="P878" t="s">
        <v>924</v>
      </c>
      <c r="Q878" t="s">
        <v>28</v>
      </c>
      <c r="R878" t="s">
        <v>81</v>
      </c>
      <c r="U878" t="s">
        <v>81</v>
      </c>
      <c r="W878">
        <v>2</v>
      </c>
      <c r="X878" s="24">
        <v>46032</v>
      </c>
      <c r="Z878" t="s">
        <v>38</v>
      </c>
      <c r="AB878" t="s">
        <v>921</v>
      </c>
      <c r="AC878" t="s">
        <v>1041</v>
      </c>
      <c r="AD878" t="s">
        <v>39</v>
      </c>
    </row>
    <row r="879" spans="1:30" hidden="1" x14ac:dyDescent="0.25">
      <c r="A879">
        <v>363</v>
      </c>
      <c r="B879" t="s">
        <v>501</v>
      </c>
      <c r="C879">
        <v>12</v>
      </c>
      <c r="D879">
        <v>220</v>
      </c>
      <c r="E879">
        <v>11991</v>
      </c>
      <c r="F879" t="s">
        <v>77</v>
      </c>
      <c r="G879" t="s">
        <v>746</v>
      </c>
      <c r="H879">
        <v>2</v>
      </c>
      <c r="I879">
        <v>497</v>
      </c>
      <c r="J879" t="s">
        <v>839</v>
      </c>
      <c r="K879" t="s">
        <v>812</v>
      </c>
      <c r="M879" t="s">
        <v>1085</v>
      </c>
      <c r="P879" t="s">
        <v>924</v>
      </c>
      <c r="Q879" t="s">
        <v>28</v>
      </c>
      <c r="R879" t="s">
        <v>81</v>
      </c>
      <c r="U879" t="s">
        <v>81</v>
      </c>
      <c r="W879">
        <v>2</v>
      </c>
      <c r="X879" s="24">
        <v>46032</v>
      </c>
      <c r="Z879" t="s">
        <v>38</v>
      </c>
      <c r="AB879" t="s">
        <v>921</v>
      </c>
      <c r="AC879" t="s">
        <v>1043</v>
      </c>
      <c r="AD879" t="s">
        <v>39</v>
      </c>
    </row>
    <row r="880" spans="1:30" hidden="1" x14ac:dyDescent="0.25">
      <c r="A880">
        <v>364</v>
      </c>
      <c r="B880" t="s">
        <v>504</v>
      </c>
      <c r="C880">
        <v>12</v>
      </c>
      <c r="D880">
        <v>220</v>
      </c>
      <c r="E880">
        <v>11991</v>
      </c>
      <c r="F880" t="s">
        <v>77</v>
      </c>
      <c r="G880" t="s">
        <v>746</v>
      </c>
      <c r="H880">
        <v>2</v>
      </c>
      <c r="I880">
        <v>497</v>
      </c>
      <c r="J880" t="s">
        <v>839</v>
      </c>
      <c r="K880" t="s">
        <v>812</v>
      </c>
      <c r="M880" t="s">
        <v>1085</v>
      </c>
      <c r="P880" t="s">
        <v>924</v>
      </c>
      <c r="Q880" t="s">
        <v>28</v>
      </c>
      <c r="R880" t="s">
        <v>81</v>
      </c>
      <c r="U880" t="s">
        <v>81</v>
      </c>
      <c r="W880">
        <v>2</v>
      </c>
      <c r="X880" s="24">
        <v>46032</v>
      </c>
      <c r="Z880" t="s">
        <v>38</v>
      </c>
      <c r="AB880" t="s">
        <v>921</v>
      </c>
      <c r="AC880" t="s">
        <v>1043</v>
      </c>
      <c r="AD880" t="s">
        <v>39</v>
      </c>
    </row>
    <row r="881" spans="1:30" hidden="1" x14ac:dyDescent="0.25">
      <c r="A881">
        <v>365</v>
      </c>
      <c r="B881" t="s">
        <v>505</v>
      </c>
      <c r="C881">
        <v>12</v>
      </c>
      <c r="D881">
        <v>220</v>
      </c>
      <c r="E881">
        <v>11991</v>
      </c>
      <c r="F881" t="s">
        <v>77</v>
      </c>
      <c r="G881" t="s">
        <v>746</v>
      </c>
      <c r="H881">
        <v>2</v>
      </c>
      <c r="I881">
        <v>497</v>
      </c>
      <c r="J881" t="s">
        <v>839</v>
      </c>
      <c r="K881" t="s">
        <v>812</v>
      </c>
      <c r="M881" t="s">
        <v>1085</v>
      </c>
      <c r="P881" t="s">
        <v>924</v>
      </c>
      <c r="Q881" t="s">
        <v>28</v>
      </c>
      <c r="R881" t="s">
        <v>81</v>
      </c>
      <c r="U881" t="s">
        <v>81</v>
      </c>
      <c r="W881">
        <v>2</v>
      </c>
      <c r="X881" s="24">
        <v>46032</v>
      </c>
      <c r="Z881" t="s">
        <v>38</v>
      </c>
      <c r="AB881" t="s">
        <v>921</v>
      </c>
      <c r="AC881" t="s">
        <v>1043</v>
      </c>
      <c r="AD881" t="s">
        <v>39</v>
      </c>
    </row>
    <row r="882" spans="1:30" hidden="1" x14ac:dyDescent="0.25">
      <c r="A882">
        <v>366</v>
      </c>
      <c r="B882" t="s">
        <v>506</v>
      </c>
      <c r="C882">
        <v>12</v>
      </c>
      <c r="D882">
        <v>220</v>
      </c>
      <c r="E882">
        <v>7564</v>
      </c>
      <c r="F882" t="s">
        <v>77</v>
      </c>
      <c r="G882" t="s">
        <v>746</v>
      </c>
      <c r="H882">
        <v>2</v>
      </c>
      <c r="I882">
        <v>313.51</v>
      </c>
      <c r="J882" t="s">
        <v>839</v>
      </c>
      <c r="K882" t="s">
        <v>812</v>
      </c>
      <c r="M882" t="s">
        <v>1085</v>
      </c>
      <c r="P882" t="s">
        <v>924</v>
      </c>
      <c r="Q882" t="s">
        <v>28</v>
      </c>
      <c r="S882" t="s">
        <v>81</v>
      </c>
      <c r="U882" t="s">
        <v>81</v>
      </c>
      <c r="W882">
        <v>2</v>
      </c>
      <c r="X882" s="24">
        <v>46032</v>
      </c>
      <c r="Z882" t="s">
        <v>38</v>
      </c>
      <c r="AB882" t="s">
        <v>921</v>
      </c>
      <c r="AC882" t="s">
        <v>1045</v>
      </c>
      <c r="AD882" t="s">
        <v>1046</v>
      </c>
    </row>
    <row r="883" spans="1:30" hidden="1" x14ac:dyDescent="0.25">
      <c r="A883">
        <v>367</v>
      </c>
      <c r="B883" t="s">
        <v>510</v>
      </c>
      <c r="C883">
        <v>16</v>
      </c>
      <c r="D883">
        <v>50</v>
      </c>
      <c r="E883">
        <v>120</v>
      </c>
      <c r="F883" t="s">
        <v>77</v>
      </c>
      <c r="G883" t="s">
        <v>746</v>
      </c>
      <c r="H883">
        <v>16</v>
      </c>
      <c r="I883">
        <v>11.15</v>
      </c>
      <c r="J883" t="s">
        <v>839</v>
      </c>
      <c r="K883" t="s">
        <v>812</v>
      </c>
      <c r="M883" t="s">
        <v>1085</v>
      </c>
      <c r="O883" t="s">
        <v>228</v>
      </c>
      <c r="P883" t="s">
        <v>924</v>
      </c>
      <c r="Q883" t="s">
        <v>27</v>
      </c>
      <c r="R883" t="s">
        <v>81</v>
      </c>
      <c r="W883">
        <v>2</v>
      </c>
      <c r="X883" s="24">
        <v>46032</v>
      </c>
      <c r="Z883" t="s">
        <v>38</v>
      </c>
      <c r="AB883" t="s">
        <v>921</v>
      </c>
      <c r="AC883" t="s">
        <v>1048</v>
      </c>
      <c r="AD883" t="s">
        <v>39</v>
      </c>
    </row>
    <row r="884" spans="1:30" hidden="1" x14ac:dyDescent="0.25">
      <c r="A884">
        <v>368</v>
      </c>
      <c r="B884" t="s">
        <v>515</v>
      </c>
      <c r="C884">
        <v>16</v>
      </c>
      <c r="D884">
        <v>220</v>
      </c>
      <c r="E884">
        <v>280</v>
      </c>
      <c r="F884" t="s">
        <v>77</v>
      </c>
      <c r="G884" t="s">
        <v>746</v>
      </c>
      <c r="H884">
        <v>4</v>
      </c>
      <c r="I884">
        <v>30.85</v>
      </c>
      <c r="J884" t="s">
        <v>839</v>
      </c>
      <c r="K884" t="s">
        <v>812</v>
      </c>
      <c r="M884" t="s">
        <v>1085</v>
      </c>
      <c r="P884" t="s">
        <v>924</v>
      </c>
      <c r="Q884" t="s">
        <v>26</v>
      </c>
      <c r="R884" t="s">
        <v>81</v>
      </c>
      <c r="W884">
        <v>2</v>
      </c>
      <c r="X884" s="24">
        <v>46032</v>
      </c>
      <c r="Z884" t="s">
        <v>38</v>
      </c>
      <c r="AB884" t="s">
        <v>921</v>
      </c>
      <c r="AC884" t="s">
        <v>1048</v>
      </c>
      <c r="AD884" t="s">
        <v>39</v>
      </c>
    </row>
    <row r="885" spans="1:30" hidden="1" x14ac:dyDescent="0.25">
      <c r="A885">
        <v>369</v>
      </c>
      <c r="B885" t="s">
        <v>517</v>
      </c>
      <c r="C885">
        <v>16</v>
      </c>
      <c r="D885">
        <v>200</v>
      </c>
      <c r="E885">
        <v>300</v>
      </c>
      <c r="F885" t="s">
        <v>77</v>
      </c>
      <c r="G885" t="s">
        <v>746</v>
      </c>
      <c r="H885">
        <v>2</v>
      </c>
      <c r="I885">
        <v>9.73</v>
      </c>
      <c r="J885" t="s">
        <v>839</v>
      </c>
      <c r="K885" t="s">
        <v>812</v>
      </c>
      <c r="M885" t="s">
        <v>1085</v>
      </c>
      <c r="P885" t="s">
        <v>924</v>
      </c>
      <c r="Q885" t="s">
        <v>26</v>
      </c>
      <c r="R885" t="s">
        <v>81</v>
      </c>
      <c r="W885">
        <v>2</v>
      </c>
      <c r="X885" s="24">
        <v>46032</v>
      </c>
      <c r="Z885" t="s">
        <v>38</v>
      </c>
      <c r="AB885" t="s">
        <v>921</v>
      </c>
      <c r="AC885" t="s">
        <v>1048</v>
      </c>
      <c r="AD885" t="s">
        <v>39</v>
      </c>
    </row>
    <row r="886" spans="1:30" hidden="1" x14ac:dyDescent="0.25">
      <c r="A886">
        <v>370</v>
      </c>
      <c r="B886" t="s">
        <v>519</v>
      </c>
      <c r="C886">
        <v>16</v>
      </c>
      <c r="D886">
        <v>200</v>
      </c>
      <c r="E886">
        <v>300</v>
      </c>
      <c r="F886" t="s">
        <v>77</v>
      </c>
      <c r="G886" t="s">
        <v>746</v>
      </c>
      <c r="H886">
        <v>2</v>
      </c>
      <c r="I886">
        <v>9.73</v>
      </c>
      <c r="J886" t="s">
        <v>839</v>
      </c>
      <c r="K886" t="s">
        <v>812</v>
      </c>
      <c r="M886" t="s">
        <v>1085</v>
      </c>
      <c r="P886" t="s">
        <v>924</v>
      </c>
      <c r="Q886" t="s">
        <v>26</v>
      </c>
      <c r="R886" t="s">
        <v>81</v>
      </c>
      <c r="W886">
        <v>2</v>
      </c>
      <c r="X886" s="24">
        <v>46032</v>
      </c>
      <c r="Z886" t="s">
        <v>38</v>
      </c>
      <c r="AB886" t="s">
        <v>921</v>
      </c>
      <c r="AC886" t="s">
        <v>1048</v>
      </c>
      <c r="AD886" t="s">
        <v>39</v>
      </c>
    </row>
    <row r="887" spans="1:30" hidden="1" x14ac:dyDescent="0.25">
      <c r="A887">
        <v>371</v>
      </c>
      <c r="B887" t="s">
        <v>520</v>
      </c>
      <c r="C887">
        <v>16</v>
      </c>
      <c r="D887">
        <v>275</v>
      </c>
      <c r="E887">
        <v>12000</v>
      </c>
      <c r="F887" t="s">
        <v>77</v>
      </c>
      <c r="G887" t="s">
        <v>746</v>
      </c>
      <c r="H887">
        <v>1</v>
      </c>
      <c r="I887">
        <v>414.49</v>
      </c>
      <c r="J887" t="s">
        <v>839</v>
      </c>
      <c r="K887" t="s">
        <v>812</v>
      </c>
      <c r="M887" t="s">
        <v>1085</v>
      </c>
      <c r="P887" t="s">
        <v>924</v>
      </c>
      <c r="Q887" t="s">
        <v>28</v>
      </c>
      <c r="R887" t="s">
        <v>81</v>
      </c>
      <c r="U887" t="s">
        <v>81</v>
      </c>
      <c r="W887">
        <v>2</v>
      </c>
      <c r="X887" s="24">
        <v>46032</v>
      </c>
      <c r="Z887" t="s">
        <v>38</v>
      </c>
      <c r="AB887" t="s">
        <v>921</v>
      </c>
      <c r="AC887" t="s">
        <v>1048</v>
      </c>
      <c r="AD887" t="s">
        <v>39</v>
      </c>
    </row>
    <row r="888" spans="1:30" hidden="1" x14ac:dyDescent="0.25">
      <c r="A888">
        <v>372</v>
      </c>
      <c r="B888" t="s">
        <v>522</v>
      </c>
      <c r="C888">
        <v>16</v>
      </c>
      <c r="D888">
        <v>275</v>
      </c>
      <c r="E888">
        <v>12000</v>
      </c>
      <c r="F888" t="s">
        <v>77</v>
      </c>
      <c r="G888" t="s">
        <v>746</v>
      </c>
      <c r="H888">
        <v>1</v>
      </c>
      <c r="I888">
        <v>414.48</v>
      </c>
      <c r="J888" t="s">
        <v>839</v>
      </c>
      <c r="K888" t="s">
        <v>812</v>
      </c>
      <c r="M888" t="s">
        <v>1085</v>
      </c>
      <c r="P888" t="s">
        <v>924</v>
      </c>
      <c r="Q888" t="s">
        <v>28</v>
      </c>
      <c r="R888" t="s">
        <v>81</v>
      </c>
      <c r="U888" t="s">
        <v>81</v>
      </c>
      <c r="W888">
        <v>2</v>
      </c>
      <c r="X888" s="24">
        <v>46032</v>
      </c>
      <c r="Z888" t="s">
        <v>38</v>
      </c>
      <c r="AB888" t="s">
        <v>921</v>
      </c>
      <c r="AC888" t="s">
        <v>1048</v>
      </c>
      <c r="AD888" t="s">
        <v>39</v>
      </c>
    </row>
    <row r="889" spans="1:30" hidden="1" x14ac:dyDescent="0.25">
      <c r="A889">
        <v>373</v>
      </c>
      <c r="B889" t="s">
        <v>523</v>
      </c>
      <c r="C889">
        <v>16</v>
      </c>
      <c r="D889">
        <v>275</v>
      </c>
      <c r="E889">
        <v>11976</v>
      </c>
      <c r="F889" t="s">
        <v>77</v>
      </c>
      <c r="G889" t="s">
        <v>746</v>
      </c>
      <c r="H889">
        <v>1</v>
      </c>
      <c r="I889">
        <v>413.65</v>
      </c>
      <c r="J889" t="s">
        <v>839</v>
      </c>
      <c r="K889" t="s">
        <v>812</v>
      </c>
      <c r="M889" t="s">
        <v>1085</v>
      </c>
      <c r="P889" t="s">
        <v>924</v>
      </c>
      <c r="Q889" t="s">
        <v>28</v>
      </c>
      <c r="R889" t="s">
        <v>81</v>
      </c>
      <c r="U889" t="s">
        <v>81</v>
      </c>
      <c r="W889">
        <v>2</v>
      </c>
      <c r="X889" s="24">
        <v>46032</v>
      </c>
      <c r="Z889" t="s">
        <v>38</v>
      </c>
      <c r="AB889" t="s">
        <v>921</v>
      </c>
      <c r="AC889" t="s">
        <v>1048</v>
      </c>
      <c r="AD889" t="s">
        <v>39</v>
      </c>
    </row>
    <row r="890" spans="1:30" hidden="1" x14ac:dyDescent="0.25">
      <c r="A890">
        <v>374</v>
      </c>
      <c r="B890" t="s">
        <v>525</v>
      </c>
      <c r="C890">
        <v>16</v>
      </c>
      <c r="D890">
        <v>200</v>
      </c>
      <c r="E890">
        <v>300</v>
      </c>
      <c r="F890" t="s">
        <v>77</v>
      </c>
      <c r="G890" t="s">
        <v>746</v>
      </c>
      <c r="H890">
        <v>2</v>
      </c>
      <c r="I890">
        <v>9.73</v>
      </c>
      <c r="J890" t="s">
        <v>839</v>
      </c>
      <c r="K890" t="s">
        <v>812</v>
      </c>
      <c r="M890" t="s">
        <v>1085</v>
      </c>
      <c r="P890" t="s">
        <v>924</v>
      </c>
      <c r="Q890" t="s">
        <v>26</v>
      </c>
      <c r="R890" t="s">
        <v>81</v>
      </c>
      <c r="W890">
        <v>2</v>
      </c>
      <c r="X890" s="24">
        <v>46032</v>
      </c>
      <c r="Z890" t="s">
        <v>38</v>
      </c>
      <c r="AB890" t="s">
        <v>921</v>
      </c>
      <c r="AC890" t="s">
        <v>1048</v>
      </c>
      <c r="AD890" t="s">
        <v>39</v>
      </c>
    </row>
    <row r="891" spans="1:30" hidden="1" x14ac:dyDescent="0.25">
      <c r="A891">
        <v>375</v>
      </c>
      <c r="B891" t="s">
        <v>526</v>
      </c>
      <c r="C891">
        <v>16</v>
      </c>
      <c r="D891">
        <v>200</v>
      </c>
      <c r="E891">
        <v>300</v>
      </c>
      <c r="F891" t="s">
        <v>77</v>
      </c>
      <c r="G891" t="s">
        <v>746</v>
      </c>
      <c r="H891">
        <v>2</v>
      </c>
      <c r="I891">
        <v>9.73</v>
      </c>
      <c r="J891" t="s">
        <v>839</v>
      </c>
      <c r="K891" t="s">
        <v>812</v>
      </c>
      <c r="M891" t="s">
        <v>1085</v>
      </c>
      <c r="P891" t="s">
        <v>924</v>
      </c>
      <c r="Q891" t="s">
        <v>26</v>
      </c>
      <c r="R891" t="s">
        <v>81</v>
      </c>
      <c r="W891">
        <v>2</v>
      </c>
      <c r="X891" s="24">
        <v>46032</v>
      </c>
      <c r="Z891" t="s">
        <v>38</v>
      </c>
      <c r="AB891" t="s">
        <v>921</v>
      </c>
      <c r="AC891" t="s">
        <v>1048</v>
      </c>
      <c r="AD891" t="s">
        <v>39</v>
      </c>
    </row>
    <row r="892" spans="1:30" hidden="1" x14ac:dyDescent="0.25">
      <c r="A892">
        <v>376</v>
      </c>
      <c r="B892" t="s">
        <v>527</v>
      </c>
      <c r="C892">
        <v>16</v>
      </c>
      <c r="D892">
        <v>275</v>
      </c>
      <c r="E892">
        <v>12000</v>
      </c>
      <c r="F892" t="s">
        <v>77</v>
      </c>
      <c r="G892" t="s">
        <v>746</v>
      </c>
      <c r="H892">
        <v>1</v>
      </c>
      <c r="I892">
        <v>414.48</v>
      </c>
      <c r="J892" t="s">
        <v>839</v>
      </c>
      <c r="K892" t="s">
        <v>812</v>
      </c>
      <c r="M892" t="s">
        <v>1085</v>
      </c>
      <c r="P892" t="s">
        <v>924</v>
      </c>
      <c r="Q892" t="s">
        <v>28</v>
      </c>
      <c r="R892" t="s">
        <v>81</v>
      </c>
      <c r="U892" t="s">
        <v>81</v>
      </c>
      <c r="W892">
        <v>2</v>
      </c>
      <c r="X892" s="24">
        <v>46032</v>
      </c>
      <c r="Z892" t="s">
        <v>38</v>
      </c>
      <c r="AB892" t="s">
        <v>921</v>
      </c>
      <c r="AC892" t="s">
        <v>1048</v>
      </c>
      <c r="AD892" t="s">
        <v>39</v>
      </c>
    </row>
    <row r="893" spans="1:30" hidden="1" x14ac:dyDescent="0.25">
      <c r="A893">
        <v>377</v>
      </c>
      <c r="B893" t="s">
        <v>528</v>
      </c>
      <c r="C893">
        <v>16</v>
      </c>
      <c r="D893">
        <v>275</v>
      </c>
      <c r="E893">
        <v>7587</v>
      </c>
      <c r="F893" t="s">
        <v>77</v>
      </c>
      <c r="G893" t="s">
        <v>746</v>
      </c>
      <c r="H893">
        <v>1</v>
      </c>
      <c r="I893">
        <v>262.06</v>
      </c>
      <c r="J893" t="s">
        <v>839</v>
      </c>
      <c r="K893" t="s">
        <v>812</v>
      </c>
      <c r="M893" t="s">
        <v>1085</v>
      </c>
      <c r="P893" t="s">
        <v>924</v>
      </c>
      <c r="Q893" t="s">
        <v>28</v>
      </c>
      <c r="R893" t="s">
        <v>81</v>
      </c>
      <c r="U893" t="s">
        <v>81</v>
      </c>
      <c r="W893">
        <v>2</v>
      </c>
      <c r="X893" s="24">
        <v>46032</v>
      </c>
      <c r="Z893" t="s">
        <v>38</v>
      </c>
      <c r="AB893" t="s">
        <v>921</v>
      </c>
      <c r="AC893" t="s">
        <v>1048</v>
      </c>
      <c r="AD893" t="s">
        <v>39</v>
      </c>
    </row>
    <row r="894" spans="1:30" hidden="1" x14ac:dyDescent="0.25">
      <c r="A894">
        <v>378</v>
      </c>
      <c r="B894" t="s">
        <v>530</v>
      </c>
      <c r="C894">
        <v>16</v>
      </c>
      <c r="D894">
        <v>275</v>
      </c>
      <c r="E894">
        <v>12000</v>
      </c>
      <c r="F894" t="s">
        <v>77</v>
      </c>
      <c r="G894" t="s">
        <v>746</v>
      </c>
      <c r="H894">
        <v>1</v>
      </c>
      <c r="I894">
        <v>414.48</v>
      </c>
      <c r="J894" t="s">
        <v>839</v>
      </c>
      <c r="K894" t="s">
        <v>812</v>
      </c>
      <c r="M894" t="s">
        <v>1085</v>
      </c>
      <c r="P894" t="s">
        <v>924</v>
      </c>
      <c r="Q894" t="s">
        <v>28</v>
      </c>
      <c r="R894" t="s">
        <v>81</v>
      </c>
      <c r="U894" t="s">
        <v>81</v>
      </c>
      <c r="W894">
        <v>2</v>
      </c>
      <c r="X894" s="24">
        <v>46032</v>
      </c>
      <c r="Z894" t="s">
        <v>38</v>
      </c>
      <c r="AB894" t="s">
        <v>921</v>
      </c>
      <c r="AC894" t="s">
        <v>1048</v>
      </c>
      <c r="AD894" t="s">
        <v>39</v>
      </c>
    </row>
    <row r="895" spans="1:30" hidden="1" x14ac:dyDescent="0.25">
      <c r="A895">
        <v>379</v>
      </c>
      <c r="B895" t="s">
        <v>531</v>
      </c>
      <c r="C895">
        <v>16</v>
      </c>
      <c r="D895">
        <v>275</v>
      </c>
      <c r="E895">
        <v>7583</v>
      </c>
      <c r="F895" t="s">
        <v>77</v>
      </c>
      <c r="G895" t="s">
        <v>746</v>
      </c>
      <c r="H895">
        <v>1</v>
      </c>
      <c r="I895">
        <v>261.92</v>
      </c>
      <c r="J895" t="s">
        <v>839</v>
      </c>
      <c r="K895" t="s">
        <v>812</v>
      </c>
      <c r="M895" t="s">
        <v>1085</v>
      </c>
      <c r="P895" t="s">
        <v>924</v>
      </c>
      <c r="Q895" t="s">
        <v>28</v>
      </c>
      <c r="R895" t="s">
        <v>81</v>
      </c>
      <c r="U895" t="s">
        <v>81</v>
      </c>
      <c r="W895">
        <v>2</v>
      </c>
      <c r="X895" s="24">
        <v>46032</v>
      </c>
      <c r="Z895" t="s">
        <v>38</v>
      </c>
      <c r="AB895" t="s">
        <v>921</v>
      </c>
      <c r="AC895" t="s">
        <v>1048</v>
      </c>
      <c r="AD895" t="s">
        <v>39</v>
      </c>
    </row>
    <row r="896" spans="1:30" hidden="1" x14ac:dyDescent="0.25">
      <c r="A896">
        <v>380</v>
      </c>
      <c r="B896" t="s">
        <v>535</v>
      </c>
      <c r="C896">
        <v>16</v>
      </c>
      <c r="D896">
        <v>220</v>
      </c>
      <c r="E896">
        <v>280</v>
      </c>
      <c r="F896" t="s">
        <v>77</v>
      </c>
      <c r="G896" t="s">
        <v>746</v>
      </c>
      <c r="H896">
        <v>4</v>
      </c>
      <c r="I896">
        <v>30.85</v>
      </c>
      <c r="J896" t="s">
        <v>839</v>
      </c>
      <c r="K896" t="s">
        <v>812</v>
      </c>
      <c r="M896" t="s">
        <v>1085</v>
      </c>
      <c r="P896" t="s">
        <v>924</v>
      </c>
      <c r="Q896" t="s">
        <v>26</v>
      </c>
      <c r="R896" t="s">
        <v>81</v>
      </c>
      <c r="W896">
        <v>2</v>
      </c>
      <c r="X896" s="24">
        <v>46032</v>
      </c>
      <c r="Z896" t="s">
        <v>38</v>
      </c>
      <c r="AB896" t="s">
        <v>921</v>
      </c>
      <c r="AC896" t="s">
        <v>1048</v>
      </c>
      <c r="AD896" t="s">
        <v>39</v>
      </c>
    </row>
    <row r="897" spans="1:30" hidden="1" x14ac:dyDescent="0.25">
      <c r="A897">
        <v>381</v>
      </c>
      <c r="B897" t="s">
        <v>536</v>
      </c>
      <c r="C897">
        <v>16</v>
      </c>
      <c r="D897">
        <v>170</v>
      </c>
      <c r="E897">
        <v>170</v>
      </c>
      <c r="F897" t="s">
        <v>77</v>
      </c>
      <c r="G897" t="s">
        <v>746</v>
      </c>
      <c r="H897">
        <v>6</v>
      </c>
      <c r="I897">
        <v>21.63</v>
      </c>
      <c r="J897" t="s">
        <v>839</v>
      </c>
      <c r="K897" t="s">
        <v>812</v>
      </c>
      <c r="M897" t="s">
        <v>1085</v>
      </c>
      <c r="P897" t="s">
        <v>924</v>
      </c>
      <c r="Q897" t="s">
        <v>26</v>
      </c>
      <c r="R897" t="s">
        <v>81</v>
      </c>
      <c r="W897">
        <v>2</v>
      </c>
      <c r="X897" s="24">
        <v>46032</v>
      </c>
      <c r="Z897" t="s">
        <v>38</v>
      </c>
      <c r="AB897" t="s">
        <v>921</v>
      </c>
      <c r="AC897" t="s">
        <v>1048</v>
      </c>
      <c r="AD897" t="s">
        <v>39</v>
      </c>
    </row>
    <row r="898" spans="1:30" hidden="1" x14ac:dyDescent="0.25">
      <c r="A898">
        <v>382</v>
      </c>
      <c r="B898" t="s">
        <v>538</v>
      </c>
      <c r="C898">
        <v>16</v>
      </c>
      <c r="D898">
        <v>170</v>
      </c>
      <c r="E898">
        <v>170</v>
      </c>
      <c r="F898" t="s">
        <v>77</v>
      </c>
      <c r="G898" t="s">
        <v>746</v>
      </c>
      <c r="H898">
        <v>4</v>
      </c>
      <c r="I898">
        <v>14.42</v>
      </c>
      <c r="J898" t="s">
        <v>839</v>
      </c>
      <c r="K898" t="s">
        <v>812</v>
      </c>
      <c r="M898" t="s">
        <v>1085</v>
      </c>
      <c r="P898" t="s">
        <v>924</v>
      </c>
      <c r="Q898" t="s">
        <v>26</v>
      </c>
      <c r="R898" t="s">
        <v>81</v>
      </c>
      <c r="W898">
        <v>2</v>
      </c>
      <c r="X898" s="24">
        <v>46032</v>
      </c>
      <c r="Z898" t="s">
        <v>38</v>
      </c>
      <c r="AB898" t="s">
        <v>921</v>
      </c>
      <c r="AC898" t="s">
        <v>1048</v>
      </c>
      <c r="AD898" t="s">
        <v>39</v>
      </c>
    </row>
    <row r="899" spans="1:30" hidden="1" x14ac:dyDescent="0.25">
      <c r="A899">
        <v>383</v>
      </c>
      <c r="B899" t="s">
        <v>539</v>
      </c>
      <c r="C899">
        <v>16</v>
      </c>
      <c r="D899">
        <v>170</v>
      </c>
      <c r="E899">
        <v>170</v>
      </c>
      <c r="F899" t="s">
        <v>77</v>
      </c>
      <c r="G899" t="s">
        <v>746</v>
      </c>
      <c r="H899">
        <v>4</v>
      </c>
      <c r="I899">
        <v>14.42</v>
      </c>
      <c r="J899" t="s">
        <v>839</v>
      </c>
      <c r="K899" t="s">
        <v>812</v>
      </c>
      <c r="M899" t="s">
        <v>1085</v>
      </c>
      <c r="P899" t="s">
        <v>924</v>
      </c>
      <c r="Q899" t="s">
        <v>26</v>
      </c>
      <c r="R899" t="s">
        <v>81</v>
      </c>
      <c r="W899">
        <v>2</v>
      </c>
      <c r="X899" s="24">
        <v>46032</v>
      </c>
      <c r="Z899" t="s">
        <v>38</v>
      </c>
      <c r="AB899" t="s">
        <v>921</v>
      </c>
      <c r="AC899" t="s">
        <v>1048</v>
      </c>
      <c r="AD899" t="s">
        <v>39</v>
      </c>
    </row>
    <row r="900" spans="1:30" hidden="1" x14ac:dyDescent="0.25">
      <c r="A900">
        <v>384</v>
      </c>
      <c r="B900" t="s">
        <v>540</v>
      </c>
      <c r="C900">
        <v>16</v>
      </c>
      <c r="D900">
        <v>170</v>
      </c>
      <c r="E900">
        <v>170</v>
      </c>
      <c r="F900" t="s">
        <v>77</v>
      </c>
      <c r="G900" t="s">
        <v>746</v>
      </c>
      <c r="H900">
        <v>4</v>
      </c>
      <c r="I900">
        <v>14.42</v>
      </c>
      <c r="J900" t="s">
        <v>839</v>
      </c>
      <c r="K900" t="s">
        <v>812</v>
      </c>
      <c r="M900" t="s">
        <v>1085</v>
      </c>
      <c r="P900" t="s">
        <v>924</v>
      </c>
      <c r="Q900" t="s">
        <v>26</v>
      </c>
      <c r="R900" t="s">
        <v>81</v>
      </c>
      <c r="W900">
        <v>2</v>
      </c>
      <c r="X900" s="24">
        <v>46032</v>
      </c>
      <c r="Z900" t="s">
        <v>38</v>
      </c>
      <c r="AB900" t="s">
        <v>921</v>
      </c>
      <c r="AC900" t="s">
        <v>1048</v>
      </c>
      <c r="AD900" t="s">
        <v>39</v>
      </c>
    </row>
    <row r="901" spans="1:30" hidden="1" x14ac:dyDescent="0.25">
      <c r="A901">
        <v>385</v>
      </c>
      <c r="B901" t="s">
        <v>541</v>
      </c>
      <c r="C901">
        <v>16</v>
      </c>
      <c r="D901">
        <v>170</v>
      </c>
      <c r="E901">
        <v>170</v>
      </c>
      <c r="F901" t="s">
        <v>77</v>
      </c>
      <c r="G901" t="s">
        <v>746</v>
      </c>
      <c r="H901">
        <v>4</v>
      </c>
      <c r="I901">
        <v>14.42</v>
      </c>
      <c r="J901" t="s">
        <v>839</v>
      </c>
      <c r="K901" t="s">
        <v>812</v>
      </c>
      <c r="M901" t="s">
        <v>1085</v>
      </c>
      <c r="P901" t="s">
        <v>924</v>
      </c>
      <c r="Q901" t="s">
        <v>26</v>
      </c>
      <c r="R901" t="s">
        <v>81</v>
      </c>
      <c r="W901">
        <v>2</v>
      </c>
      <c r="X901" s="24">
        <v>46032</v>
      </c>
      <c r="Z901" t="s">
        <v>38</v>
      </c>
      <c r="AB901" t="s">
        <v>921</v>
      </c>
      <c r="AC901" t="s">
        <v>1048</v>
      </c>
      <c r="AD901" t="s">
        <v>39</v>
      </c>
    </row>
    <row r="902" spans="1:30" hidden="1" x14ac:dyDescent="0.25">
      <c r="A902">
        <v>386</v>
      </c>
      <c r="B902" t="s">
        <v>542</v>
      </c>
      <c r="C902">
        <v>16</v>
      </c>
      <c r="D902">
        <v>170</v>
      </c>
      <c r="E902">
        <v>170</v>
      </c>
      <c r="F902" t="s">
        <v>77</v>
      </c>
      <c r="G902" t="s">
        <v>746</v>
      </c>
      <c r="H902">
        <v>4</v>
      </c>
      <c r="I902">
        <v>14.42</v>
      </c>
      <c r="J902" t="s">
        <v>839</v>
      </c>
      <c r="K902" t="s">
        <v>812</v>
      </c>
      <c r="M902" t="s">
        <v>1085</v>
      </c>
      <c r="P902" t="s">
        <v>924</v>
      </c>
      <c r="Q902" t="s">
        <v>26</v>
      </c>
      <c r="R902" t="s">
        <v>81</v>
      </c>
      <c r="W902">
        <v>2</v>
      </c>
      <c r="X902" s="24">
        <v>46032</v>
      </c>
      <c r="Z902" t="s">
        <v>38</v>
      </c>
      <c r="AB902" t="s">
        <v>921</v>
      </c>
      <c r="AC902" t="s">
        <v>1048</v>
      </c>
      <c r="AD902" t="s">
        <v>39</v>
      </c>
    </row>
    <row r="903" spans="1:30" hidden="1" x14ac:dyDescent="0.25">
      <c r="A903">
        <v>387</v>
      </c>
      <c r="B903" t="s">
        <v>543</v>
      </c>
      <c r="C903">
        <v>16</v>
      </c>
      <c r="D903">
        <v>170</v>
      </c>
      <c r="E903">
        <v>170</v>
      </c>
      <c r="F903" t="s">
        <v>77</v>
      </c>
      <c r="G903" t="s">
        <v>746</v>
      </c>
      <c r="H903">
        <v>4</v>
      </c>
      <c r="I903">
        <v>14.42</v>
      </c>
      <c r="J903" t="s">
        <v>839</v>
      </c>
      <c r="K903" t="s">
        <v>812</v>
      </c>
      <c r="M903" t="s">
        <v>1085</v>
      </c>
      <c r="P903" t="s">
        <v>924</v>
      </c>
      <c r="Q903" t="s">
        <v>26</v>
      </c>
      <c r="R903" t="s">
        <v>81</v>
      </c>
      <c r="W903">
        <v>2</v>
      </c>
      <c r="X903" s="24">
        <v>46032</v>
      </c>
      <c r="Z903" t="s">
        <v>38</v>
      </c>
      <c r="AB903" t="s">
        <v>921</v>
      </c>
      <c r="AC903" t="s">
        <v>1048</v>
      </c>
      <c r="AD903" t="s">
        <v>39</v>
      </c>
    </row>
    <row r="904" spans="1:30" hidden="1" x14ac:dyDescent="0.25">
      <c r="A904">
        <v>388</v>
      </c>
      <c r="B904" t="s">
        <v>544</v>
      </c>
      <c r="C904">
        <v>16</v>
      </c>
      <c r="D904">
        <v>170</v>
      </c>
      <c r="E904">
        <v>170</v>
      </c>
      <c r="F904" t="s">
        <v>77</v>
      </c>
      <c r="G904" t="s">
        <v>746</v>
      </c>
      <c r="H904">
        <v>4</v>
      </c>
      <c r="I904">
        <v>14.42</v>
      </c>
      <c r="J904" t="s">
        <v>839</v>
      </c>
      <c r="K904" t="s">
        <v>812</v>
      </c>
      <c r="M904" t="s">
        <v>1085</v>
      </c>
      <c r="P904" t="s">
        <v>924</v>
      </c>
      <c r="Q904" t="s">
        <v>26</v>
      </c>
      <c r="R904" t="s">
        <v>81</v>
      </c>
      <c r="W904">
        <v>2</v>
      </c>
      <c r="X904" s="24">
        <v>46032</v>
      </c>
      <c r="Z904" t="s">
        <v>38</v>
      </c>
      <c r="AB904" t="s">
        <v>921</v>
      </c>
      <c r="AC904" t="s">
        <v>1048</v>
      </c>
      <c r="AD904" t="s">
        <v>39</v>
      </c>
    </row>
    <row r="905" spans="1:30" hidden="1" x14ac:dyDescent="0.25">
      <c r="A905">
        <v>389</v>
      </c>
      <c r="B905" t="s">
        <v>545</v>
      </c>
      <c r="C905">
        <v>16</v>
      </c>
      <c r="D905">
        <v>170</v>
      </c>
      <c r="E905">
        <v>170</v>
      </c>
      <c r="F905" t="s">
        <v>77</v>
      </c>
      <c r="G905" t="s">
        <v>746</v>
      </c>
      <c r="H905">
        <v>4</v>
      </c>
      <c r="I905">
        <v>14.42</v>
      </c>
      <c r="J905" t="s">
        <v>839</v>
      </c>
      <c r="K905" t="s">
        <v>812</v>
      </c>
      <c r="M905" t="s">
        <v>1085</v>
      </c>
      <c r="P905" t="s">
        <v>924</v>
      </c>
      <c r="Q905" t="s">
        <v>26</v>
      </c>
      <c r="R905" t="s">
        <v>81</v>
      </c>
      <c r="W905">
        <v>2</v>
      </c>
      <c r="X905" s="24">
        <v>46032</v>
      </c>
      <c r="Z905" t="s">
        <v>38</v>
      </c>
      <c r="AB905" t="s">
        <v>921</v>
      </c>
      <c r="AC905" t="s">
        <v>1048</v>
      </c>
      <c r="AD905" t="s">
        <v>39</v>
      </c>
    </row>
    <row r="906" spans="1:30" hidden="1" x14ac:dyDescent="0.25">
      <c r="A906">
        <v>390</v>
      </c>
      <c r="B906" t="s">
        <v>546</v>
      </c>
      <c r="C906">
        <v>16</v>
      </c>
      <c r="D906">
        <v>170</v>
      </c>
      <c r="E906">
        <v>170</v>
      </c>
      <c r="F906" t="s">
        <v>77</v>
      </c>
      <c r="G906" t="s">
        <v>746</v>
      </c>
      <c r="H906">
        <v>6</v>
      </c>
      <c r="I906">
        <v>21.63</v>
      </c>
      <c r="J906" t="s">
        <v>839</v>
      </c>
      <c r="K906" t="s">
        <v>812</v>
      </c>
      <c r="M906" t="s">
        <v>1085</v>
      </c>
      <c r="P906" t="s">
        <v>924</v>
      </c>
      <c r="Q906" t="s">
        <v>26</v>
      </c>
      <c r="R906" t="s">
        <v>81</v>
      </c>
      <c r="W906">
        <v>2</v>
      </c>
      <c r="X906" s="24">
        <v>46032</v>
      </c>
      <c r="Z906" t="s">
        <v>38</v>
      </c>
      <c r="AB906" t="s">
        <v>921</v>
      </c>
      <c r="AC906" t="s">
        <v>1048</v>
      </c>
      <c r="AD906" t="s">
        <v>39</v>
      </c>
    </row>
    <row r="907" spans="1:30" hidden="1" x14ac:dyDescent="0.25">
      <c r="A907">
        <v>391</v>
      </c>
      <c r="B907" t="s">
        <v>533</v>
      </c>
      <c r="C907">
        <v>16</v>
      </c>
      <c r="D907">
        <v>240</v>
      </c>
      <c r="E907">
        <v>240</v>
      </c>
      <c r="F907" t="s">
        <v>77</v>
      </c>
      <c r="G907" t="s">
        <v>746</v>
      </c>
      <c r="H907">
        <v>2</v>
      </c>
      <c r="I907">
        <v>8.0299999999999994</v>
      </c>
      <c r="J907" t="s">
        <v>839</v>
      </c>
      <c r="K907" t="s">
        <v>812</v>
      </c>
      <c r="M907" t="s">
        <v>1085</v>
      </c>
      <c r="O907" t="s">
        <v>228</v>
      </c>
      <c r="P907" t="s">
        <v>924</v>
      </c>
      <c r="Q907" t="s">
        <v>27</v>
      </c>
      <c r="R907" t="s">
        <v>81</v>
      </c>
      <c r="W907">
        <v>2</v>
      </c>
      <c r="X907" s="24">
        <v>46032</v>
      </c>
      <c r="Z907" t="s">
        <v>38</v>
      </c>
      <c r="AB907" t="s">
        <v>921</v>
      </c>
      <c r="AC907" t="s">
        <v>1048</v>
      </c>
      <c r="AD907" t="s">
        <v>39</v>
      </c>
    </row>
    <row r="908" spans="1:30" hidden="1" x14ac:dyDescent="0.25">
      <c r="A908">
        <v>392</v>
      </c>
      <c r="B908" t="s">
        <v>547</v>
      </c>
      <c r="C908">
        <v>16</v>
      </c>
      <c r="D908">
        <v>275</v>
      </c>
      <c r="E908">
        <v>11976</v>
      </c>
      <c r="F908" t="s">
        <v>77</v>
      </c>
      <c r="G908" t="s">
        <v>746</v>
      </c>
      <c r="H908">
        <v>1</v>
      </c>
      <c r="I908">
        <v>413.65</v>
      </c>
      <c r="J908" t="s">
        <v>839</v>
      </c>
      <c r="K908" t="s">
        <v>812</v>
      </c>
      <c r="M908" t="s">
        <v>1085</v>
      </c>
      <c r="P908" t="s">
        <v>924</v>
      </c>
      <c r="Q908" t="s">
        <v>28</v>
      </c>
      <c r="R908" t="s">
        <v>81</v>
      </c>
      <c r="U908" t="s">
        <v>81</v>
      </c>
      <c r="W908">
        <v>2</v>
      </c>
      <c r="X908" s="24">
        <v>46032</v>
      </c>
      <c r="Z908" t="s">
        <v>38</v>
      </c>
      <c r="AB908" t="s">
        <v>921</v>
      </c>
      <c r="AC908" t="s">
        <v>1050</v>
      </c>
      <c r="AD908" t="s">
        <v>39</v>
      </c>
    </row>
    <row r="909" spans="1:30" hidden="1" x14ac:dyDescent="0.25">
      <c r="A909">
        <v>393</v>
      </c>
      <c r="B909" t="s">
        <v>550</v>
      </c>
      <c r="C909">
        <v>16</v>
      </c>
      <c r="D909">
        <v>275</v>
      </c>
      <c r="E909">
        <v>11978</v>
      </c>
      <c r="F909" t="s">
        <v>77</v>
      </c>
      <c r="G909" t="s">
        <v>746</v>
      </c>
      <c r="H909">
        <v>1</v>
      </c>
      <c r="I909">
        <v>413.72</v>
      </c>
      <c r="J909" t="s">
        <v>839</v>
      </c>
      <c r="K909" t="s">
        <v>812</v>
      </c>
      <c r="M909" t="s">
        <v>1085</v>
      </c>
      <c r="P909" t="s">
        <v>924</v>
      </c>
      <c r="Q909" t="s">
        <v>28</v>
      </c>
      <c r="R909" t="s">
        <v>81</v>
      </c>
      <c r="U909" t="s">
        <v>81</v>
      </c>
      <c r="W909">
        <v>2</v>
      </c>
      <c r="X909" s="24">
        <v>46032</v>
      </c>
      <c r="Z909" t="s">
        <v>38</v>
      </c>
      <c r="AB909" t="s">
        <v>921</v>
      </c>
      <c r="AC909" t="s">
        <v>1050</v>
      </c>
      <c r="AD909" t="s">
        <v>39</v>
      </c>
    </row>
    <row r="910" spans="1:30" hidden="1" x14ac:dyDescent="0.25">
      <c r="A910">
        <v>394</v>
      </c>
      <c r="B910" t="s">
        <v>552</v>
      </c>
      <c r="C910">
        <v>16</v>
      </c>
      <c r="D910">
        <v>275</v>
      </c>
      <c r="E910">
        <v>12007</v>
      </c>
      <c r="F910" t="s">
        <v>77</v>
      </c>
      <c r="G910" t="s">
        <v>746</v>
      </c>
      <c r="H910">
        <v>1</v>
      </c>
      <c r="I910">
        <v>414.72</v>
      </c>
      <c r="J910" t="s">
        <v>839</v>
      </c>
      <c r="K910" t="s">
        <v>812</v>
      </c>
      <c r="M910" t="s">
        <v>1085</v>
      </c>
      <c r="P910" t="s">
        <v>924</v>
      </c>
      <c r="Q910" t="s">
        <v>28</v>
      </c>
      <c r="R910" t="s">
        <v>81</v>
      </c>
      <c r="U910" t="s">
        <v>81</v>
      </c>
      <c r="W910">
        <v>2</v>
      </c>
      <c r="X910" s="24">
        <v>46032</v>
      </c>
      <c r="Z910" t="s">
        <v>38</v>
      </c>
      <c r="AB910" t="s">
        <v>921</v>
      </c>
      <c r="AC910" t="s">
        <v>1050</v>
      </c>
      <c r="AD910" t="s">
        <v>39</v>
      </c>
    </row>
    <row r="911" spans="1:30" hidden="1" x14ac:dyDescent="0.25">
      <c r="A911">
        <v>395</v>
      </c>
      <c r="B911" t="s">
        <v>554</v>
      </c>
      <c r="C911">
        <v>16</v>
      </c>
      <c r="D911">
        <v>275</v>
      </c>
      <c r="E911">
        <v>12005</v>
      </c>
      <c r="F911" t="s">
        <v>77</v>
      </c>
      <c r="G911" t="s">
        <v>746</v>
      </c>
      <c r="H911">
        <v>1</v>
      </c>
      <c r="I911">
        <v>414.65</v>
      </c>
      <c r="J911" t="s">
        <v>839</v>
      </c>
      <c r="K911" t="s">
        <v>812</v>
      </c>
      <c r="M911" t="s">
        <v>1085</v>
      </c>
      <c r="P911" t="s">
        <v>924</v>
      </c>
      <c r="Q911" t="s">
        <v>28</v>
      </c>
      <c r="R911" t="s">
        <v>81</v>
      </c>
      <c r="U911" t="s">
        <v>81</v>
      </c>
      <c r="W911">
        <v>2</v>
      </c>
      <c r="X911" s="24">
        <v>46032</v>
      </c>
      <c r="Z911" t="s">
        <v>38</v>
      </c>
      <c r="AB911" t="s">
        <v>921</v>
      </c>
      <c r="AC911" t="s">
        <v>1050</v>
      </c>
      <c r="AD911" t="s">
        <v>39</v>
      </c>
    </row>
    <row r="912" spans="1:30" hidden="1" x14ac:dyDescent="0.25">
      <c r="A912">
        <v>396</v>
      </c>
      <c r="B912" t="s">
        <v>556</v>
      </c>
      <c r="C912">
        <v>16</v>
      </c>
      <c r="D912">
        <v>275</v>
      </c>
      <c r="E912">
        <v>11978</v>
      </c>
      <c r="F912" t="s">
        <v>77</v>
      </c>
      <c r="G912" t="s">
        <v>746</v>
      </c>
      <c r="H912">
        <v>1</v>
      </c>
      <c r="I912">
        <v>413.72</v>
      </c>
      <c r="J912" t="s">
        <v>839</v>
      </c>
      <c r="K912" t="s">
        <v>812</v>
      </c>
      <c r="M912" t="s">
        <v>1085</v>
      </c>
      <c r="P912" t="s">
        <v>924</v>
      </c>
      <c r="Q912" t="s">
        <v>28</v>
      </c>
      <c r="R912" t="s">
        <v>81</v>
      </c>
      <c r="U912" t="s">
        <v>81</v>
      </c>
      <c r="W912">
        <v>2</v>
      </c>
      <c r="X912" s="24">
        <v>46032</v>
      </c>
      <c r="Z912" t="s">
        <v>38</v>
      </c>
      <c r="AB912" t="s">
        <v>921</v>
      </c>
      <c r="AC912" t="s">
        <v>1050</v>
      </c>
      <c r="AD912" t="s">
        <v>39</v>
      </c>
    </row>
    <row r="913" spans="1:30" hidden="1" x14ac:dyDescent="0.25">
      <c r="A913">
        <v>397</v>
      </c>
      <c r="B913" t="s">
        <v>557</v>
      </c>
      <c r="C913">
        <v>16</v>
      </c>
      <c r="D913">
        <v>275</v>
      </c>
      <c r="E913">
        <v>12007</v>
      </c>
      <c r="F913" t="s">
        <v>77</v>
      </c>
      <c r="G913" t="s">
        <v>746</v>
      </c>
      <c r="H913">
        <v>1</v>
      </c>
      <c r="I913">
        <v>414.72</v>
      </c>
      <c r="J913" t="s">
        <v>839</v>
      </c>
      <c r="K913" t="s">
        <v>812</v>
      </c>
      <c r="M913" t="s">
        <v>1085</v>
      </c>
      <c r="P913" t="s">
        <v>924</v>
      </c>
      <c r="Q913" t="s">
        <v>28</v>
      </c>
      <c r="R913" t="s">
        <v>81</v>
      </c>
      <c r="U913" t="s">
        <v>81</v>
      </c>
      <c r="W913">
        <v>2</v>
      </c>
      <c r="X913" s="24">
        <v>46032</v>
      </c>
      <c r="Z913" t="s">
        <v>38</v>
      </c>
      <c r="AB913" t="s">
        <v>921</v>
      </c>
      <c r="AC913" t="s">
        <v>1050</v>
      </c>
      <c r="AD913" t="s">
        <v>39</v>
      </c>
    </row>
    <row r="914" spans="1:30" hidden="1" x14ac:dyDescent="0.25">
      <c r="A914">
        <v>398</v>
      </c>
      <c r="B914" t="s">
        <v>558</v>
      </c>
      <c r="C914">
        <v>16</v>
      </c>
      <c r="D914">
        <v>275</v>
      </c>
      <c r="E914">
        <v>12005</v>
      </c>
      <c r="F914" t="s">
        <v>77</v>
      </c>
      <c r="G914" t="s">
        <v>746</v>
      </c>
      <c r="H914">
        <v>1</v>
      </c>
      <c r="I914">
        <v>414.65</v>
      </c>
      <c r="J914" t="s">
        <v>839</v>
      </c>
      <c r="K914" t="s">
        <v>812</v>
      </c>
      <c r="M914" t="s">
        <v>1085</v>
      </c>
      <c r="P914" t="s">
        <v>924</v>
      </c>
      <c r="Q914" t="s">
        <v>28</v>
      </c>
      <c r="R914" t="s">
        <v>81</v>
      </c>
      <c r="U914" t="s">
        <v>81</v>
      </c>
      <c r="W914">
        <v>2</v>
      </c>
      <c r="X914" s="24">
        <v>46032</v>
      </c>
      <c r="Z914" t="s">
        <v>38</v>
      </c>
      <c r="AB914" t="s">
        <v>921</v>
      </c>
      <c r="AC914" t="s">
        <v>1050</v>
      </c>
      <c r="AD914" t="s">
        <v>39</v>
      </c>
    </row>
    <row r="915" spans="1:30" hidden="1" x14ac:dyDescent="0.25">
      <c r="A915">
        <v>399</v>
      </c>
      <c r="B915" t="s">
        <v>559</v>
      </c>
      <c r="C915">
        <v>16</v>
      </c>
      <c r="D915">
        <v>275</v>
      </c>
      <c r="E915">
        <v>7588</v>
      </c>
      <c r="F915" t="s">
        <v>77</v>
      </c>
      <c r="G915" t="s">
        <v>746</v>
      </c>
      <c r="H915">
        <v>1</v>
      </c>
      <c r="I915">
        <v>262.08999999999997</v>
      </c>
      <c r="J915" t="s">
        <v>839</v>
      </c>
      <c r="K915" t="s">
        <v>812</v>
      </c>
      <c r="M915" t="s">
        <v>1085</v>
      </c>
      <c r="P915" t="s">
        <v>924</v>
      </c>
      <c r="Q915" t="s">
        <v>28</v>
      </c>
      <c r="S915" t="s">
        <v>81</v>
      </c>
      <c r="U915" t="s">
        <v>81</v>
      </c>
      <c r="W915">
        <v>2</v>
      </c>
      <c r="X915" s="24">
        <v>46032</v>
      </c>
      <c r="Z915" t="s">
        <v>38</v>
      </c>
      <c r="AB915" t="s">
        <v>921</v>
      </c>
      <c r="AC915" t="s">
        <v>1053</v>
      </c>
      <c r="AD915" t="s">
        <v>1054</v>
      </c>
    </row>
    <row r="916" spans="1:30" hidden="1" x14ac:dyDescent="0.25">
      <c r="A916">
        <v>400</v>
      </c>
      <c r="B916" t="s">
        <v>563</v>
      </c>
      <c r="C916">
        <v>16</v>
      </c>
      <c r="D916">
        <v>275</v>
      </c>
      <c r="E916">
        <v>7583</v>
      </c>
      <c r="F916" t="s">
        <v>77</v>
      </c>
      <c r="G916" t="s">
        <v>746</v>
      </c>
      <c r="H916">
        <v>1</v>
      </c>
      <c r="I916">
        <v>261.92</v>
      </c>
      <c r="J916" t="s">
        <v>839</v>
      </c>
      <c r="K916" t="s">
        <v>812</v>
      </c>
      <c r="M916" t="s">
        <v>1085</v>
      </c>
      <c r="P916" t="s">
        <v>924</v>
      </c>
      <c r="Q916" t="s">
        <v>28</v>
      </c>
      <c r="S916" t="s">
        <v>81</v>
      </c>
      <c r="U916" t="s">
        <v>81</v>
      </c>
      <c r="W916">
        <v>2</v>
      </c>
      <c r="X916" s="24">
        <v>46032</v>
      </c>
      <c r="Z916" t="s">
        <v>38</v>
      </c>
      <c r="AB916" t="s">
        <v>921</v>
      </c>
      <c r="AC916" t="s">
        <v>1053</v>
      </c>
      <c r="AD916" t="s">
        <v>1054</v>
      </c>
    </row>
    <row r="917" spans="1:30" hidden="1" x14ac:dyDescent="0.25">
      <c r="A917">
        <v>401</v>
      </c>
      <c r="B917" t="s">
        <v>564</v>
      </c>
      <c r="C917">
        <v>16</v>
      </c>
      <c r="D917">
        <v>240</v>
      </c>
      <c r="E917">
        <v>240</v>
      </c>
      <c r="F917" t="s">
        <v>77</v>
      </c>
      <c r="G917" t="s">
        <v>746</v>
      </c>
      <c r="H917">
        <v>2</v>
      </c>
      <c r="I917">
        <v>8.0299999999999994</v>
      </c>
      <c r="J917" t="s">
        <v>839</v>
      </c>
      <c r="K917" t="s">
        <v>812</v>
      </c>
      <c r="M917" t="s">
        <v>1085</v>
      </c>
      <c r="O917" t="s">
        <v>228</v>
      </c>
      <c r="P917" t="s">
        <v>924</v>
      </c>
      <c r="Q917" t="s">
        <v>27</v>
      </c>
      <c r="S917" t="s">
        <v>81</v>
      </c>
      <c r="W917">
        <v>2</v>
      </c>
      <c r="X917" s="24">
        <v>46032</v>
      </c>
      <c r="Z917" t="s">
        <v>38</v>
      </c>
      <c r="AB917" t="s">
        <v>921</v>
      </c>
      <c r="AC917" t="s">
        <v>1053</v>
      </c>
      <c r="AD917" t="s">
        <v>1054</v>
      </c>
    </row>
    <row r="918" spans="1:30" hidden="1" x14ac:dyDescent="0.25">
      <c r="A918">
        <v>402</v>
      </c>
      <c r="B918" t="s">
        <v>565</v>
      </c>
      <c r="C918">
        <v>16</v>
      </c>
      <c r="D918">
        <v>240</v>
      </c>
      <c r="E918">
        <v>240</v>
      </c>
      <c r="F918" t="s">
        <v>77</v>
      </c>
      <c r="G918" t="s">
        <v>746</v>
      </c>
      <c r="H918">
        <v>4</v>
      </c>
      <c r="I918">
        <v>16.05</v>
      </c>
      <c r="J918" t="s">
        <v>839</v>
      </c>
      <c r="K918" t="s">
        <v>812</v>
      </c>
      <c r="M918" t="s">
        <v>1085</v>
      </c>
      <c r="O918" t="s">
        <v>228</v>
      </c>
      <c r="P918" t="s">
        <v>924</v>
      </c>
      <c r="Q918" t="s">
        <v>27</v>
      </c>
      <c r="S918" t="s">
        <v>81</v>
      </c>
      <c r="W918">
        <v>2</v>
      </c>
      <c r="X918" s="24">
        <v>46032</v>
      </c>
      <c r="Z918" t="s">
        <v>38</v>
      </c>
      <c r="AB918" t="s">
        <v>921</v>
      </c>
      <c r="AC918" t="s">
        <v>1053</v>
      </c>
      <c r="AD918" t="s">
        <v>1054</v>
      </c>
    </row>
    <row r="919" spans="1:30" hidden="1" x14ac:dyDescent="0.25">
      <c r="A919">
        <v>403</v>
      </c>
      <c r="B919" t="s">
        <v>566</v>
      </c>
      <c r="C919">
        <v>20</v>
      </c>
      <c r="D919">
        <v>240</v>
      </c>
      <c r="E919">
        <v>250</v>
      </c>
      <c r="F919" t="s">
        <v>77</v>
      </c>
      <c r="G919" t="s">
        <v>746</v>
      </c>
      <c r="H919">
        <v>8</v>
      </c>
      <c r="I919">
        <v>53.41</v>
      </c>
      <c r="J919" t="s">
        <v>839</v>
      </c>
      <c r="K919" t="s">
        <v>812</v>
      </c>
      <c r="M919" t="s">
        <v>1085</v>
      </c>
      <c r="O919" t="s">
        <v>228</v>
      </c>
      <c r="P919" t="s">
        <v>924</v>
      </c>
      <c r="Q919" t="s">
        <v>27</v>
      </c>
      <c r="R919" t="s">
        <v>81</v>
      </c>
      <c r="W919">
        <v>2</v>
      </c>
      <c r="X919" s="24">
        <v>46032</v>
      </c>
      <c r="Z919" t="s">
        <v>38</v>
      </c>
      <c r="AB919" t="s">
        <v>921</v>
      </c>
      <c r="AC919" t="s">
        <v>1056</v>
      </c>
      <c r="AD919" t="s">
        <v>39</v>
      </c>
    </row>
    <row r="920" spans="1:30" hidden="1" x14ac:dyDescent="0.25">
      <c r="A920">
        <v>404</v>
      </c>
      <c r="B920" t="s">
        <v>571</v>
      </c>
      <c r="C920">
        <v>20</v>
      </c>
      <c r="D920">
        <v>400</v>
      </c>
      <c r="E920">
        <v>780</v>
      </c>
      <c r="F920" t="s">
        <v>77</v>
      </c>
      <c r="G920" t="s">
        <v>746</v>
      </c>
      <c r="H920">
        <v>7</v>
      </c>
      <c r="I920">
        <v>340.24</v>
      </c>
      <c r="J920" t="s">
        <v>839</v>
      </c>
      <c r="K920" t="s">
        <v>812</v>
      </c>
      <c r="M920" t="s">
        <v>1085</v>
      </c>
      <c r="O920" t="s">
        <v>228</v>
      </c>
      <c r="P920" t="s">
        <v>924</v>
      </c>
      <c r="Q920" t="s">
        <v>27</v>
      </c>
      <c r="R920" t="s">
        <v>81</v>
      </c>
      <c r="W920">
        <v>2</v>
      </c>
      <c r="X920" s="24">
        <v>46032</v>
      </c>
      <c r="Z920" t="s">
        <v>38</v>
      </c>
      <c r="AB920" t="s">
        <v>921</v>
      </c>
      <c r="AC920" t="s">
        <v>1056</v>
      </c>
      <c r="AD920" t="s">
        <v>39</v>
      </c>
    </row>
    <row r="921" spans="1:30" hidden="1" x14ac:dyDescent="0.25">
      <c r="A921">
        <v>405</v>
      </c>
      <c r="B921" t="s">
        <v>573</v>
      </c>
      <c r="C921">
        <v>20</v>
      </c>
      <c r="D921">
        <v>400</v>
      </c>
      <c r="E921">
        <v>780</v>
      </c>
      <c r="F921" t="s">
        <v>77</v>
      </c>
      <c r="G921" t="s">
        <v>746</v>
      </c>
      <c r="H921">
        <v>4</v>
      </c>
      <c r="I921">
        <v>194.42</v>
      </c>
      <c r="J921" t="s">
        <v>839</v>
      </c>
      <c r="K921" t="s">
        <v>812</v>
      </c>
      <c r="M921" t="s">
        <v>1085</v>
      </c>
      <c r="O921" t="s">
        <v>228</v>
      </c>
      <c r="P921" t="s">
        <v>924</v>
      </c>
      <c r="Q921" t="s">
        <v>27</v>
      </c>
      <c r="R921" t="s">
        <v>81</v>
      </c>
      <c r="W921">
        <v>2</v>
      </c>
      <c r="X921" s="24">
        <v>46032</v>
      </c>
      <c r="Z921" t="s">
        <v>38</v>
      </c>
      <c r="AB921" t="s">
        <v>921</v>
      </c>
      <c r="AC921" t="s">
        <v>1056</v>
      </c>
      <c r="AD921" t="s">
        <v>39</v>
      </c>
    </row>
    <row r="922" spans="1:30" hidden="1" x14ac:dyDescent="0.25">
      <c r="A922">
        <v>406</v>
      </c>
      <c r="B922" t="s">
        <v>574</v>
      </c>
      <c r="C922">
        <v>20</v>
      </c>
      <c r="D922">
        <v>400</v>
      </c>
      <c r="E922">
        <v>780</v>
      </c>
      <c r="F922" t="s">
        <v>77</v>
      </c>
      <c r="G922" t="s">
        <v>746</v>
      </c>
      <c r="H922">
        <v>4</v>
      </c>
      <c r="I922">
        <v>194.42</v>
      </c>
      <c r="J922" t="s">
        <v>839</v>
      </c>
      <c r="K922" t="s">
        <v>812</v>
      </c>
      <c r="M922" t="s">
        <v>1085</v>
      </c>
      <c r="O922" t="s">
        <v>228</v>
      </c>
      <c r="P922" t="s">
        <v>924</v>
      </c>
      <c r="Q922" t="s">
        <v>27</v>
      </c>
      <c r="R922" t="s">
        <v>81</v>
      </c>
      <c r="W922">
        <v>2</v>
      </c>
      <c r="X922" s="24">
        <v>46032</v>
      </c>
      <c r="Z922" t="s">
        <v>38</v>
      </c>
      <c r="AB922" t="s">
        <v>921</v>
      </c>
      <c r="AC922" t="s">
        <v>1056</v>
      </c>
      <c r="AD922" t="s">
        <v>39</v>
      </c>
    </row>
    <row r="923" spans="1:30" hidden="1" x14ac:dyDescent="0.25">
      <c r="A923">
        <v>407</v>
      </c>
      <c r="B923" t="s">
        <v>575</v>
      </c>
      <c r="C923">
        <v>20</v>
      </c>
      <c r="D923">
        <v>326</v>
      </c>
      <c r="E923">
        <v>525</v>
      </c>
      <c r="F923" t="s">
        <v>77</v>
      </c>
      <c r="G923" t="s">
        <v>746</v>
      </c>
      <c r="H923">
        <v>4</v>
      </c>
      <c r="I923">
        <v>94.66</v>
      </c>
      <c r="J923" t="s">
        <v>839</v>
      </c>
      <c r="K923" t="s">
        <v>812</v>
      </c>
      <c r="M923" t="s">
        <v>1085</v>
      </c>
      <c r="O923" t="s">
        <v>228</v>
      </c>
      <c r="P923" t="s">
        <v>924</v>
      </c>
      <c r="Q923" t="s">
        <v>27</v>
      </c>
      <c r="R923" t="s">
        <v>81</v>
      </c>
      <c r="W923">
        <v>2</v>
      </c>
      <c r="X923" s="24">
        <v>46032</v>
      </c>
      <c r="Z923" t="s">
        <v>38</v>
      </c>
      <c r="AB923" t="s">
        <v>921</v>
      </c>
      <c r="AC923" t="s">
        <v>1056</v>
      </c>
      <c r="AD923" t="s">
        <v>39</v>
      </c>
    </row>
    <row r="924" spans="1:30" hidden="1" x14ac:dyDescent="0.25">
      <c r="A924">
        <v>408</v>
      </c>
      <c r="B924" t="s">
        <v>577</v>
      </c>
      <c r="C924">
        <v>20</v>
      </c>
      <c r="D924">
        <v>175</v>
      </c>
      <c r="E924">
        <v>180</v>
      </c>
      <c r="F924" t="s">
        <v>77</v>
      </c>
      <c r="G924" t="s">
        <v>746</v>
      </c>
      <c r="H924">
        <v>6</v>
      </c>
      <c r="I924">
        <v>27.45</v>
      </c>
      <c r="J924" t="s">
        <v>839</v>
      </c>
      <c r="K924" t="s">
        <v>812</v>
      </c>
      <c r="M924" t="s">
        <v>1085</v>
      </c>
      <c r="O924" t="s">
        <v>228</v>
      </c>
      <c r="P924" t="s">
        <v>924</v>
      </c>
      <c r="Q924" t="s">
        <v>27</v>
      </c>
      <c r="R924" t="s">
        <v>81</v>
      </c>
      <c r="W924">
        <v>2</v>
      </c>
      <c r="X924" s="24">
        <v>46032</v>
      </c>
      <c r="Z924" t="s">
        <v>38</v>
      </c>
      <c r="AB924" t="s">
        <v>921</v>
      </c>
      <c r="AC924" t="s">
        <v>1056</v>
      </c>
      <c r="AD924" t="s">
        <v>39</v>
      </c>
    </row>
    <row r="925" spans="1:30" hidden="1" x14ac:dyDescent="0.25">
      <c r="A925">
        <v>409</v>
      </c>
      <c r="B925" t="s">
        <v>579</v>
      </c>
      <c r="C925">
        <v>20</v>
      </c>
      <c r="D925">
        <v>180</v>
      </c>
      <c r="E925">
        <v>300</v>
      </c>
      <c r="F925" t="s">
        <v>77</v>
      </c>
      <c r="G925" t="s">
        <v>746</v>
      </c>
      <c r="H925">
        <v>1</v>
      </c>
      <c r="I925">
        <v>8.48</v>
      </c>
      <c r="J925" t="s">
        <v>839</v>
      </c>
      <c r="K925" t="s">
        <v>812</v>
      </c>
      <c r="M925" t="s">
        <v>1085</v>
      </c>
      <c r="P925" t="s">
        <v>924</v>
      </c>
      <c r="Q925" t="s">
        <v>26</v>
      </c>
      <c r="R925" t="s">
        <v>81</v>
      </c>
      <c r="W925">
        <v>2</v>
      </c>
      <c r="X925" s="24">
        <v>46032</v>
      </c>
      <c r="Z925" t="s">
        <v>38</v>
      </c>
      <c r="AB925" t="s">
        <v>921</v>
      </c>
      <c r="AC925" t="s">
        <v>1056</v>
      </c>
      <c r="AD925" t="s">
        <v>39</v>
      </c>
    </row>
    <row r="926" spans="1:30" hidden="1" x14ac:dyDescent="0.25">
      <c r="A926">
        <v>410</v>
      </c>
      <c r="B926" t="s">
        <v>581</v>
      </c>
      <c r="C926">
        <v>20</v>
      </c>
      <c r="D926">
        <v>326</v>
      </c>
      <c r="E926">
        <v>525</v>
      </c>
      <c r="F926" t="s">
        <v>77</v>
      </c>
      <c r="G926" t="s">
        <v>746</v>
      </c>
      <c r="H926">
        <v>4</v>
      </c>
      <c r="I926">
        <v>107.48</v>
      </c>
      <c r="J926" t="s">
        <v>839</v>
      </c>
      <c r="K926" t="s">
        <v>812</v>
      </c>
      <c r="M926" t="s">
        <v>1085</v>
      </c>
      <c r="P926" t="s">
        <v>924</v>
      </c>
      <c r="Q926" t="s">
        <v>26</v>
      </c>
      <c r="R926" t="s">
        <v>81</v>
      </c>
      <c r="W926">
        <v>2</v>
      </c>
      <c r="X926" s="24">
        <v>46032</v>
      </c>
      <c r="Z926" t="s">
        <v>38</v>
      </c>
      <c r="AB926" t="s">
        <v>921</v>
      </c>
      <c r="AC926" t="s">
        <v>1056</v>
      </c>
      <c r="AD926" t="s">
        <v>39</v>
      </c>
    </row>
    <row r="927" spans="1:30" hidden="1" x14ac:dyDescent="0.25">
      <c r="A927">
        <v>411</v>
      </c>
      <c r="B927" t="s">
        <v>582</v>
      </c>
      <c r="C927">
        <v>20</v>
      </c>
      <c r="D927">
        <v>200</v>
      </c>
      <c r="E927">
        <v>200</v>
      </c>
      <c r="F927" t="s">
        <v>77</v>
      </c>
      <c r="G927" t="s">
        <v>746</v>
      </c>
      <c r="H927">
        <v>2</v>
      </c>
      <c r="I927">
        <v>12.56</v>
      </c>
      <c r="J927" t="s">
        <v>839</v>
      </c>
      <c r="K927" t="s">
        <v>812</v>
      </c>
      <c r="M927" t="s">
        <v>1085</v>
      </c>
      <c r="P927" t="s">
        <v>924</v>
      </c>
      <c r="Q927" t="s">
        <v>26</v>
      </c>
      <c r="R927" t="s">
        <v>81</v>
      </c>
      <c r="W927">
        <v>2</v>
      </c>
      <c r="X927" s="24">
        <v>46032</v>
      </c>
      <c r="Z927" t="s">
        <v>38</v>
      </c>
      <c r="AB927" t="s">
        <v>921</v>
      </c>
      <c r="AC927" t="s">
        <v>1056</v>
      </c>
      <c r="AD927" t="s">
        <v>39</v>
      </c>
    </row>
    <row r="928" spans="1:30" hidden="1" x14ac:dyDescent="0.25">
      <c r="A928">
        <v>412</v>
      </c>
      <c r="B928" t="s">
        <v>584</v>
      </c>
      <c r="C928">
        <v>20</v>
      </c>
      <c r="D928">
        <v>400</v>
      </c>
      <c r="E928">
        <v>780</v>
      </c>
      <c r="F928" t="s">
        <v>77</v>
      </c>
      <c r="G928" t="s">
        <v>746</v>
      </c>
      <c r="H928">
        <v>2</v>
      </c>
      <c r="I928">
        <v>97.21</v>
      </c>
      <c r="J928" t="s">
        <v>839</v>
      </c>
      <c r="K928" t="s">
        <v>812</v>
      </c>
      <c r="M928" t="s">
        <v>1085</v>
      </c>
      <c r="O928" t="s">
        <v>228</v>
      </c>
      <c r="P928" t="s">
        <v>924</v>
      </c>
      <c r="Q928" t="s">
        <v>27</v>
      </c>
      <c r="R928" t="s">
        <v>81</v>
      </c>
      <c r="W928">
        <v>2</v>
      </c>
      <c r="X928" s="24">
        <v>46032</v>
      </c>
      <c r="Z928" t="s">
        <v>38</v>
      </c>
      <c r="AB928" t="s">
        <v>921</v>
      </c>
      <c r="AC928" t="s">
        <v>1056</v>
      </c>
      <c r="AD928" t="s">
        <v>39</v>
      </c>
    </row>
    <row r="929" spans="1:30" hidden="1" x14ac:dyDescent="0.25">
      <c r="A929">
        <v>413</v>
      </c>
      <c r="B929" t="s">
        <v>585</v>
      </c>
      <c r="C929">
        <v>20</v>
      </c>
      <c r="D929">
        <v>175</v>
      </c>
      <c r="E929">
        <v>180</v>
      </c>
      <c r="F929" t="s">
        <v>77</v>
      </c>
      <c r="G929" t="s">
        <v>746</v>
      </c>
      <c r="H929">
        <v>4</v>
      </c>
      <c r="I929">
        <v>18.3</v>
      </c>
      <c r="J929" t="s">
        <v>839</v>
      </c>
      <c r="K929" t="s">
        <v>812</v>
      </c>
      <c r="M929" t="s">
        <v>1085</v>
      </c>
      <c r="O929" t="s">
        <v>228</v>
      </c>
      <c r="P929" t="s">
        <v>924</v>
      </c>
      <c r="Q929" t="s">
        <v>27</v>
      </c>
      <c r="R929" t="s">
        <v>81</v>
      </c>
      <c r="W929">
        <v>2</v>
      </c>
      <c r="X929" s="24">
        <v>46032</v>
      </c>
      <c r="Z929" t="s">
        <v>38</v>
      </c>
      <c r="AB929" t="s">
        <v>921</v>
      </c>
      <c r="AC929" t="s">
        <v>1056</v>
      </c>
      <c r="AD929" t="s">
        <v>39</v>
      </c>
    </row>
    <row r="930" spans="1:30" hidden="1" x14ac:dyDescent="0.25">
      <c r="A930">
        <v>414</v>
      </c>
      <c r="B930" t="s">
        <v>586</v>
      </c>
      <c r="C930">
        <v>20</v>
      </c>
      <c r="D930">
        <v>180</v>
      </c>
      <c r="E930">
        <v>300</v>
      </c>
      <c r="F930" t="s">
        <v>77</v>
      </c>
      <c r="G930" t="s">
        <v>746</v>
      </c>
      <c r="H930">
        <v>1</v>
      </c>
      <c r="I930">
        <v>8.48</v>
      </c>
      <c r="J930" t="s">
        <v>839</v>
      </c>
      <c r="K930" t="s">
        <v>812</v>
      </c>
      <c r="M930" t="s">
        <v>1085</v>
      </c>
      <c r="P930" t="s">
        <v>924</v>
      </c>
      <c r="Q930" t="s">
        <v>26</v>
      </c>
      <c r="R930" t="s">
        <v>81</v>
      </c>
      <c r="W930">
        <v>2</v>
      </c>
      <c r="X930" s="24">
        <v>46032</v>
      </c>
      <c r="Z930" t="s">
        <v>38</v>
      </c>
      <c r="AB930" t="s">
        <v>921</v>
      </c>
      <c r="AC930" t="s">
        <v>1056</v>
      </c>
      <c r="AD930" t="s">
        <v>39</v>
      </c>
    </row>
    <row r="931" spans="1:30" hidden="1" x14ac:dyDescent="0.25">
      <c r="A931">
        <v>415</v>
      </c>
      <c r="B931" t="s">
        <v>1058</v>
      </c>
      <c r="C931">
        <v>20</v>
      </c>
      <c r="D931">
        <v>326</v>
      </c>
      <c r="E931">
        <v>500</v>
      </c>
      <c r="F931" t="s">
        <v>77</v>
      </c>
      <c r="G931" t="s">
        <v>746</v>
      </c>
      <c r="H931">
        <v>2</v>
      </c>
      <c r="I931">
        <v>42.39</v>
      </c>
      <c r="J931" t="s">
        <v>839</v>
      </c>
      <c r="K931" t="s">
        <v>812</v>
      </c>
      <c r="M931" t="s">
        <v>1085</v>
      </c>
      <c r="O931" t="s">
        <v>228</v>
      </c>
      <c r="P931" t="s">
        <v>924</v>
      </c>
      <c r="Q931" t="s">
        <v>26</v>
      </c>
      <c r="R931" t="s">
        <v>81</v>
      </c>
      <c r="W931">
        <v>2</v>
      </c>
      <c r="X931" s="24">
        <v>46032</v>
      </c>
      <c r="Z931" t="s">
        <v>38</v>
      </c>
      <c r="AB931" t="s">
        <v>921</v>
      </c>
      <c r="AC931" t="s">
        <v>1056</v>
      </c>
      <c r="AD931" t="s">
        <v>39</v>
      </c>
    </row>
    <row r="932" spans="1:30" hidden="1" x14ac:dyDescent="0.25">
      <c r="A932">
        <v>416</v>
      </c>
      <c r="B932" t="s">
        <v>589</v>
      </c>
      <c r="C932">
        <v>20</v>
      </c>
      <c r="D932">
        <v>326</v>
      </c>
      <c r="E932">
        <v>500</v>
      </c>
      <c r="F932" t="s">
        <v>77</v>
      </c>
      <c r="G932" t="s">
        <v>746</v>
      </c>
      <c r="H932">
        <v>2</v>
      </c>
      <c r="I932">
        <v>51.18</v>
      </c>
      <c r="J932" t="s">
        <v>839</v>
      </c>
      <c r="K932" t="s">
        <v>812</v>
      </c>
      <c r="M932" t="s">
        <v>1085</v>
      </c>
      <c r="P932" t="s">
        <v>924</v>
      </c>
      <c r="Q932" t="s">
        <v>26</v>
      </c>
      <c r="R932" t="s">
        <v>81</v>
      </c>
      <c r="W932">
        <v>2</v>
      </c>
      <c r="X932" s="24">
        <v>46032</v>
      </c>
      <c r="Z932" t="s">
        <v>38</v>
      </c>
      <c r="AB932" t="s">
        <v>921</v>
      </c>
      <c r="AC932" t="s">
        <v>1056</v>
      </c>
      <c r="AD932" t="s">
        <v>39</v>
      </c>
    </row>
    <row r="933" spans="1:30" hidden="1" x14ac:dyDescent="0.25">
      <c r="A933">
        <v>417</v>
      </c>
      <c r="B933" t="s">
        <v>590</v>
      </c>
      <c r="C933">
        <v>20</v>
      </c>
      <c r="D933">
        <v>200</v>
      </c>
      <c r="E933">
        <v>200</v>
      </c>
      <c r="F933" t="s">
        <v>77</v>
      </c>
      <c r="G933" t="s">
        <v>746</v>
      </c>
      <c r="H933">
        <v>2</v>
      </c>
      <c r="I933">
        <v>12.56</v>
      </c>
      <c r="J933" t="s">
        <v>839</v>
      </c>
      <c r="K933" t="s">
        <v>812</v>
      </c>
      <c r="M933" t="s">
        <v>1085</v>
      </c>
      <c r="P933" t="s">
        <v>924</v>
      </c>
      <c r="Q933" t="s">
        <v>26</v>
      </c>
      <c r="R933" t="s">
        <v>81</v>
      </c>
      <c r="W933">
        <v>2</v>
      </c>
      <c r="X933" s="24">
        <v>46032</v>
      </c>
      <c r="Z933" t="s">
        <v>38</v>
      </c>
      <c r="AB933" t="s">
        <v>921</v>
      </c>
      <c r="AC933" t="s">
        <v>1056</v>
      </c>
      <c r="AD933" t="s">
        <v>39</v>
      </c>
    </row>
    <row r="934" spans="1:30" hidden="1" x14ac:dyDescent="0.25">
      <c r="A934">
        <v>418</v>
      </c>
      <c r="B934" t="s">
        <v>591</v>
      </c>
      <c r="C934">
        <v>20</v>
      </c>
      <c r="D934">
        <v>326</v>
      </c>
      <c r="E934">
        <v>550</v>
      </c>
      <c r="F934" t="s">
        <v>77</v>
      </c>
      <c r="G934" t="s">
        <v>746</v>
      </c>
      <c r="H934">
        <v>4</v>
      </c>
      <c r="I934">
        <v>99.78</v>
      </c>
      <c r="J934" t="s">
        <v>839</v>
      </c>
      <c r="K934" t="s">
        <v>812</v>
      </c>
      <c r="M934" t="s">
        <v>1085</v>
      </c>
      <c r="O934" t="s">
        <v>228</v>
      </c>
      <c r="P934" t="s">
        <v>924</v>
      </c>
      <c r="Q934" t="s">
        <v>27</v>
      </c>
      <c r="R934" t="s">
        <v>81</v>
      </c>
      <c r="W934">
        <v>2</v>
      </c>
      <c r="X934" s="24">
        <v>46032</v>
      </c>
      <c r="Z934" t="s">
        <v>38</v>
      </c>
      <c r="AB934" t="s">
        <v>921</v>
      </c>
      <c r="AC934" t="s">
        <v>1056</v>
      </c>
      <c r="AD934" t="s">
        <v>39</v>
      </c>
    </row>
    <row r="935" spans="1:30" hidden="1" x14ac:dyDescent="0.25">
      <c r="A935">
        <v>419</v>
      </c>
      <c r="B935" t="s">
        <v>593</v>
      </c>
      <c r="C935">
        <v>20</v>
      </c>
      <c r="D935">
        <v>326</v>
      </c>
      <c r="E935">
        <v>550</v>
      </c>
      <c r="F935" t="s">
        <v>77</v>
      </c>
      <c r="G935" t="s">
        <v>746</v>
      </c>
      <c r="H935">
        <v>4</v>
      </c>
      <c r="I935">
        <v>112.6</v>
      </c>
      <c r="J935" t="s">
        <v>839</v>
      </c>
      <c r="K935" t="s">
        <v>812</v>
      </c>
      <c r="M935" t="s">
        <v>1085</v>
      </c>
      <c r="P935" t="s">
        <v>924</v>
      </c>
      <c r="Q935" t="s">
        <v>26</v>
      </c>
      <c r="R935" t="s">
        <v>81</v>
      </c>
      <c r="W935">
        <v>2</v>
      </c>
      <c r="X935" s="24">
        <v>46032</v>
      </c>
      <c r="Z935" t="s">
        <v>38</v>
      </c>
      <c r="AB935" t="s">
        <v>921</v>
      </c>
      <c r="AC935" t="s">
        <v>1056</v>
      </c>
      <c r="AD935" t="s">
        <v>39</v>
      </c>
    </row>
    <row r="936" spans="1:30" hidden="1" x14ac:dyDescent="0.25">
      <c r="A936">
        <v>420</v>
      </c>
      <c r="B936" t="s">
        <v>594</v>
      </c>
      <c r="C936">
        <v>20</v>
      </c>
      <c r="D936">
        <v>400</v>
      </c>
      <c r="E936">
        <v>780</v>
      </c>
      <c r="F936" t="s">
        <v>77</v>
      </c>
      <c r="G936" t="s">
        <v>746</v>
      </c>
      <c r="H936">
        <v>4</v>
      </c>
      <c r="I936">
        <v>194.42</v>
      </c>
      <c r="J936" t="s">
        <v>839</v>
      </c>
      <c r="K936" t="s">
        <v>812</v>
      </c>
      <c r="M936" t="s">
        <v>1085</v>
      </c>
      <c r="O936" t="s">
        <v>228</v>
      </c>
      <c r="P936" t="s">
        <v>924</v>
      </c>
      <c r="Q936" t="s">
        <v>27</v>
      </c>
      <c r="R936" t="s">
        <v>81</v>
      </c>
      <c r="W936">
        <v>2</v>
      </c>
      <c r="X936" s="24">
        <v>46032</v>
      </c>
      <c r="Z936" t="s">
        <v>38</v>
      </c>
      <c r="AB936" t="s">
        <v>921</v>
      </c>
      <c r="AC936" t="s">
        <v>1056</v>
      </c>
      <c r="AD936" t="s">
        <v>39</v>
      </c>
    </row>
    <row r="937" spans="1:30" hidden="1" x14ac:dyDescent="0.25">
      <c r="A937">
        <v>421</v>
      </c>
      <c r="B937" t="s">
        <v>595</v>
      </c>
      <c r="C937">
        <v>20</v>
      </c>
      <c r="D937">
        <v>326</v>
      </c>
      <c r="E937">
        <v>525</v>
      </c>
      <c r="F937" t="s">
        <v>77</v>
      </c>
      <c r="G937" t="s">
        <v>746</v>
      </c>
      <c r="H937">
        <v>4</v>
      </c>
      <c r="I937">
        <v>94.66</v>
      </c>
      <c r="J937" t="s">
        <v>839</v>
      </c>
      <c r="K937" t="s">
        <v>812</v>
      </c>
      <c r="M937" t="s">
        <v>1085</v>
      </c>
      <c r="O937" t="s">
        <v>228</v>
      </c>
      <c r="P937" t="s">
        <v>924</v>
      </c>
      <c r="Q937" t="s">
        <v>27</v>
      </c>
      <c r="R937" t="s">
        <v>81</v>
      </c>
      <c r="W937">
        <v>2</v>
      </c>
      <c r="X937" s="24">
        <v>46032</v>
      </c>
      <c r="Z937" t="s">
        <v>38</v>
      </c>
      <c r="AB937" t="s">
        <v>921</v>
      </c>
      <c r="AC937" t="s">
        <v>1056</v>
      </c>
      <c r="AD937" t="s">
        <v>39</v>
      </c>
    </row>
    <row r="938" spans="1:30" hidden="1" x14ac:dyDescent="0.25">
      <c r="A938">
        <v>422</v>
      </c>
      <c r="B938" t="s">
        <v>596</v>
      </c>
      <c r="C938">
        <v>20</v>
      </c>
      <c r="D938">
        <v>175</v>
      </c>
      <c r="E938">
        <v>180</v>
      </c>
      <c r="F938" t="s">
        <v>77</v>
      </c>
      <c r="G938" t="s">
        <v>746</v>
      </c>
      <c r="H938">
        <v>8</v>
      </c>
      <c r="I938">
        <v>36.6</v>
      </c>
      <c r="J938" t="s">
        <v>839</v>
      </c>
      <c r="K938" t="s">
        <v>812</v>
      </c>
      <c r="M938" t="s">
        <v>1085</v>
      </c>
      <c r="O938" t="s">
        <v>228</v>
      </c>
      <c r="P938" t="s">
        <v>924</v>
      </c>
      <c r="Q938" t="s">
        <v>27</v>
      </c>
      <c r="R938" t="s">
        <v>81</v>
      </c>
      <c r="W938">
        <v>2</v>
      </c>
      <c r="X938" s="24">
        <v>46032</v>
      </c>
      <c r="Z938" t="s">
        <v>38</v>
      </c>
      <c r="AB938" t="s">
        <v>921</v>
      </c>
      <c r="AC938" t="s">
        <v>1056</v>
      </c>
      <c r="AD938" t="s">
        <v>39</v>
      </c>
    </row>
    <row r="939" spans="1:30" hidden="1" x14ac:dyDescent="0.25">
      <c r="A939">
        <v>423</v>
      </c>
      <c r="B939" t="s">
        <v>597</v>
      </c>
      <c r="C939">
        <v>20</v>
      </c>
      <c r="D939">
        <v>180</v>
      </c>
      <c r="E939">
        <v>300</v>
      </c>
      <c r="F939" t="s">
        <v>77</v>
      </c>
      <c r="G939" t="s">
        <v>746</v>
      </c>
      <c r="H939">
        <v>1</v>
      </c>
      <c r="I939">
        <v>8.48</v>
      </c>
      <c r="J939" t="s">
        <v>839</v>
      </c>
      <c r="K939" t="s">
        <v>812</v>
      </c>
      <c r="M939" t="s">
        <v>1085</v>
      </c>
      <c r="P939" t="s">
        <v>924</v>
      </c>
      <c r="Q939" t="s">
        <v>26</v>
      </c>
      <c r="R939" t="s">
        <v>81</v>
      </c>
      <c r="W939">
        <v>2</v>
      </c>
      <c r="X939" s="24">
        <v>46032</v>
      </c>
      <c r="Z939" t="s">
        <v>38</v>
      </c>
      <c r="AB939" t="s">
        <v>921</v>
      </c>
      <c r="AC939" t="s">
        <v>1056</v>
      </c>
      <c r="AD939" t="s">
        <v>39</v>
      </c>
    </row>
    <row r="940" spans="1:30" hidden="1" x14ac:dyDescent="0.25">
      <c r="A940">
        <v>424</v>
      </c>
      <c r="B940" t="s">
        <v>598</v>
      </c>
      <c r="C940">
        <v>20</v>
      </c>
      <c r="D940">
        <v>326</v>
      </c>
      <c r="E940">
        <v>525</v>
      </c>
      <c r="F940" t="s">
        <v>77</v>
      </c>
      <c r="G940" t="s">
        <v>746</v>
      </c>
      <c r="H940">
        <v>4</v>
      </c>
      <c r="I940">
        <v>107.48</v>
      </c>
      <c r="J940" t="s">
        <v>839</v>
      </c>
      <c r="K940" t="s">
        <v>812</v>
      </c>
      <c r="M940" t="s">
        <v>1085</v>
      </c>
      <c r="P940" t="s">
        <v>924</v>
      </c>
      <c r="Q940" t="s">
        <v>26</v>
      </c>
      <c r="R940" t="s">
        <v>81</v>
      </c>
      <c r="W940">
        <v>2</v>
      </c>
      <c r="X940" s="24">
        <v>46032</v>
      </c>
      <c r="Z940" t="s">
        <v>38</v>
      </c>
      <c r="AB940" t="s">
        <v>921</v>
      </c>
      <c r="AC940" t="s">
        <v>1056</v>
      </c>
      <c r="AD940" t="s">
        <v>39</v>
      </c>
    </row>
    <row r="941" spans="1:30" hidden="1" x14ac:dyDescent="0.25">
      <c r="A941">
        <v>425</v>
      </c>
      <c r="B941" t="s">
        <v>599</v>
      </c>
      <c r="C941">
        <v>20</v>
      </c>
      <c r="D941">
        <v>200</v>
      </c>
      <c r="E941">
        <v>200</v>
      </c>
      <c r="F941" t="s">
        <v>77</v>
      </c>
      <c r="G941" t="s">
        <v>746</v>
      </c>
      <c r="H941">
        <v>2</v>
      </c>
      <c r="I941">
        <v>12.56</v>
      </c>
      <c r="J941" t="s">
        <v>839</v>
      </c>
      <c r="K941" t="s">
        <v>812</v>
      </c>
      <c r="M941" t="s">
        <v>1085</v>
      </c>
      <c r="P941" t="s">
        <v>924</v>
      </c>
      <c r="Q941" t="s">
        <v>26</v>
      </c>
      <c r="R941" t="s">
        <v>81</v>
      </c>
      <c r="W941">
        <v>2</v>
      </c>
      <c r="X941" s="24">
        <v>46032</v>
      </c>
      <c r="Z941" t="s">
        <v>38</v>
      </c>
      <c r="AB941" t="s">
        <v>921</v>
      </c>
      <c r="AC941" t="s">
        <v>1056</v>
      </c>
      <c r="AD941" t="s">
        <v>39</v>
      </c>
    </row>
    <row r="942" spans="1:30" hidden="1" x14ac:dyDescent="0.25">
      <c r="A942">
        <v>426</v>
      </c>
      <c r="B942" t="s">
        <v>600</v>
      </c>
      <c r="C942">
        <v>20</v>
      </c>
      <c r="D942">
        <v>400</v>
      </c>
      <c r="E942">
        <v>780</v>
      </c>
      <c r="F942" t="s">
        <v>77</v>
      </c>
      <c r="G942" t="s">
        <v>746</v>
      </c>
      <c r="H942">
        <v>2</v>
      </c>
      <c r="I942">
        <v>97.21</v>
      </c>
      <c r="J942" t="s">
        <v>839</v>
      </c>
      <c r="K942" t="s">
        <v>812</v>
      </c>
      <c r="M942" t="s">
        <v>1085</v>
      </c>
      <c r="O942" t="s">
        <v>228</v>
      </c>
      <c r="P942" t="s">
        <v>924</v>
      </c>
      <c r="Q942" t="s">
        <v>27</v>
      </c>
      <c r="R942" t="s">
        <v>81</v>
      </c>
      <c r="W942">
        <v>2</v>
      </c>
      <c r="X942" s="24">
        <v>46032</v>
      </c>
      <c r="Z942" t="s">
        <v>38</v>
      </c>
      <c r="AB942" t="s">
        <v>921</v>
      </c>
      <c r="AC942" t="s">
        <v>1056</v>
      </c>
      <c r="AD942" t="s">
        <v>39</v>
      </c>
    </row>
    <row r="943" spans="1:30" hidden="1" x14ac:dyDescent="0.25">
      <c r="A943">
        <v>427</v>
      </c>
      <c r="B943" t="s">
        <v>601</v>
      </c>
      <c r="C943">
        <v>20</v>
      </c>
      <c r="D943">
        <v>175</v>
      </c>
      <c r="E943">
        <v>180</v>
      </c>
      <c r="F943" t="s">
        <v>77</v>
      </c>
      <c r="G943" t="s">
        <v>746</v>
      </c>
      <c r="H943">
        <v>4</v>
      </c>
      <c r="I943">
        <v>18.3</v>
      </c>
      <c r="J943" t="s">
        <v>839</v>
      </c>
      <c r="K943" t="s">
        <v>812</v>
      </c>
      <c r="M943" t="s">
        <v>1085</v>
      </c>
      <c r="O943" t="s">
        <v>228</v>
      </c>
      <c r="P943" t="s">
        <v>924</v>
      </c>
      <c r="Q943" t="s">
        <v>27</v>
      </c>
      <c r="R943" t="s">
        <v>81</v>
      </c>
      <c r="W943">
        <v>2</v>
      </c>
      <c r="X943" s="24">
        <v>46032</v>
      </c>
      <c r="Z943" t="s">
        <v>38</v>
      </c>
      <c r="AB943" t="s">
        <v>921</v>
      </c>
      <c r="AC943" t="s">
        <v>1056</v>
      </c>
      <c r="AD943" t="s">
        <v>39</v>
      </c>
    </row>
    <row r="944" spans="1:30" hidden="1" x14ac:dyDescent="0.25">
      <c r="A944">
        <v>428</v>
      </c>
      <c r="B944" t="s">
        <v>1059</v>
      </c>
      <c r="C944">
        <v>20</v>
      </c>
      <c r="D944">
        <v>326</v>
      </c>
      <c r="E944">
        <v>500</v>
      </c>
      <c r="F944" t="s">
        <v>77</v>
      </c>
      <c r="G944" t="s">
        <v>746</v>
      </c>
      <c r="H944">
        <v>2</v>
      </c>
      <c r="I944">
        <v>42.39</v>
      </c>
      <c r="J944" t="s">
        <v>839</v>
      </c>
      <c r="K944" t="s">
        <v>812</v>
      </c>
      <c r="M944" t="s">
        <v>1085</v>
      </c>
      <c r="O944" t="s">
        <v>228</v>
      </c>
      <c r="P944" t="s">
        <v>924</v>
      </c>
      <c r="Q944" t="s">
        <v>26</v>
      </c>
      <c r="R944" t="s">
        <v>81</v>
      </c>
      <c r="W944">
        <v>2</v>
      </c>
      <c r="X944" s="24">
        <v>46032</v>
      </c>
      <c r="Z944" t="s">
        <v>38</v>
      </c>
      <c r="AB944" t="s">
        <v>921</v>
      </c>
      <c r="AC944" t="s">
        <v>1056</v>
      </c>
      <c r="AD944" t="s">
        <v>39</v>
      </c>
    </row>
    <row r="945" spans="1:30" hidden="1" x14ac:dyDescent="0.25">
      <c r="A945">
        <v>429</v>
      </c>
      <c r="B945" t="s">
        <v>604</v>
      </c>
      <c r="C945">
        <v>20</v>
      </c>
      <c r="D945">
        <v>326</v>
      </c>
      <c r="E945">
        <v>500</v>
      </c>
      <c r="F945" t="s">
        <v>77</v>
      </c>
      <c r="G945" t="s">
        <v>746</v>
      </c>
      <c r="H945">
        <v>2</v>
      </c>
      <c r="I945">
        <v>51.18</v>
      </c>
      <c r="J945" t="s">
        <v>839</v>
      </c>
      <c r="K945" t="s">
        <v>812</v>
      </c>
      <c r="M945" t="s">
        <v>1085</v>
      </c>
      <c r="P945" t="s">
        <v>924</v>
      </c>
      <c r="Q945" t="s">
        <v>26</v>
      </c>
      <c r="R945" t="s">
        <v>81</v>
      </c>
      <c r="W945">
        <v>2</v>
      </c>
      <c r="X945" s="24">
        <v>46032</v>
      </c>
      <c r="Z945" t="s">
        <v>38</v>
      </c>
      <c r="AB945" t="s">
        <v>921</v>
      </c>
      <c r="AC945" t="s">
        <v>1056</v>
      </c>
      <c r="AD945" t="s">
        <v>39</v>
      </c>
    </row>
    <row r="946" spans="1:30" hidden="1" x14ac:dyDescent="0.25">
      <c r="A946">
        <v>430</v>
      </c>
      <c r="B946" t="s">
        <v>605</v>
      </c>
      <c r="C946">
        <v>20</v>
      </c>
      <c r="D946">
        <v>200</v>
      </c>
      <c r="E946">
        <v>200</v>
      </c>
      <c r="F946" t="s">
        <v>77</v>
      </c>
      <c r="G946" t="s">
        <v>746</v>
      </c>
      <c r="H946">
        <v>2</v>
      </c>
      <c r="I946">
        <v>12.56</v>
      </c>
      <c r="J946" t="s">
        <v>839</v>
      </c>
      <c r="K946" t="s">
        <v>812</v>
      </c>
      <c r="M946" t="s">
        <v>1085</v>
      </c>
      <c r="P946" t="s">
        <v>924</v>
      </c>
      <c r="Q946" t="s">
        <v>26</v>
      </c>
      <c r="R946" t="s">
        <v>81</v>
      </c>
      <c r="W946">
        <v>2</v>
      </c>
      <c r="X946" s="24">
        <v>46032</v>
      </c>
      <c r="Z946" t="s">
        <v>38</v>
      </c>
      <c r="AB946" t="s">
        <v>921</v>
      </c>
      <c r="AC946" t="s">
        <v>1056</v>
      </c>
      <c r="AD946" t="s">
        <v>39</v>
      </c>
    </row>
    <row r="947" spans="1:30" hidden="1" x14ac:dyDescent="0.25">
      <c r="A947">
        <v>431</v>
      </c>
      <c r="B947" t="s">
        <v>606</v>
      </c>
      <c r="C947">
        <v>20</v>
      </c>
      <c r="D947">
        <v>326</v>
      </c>
      <c r="E947">
        <v>550</v>
      </c>
      <c r="F947" t="s">
        <v>77</v>
      </c>
      <c r="G947" t="s">
        <v>746</v>
      </c>
      <c r="H947">
        <v>4</v>
      </c>
      <c r="I947">
        <v>99.78</v>
      </c>
      <c r="J947" t="s">
        <v>839</v>
      </c>
      <c r="K947" t="s">
        <v>812</v>
      </c>
      <c r="M947" t="s">
        <v>1085</v>
      </c>
      <c r="O947" t="s">
        <v>228</v>
      </c>
      <c r="P947" t="s">
        <v>924</v>
      </c>
      <c r="Q947" t="s">
        <v>27</v>
      </c>
      <c r="R947" t="s">
        <v>81</v>
      </c>
      <c r="W947">
        <v>2</v>
      </c>
      <c r="X947" s="24">
        <v>46032</v>
      </c>
      <c r="Z947" t="s">
        <v>38</v>
      </c>
      <c r="AB947" t="s">
        <v>921</v>
      </c>
      <c r="AC947" t="s">
        <v>1056</v>
      </c>
      <c r="AD947" t="s">
        <v>39</v>
      </c>
    </row>
    <row r="948" spans="1:30" hidden="1" x14ac:dyDescent="0.25">
      <c r="A948">
        <v>432</v>
      </c>
      <c r="B948" t="s">
        <v>607</v>
      </c>
      <c r="C948">
        <v>20</v>
      </c>
      <c r="D948">
        <v>326</v>
      </c>
      <c r="E948">
        <v>550</v>
      </c>
      <c r="F948" t="s">
        <v>77</v>
      </c>
      <c r="G948" t="s">
        <v>746</v>
      </c>
      <c r="H948">
        <v>4</v>
      </c>
      <c r="I948">
        <v>112.6</v>
      </c>
      <c r="J948" t="s">
        <v>839</v>
      </c>
      <c r="K948" t="s">
        <v>812</v>
      </c>
      <c r="M948" t="s">
        <v>1085</v>
      </c>
      <c r="P948" t="s">
        <v>924</v>
      </c>
      <c r="Q948" t="s">
        <v>26</v>
      </c>
      <c r="R948" t="s">
        <v>81</v>
      </c>
      <c r="W948">
        <v>2</v>
      </c>
      <c r="X948" s="24">
        <v>46032</v>
      </c>
      <c r="Z948" t="s">
        <v>38</v>
      </c>
      <c r="AB948" t="s">
        <v>921</v>
      </c>
      <c r="AC948" t="s">
        <v>1056</v>
      </c>
      <c r="AD948" t="s">
        <v>39</v>
      </c>
    </row>
    <row r="949" spans="1:30" hidden="1" x14ac:dyDescent="0.25">
      <c r="A949">
        <v>433</v>
      </c>
      <c r="B949" t="s">
        <v>608</v>
      </c>
      <c r="C949">
        <v>20</v>
      </c>
      <c r="D949">
        <v>348</v>
      </c>
      <c r="E949">
        <v>350</v>
      </c>
      <c r="F949" t="s">
        <v>77</v>
      </c>
      <c r="G949" t="s">
        <v>746</v>
      </c>
      <c r="H949">
        <v>2</v>
      </c>
      <c r="I949">
        <v>28.83</v>
      </c>
      <c r="J949" t="s">
        <v>839</v>
      </c>
      <c r="K949" t="s">
        <v>812</v>
      </c>
      <c r="M949" t="s">
        <v>1085</v>
      </c>
      <c r="O949" t="s">
        <v>228</v>
      </c>
      <c r="P949" t="s">
        <v>924</v>
      </c>
      <c r="Q949" t="s">
        <v>27</v>
      </c>
      <c r="R949" t="s">
        <v>81</v>
      </c>
      <c r="W949">
        <v>2</v>
      </c>
      <c r="X949" s="24">
        <v>46032</v>
      </c>
      <c r="Z949" t="s">
        <v>38</v>
      </c>
      <c r="AB949" t="s">
        <v>921</v>
      </c>
      <c r="AC949" t="s">
        <v>1056</v>
      </c>
      <c r="AD949" t="s">
        <v>39</v>
      </c>
    </row>
    <row r="950" spans="1:30" hidden="1" x14ac:dyDescent="0.25">
      <c r="A950">
        <v>434</v>
      </c>
      <c r="B950" t="s">
        <v>610</v>
      </c>
      <c r="C950">
        <v>20</v>
      </c>
      <c r="D950">
        <v>240</v>
      </c>
      <c r="E950">
        <v>250</v>
      </c>
      <c r="F950" t="s">
        <v>77</v>
      </c>
      <c r="G950" t="s">
        <v>746</v>
      </c>
      <c r="H950">
        <v>12</v>
      </c>
      <c r="I950">
        <v>80.11</v>
      </c>
      <c r="J950" t="s">
        <v>839</v>
      </c>
      <c r="K950" t="s">
        <v>812</v>
      </c>
      <c r="M950" t="s">
        <v>1085</v>
      </c>
      <c r="O950" t="s">
        <v>228</v>
      </c>
      <c r="P950" t="s">
        <v>924</v>
      </c>
      <c r="Q950" t="s">
        <v>27</v>
      </c>
      <c r="R950" t="s">
        <v>81</v>
      </c>
      <c r="W950">
        <v>2</v>
      </c>
      <c r="X950" s="24">
        <v>46032</v>
      </c>
      <c r="Z950" t="s">
        <v>38</v>
      </c>
      <c r="AB950" t="s">
        <v>921</v>
      </c>
      <c r="AC950" t="s">
        <v>1056</v>
      </c>
      <c r="AD950" t="s">
        <v>39</v>
      </c>
    </row>
    <row r="951" spans="1:30" hidden="1" x14ac:dyDescent="0.25">
      <c r="A951">
        <v>435</v>
      </c>
      <c r="B951" t="s">
        <v>611</v>
      </c>
      <c r="C951">
        <v>20</v>
      </c>
      <c r="D951">
        <v>348</v>
      </c>
      <c r="E951">
        <v>350</v>
      </c>
      <c r="F951" t="s">
        <v>77</v>
      </c>
      <c r="G951" t="s">
        <v>746</v>
      </c>
      <c r="H951">
        <v>4</v>
      </c>
      <c r="I951">
        <v>57.65</v>
      </c>
      <c r="J951" t="s">
        <v>839</v>
      </c>
      <c r="K951" t="s">
        <v>812</v>
      </c>
      <c r="M951" t="s">
        <v>1085</v>
      </c>
      <c r="O951" t="s">
        <v>228</v>
      </c>
      <c r="P951" t="s">
        <v>924</v>
      </c>
      <c r="Q951" t="s">
        <v>27</v>
      </c>
      <c r="R951" t="s">
        <v>81</v>
      </c>
      <c r="W951">
        <v>2</v>
      </c>
      <c r="X951" s="24">
        <v>46032</v>
      </c>
      <c r="Z951" t="s">
        <v>38</v>
      </c>
      <c r="AB951" t="s">
        <v>921</v>
      </c>
      <c r="AC951" t="s">
        <v>1056</v>
      </c>
      <c r="AD951" t="s">
        <v>39</v>
      </c>
    </row>
    <row r="952" spans="1:30" hidden="1" x14ac:dyDescent="0.25">
      <c r="A952">
        <v>436</v>
      </c>
      <c r="B952" t="s">
        <v>612</v>
      </c>
      <c r="C952">
        <v>20</v>
      </c>
      <c r="D952">
        <v>240</v>
      </c>
      <c r="E952">
        <v>250</v>
      </c>
      <c r="F952" t="s">
        <v>77</v>
      </c>
      <c r="G952" t="s">
        <v>746</v>
      </c>
      <c r="H952">
        <v>16</v>
      </c>
      <c r="I952">
        <v>106.81</v>
      </c>
      <c r="J952" t="s">
        <v>839</v>
      </c>
      <c r="K952" t="s">
        <v>812</v>
      </c>
      <c r="M952" t="s">
        <v>1085</v>
      </c>
      <c r="O952" t="s">
        <v>228</v>
      </c>
      <c r="P952" t="s">
        <v>924</v>
      </c>
      <c r="Q952" t="s">
        <v>27</v>
      </c>
      <c r="R952" t="s">
        <v>81</v>
      </c>
      <c r="W952">
        <v>2</v>
      </c>
      <c r="X952" s="24">
        <v>46032</v>
      </c>
      <c r="Z952" t="s">
        <v>38</v>
      </c>
      <c r="AB952" t="s">
        <v>921</v>
      </c>
      <c r="AC952" t="s">
        <v>1056</v>
      </c>
      <c r="AD952" t="s">
        <v>39</v>
      </c>
    </row>
    <row r="953" spans="1:30" hidden="1" x14ac:dyDescent="0.25">
      <c r="A953">
        <v>437</v>
      </c>
      <c r="B953" t="s">
        <v>613</v>
      </c>
      <c r="C953">
        <v>20</v>
      </c>
      <c r="D953">
        <v>348</v>
      </c>
      <c r="E953">
        <v>350</v>
      </c>
      <c r="F953" t="s">
        <v>77</v>
      </c>
      <c r="G953" t="s">
        <v>746</v>
      </c>
      <c r="H953">
        <v>2</v>
      </c>
      <c r="I953">
        <v>28.83</v>
      </c>
      <c r="J953" t="s">
        <v>839</v>
      </c>
      <c r="K953" t="s">
        <v>812</v>
      </c>
      <c r="M953" t="s">
        <v>1085</v>
      </c>
      <c r="O953" t="s">
        <v>228</v>
      </c>
      <c r="P953" t="s">
        <v>924</v>
      </c>
      <c r="Q953" t="s">
        <v>27</v>
      </c>
      <c r="R953" t="s">
        <v>81</v>
      </c>
      <c r="W953">
        <v>2</v>
      </c>
      <c r="X953" s="24">
        <v>46032</v>
      </c>
      <c r="Z953" t="s">
        <v>38</v>
      </c>
      <c r="AB953" t="s">
        <v>921</v>
      </c>
      <c r="AC953" t="s">
        <v>1056</v>
      </c>
      <c r="AD953" t="s">
        <v>39</v>
      </c>
    </row>
    <row r="954" spans="1:30" hidden="1" x14ac:dyDescent="0.25">
      <c r="A954">
        <v>438</v>
      </c>
      <c r="B954" t="s">
        <v>614</v>
      </c>
      <c r="C954">
        <v>20</v>
      </c>
      <c r="D954">
        <v>240</v>
      </c>
      <c r="E954">
        <v>250</v>
      </c>
      <c r="F954" t="s">
        <v>77</v>
      </c>
      <c r="G954" t="s">
        <v>746</v>
      </c>
      <c r="H954">
        <v>12</v>
      </c>
      <c r="I954">
        <v>80.11</v>
      </c>
      <c r="J954" t="s">
        <v>839</v>
      </c>
      <c r="K954" t="s">
        <v>812</v>
      </c>
      <c r="M954" t="s">
        <v>1085</v>
      </c>
      <c r="O954" t="s">
        <v>228</v>
      </c>
      <c r="P954" t="s">
        <v>924</v>
      </c>
      <c r="Q954" t="s">
        <v>27</v>
      </c>
      <c r="R954" t="s">
        <v>81</v>
      </c>
      <c r="W954">
        <v>2</v>
      </c>
      <c r="X954" s="24">
        <v>46032</v>
      </c>
      <c r="Z954" t="s">
        <v>38</v>
      </c>
      <c r="AB954" t="s">
        <v>921</v>
      </c>
      <c r="AC954" t="s">
        <v>1056</v>
      </c>
      <c r="AD954" t="s">
        <v>39</v>
      </c>
    </row>
    <row r="955" spans="1:30" hidden="1" x14ac:dyDescent="0.25">
      <c r="A955">
        <v>439</v>
      </c>
      <c r="B955" t="s">
        <v>615</v>
      </c>
      <c r="C955">
        <v>20</v>
      </c>
      <c r="D955">
        <v>240</v>
      </c>
      <c r="E955">
        <v>250</v>
      </c>
      <c r="F955" t="s">
        <v>77</v>
      </c>
      <c r="G955" t="s">
        <v>746</v>
      </c>
      <c r="H955">
        <v>8</v>
      </c>
      <c r="I955">
        <v>53.41</v>
      </c>
      <c r="J955" t="s">
        <v>839</v>
      </c>
      <c r="K955" t="s">
        <v>812</v>
      </c>
      <c r="M955" t="s">
        <v>1085</v>
      </c>
      <c r="O955" t="s">
        <v>228</v>
      </c>
      <c r="P955" t="s">
        <v>924</v>
      </c>
      <c r="Q955" t="s">
        <v>27</v>
      </c>
      <c r="R955" t="s">
        <v>81</v>
      </c>
      <c r="W955">
        <v>2</v>
      </c>
      <c r="X955" s="24">
        <v>46032</v>
      </c>
      <c r="Z955" t="s">
        <v>38</v>
      </c>
      <c r="AB955" t="s">
        <v>921</v>
      </c>
      <c r="AC955" t="s">
        <v>1056</v>
      </c>
      <c r="AD955" t="s">
        <v>39</v>
      </c>
    </row>
    <row r="956" spans="1:30" hidden="1" x14ac:dyDescent="0.25">
      <c r="A956">
        <v>440</v>
      </c>
      <c r="B956" t="s">
        <v>616</v>
      </c>
      <c r="C956">
        <v>20</v>
      </c>
      <c r="D956">
        <v>140</v>
      </c>
      <c r="E956">
        <v>200</v>
      </c>
      <c r="F956" t="s">
        <v>77</v>
      </c>
      <c r="G956" t="s">
        <v>746</v>
      </c>
      <c r="H956">
        <v>12</v>
      </c>
      <c r="I956">
        <v>47.36</v>
      </c>
      <c r="J956" t="s">
        <v>839</v>
      </c>
      <c r="K956" t="s">
        <v>812</v>
      </c>
      <c r="M956" t="s">
        <v>1085</v>
      </c>
      <c r="O956" t="s">
        <v>228</v>
      </c>
      <c r="P956" t="s">
        <v>924</v>
      </c>
      <c r="Q956" t="s">
        <v>27</v>
      </c>
      <c r="R956" t="s">
        <v>81</v>
      </c>
      <c r="W956">
        <v>2</v>
      </c>
      <c r="X956" s="24">
        <v>46032</v>
      </c>
      <c r="Z956" t="s">
        <v>38</v>
      </c>
      <c r="AB956" t="s">
        <v>921</v>
      </c>
      <c r="AC956" t="s">
        <v>1056</v>
      </c>
      <c r="AD956" t="s">
        <v>39</v>
      </c>
    </row>
    <row r="957" spans="1:30" hidden="1" x14ac:dyDescent="0.25">
      <c r="A957">
        <v>441</v>
      </c>
      <c r="B957" t="s">
        <v>618</v>
      </c>
      <c r="C957">
        <v>20</v>
      </c>
      <c r="D957">
        <v>140</v>
      </c>
      <c r="E957">
        <v>200</v>
      </c>
      <c r="F957" t="s">
        <v>77</v>
      </c>
      <c r="G957" t="s">
        <v>746</v>
      </c>
      <c r="H957">
        <v>8</v>
      </c>
      <c r="I957">
        <v>31.57</v>
      </c>
      <c r="J957" t="s">
        <v>839</v>
      </c>
      <c r="K957" t="s">
        <v>812</v>
      </c>
      <c r="M957" t="s">
        <v>1085</v>
      </c>
      <c r="O957" t="s">
        <v>228</v>
      </c>
      <c r="P957" t="s">
        <v>924</v>
      </c>
      <c r="Q957" t="s">
        <v>27</v>
      </c>
      <c r="R957" t="s">
        <v>81</v>
      </c>
      <c r="W957">
        <v>2</v>
      </c>
      <c r="X957" s="24">
        <v>46032</v>
      </c>
      <c r="Z957" t="s">
        <v>38</v>
      </c>
      <c r="AB957" t="s">
        <v>921</v>
      </c>
      <c r="AC957" t="s">
        <v>1056</v>
      </c>
      <c r="AD957" t="s">
        <v>39</v>
      </c>
    </row>
    <row r="958" spans="1:30" hidden="1" x14ac:dyDescent="0.25">
      <c r="A958">
        <v>442</v>
      </c>
      <c r="B958" t="s">
        <v>619</v>
      </c>
      <c r="C958">
        <v>20</v>
      </c>
      <c r="D958">
        <v>140</v>
      </c>
      <c r="E958">
        <v>200</v>
      </c>
      <c r="F958" t="s">
        <v>77</v>
      </c>
      <c r="G958" t="s">
        <v>746</v>
      </c>
      <c r="H958">
        <v>8</v>
      </c>
      <c r="I958">
        <v>31.57</v>
      </c>
      <c r="J958" t="s">
        <v>839</v>
      </c>
      <c r="K958" t="s">
        <v>812</v>
      </c>
      <c r="M958" t="s">
        <v>1085</v>
      </c>
      <c r="O958" t="s">
        <v>228</v>
      </c>
      <c r="P958" t="s">
        <v>924</v>
      </c>
      <c r="Q958" t="s">
        <v>27</v>
      </c>
      <c r="R958" t="s">
        <v>81</v>
      </c>
      <c r="W958">
        <v>2</v>
      </c>
      <c r="X958" s="24">
        <v>46032</v>
      </c>
      <c r="Z958" t="s">
        <v>38</v>
      </c>
      <c r="AB958" t="s">
        <v>921</v>
      </c>
      <c r="AC958" t="s">
        <v>1056</v>
      </c>
      <c r="AD958" t="s">
        <v>39</v>
      </c>
    </row>
    <row r="959" spans="1:30" hidden="1" x14ac:dyDescent="0.25">
      <c r="A959">
        <v>443</v>
      </c>
      <c r="B959" t="s">
        <v>620</v>
      </c>
      <c r="C959">
        <v>20</v>
      </c>
      <c r="D959">
        <v>140</v>
      </c>
      <c r="E959">
        <v>200</v>
      </c>
      <c r="F959" t="s">
        <v>77</v>
      </c>
      <c r="G959" t="s">
        <v>746</v>
      </c>
      <c r="H959">
        <v>8</v>
      </c>
      <c r="I959">
        <v>31.57</v>
      </c>
      <c r="J959" t="s">
        <v>839</v>
      </c>
      <c r="K959" t="s">
        <v>812</v>
      </c>
      <c r="M959" t="s">
        <v>1085</v>
      </c>
      <c r="O959" t="s">
        <v>228</v>
      </c>
      <c r="P959" t="s">
        <v>924</v>
      </c>
      <c r="Q959" t="s">
        <v>27</v>
      </c>
      <c r="R959" t="s">
        <v>81</v>
      </c>
      <c r="W959">
        <v>2</v>
      </c>
      <c r="X959" s="24">
        <v>46032</v>
      </c>
      <c r="Z959" t="s">
        <v>38</v>
      </c>
      <c r="AB959" t="s">
        <v>921</v>
      </c>
      <c r="AC959" t="s">
        <v>1056</v>
      </c>
      <c r="AD959" t="s">
        <v>39</v>
      </c>
    </row>
    <row r="960" spans="1:30" hidden="1" x14ac:dyDescent="0.25">
      <c r="A960">
        <v>444</v>
      </c>
      <c r="B960" t="s">
        <v>621</v>
      </c>
      <c r="C960">
        <v>20</v>
      </c>
      <c r="D960">
        <v>140</v>
      </c>
      <c r="E960">
        <v>200</v>
      </c>
      <c r="F960" t="s">
        <v>77</v>
      </c>
      <c r="G960" t="s">
        <v>746</v>
      </c>
      <c r="H960">
        <v>8</v>
      </c>
      <c r="I960">
        <v>31.57</v>
      </c>
      <c r="J960" t="s">
        <v>839</v>
      </c>
      <c r="K960" t="s">
        <v>812</v>
      </c>
      <c r="M960" t="s">
        <v>1085</v>
      </c>
      <c r="O960" t="s">
        <v>228</v>
      </c>
      <c r="P960" t="s">
        <v>924</v>
      </c>
      <c r="Q960" t="s">
        <v>27</v>
      </c>
      <c r="R960" t="s">
        <v>81</v>
      </c>
      <c r="W960">
        <v>2</v>
      </c>
      <c r="X960" s="24">
        <v>46032</v>
      </c>
      <c r="Z960" t="s">
        <v>38</v>
      </c>
      <c r="AB960" t="s">
        <v>921</v>
      </c>
      <c r="AC960" t="s">
        <v>1056</v>
      </c>
      <c r="AD960" t="s">
        <v>39</v>
      </c>
    </row>
    <row r="961" spans="1:30" hidden="1" x14ac:dyDescent="0.25">
      <c r="A961">
        <v>445</v>
      </c>
      <c r="B961" t="s">
        <v>622</v>
      </c>
      <c r="C961">
        <v>20</v>
      </c>
      <c r="D961">
        <v>140</v>
      </c>
      <c r="E961">
        <v>200</v>
      </c>
      <c r="F961" t="s">
        <v>77</v>
      </c>
      <c r="G961" t="s">
        <v>746</v>
      </c>
      <c r="H961">
        <v>8</v>
      </c>
      <c r="I961">
        <v>31.57</v>
      </c>
      <c r="J961" t="s">
        <v>839</v>
      </c>
      <c r="K961" t="s">
        <v>812</v>
      </c>
      <c r="M961" t="s">
        <v>1085</v>
      </c>
      <c r="O961" t="s">
        <v>228</v>
      </c>
      <c r="P961" t="s">
        <v>924</v>
      </c>
      <c r="Q961" t="s">
        <v>27</v>
      </c>
      <c r="R961" t="s">
        <v>81</v>
      </c>
      <c r="W961">
        <v>2</v>
      </c>
      <c r="X961" s="24">
        <v>46032</v>
      </c>
      <c r="Z961" t="s">
        <v>38</v>
      </c>
      <c r="AB961" t="s">
        <v>921</v>
      </c>
      <c r="AC961" t="s">
        <v>1056</v>
      </c>
      <c r="AD961" t="s">
        <v>39</v>
      </c>
    </row>
    <row r="962" spans="1:30" hidden="1" x14ac:dyDescent="0.25">
      <c r="A962">
        <v>446</v>
      </c>
      <c r="B962" t="s">
        <v>623</v>
      </c>
      <c r="C962">
        <v>20</v>
      </c>
      <c r="D962">
        <v>140</v>
      </c>
      <c r="E962">
        <v>200</v>
      </c>
      <c r="F962" t="s">
        <v>77</v>
      </c>
      <c r="G962" t="s">
        <v>746</v>
      </c>
      <c r="H962">
        <v>8</v>
      </c>
      <c r="I962">
        <v>31.57</v>
      </c>
      <c r="J962" t="s">
        <v>839</v>
      </c>
      <c r="K962" t="s">
        <v>812</v>
      </c>
      <c r="M962" t="s">
        <v>1085</v>
      </c>
      <c r="O962" t="s">
        <v>228</v>
      </c>
      <c r="P962" t="s">
        <v>924</v>
      </c>
      <c r="Q962" t="s">
        <v>27</v>
      </c>
      <c r="R962" t="s">
        <v>81</v>
      </c>
      <c r="W962">
        <v>2</v>
      </c>
      <c r="X962" s="24">
        <v>46032</v>
      </c>
      <c r="Z962" t="s">
        <v>38</v>
      </c>
      <c r="AB962" t="s">
        <v>921</v>
      </c>
      <c r="AC962" t="s">
        <v>1056</v>
      </c>
      <c r="AD962" t="s">
        <v>39</v>
      </c>
    </row>
    <row r="963" spans="1:30" hidden="1" x14ac:dyDescent="0.25">
      <c r="A963">
        <v>447</v>
      </c>
      <c r="B963" t="s">
        <v>624</v>
      </c>
      <c r="C963">
        <v>20</v>
      </c>
      <c r="D963">
        <v>140</v>
      </c>
      <c r="E963">
        <v>200</v>
      </c>
      <c r="F963" t="s">
        <v>77</v>
      </c>
      <c r="G963" t="s">
        <v>746</v>
      </c>
      <c r="H963">
        <v>8</v>
      </c>
      <c r="I963">
        <v>31.57</v>
      </c>
      <c r="J963" t="s">
        <v>839</v>
      </c>
      <c r="K963" t="s">
        <v>812</v>
      </c>
      <c r="M963" t="s">
        <v>1085</v>
      </c>
      <c r="O963" t="s">
        <v>228</v>
      </c>
      <c r="P963" t="s">
        <v>924</v>
      </c>
      <c r="Q963" t="s">
        <v>27</v>
      </c>
      <c r="R963" t="s">
        <v>81</v>
      </c>
      <c r="W963">
        <v>2</v>
      </c>
      <c r="X963" s="24">
        <v>46032</v>
      </c>
      <c r="Z963" t="s">
        <v>38</v>
      </c>
      <c r="AB963" t="s">
        <v>921</v>
      </c>
      <c r="AC963" t="s">
        <v>1056</v>
      </c>
      <c r="AD963" t="s">
        <v>39</v>
      </c>
    </row>
    <row r="964" spans="1:30" hidden="1" x14ac:dyDescent="0.25">
      <c r="A964">
        <v>448</v>
      </c>
      <c r="B964" t="s">
        <v>625</v>
      </c>
      <c r="C964">
        <v>20</v>
      </c>
      <c r="D964">
        <v>140</v>
      </c>
      <c r="E964">
        <v>200</v>
      </c>
      <c r="F964" t="s">
        <v>77</v>
      </c>
      <c r="G964" t="s">
        <v>746</v>
      </c>
      <c r="H964">
        <v>8</v>
      </c>
      <c r="I964">
        <v>31.57</v>
      </c>
      <c r="J964" t="s">
        <v>839</v>
      </c>
      <c r="K964" t="s">
        <v>812</v>
      </c>
      <c r="M964" t="s">
        <v>1085</v>
      </c>
      <c r="O964" t="s">
        <v>228</v>
      </c>
      <c r="P964" t="s">
        <v>924</v>
      </c>
      <c r="Q964" t="s">
        <v>27</v>
      </c>
      <c r="R964" t="s">
        <v>81</v>
      </c>
      <c r="W964">
        <v>2</v>
      </c>
      <c r="X964" s="24">
        <v>46032</v>
      </c>
      <c r="Z964" t="s">
        <v>38</v>
      </c>
      <c r="AB964" t="s">
        <v>921</v>
      </c>
      <c r="AC964" t="s">
        <v>1056</v>
      </c>
      <c r="AD964" t="s">
        <v>39</v>
      </c>
    </row>
    <row r="965" spans="1:30" hidden="1" x14ac:dyDescent="0.25">
      <c r="A965">
        <v>449</v>
      </c>
      <c r="B965" t="s">
        <v>626</v>
      </c>
      <c r="C965">
        <v>20</v>
      </c>
      <c r="D965">
        <v>140</v>
      </c>
      <c r="E965">
        <v>200</v>
      </c>
      <c r="F965" t="s">
        <v>77</v>
      </c>
      <c r="G965" t="s">
        <v>746</v>
      </c>
      <c r="H965">
        <v>6</v>
      </c>
      <c r="I965">
        <v>23.68</v>
      </c>
      <c r="J965" t="s">
        <v>839</v>
      </c>
      <c r="K965" t="s">
        <v>812</v>
      </c>
      <c r="M965" t="s">
        <v>1085</v>
      </c>
      <c r="O965" t="s">
        <v>228</v>
      </c>
      <c r="P965" t="s">
        <v>924</v>
      </c>
      <c r="Q965" t="s">
        <v>27</v>
      </c>
      <c r="R965" t="s">
        <v>81</v>
      </c>
      <c r="W965">
        <v>2</v>
      </c>
      <c r="X965" s="24">
        <v>46032</v>
      </c>
      <c r="Z965" t="s">
        <v>38</v>
      </c>
      <c r="AB965" t="s">
        <v>921</v>
      </c>
      <c r="AC965" t="s">
        <v>1056</v>
      </c>
      <c r="AD965" t="s">
        <v>39</v>
      </c>
    </row>
    <row r="966" spans="1:30" hidden="1" x14ac:dyDescent="0.25">
      <c r="A966">
        <v>450</v>
      </c>
      <c r="B966" t="s">
        <v>571</v>
      </c>
      <c r="C966">
        <v>20</v>
      </c>
      <c r="D966">
        <v>400</v>
      </c>
      <c r="E966">
        <v>780</v>
      </c>
      <c r="F966" t="s">
        <v>77</v>
      </c>
      <c r="G966" t="s">
        <v>746</v>
      </c>
      <c r="H966">
        <v>1</v>
      </c>
      <c r="I966">
        <v>48.61</v>
      </c>
      <c r="J966" t="s">
        <v>839</v>
      </c>
      <c r="K966" t="s">
        <v>812</v>
      </c>
      <c r="M966" t="s">
        <v>1085</v>
      </c>
      <c r="O966" t="s">
        <v>228</v>
      </c>
      <c r="P966" t="s">
        <v>924</v>
      </c>
      <c r="Q966" t="s">
        <v>27</v>
      </c>
      <c r="S966" t="s">
        <v>81</v>
      </c>
      <c r="W966">
        <v>2</v>
      </c>
      <c r="X966" s="24">
        <v>46032</v>
      </c>
      <c r="Z966" t="s">
        <v>38</v>
      </c>
      <c r="AB966" t="s">
        <v>921</v>
      </c>
      <c r="AC966" t="s">
        <v>1061</v>
      </c>
      <c r="AD966" t="s">
        <v>1062</v>
      </c>
    </row>
    <row r="967" spans="1:30" hidden="1" x14ac:dyDescent="0.25">
      <c r="A967">
        <v>451</v>
      </c>
      <c r="B967" t="s">
        <v>577</v>
      </c>
      <c r="C967">
        <v>20</v>
      </c>
      <c r="D967">
        <v>175</v>
      </c>
      <c r="E967">
        <v>180</v>
      </c>
      <c r="F967" t="s">
        <v>77</v>
      </c>
      <c r="G967" t="s">
        <v>746</v>
      </c>
      <c r="H967">
        <v>2</v>
      </c>
      <c r="I967">
        <v>9.15</v>
      </c>
      <c r="J967" t="s">
        <v>839</v>
      </c>
      <c r="K967" t="s">
        <v>812</v>
      </c>
      <c r="M967" t="s">
        <v>1085</v>
      </c>
      <c r="O967" t="s">
        <v>228</v>
      </c>
      <c r="P967" t="s">
        <v>924</v>
      </c>
      <c r="Q967" t="s">
        <v>27</v>
      </c>
      <c r="S967" t="s">
        <v>81</v>
      </c>
      <c r="W967">
        <v>2</v>
      </c>
      <c r="X967" s="24">
        <v>46032</v>
      </c>
      <c r="Z967" t="s">
        <v>38</v>
      </c>
      <c r="AB967" t="s">
        <v>921</v>
      </c>
      <c r="AC967" t="s">
        <v>1061</v>
      </c>
      <c r="AD967" t="s">
        <v>1062</v>
      </c>
    </row>
    <row r="968" spans="1:30" hidden="1" x14ac:dyDescent="0.25">
      <c r="A968">
        <v>452</v>
      </c>
      <c r="B968" t="s">
        <v>602</v>
      </c>
      <c r="C968">
        <v>20</v>
      </c>
      <c r="D968">
        <v>180</v>
      </c>
      <c r="E968">
        <v>300</v>
      </c>
      <c r="F968" t="s">
        <v>77</v>
      </c>
      <c r="G968" t="s">
        <v>746</v>
      </c>
      <c r="H968">
        <v>1</v>
      </c>
      <c r="I968">
        <v>8.48</v>
      </c>
      <c r="J968" t="s">
        <v>839</v>
      </c>
      <c r="K968" t="s">
        <v>812</v>
      </c>
      <c r="M968" t="s">
        <v>1085</v>
      </c>
      <c r="P968" t="s">
        <v>924</v>
      </c>
      <c r="Q968" t="s">
        <v>26</v>
      </c>
      <c r="S968" t="s">
        <v>81</v>
      </c>
      <c r="W968">
        <v>2</v>
      </c>
      <c r="X968" s="24">
        <v>46032</v>
      </c>
      <c r="Z968" t="s">
        <v>38</v>
      </c>
      <c r="AB968" t="s">
        <v>921</v>
      </c>
      <c r="AC968" t="s">
        <v>1061</v>
      </c>
      <c r="AD968" t="s">
        <v>1062</v>
      </c>
    </row>
    <row r="969" spans="1:30" hidden="1" x14ac:dyDescent="0.25">
      <c r="A969">
        <v>453</v>
      </c>
      <c r="B969" t="s">
        <v>626</v>
      </c>
      <c r="C969">
        <v>20</v>
      </c>
      <c r="D969">
        <v>140</v>
      </c>
      <c r="E969">
        <v>200</v>
      </c>
      <c r="F969" t="s">
        <v>77</v>
      </c>
      <c r="G969" t="s">
        <v>746</v>
      </c>
      <c r="H969">
        <v>6</v>
      </c>
      <c r="I969">
        <v>23.68</v>
      </c>
      <c r="J969" t="s">
        <v>839</v>
      </c>
      <c r="K969" t="s">
        <v>812</v>
      </c>
      <c r="M969" t="s">
        <v>1085</v>
      </c>
      <c r="O969" t="s">
        <v>228</v>
      </c>
      <c r="P969" t="s">
        <v>924</v>
      </c>
      <c r="Q969" t="s">
        <v>27</v>
      </c>
      <c r="S969" t="s">
        <v>81</v>
      </c>
      <c r="W969">
        <v>2</v>
      </c>
      <c r="X969" s="24">
        <v>46032</v>
      </c>
      <c r="Z969" t="s">
        <v>38</v>
      </c>
      <c r="AB969" t="s">
        <v>921</v>
      </c>
      <c r="AC969" t="s">
        <v>1061</v>
      </c>
      <c r="AD969" t="s">
        <v>1062</v>
      </c>
    </row>
    <row r="970" spans="1:30" hidden="1" x14ac:dyDescent="0.25">
      <c r="A970">
        <v>454</v>
      </c>
      <c r="B970" t="s">
        <v>663</v>
      </c>
      <c r="C970">
        <v>25</v>
      </c>
      <c r="D970">
        <v>250</v>
      </c>
      <c r="E970">
        <v>300</v>
      </c>
      <c r="F970" t="s">
        <v>77</v>
      </c>
      <c r="G970" t="s">
        <v>746</v>
      </c>
      <c r="H970">
        <v>4</v>
      </c>
      <c r="I970">
        <v>54.6</v>
      </c>
      <c r="J970" t="s">
        <v>839</v>
      </c>
      <c r="K970" t="s">
        <v>812</v>
      </c>
      <c r="M970" t="s">
        <v>1085</v>
      </c>
      <c r="O970" t="s">
        <v>228</v>
      </c>
      <c r="P970" t="s">
        <v>924</v>
      </c>
      <c r="Q970" t="s">
        <v>27</v>
      </c>
      <c r="S970" t="s">
        <v>81</v>
      </c>
      <c r="W970">
        <v>2</v>
      </c>
      <c r="X970" s="24">
        <v>46032</v>
      </c>
      <c r="Z970" t="s">
        <v>38</v>
      </c>
      <c r="AB970" t="s">
        <v>921</v>
      </c>
      <c r="AC970" t="s">
        <v>1065</v>
      </c>
      <c r="AD970" t="s">
        <v>1066</v>
      </c>
    </row>
    <row r="971" spans="1:30" hidden="1" x14ac:dyDescent="0.25">
      <c r="A971">
        <v>455</v>
      </c>
      <c r="B971" t="s">
        <v>667</v>
      </c>
      <c r="C971">
        <v>25</v>
      </c>
      <c r="D971">
        <v>240</v>
      </c>
      <c r="E971">
        <v>300</v>
      </c>
      <c r="F971" t="s">
        <v>77</v>
      </c>
      <c r="G971" t="s">
        <v>746</v>
      </c>
      <c r="H971">
        <v>3</v>
      </c>
      <c r="I971">
        <v>38.64</v>
      </c>
      <c r="J971" t="s">
        <v>839</v>
      </c>
      <c r="K971" t="s">
        <v>812</v>
      </c>
      <c r="M971" t="s">
        <v>1085</v>
      </c>
      <c r="O971" t="s">
        <v>228</v>
      </c>
      <c r="P971" t="s">
        <v>924</v>
      </c>
      <c r="Q971" t="s">
        <v>27</v>
      </c>
      <c r="S971" t="s">
        <v>81</v>
      </c>
      <c r="W971">
        <v>2</v>
      </c>
      <c r="X971" s="24">
        <v>46032</v>
      </c>
      <c r="Z971" t="s">
        <v>38</v>
      </c>
      <c r="AB971" t="s">
        <v>921</v>
      </c>
      <c r="AC971" t="s">
        <v>1065</v>
      </c>
      <c r="AD971" t="s">
        <v>1066</v>
      </c>
    </row>
    <row r="972" spans="1:30" hidden="1" x14ac:dyDescent="0.25">
      <c r="A972">
        <v>456</v>
      </c>
      <c r="B972" t="s">
        <v>1068</v>
      </c>
      <c r="C972">
        <v>25</v>
      </c>
      <c r="D972">
        <v>120</v>
      </c>
      <c r="E972">
        <v>240</v>
      </c>
      <c r="F972" t="s">
        <v>77</v>
      </c>
      <c r="G972" t="s">
        <v>746</v>
      </c>
      <c r="H972">
        <v>6</v>
      </c>
      <c r="I972">
        <v>31.6</v>
      </c>
      <c r="J972" t="s">
        <v>839</v>
      </c>
      <c r="K972" t="s">
        <v>812</v>
      </c>
      <c r="M972" t="s">
        <v>1085</v>
      </c>
      <c r="O972" t="s">
        <v>228</v>
      </c>
      <c r="P972" t="s">
        <v>924</v>
      </c>
      <c r="Q972" t="s">
        <v>27</v>
      </c>
      <c r="S972" t="s">
        <v>81</v>
      </c>
      <c r="W972">
        <v>2</v>
      </c>
      <c r="X972" s="24">
        <v>46032</v>
      </c>
      <c r="Z972" t="s">
        <v>38</v>
      </c>
      <c r="AB972" t="s">
        <v>921</v>
      </c>
      <c r="AC972" t="s">
        <v>1065</v>
      </c>
      <c r="AD972" t="s">
        <v>1066</v>
      </c>
    </row>
    <row r="973" spans="1:30" hidden="1" x14ac:dyDescent="0.25">
      <c r="A973">
        <v>457</v>
      </c>
      <c r="B973" t="s">
        <v>652</v>
      </c>
      <c r="C973">
        <v>25</v>
      </c>
      <c r="D973">
        <v>443</v>
      </c>
      <c r="E973">
        <v>525</v>
      </c>
      <c r="F973" t="s">
        <v>77</v>
      </c>
      <c r="G973" t="s">
        <v>746</v>
      </c>
      <c r="H973">
        <v>2</v>
      </c>
      <c r="I973">
        <v>83.27</v>
      </c>
      <c r="J973" t="s">
        <v>839</v>
      </c>
      <c r="K973" t="s">
        <v>812</v>
      </c>
      <c r="M973" t="s">
        <v>1085</v>
      </c>
      <c r="O973" t="s">
        <v>228</v>
      </c>
      <c r="P973" t="s">
        <v>924</v>
      </c>
      <c r="Q973" t="s">
        <v>27</v>
      </c>
      <c r="S973" t="s">
        <v>81</v>
      </c>
      <c r="W973">
        <v>2</v>
      </c>
      <c r="X973" s="24">
        <v>46032</v>
      </c>
      <c r="Z973" t="s">
        <v>38</v>
      </c>
      <c r="AB973" t="s">
        <v>921</v>
      </c>
      <c r="AC973" t="s">
        <v>1065</v>
      </c>
      <c r="AD973" t="s">
        <v>1066</v>
      </c>
    </row>
    <row r="974" spans="1:30" hidden="1" x14ac:dyDescent="0.25">
      <c r="A974">
        <v>458</v>
      </c>
      <c r="B974" t="s">
        <v>647</v>
      </c>
      <c r="C974">
        <v>25</v>
      </c>
      <c r="D974">
        <v>443</v>
      </c>
      <c r="E974">
        <v>525</v>
      </c>
      <c r="F974" t="s">
        <v>77</v>
      </c>
      <c r="G974" t="s">
        <v>746</v>
      </c>
      <c r="H974">
        <v>2</v>
      </c>
      <c r="I974">
        <v>91.29</v>
      </c>
      <c r="J974" t="s">
        <v>839</v>
      </c>
      <c r="K974" t="s">
        <v>812</v>
      </c>
      <c r="M974" t="s">
        <v>1085</v>
      </c>
      <c r="P974" t="s">
        <v>924</v>
      </c>
      <c r="Q974" t="s">
        <v>26</v>
      </c>
      <c r="S974" t="s">
        <v>81</v>
      </c>
      <c r="W974">
        <v>2</v>
      </c>
      <c r="X974" s="24">
        <v>46032</v>
      </c>
      <c r="Z974" t="s">
        <v>38</v>
      </c>
      <c r="AB974" t="s">
        <v>921</v>
      </c>
      <c r="AC974" t="s">
        <v>1065</v>
      </c>
      <c r="AD974" t="s">
        <v>1066</v>
      </c>
    </row>
    <row r="975" spans="1:30" hidden="1" x14ac:dyDescent="0.25">
      <c r="A975">
        <v>459</v>
      </c>
      <c r="B975" t="s">
        <v>650</v>
      </c>
      <c r="C975">
        <v>25</v>
      </c>
      <c r="D975">
        <v>200</v>
      </c>
      <c r="E975">
        <v>200</v>
      </c>
      <c r="F975" t="s">
        <v>77</v>
      </c>
      <c r="G975" t="s">
        <v>746</v>
      </c>
      <c r="H975">
        <v>2</v>
      </c>
      <c r="I975">
        <v>15.7</v>
      </c>
      <c r="J975" t="s">
        <v>839</v>
      </c>
      <c r="K975" t="s">
        <v>812</v>
      </c>
      <c r="M975" t="s">
        <v>1085</v>
      </c>
      <c r="P975" t="s">
        <v>924</v>
      </c>
      <c r="Q975" t="s">
        <v>26</v>
      </c>
      <c r="S975" t="s">
        <v>81</v>
      </c>
      <c r="W975">
        <v>2</v>
      </c>
      <c r="X975" s="24">
        <v>46032</v>
      </c>
      <c r="Z975" t="s">
        <v>38</v>
      </c>
      <c r="AB975" t="s">
        <v>921</v>
      </c>
      <c r="AC975" t="s">
        <v>1065</v>
      </c>
      <c r="AD975" t="s">
        <v>1066</v>
      </c>
    </row>
    <row r="976" spans="1:30" hidden="1" x14ac:dyDescent="0.25">
      <c r="A976">
        <v>460</v>
      </c>
      <c r="B976" t="s">
        <v>649</v>
      </c>
      <c r="C976">
        <v>25</v>
      </c>
      <c r="D976">
        <v>443</v>
      </c>
      <c r="E976">
        <v>550</v>
      </c>
      <c r="F976" t="s">
        <v>77</v>
      </c>
      <c r="G976" t="s">
        <v>746</v>
      </c>
      <c r="H976">
        <v>2</v>
      </c>
      <c r="I976">
        <v>87.62</v>
      </c>
      <c r="J976" t="s">
        <v>839</v>
      </c>
      <c r="K976" t="s">
        <v>812</v>
      </c>
      <c r="M976" t="s">
        <v>1085</v>
      </c>
      <c r="O976" t="s">
        <v>228</v>
      </c>
      <c r="P976" t="s">
        <v>924</v>
      </c>
      <c r="Q976" t="s">
        <v>27</v>
      </c>
      <c r="S976" t="s">
        <v>81</v>
      </c>
      <c r="W976">
        <v>2</v>
      </c>
      <c r="X976" s="24">
        <v>46032</v>
      </c>
      <c r="Z976" t="s">
        <v>38</v>
      </c>
      <c r="AB976" t="s">
        <v>921</v>
      </c>
      <c r="AC976" t="s">
        <v>1065</v>
      </c>
      <c r="AD976" t="s">
        <v>1066</v>
      </c>
    </row>
    <row r="977" spans="1:30" hidden="1" x14ac:dyDescent="0.25">
      <c r="A977">
        <v>461</v>
      </c>
      <c r="B977" t="s">
        <v>642</v>
      </c>
      <c r="C977">
        <v>25</v>
      </c>
      <c r="D977">
        <v>443</v>
      </c>
      <c r="E977">
        <v>550</v>
      </c>
      <c r="F977" t="s">
        <v>77</v>
      </c>
      <c r="G977" t="s">
        <v>746</v>
      </c>
      <c r="H977">
        <v>2</v>
      </c>
      <c r="I977">
        <v>95.63</v>
      </c>
      <c r="J977" t="s">
        <v>839</v>
      </c>
      <c r="K977" t="s">
        <v>812</v>
      </c>
      <c r="M977" t="s">
        <v>1085</v>
      </c>
      <c r="P977" t="s">
        <v>924</v>
      </c>
      <c r="Q977" t="s">
        <v>26</v>
      </c>
      <c r="S977" t="s">
        <v>81</v>
      </c>
      <c r="W977">
        <v>2</v>
      </c>
      <c r="X977" s="24">
        <v>46032</v>
      </c>
      <c r="Z977" t="s">
        <v>38</v>
      </c>
      <c r="AB977" t="s">
        <v>921</v>
      </c>
      <c r="AC977" t="s">
        <v>1065</v>
      </c>
      <c r="AD977" t="s">
        <v>1066</v>
      </c>
    </row>
    <row r="978" spans="1:30" hidden="1" x14ac:dyDescent="0.25">
      <c r="A978">
        <v>462</v>
      </c>
      <c r="B978" t="s">
        <v>653</v>
      </c>
      <c r="C978">
        <v>25</v>
      </c>
      <c r="D978">
        <v>443</v>
      </c>
      <c r="E978">
        <v>525</v>
      </c>
      <c r="F978" t="s">
        <v>77</v>
      </c>
      <c r="G978" t="s">
        <v>746</v>
      </c>
      <c r="H978">
        <v>2</v>
      </c>
      <c r="I978">
        <v>83.27</v>
      </c>
      <c r="J978" t="s">
        <v>839</v>
      </c>
      <c r="K978" t="s">
        <v>812</v>
      </c>
      <c r="M978" t="s">
        <v>1085</v>
      </c>
      <c r="O978" t="s">
        <v>228</v>
      </c>
      <c r="P978" t="s">
        <v>924</v>
      </c>
      <c r="Q978" t="s">
        <v>27</v>
      </c>
      <c r="S978" t="s">
        <v>81</v>
      </c>
      <c r="W978">
        <v>2</v>
      </c>
      <c r="X978" s="24">
        <v>46032</v>
      </c>
      <c r="Z978" t="s">
        <v>38</v>
      </c>
      <c r="AB978" t="s">
        <v>921</v>
      </c>
      <c r="AC978" t="s">
        <v>1065</v>
      </c>
      <c r="AD978" t="s">
        <v>1066</v>
      </c>
    </row>
    <row r="979" spans="1:30" hidden="1" x14ac:dyDescent="0.25">
      <c r="A979">
        <v>463</v>
      </c>
      <c r="B979" t="s">
        <v>639</v>
      </c>
      <c r="C979">
        <v>25</v>
      </c>
      <c r="D979">
        <v>443</v>
      </c>
      <c r="E979">
        <v>525</v>
      </c>
      <c r="F979" t="s">
        <v>77</v>
      </c>
      <c r="G979" t="s">
        <v>746</v>
      </c>
      <c r="H979">
        <v>2</v>
      </c>
      <c r="I979">
        <v>91.29</v>
      </c>
      <c r="J979" t="s">
        <v>839</v>
      </c>
      <c r="K979" t="s">
        <v>812</v>
      </c>
      <c r="M979" t="s">
        <v>1085</v>
      </c>
      <c r="P979" t="s">
        <v>924</v>
      </c>
      <c r="Q979" t="s">
        <v>26</v>
      </c>
      <c r="S979" t="s">
        <v>81</v>
      </c>
      <c r="W979">
        <v>2</v>
      </c>
      <c r="X979" s="24">
        <v>46032</v>
      </c>
      <c r="Z979" t="s">
        <v>38</v>
      </c>
      <c r="AB979" t="s">
        <v>921</v>
      </c>
      <c r="AC979" t="s">
        <v>1065</v>
      </c>
      <c r="AD979" t="s">
        <v>1066</v>
      </c>
    </row>
    <row r="980" spans="1:30" hidden="1" x14ac:dyDescent="0.25">
      <c r="A980">
        <v>464</v>
      </c>
      <c r="B980" t="s">
        <v>644</v>
      </c>
      <c r="C980">
        <v>25</v>
      </c>
      <c r="D980">
        <v>443</v>
      </c>
      <c r="E980">
        <v>550</v>
      </c>
      <c r="F980" t="s">
        <v>77</v>
      </c>
      <c r="G980" t="s">
        <v>746</v>
      </c>
      <c r="H980">
        <v>2</v>
      </c>
      <c r="I980">
        <v>87.62</v>
      </c>
      <c r="J980" t="s">
        <v>839</v>
      </c>
      <c r="K980" t="s">
        <v>812</v>
      </c>
      <c r="M980" t="s">
        <v>1085</v>
      </c>
      <c r="O980" t="s">
        <v>228</v>
      </c>
      <c r="P980" t="s">
        <v>924</v>
      </c>
      <c r="Q980" t="s">
        <v>27</v>
      </c>
      <c r="S980" t="s">
        <v>81</v>
      </c>
      <c r="W980">
        <v>2</v>
      </c>
      <c r="X980" s="24">
        <v>46032</v>
      </c>
      <c r="Z980" t="s">
        <v>38</v>
      </c>
      <c r="AB980" t="s">
        <v>921</v>
      </c>
      <c r="AC980" t="s">
        <v>1065</v>
      </c>
      <c r="AD980" t="s">
        <v>1066</v>
      </c>
    </row>
    <row r="981" spans="1:30" hidden="1" x14ac:dyDescent="0.25">
      <c r="A981">
        <v>465</v>
      </c>
      <c r="B981" t="s">
        <v>645</v>
      </c>
      <c r="C981">
        <v>25</v>
      </c>
      <c r="D981">
        <v>443</v>
      </c>
      <c r="E981">
        <v>550</v>
      </c>
      <c r="F981" t="s">
        <v>77</v>
      </c>
      <c r="G981" t="s">
        <v>746</v>
      </c>
      <c r="H981">
        <v>2</v>
      </c>
      <c r="I981">
        <v>95.63</v>
      </c>
      <c r="J981" t="s">
        <v>839</v>
      </c>
      <c r="K981" t="s">
        <v>812</v>
      </c>
      <c r="M981" t="s">
        <v>1085</v>
      </c>
      <c r="P981" t="s">
        <v>924</v>
      </c>
      <c r="Q981" t="s">
        <v>26</v>
      </c>
      <c r="S981" t="s">
        <v>81</v>
      </c>
      <c r="W981">
        <v>2</v>
      </c>
      <c r="X981" s="24">
        <v>46032</v>
      </c>
      <c r="Z981" t="s">
        <v>38</v>
      </c>
      <c r="AB981" t="s">
        <v>921</v>
      </c>
      <c r="AC981" t="s">
        <v>1065</v>
      </c>
      <c r="AD981" t="s">
        <v>1066</v>
      </c>
    </row>
    <row r="982" spans="1:30" hidden="1" x14ac:dyDescent="0.25">
      <c r="A982">
        <v>466</v>
      </c>
      <c r="B982" t="s">
        <v>646</v>
      </c>
      <c r="C982">
        <v>25</v>
      </c>
      <c r="D982">
        <v>501</v>
      </c>
      <c r="E982">
        <v>744</v>
      </c>
      <c r="F982" t="s">
        <v>77</v>
      </c>
      <c r="G982" t="s">
        <v>746</v>
      </c>
      <c r="H982">
        <v>2</v>
      </c>
      <c r="I982">
        <v>90.9</v>
      </c>
      <c r="J982" t="s">
        <v>839</v>
      </c>
      <c r="K982" t="s">
        <v>812</v>
      </c>
      <c r="M982" t="s">
        <v>1085</v>
      </c>
      <c r="O982" t="s">
        <v>228</v>
      </c>
      <c r="P982" t="s">
        <v>924</v>
      </c>
      <c r="Q982" t="s">
        <v>27</v>
      </c>
      <c r="S982" t="s">
        <v>81</v>
      </c>
      <c r="W982">
        <v>2</v>
      </c>
      <c r="X982" s="24">
        <v>46032</v>
      </c>
      <c r="Z982" t="s">
        <v>38</v>
      </c>
      <c r="AB982" t="s">
        <v>921</v>
      </c>
      <c r="AC982" t="s">
        <v>1065</v>
      </c>
      <c r="AD982" t="s">
        <v>1066</v>
      </c>
    </row>
    <row r="983" spans="1:30" hidden="1" x14ac:dyDescent="0.25">
      <c r="A983">
        <v>467</v>
      </c>
      <c r="B983" t="s">
        <v>648</v>
      </c>
      <c r="C983">
        <v>25</v>
      </c>
      <c r="D983">
        <v>500</v>
      </c>
      <c r="E983">
        <v>550</v>
      </c>
      <c r="F983" t="s">
        <v>77</v>
      </c>
      <c r="G983" t="s">
        <v>746</v>
      </c>
      <c r="H983">
        <v>1</v>
      </c>
      <c r="I983">
        <v>52.99</v>
      </c>
      <c r="J983" t="s">
        <v>839</v>
      </c>
      <c r="K983" t="s">
        <v>812</v>
      </c>
      <c r="M983" t="s">
        <v>1085</v>
      </c>
      <c r="P983" t="s">
        <v>924</v>
      </c>
      <c r="Q983" t="s">
        <v>26</v>
      </c>
      <c r="S983" t="s">
        <v>81</v>
      </c>
      <c r="W983">
        <v>2</v>
      </c>
      <c r="X983" s="24">
        <v>46032</v>
      </c>
      <c r="Z983" t="s">
        <v>38</v>
      </c>
      <c r="AB983" t="s">
        <v>921</v>
      </c>
      <c r="AC983" t="s">
        <v>1065</v>
      </c>
      <c r="AD983" t="s">
        <v>1066</v>
      </c>
    </row>
    <row r="984" spans="1:30" hidden="1" x14ac:dyDescent="0.25">
      <c r="A984">
        <v>468</v>
      </c>
      <c r="B984" t="s">
        <v>638</v>
      </c>
      <c r="C984">
        <v>25</v>
      </c>
      <c r="D984">
        <v>501</v>
      </c>
      <c r="E984">
        <v>744</v>
      </c>
      <c r="F984" t="s">
        <v>77</v>
      </c>
      <c r="G984" t="s">
        <v>746</v>
      </c>
      <c r="H984">
        <v>4</v>
      </c>
      <c r="I984">
        <v>181.8</v>
      </c>
      <c r="J984" t="s">
        <v>839</v>
      </c>
      <c r="K984" t="s">
        <v>812</v>
      </c>
      <c r="M984" t="s">
        <v>1085</v>
      </c>
      <c r="O984" t="s">
        <v>228</v>
      </c>
      <c r="P984" t="s">
        <v>924</v>
      </c>
      <c r="Q984" t="s">
        <v>27</v>
      </c>
      <c r="S984" t="s">
        <v>81</v>
      </c>
      <c r="W984">
        <v>2</v>
      </c>
      <c r="X984" s="24">
        <v>46032</v>
      </c>
      <c r="Z984" t="s">
        <v>38</v>
      </c>
      <c r="AB984" t="s">
        <v>921</v>
      </c>
      <c r="AC984" t="s">
        <v>1065</v>
      </c>
      <c r="AD984" t="s">
        <v>1066</v>
      </c>
    </row>
    <row r="985" spans="1:30" hidden="1" x14ac:dyDescent="0.25">
      <c r="A985">
        <v>469</v>
      </c>
      <c r="B985" t="s">
        <v>636</v>
      </c>
      <c r="C985">
        <v>25</v>
      </c>
      <c r="D985">
        <v>500</v>
      </c>
      <c r="E985">
        <v>550</v>
      </c>
      <c r="F985" t="s">
        <v>77</v>
      </c>
      <c r="G985" t="s">
        <v>746</v>
      </c>
      <c r="H985">
        <v>2</v>
      </c>
      <c r="I985">
        <v>105.98</v>
      </c>
      <c r="J985" t="s">
        <v>839</v>
      </c>
      <c r="K985" t="s">
        <v>812</v>
      </c>
      <c r="M985" t="s">
        <v>1085</v>
      </c>
      <c r="P985" t="s">
        <v>924</v>
      </c>
      <c r="Q985" t="s">
        <v>26</v>
      </c>
      <c r="S985" t="s">
        <v>81</v>
      </c>
      <c r="W985">
        <v>2</v>
      </c>
      <c r="X985" s="24">
        <v>46032</v>
      </c>
      <c r="Z985" t="s">
        <v>38</v>
      </c>
      <c r="AB985" t="s">
        <v>921</v>
      </c>
      <c r="AC985" t="s">
        <v>1065</v>
      </c>
      <c r="AD985" t="s">
        <v>1066</v>
      </c>
    </row>
    <row r="986" spans="1:30" hidden="1" x14ac:dyDescent="0.25">
      <c r="A986">
        <v>470</v>
      </c>
      <c r="B986" t="s">
        <v>641</v>
      </c>
      <c r="C986">
        <v>25</v>
      </c>
      <c r="D986">
        <v>501</v>
      </c>
      <c r="E986">
        <v>744</v>
      </c>
      <c r="F986" t="s">
        <v>77</v>
      </c>
      <c r="G986" t="s">
        <v>746</v>
      </c>
      <c r="H986">
        <v>2</v>
      </c>
      <c r="I986">
        <v>90.9</v>
      </c>
      <c r="J986" t="s">
        <v>839</v>
      </c>
      <c r="K986" t="s">
        <v>812</v>
      </c>
      <c r="M986" t="s">
        <v>1085</v>
      </c>
      <c r="O986" t="s">
        <v>228</v>
      </c>
      <c r="P986" t="s">
        <v>924</v>
      </c>
      <c r="Q986" t="s">
        <v>27</v>
      </c>
      <c r="S986" t="s">
        <v>81</v>
      </c>
      <c r="W986">
        <v>2</v>
      </c>
      <c r="X986" s="24">
        <v>46032</v>
      </c>
      <c r="Z986" t="s">
        <v>38</v>
      </c>
      <c r="AB986" t="s">
        <v>921</v>
      </c>
      <c r="AC986" t="s">
        <v>1065</v>
      </c>
      <c r="AD986" t="s">
        <v>1066</v>
      </c>
    </row>
    <row r="987" spans="1:30" hidden="1" x14ac:dyDescent="0.25">
      <c r="A987">
        <v>471</v>
      </c>
      <c r="B987" t="s">
        <v>632</v>
      </c>
      <c r="C987">
        <v>25</v>
      </c>
      <c r="D987">
        <v>500</v>
      </c>
      <c r="E987">
        <v>550</v>
      </c>
      <c r="F987" t="s">
        <v>77</v>
      </c>
      <c r="G987" t="s">
        <v>746</v>
      </c>
      <c r="H987">
        <v>1</v>
      </c>
      <c r="I987">
        <v>52.99</v>
      </c>
      <c r="J987" t="s">
        <v>839</v>
      </c>
      <c r="K987" t="s">
        <v>812</v>
      </c>
      <c r="M987" t="s">
        <v>1085</v>
      </c>
      <c r="P987" t="s">
        <v>924</v>
      </c>
      <c r="Q987" t="s">
        <v>26</v>
      </c>
      <c r="S987" t="s">
        <v>81</v>
      </c>
      <c r="W987">
        <v>2</v>
      </c>
      <c r="X987" s="24">
        <v>46032</v>
      </c>
      <c r="Z987" t="s">
        <v>38</v>
      </c>
      <c r="AB987" t="s">
        <v>921</v>
      </c>
      <c r="AC987" t="s">
        <v>1065</v>
      </c>
      <c r="AD987" t="s">
        <v>1066</v>
      </c>
    </row>
    <row r="988" spans="1:30" hidden="1" x14ac:dyDescent="0.25">
      <c r="A988">
        <v>472</v>
      </c>
      <c r="B988" t="s">
        <v>627</v>
      </c>
      <c r="C988">
        <v>25</v>
      </c>
      <c r="D988">
        <v>501</v>
      </c>
      <c r="E988">
        <v>744</v>
      </c>
      <c r="F988" t="s">
        <v>77</v>
      </c>
      <c r="G988" t="s">
        <v>746</v>
      </c>
      <c r="H988">
        <v>4</v>
      </c>
      <c r="I988">
        <v>181.8</v>
      </c>
      <c r="J988" t="s">
        <v>839</v>
      </c>
      <c r="K988" t="s">
        <v>812</v>
      </c>
      <c r="M988" t="s">
        <v>1085</v>
      </c>
      <c r="O988" t="s">
        <v>228</v>
      </c>
      <c r="P988" t="s">
        <v>924</v>
      </c>
      <c r="Q988" t="s">
        <v>27</v>
      </c>
      <c r="S988" t="s">
        <v>81</v>
      </c>
      <c r="W988">
        <v>2</v>
      </c>
      <c r="X988" s="24">
        <v>46032</v>
      </c>
      <c r="Z988" t="s">
        <v>38</v>
      </c>
      <c r="AB988" t="s">
        <v>921</v>
      </c>
      <c r="AC988" t="s">
        <v>1065</v>
      </c>
      <c r="AD988" t="s">
        <v>1066</v>
      </c>
    </row>
    <row r="989" spans="1:30" hidden="1" x14ac:dyDescent="0.25">
      <c r="A989">
        <v>473</v>
      </c>
      <c r="B989" t="s">
        <v>663</v>
      </c>
      <c r="C989">
        <v>25</v>
      </c>
      <c r="D989">
        <v>250</v>
      </c>
      <c r="E989">
        <v>300</v>
      </c>
      <c r="F989" t="s">
        <v>77</v>
      </c>
      <c r="G989" t="s">
        <v>746</v>
      </c>
      <c r="H989">
        <v>4</v>
      </c>
      <c r="I989">
        <v>54.6</v>
      </c>
      <c r="J989" t="s">
        <v>839</v>
      </c>
      <c r="K989" t="s">
        <v>812</v>
      </c>
      <c r="M989" t="s">
        <v>1085</v>
      </c>
      <c r="O989" t="s">
        <v>228</v>
      </c>
      <c r="P989" t="s">
        <v>924</v>
      </c>
      <c r="Q989" t="s">
        <v>27</v>
      </c>
      <c r="R989" t="s">
        <v>81</v>
      </c>
      <c r="W989">
        <v>2</v>
      </c>
      <c r="X989" s="24">
        <v>46032</v>
      </c>
      <c r="Z989" t="s">
        <v>38</v>
      </c>
      <c r="AB989" t="s">
        <v>921</v>
      </c>
      <c r="AC989" t="s">
        <v>1070</v>
      </c>
      <c r="AD989" t="s">
        <v>39</v>
      </c>
    </row>
    <row r="990" spans="1:30" hidden="1" x14ac:dyDescent="0.25">
      <c r="A990">
        <v>474</v>
      </c>
      <c r="B990" t="s">
        <v>669</v>
      </c>
      <c r="C990">
        <v>25</v>
      </c>
      <c r="D990">
        <v>240</v>
      </c>
      <c r="E990">
        <v>300</v>
      </c>
      <c r="F990" t="s">
        <v>77</v>
      </c>
      <c r="G990" t="s">
        <v>746</v>
      </c>
      <c r="H990">
        <v>8</v>
      </c>
      <c r="I990">
        <v>109.96</v>
      </c>
      <c r="J990" t="s">
        <v>839</v>
      </c>
      <c r="K990" t="s">
        <v>812</v>
      </c>
      <c r="M990" t="s">
        <v>1085</v>
      </c>
      <c r="O990" t="s">
        <v>228</v>
      </c>
      <c r="P990" t="s">
        <v>924</v>
      </c>
      <c r="Q990" t="s">
        <v>27</v>
      </c>
      <c r="R990" t="s">
        <v>81</v>
      </c>
      <c r="W990">
        <v>2</v>
      </c>
      <c r="X990" s="24">
        <v>46032</v>
      </c>
      <c r="Z990" t="s">
        <v>38</v>
      </c>
      <c r="AB990" t="s">
        <v>921</v>
      </c>
      <c r="AC990" t="s">
        <v>1070</v>
      </c>
      <c r="AD990" t="s">
        <v>39</v>
      </c>
    </row>
    <row r="991" spans="1:30" hidden="1" x14ac:dyDescent="0.25">
      <c r="A991">
        <v>475</v>
      </c>
      <c r="B991" t="s">
        <v>667</v>
      </c>
      <c r="C991">
        <v>25</v>
      </c>
      <c r="D991">
        <v>240</v>
      </c>
      <c r="E991">
        <v>300</v>
      </c>
      <c r="F991" t="s">
        <v>77</v>
      </c>
      <c r="G991" t="s">
        <v>746</v>
      </c>
      <c r="H991">
        <v>5</v>
      </c>
      <c r="I991">
        <v>64.41</v>
      </c>
      <c r="J991" t="s">
        <v>839</v>
      </c>
      <c r="K991" t="s">
        <v>812</v>
      </c>
      <c r="M991" t="s">
        <v>1085</v>
      </c>
      <c r="O991" t="s">
        <v>228</v>
      </c>
      <c r="P991" t="s">
        <v>924</v>
      </c>
      <c r="Q991" t="s">
        <v>27</v>
      </c>
      <c r="R991" t="s">
        <v>81</v>
      </c>
      <c r="W991">
        <v>2</v>
      </c>
      <c r="X991" s="24">
        <v>46032</v>
      </c>
      <c r="Z991" t="s">
        <v>38</v>
      </c>
      <c r="AB991" t="s">
        <v>921</v>
      </c>
      <c r="AC991" t="s">
        <v>1070</v>
      </c>
      <c r="AD991" t="s">
        <v>39</v>
      </c>
    </row>
    <row r="992" spans="1:30" hidden="1" x14ac:dyDescent="0.25">
      <c r="A992">
        <v>476</v>
      </c>
      <c r="B992" t="s">
        <v>1068</v>
      </c>
      <c r="C992">
        <v>25</v>
      </c>
      <c r="D992">
        <v>120</v>
      </c>
      <c r="E992">
        <v>240</v>
      </c>
      <c r="F992" t="s">
        <v>77</v>
      </c>
      <c r="G992" t="s">
        <v>746</v>
      </c>
      <c r="H992">
        <v>2</v>
      </c>
      <c r="I992">
        <v>10.53</v>
      </c>
      <c r="J992" t="s">
        <v>839</v>
      </c>
      <c r="K992" t="s">
        <v>812</v>
      </c>
      <c r="M992" t="s">
        <v>1085</v>
      </c>
      <c r="O992" t="s">
        <v>228</v>
      </c>
      <c r="P992" t="s">
        <v>924</v>
      </c>
      <c r="Q992" t="s">
        <v>27</v>
      </c>
      <c r="R992" t="s">
        <v>81</v>
      </c>
      <c r="W992">
        <v>2</v>
      </c>
      <c r="X992" s="24">
        <v>46032</v>
      </c>
      <c r="Z992" t="s">
        <v>38</v>
      </c>
      <c r="AB992" t="s">
        <v>921</v>
      </c>
      <c r="AC992" t="s">
        <v>1070</v>
      </c>
      <c r="AD992" t="s">
        <v>39</v>
      </c>
    </row>
    <row r="993" spans="1:30" hidden="1" x14ac:dyDescent="0.25">
      <c r="A993">
        <v>477</v>
      </c>
      <c r="B993" t="s">
        <v>672</v>
      </c>
      <c r="C993">
        <v>25</v>
      </c>
      <c r="D993">
        <v>240</v>
      </c>
      <c r="E993">
        <v>300</v>
      </c>
      <c r="F993" t="s">
        <v>77</v>
      </c>
      <c r="G993" t="s">
        <v>746</v>
      </c>
      <c r="H993">
        <v>4</v>
      </c>
      <c r="I993">
        <v>54.98</v>
      </c>
      <c r="J993" t="s">
        <v>839</v>
      </c>
      <c r="K993" t="s">
        <v>812</v>
      </c>
      <c r="M993" t="s">
        <v>1085</v>
      </c>
      <c r="O993" t="s">
        <v>228</v>
      </c>
      <c r="P993" t="s">
        <v>924</v>
      </c>
      <c r="Q993" t="s">
        <v>27</v>
      </c>
      <c r="R993" t="s">
        <v>81</v>
      </c>
      <c r="W993">
        <v>2</v>
      </c>
      <c r="X993" s="24">
        <v>46032</v>
      </c>
      <c r="Z993" t="s">
        <v>38</v>
      </c>
      <c r="AB993" t="s">
        <v>921</v>
      </c>
      <c r="AC993" t="s">
        <v>1070</v>
      </c>
      <c r="AD993" t="s">
        <v>39</v>
      </c>
    </row>
    <row r="994" spans="1:30" hidden="1" x14ac:dyDescent="0.25">
      <c r="A994">
        <v>478</v>
      </c>
      <c r="B994" t="s">
        <v>670</v>
      </c>
      <c r="C994">
        <v>25</v>
      </c>
      <c r="D994">
        <v>240</v>
      </c>
      <c r="E994">
        <v>300</v>
      </c>
      <c r="F994" t="s">
        <v>77</v>
      </c>
      <c r="G994" t="s">
        <v>746</v>
      </c>
      <c r="H994">
        <v>4</v>
      </c>
      <c r="I994">
        <v>51.53</v>
      </c>
      <c r="J994" t="s">
        <v>839</v>
      </c>
      <c r="K994" t="s">
        <v>812</v>
      </c>
      <c r="M994" t="s">
        <v>1085</v>
      </c>
      <c r="O994" t="s">
        <v>228</v>
      </c>
      <c r="P994" t="s">
        <v>924</v>
      </c>
      <c r="Q994" t="s">
        <v>27</v>
      </c>
      <c r="R994" t="s">
        <v>81</v>
      </c>
      <c r="W994">
        <v>2</v>
      </c>
      <c r="X994" s="24">
        <v>46032</v>
      </c>
      <c r="Z994" t="s">
        <v>38</v>
      </c>
      <c r="AB994" t="s">
        <v>921</v>
      </c>
      <c r="AC994" t="s">
        <v>1070</v>
      </c>
      <c r="AD994" t="s">
        <v>39</v>
      </c>
    </row>
    <row r="995" spans="1:30" hidden="1" x14ac:dyDescent="0.25">
      <c r="A995">
        <v>479</v>
      </c>
      <c r="B995" t="s">
        <v>1072</v>
      </c>
      <c r="C995">
        <v>25</v>
      </c>
      <c r="D995">
        <v>120</v>
      </c>
      <c r="E995">
        <v>240</v>
      </c>
      <c r="F995" t="s">
        <v>77</v>
      </c>
      <c r="G995" t="s">
        <v>746</v>
      </c>
      <c r="H995">
        <v>4</v>
      </c>
      <c r="I995">
        <v>21.07</v>
      </c>
      <c r="J995" t="s">
        <v>839</v>
      </c>
      <c r="K995" t="s">
        <v>812</v>
      </c>
      <c r="M995" t="s">
        <v>1085</v>
      </c>
      <c r="O995" t="s">
        <v>228</v>
      </c>
      <c r="P995" t="s">
        <v>924</v>
      </c>
      <c r="Q995" t="s">
        <v>27</v>
      </c>
      <c r="R995" t="s">
        <v>81</v>
      </c>
      <c r="W995">
        <v>2</v>
      </c>
      <c r="X995" s="24">
        <v>46032</v>
      </c>
      <c r="Z995" t="s">
        <v>38</v>
      </c>
      <c r="AB995" t="s">
        <v>921</v>
      </c>
      <c r="AC995" t="s">
        <v>1070</v>
      </c>
      <c r="AD995" t="s">
        <v>39</v>
      </c>
    </row>
    <row r="996" spans="1:30" hidden="1" x14ac:dyDescent="0.25">
      <c r="A996">
        <v>480</v>
      </c>
      <c r="B996" t="s">
        <v>654</v>
      </c>
      <c r="C996">
        <v>25</v>
      </c>
      <c r="D996">
        <v>200</v>
      </c>
      <c r="E996">
        <v>200</v>
      </c>
      <c r="F996" t="s">
        <v>77</v>
      </c>
      <c r="G996" t="s">
        <v>746</v>
      </c>
      <c r="H996">
        <v>2</v>
      </c>
      <c r="I996">
        <v>15.7</v>
      </c>
      <c r="J996" t="s">
        <v>839</v>
      </c>
      <c r="K996" t="s">
        <v>812</v>
      </c>
      <c r="M996" t="s">
        <v>1085</v>
      </c>
      <c r="P996" t="s">
        <v>924</v>
      </c>
      <c r="Q996" t="s">
        <v>26</v>
      </c>
      <c r="R996" t="s">
        <v>81</v>
      </c>
      <c r="W996">
        <v>2</v>
      </c>
      <c r="X996" s="24">
        <v>46032</v>
      </c>
      <c r="Z996" t="s">
        <v>38</v>
      </c>
      <c r="AB996" t="s">
        <v>921</v>
      </c>
      <c r="AC996" t="s">
        <v>1070</v>
      </c>
      <c r="AD996" t="s">
        <v>39</v>
      </c>
    </row>
    <row r="997" spans="1:30" hidden="1" x14ac:dyDescent="0.25">
      <c r="A997">
        <v>481</v>
      </c>
      <c r="B997" t="s">
        <v>656</v>
      </c>
      <c r="C997">
        <v>25</v>
      </c>
      <c r="D997">
        <v>443</v>
      </c>
      <c r="E997">
        <v>500</v>
      </c>
      <c r="F997" t="s">
        <v>77</v>
      </c>
      <c r="G997" t="s">
        <v>746</v>
      </c>
      <c r="H997">
        <v>2</v>
      </c>
      <c r="I997">
        <v>86.94</v>
      </c>
      <c r="J997" t="s">
        <v>839</v>
      </c>
      <c r="K997" t="s">
        <v>812</v>
      </c>
      <c r="M997" t="s">
        <v>1085</v>
      </c>
      <c r="P997" t="s">
        <v>924</v>
      </c>
      <c r="Q997" t="s">
        <v>26</v>
      </c>
      <c r="R997" t="s">
        <v>81</v>
      </c>
      <c r="W997">
        <v>2</v>
      </c>
      <c r="X997" s="24">
        <v>46032</v>
      </c>
      <c r="Z997" t="s">
        <v>38</v>
      </c>
      <c r="AB997" t="s">
        <v>921</v>
      </c>
      <c r="AC997" t="s">
        <v>1070</v>
      </c>
      <c r="AD997" t="s">
        <v>39</v>
      </c>
    </row>
    <row r="998" spans="1:30" hidden="1" x14ac:dyDescent="0.25">
      <c r="A998">
        <v>482</v>
      </c>
      <c r="B998" t="s">
        <v>655</v>
      </c>
      <c r="C998">
        <v>25</v>
      </c>
      <c r="D998">
        <v>200</v>
      </c>
      <c r="E998">
        <v>200</v>
      </c>
      <c r="F998" t="s">
        <v>77</v>
      </c>
      <c r="G998" t="s">
        <v>746</v>
      </c>
      <c r="H998">
        <v>2</v>
      </c>
      <c r="I998">
        <v>15.7</v>
      </c>
      <c r="J998" t="s">
        <v>839</v>
      </c>
      <c r="K998" t="s">
        <v>812</v>
      </c>
      <c r="M998" t="s">
        <v>1085</v>
      </c>
      <c r="P998" t="s">
        <v>924</v>
      </c>
      <c r="Q998" t="s">
        <v>26</v>
      </c>
      <c r="R998" t="s">
        <v>81</v>
      </c>
      <c r="W998">
        <v>2</v>
      </c>
      <c r="X998" s="24">
        <v>46032</v>
      </c>
      <c r="Z998" t="s">
        <v>38</v>
      </c>
      <c r="AB998" t="s">
        <v>921</v>
      </c>
      <c r="AC998" t="s">
        <v>1070</v>
      </c>
      <c r="AD998" t="s">
        <v>39</v>
      </c>
    </row>
    <row r="999" spans="1:30" hidden="1" x14ac:dyDescent="0.25">
      <c r="A999">
        <v>483</v>
      </c>
      <c r="B999" t="s">
        <v>671</v>
      </c>
      <c r="C999">
        <v>25</v>
      </c>
      <c r="D999">
        <v>200</v>
      </c>
      <c r="E999">
        <v>200</v>
      </c>
      <c r="F999" t="s">
        <v>77</v>
      </c>
      <c r="G999" t="s">
        <v>746</v>
      </c>
      <c r="H999">
        <v>2</v>
      </c>
      <c r="I999">
        <v>15.7</v>
      </c>
      <c r="J999" t="s">
        <v>839</v>
      </c>
      <c r="K999" t="s">
        <v>812</v>
      </c>
      <c r="M999" t="s">
        <v>1085</v>
      </c>
      <c r="P999" t="s">
        <v>924</v>
      </c>
      <c r="Q999" t="s">
        <v>26</v>
      </c>
      <c r="R999" t="s">
        <v>81</v>
      </c>
      <c r="W999">
        <v>2</v>
      </c>
      <c r="X999" s="24">
        <v>46032</v>
      </c>
      <c r="Z999" t="s">
        <v>38</v>
      </c>
      <c r="AB999" t="s">
        <v>921</v>
      </c>
      <c r="AC999" t="s">
        <v>1070</v>
      </c>
      <c r="AD999" t="s">
        <v>39</v>
      </c>
    </row>
    <row r="1000" spans="1:30" hidden="1" x14ac:dyDescent="0.25">
      <c r="A1000">
        <v>484</v>
      </c>
      <c r="B1000" t="s">
        <v>658</v>
      </c>
      <c r="C1000">
        <v>25</v>
      </c>
      <c r="D1000">
        <v>443</v>
      </c>
      <c r="E1000">
        <v>500</v>
      </c>
      <c r="F1000" t="s">
        <v>77</v>
      </c>
      <c r="G1000" t="s">
        <v>746</v>
      </c>
      <c r="H1000">
        <v>2</v>
      </c>
      <c r="I1000">
        <v>86.94</v>
      </c>
      <c r="J1000" t="s">
        <v>839</v>
      </c>
      <c r="K1000" t="s">
        <v>812</v>
      </c>
      <c r="M1000" t="s">
        <v>1085</v>
      </c>
      <c r="P1000" t="s">
        <v>924</v>
      </c>
      <c r="Q1000" t="s">
        <v>26</v>
      </c>
      <c r="R1000" t="s">
        <v>81</v>
      </c>
      <c r="W1000">
        <v>2</v>
      </c>
      <c r="X1000" s="24">
        <v>46032</v>
      </c>
      <c r="Z1000" t="s">
        <v>38</v>
      </c>
      <c r="AB1000" t="s">
        <v>921</v>
      </c>
      <c r="AC1000" t="s">
        <v>1070</v>
      </c>
      <c r="AD1000" t="s">
        <v>39</v>
      </c>
    </row>
    <row r="1001" spans="1:30" hidden="1" x14ac:dyDescent="0.25">
      <c r="A1001">
        <v>485</v>
      </c>
      <c r="B1001" t="s">
        <v>665</v>
      </c>
      <c r="C1001">
        <v>25</v>
      </c>
      <c r="D1001">
        <v>375</v>
      </c>
      <c r="E1001">
        <v>500</v>
      </c>
      <c r="F1001" t="s">
        <v>77</v>
      </c>
      <c r="G1001" t="s">
        <v>746</v>
      </c>
      <c r="H1001">
        <v>1</v>
      </c>
      <c r="I1001">
        <v>35.82</v>
      </c>
      <c r="J1001" t="s">
        <v>839</v>
      </c>
      <c r="K1001" t="s">
        <v>812</v>
      </c>
      <c r="M1001" t="s">
        <v>1085</v>
      </c>
      <c r="P1001" t="s">
        <v>924</v>
      </c>
      <c r="Q1001" t="s">
        <v>26</v>
      </c>
      <c r="R1001" t="s">
        <v>81</v>
      </c>
      <c r="W1001">
        <v>2</v>
      </c>
      <c r="X1001" s="24">
        <v>46032</v>
      </c>
      <c r="Z1001" t="s">
        <v>38</v>
      </c>
      <c r="AB1001" t="s">
        <v>921</v>
      </c>
      <c r="AC1001" t="s">
        <v>1070</v>
      </c>
      <c r="AD1001" t="s">
        <v>39</v>
      </c>
    </row>
    <row r="1002" spans="1:30" hidden="1" x14ac:dyDescent="0.25">
      <c r="A1002">
        <v>486</v>
      </c>
      <c r="B1002" t="s">
        <v>662</v>
      </c>
      <c r="C1002">
        <v>25</v>
      </c>
      <c r="D1002">
        <v>375</v>
      </c>
      <c r="E1002">
        <v>500</v>
      </c>
      <c r="F1002" t="s">
        <v>77</v>
      </c>
      <c r="G1002" t="s">
        <v>746</v>
      </c>
      <c r="H1002">
        <v>2</v>
      </c>
      <c r="I1002">
        <v>71.63</v>
      </c>
      <c r="J1002" t="s">
        <v>839</v>
      </c>
      <c r="K1002" t="s">
        <v>812</v>
      </c>
      <c r="M1002" t="s">
        <v>1085</v>
      </c>
      <c r="P1002" t="s">
        <v>924</v>
      </c>
      <c r="Q1002" t="s">
        <v>26</v>
      </c>
      <c r="R1002" t="s">
        <v>81</v>
      </c>
      <c r="W1002">
        <v>2</v>
      </c>
      <c r="X1002" s="24">
        <v>46032</v>
      </c>
      <c r="Z1002" t="s">
        <v>38</v>
      </c>
      <c r="AB1002" t="s">
        <v>921</v>
      </c>
      <c r="AC1002" t="s">
        <v>1070</v>
      </c>
      <c r="AD1002" t="s">
        <v>39</v>
      </c>
    </row>
    <row r="1003" spans="1:30" hidden="1" x14ac:dyDescent="0.25">
      <c r="A1003">
        <v>487</v>
      </c>
      <c r="B1003" t="s">
        <v>661</v>
      </c>
      <c r="C1003">
        <v>25</v>
      </c>
      <c r="D1003">
        <v>375</v>
      </c>
      <c r="E1003">
        <v>500</v>
      </c>
      <c r="F1003" t="s">
        <v>77</v>
      </c>
      <c r="G1003" t="s">
        <v>746</v>
      </c>
      <c r="H1003">
        <v>1</v>
      </c>
      <c r="I1003">
        <v>35.82</v>
      </c>
      <c r="J1003" t="s">
        <v>839</v>
      </c>
      <c r="K1003" t="s">
        <v>812</v>
      </c>
      <c r="M1003" t="s">
        <v>1085</v>
      </c>
      <c r="P1003" t="s">
        <v>924</v>
      </c>
      <c r="Q1003" t="s">
        <v>26</v>
      </c>
      <c r="R1003" t="s">
        <v>81</v>
      </c>
      <c r="W1003">
        <v>2</v>
      </c>
      <c r="X1003" s="24">
        <v>46032</v>
      </c>
      <c r="Z1003" t="s">
        <v>38</v>
      </c>
      <c r="AB1003" t="s">
        <v>921</v>
      </c>
      <c r="AC1003" t="s">
        <v>1070</v>
      </c>
      <c r="AD1003" t="s">
        <v>39</v>
      </c>
    </row>
    <row r="1004" spans="1:30" hidden="1" x14ac:dyDescent="0.25">
      <c r="A1004">
        <v>488</v>
      </c>
      <c r="B1004" t="s">
        <v>666</v>
      </c>
      <c r="C1004">
        <v>25</v>
      </c>
      <c r="D1004">
        <v>250</v>
      </c>
      <c r="E1004">
        <v>300</v>
      </c>
      <c r="F1004" t="s">
        <v>77</v>
      </c>
      <c r="G1004" t="s">
        <v>746</v>
      </c>
      <c r="H1004">
        <v>8</v>
      </c>
      <c r="I1004">
        <v>105.25</v>
      </c>
      <c r="J1004" t="s">
        <v>839</v>
      </c>
      <c r="K1004" t="s">
        <v>812</v>
      </c>
      <c r="M1004" t="s">
        <v>1085</v>
      </c>
      <c r="O1004" t="s">
        <v>228</v>
      </c>
      <c r="P1004" t="s">
        <v>924</v>
      </c>
      <c r="Q1004" t="s">
        <v>27</v>
      </c>
      <c r="R1004" t="s">
        <v>81</v>
      </c>
      <c r="W1004">
        <v>2</v>
      </c>
      <c r="X1004" s="24">
        <v>46032</v>
      </c>
      <c r="Z1004" t="s">
        <v>38</v>
      </c>
      <c r="AB1004" t="s">
        <v>921</v>
      </c>
      <c r="AC1004" t="s">
        <v>1070</v>
      </c>
      <c r="AD1004" t="s">
        <v>39</v>
      </c>
    </row>
    <row r="1005" spans="1:30" hidden="1" x14ac:dyDescent="0.25">
      <c r="A1005">
        <v>489</v>
      </c>
      <c r="B1005" t="s">
        <v>659</v>
      </c>
      <c r="C1005">
        <v>25</v>
      </c>
      <c r="D1005">
        <v>375</v>
      </c>
      <c r="E1005">
        <v>500</v>
      </c>
      <c r="F1005" t="s">
        <v>77</v>
      </c>
      <c r="G1005" t="s">
        <v>746</v>
      </c>
      <c r="H1005">
        <v>2</v>
      </c>
      <c r="I1005">
        <v>71.63</v>
      </c>
      <c r="J1005" t="s">
        <v>839</v>
      </c>
      <c r="K1005" t="s">
        <v>812</v>
      </c>
      <c r="M1005" t="s">
        <v>1085</v>
      </c>
      <c r="P1005" t="s">
        <v>924</v>
      </c>
      <c r="Q1005" t="s">
        <v>26</v>
      </c>
      <c r="R1005" t="s">
        <v>81</v>
      </c>
      <c r="W1005">
        <v>2</v>
      </c>
      <c r="X1005" s="24">
        <v>46032</v>
      </c>
      <c r="Z1005" t="s">
        <v>38</v>
      </c>
      <c r="AB1005" t="s">
        <v>921</v>
      </c>
      <c r="AC1005" t="s">
        <v>1070</v>
      </c>
      <c r="AD1005" t="s">
        <v>39</v>
      </c>
    </row>
    <row r="1006" spans="1:30" hidden="1" x14ac:dyDescent="0.25">
      <c r="A1006">
        <v>490</v>
      </c>
      <c r="B1006" t="s">
        <v>673</v>
      </c>
      <c r="C1006">
        <v>30</v>
      </c>
      <c r="D1006">
        <v>390</v>
      </c>
      <c r="E1006">
        <v>670</v>
      </c>
      <c r="F1006" t="s">
        <v>77</v>
      </c>
      <c r="G1006" t="s">
        <v>746</v>
      </c>
      <c r="H1006">
        <v>2</v>
      </c>
      <c r="I1006">
        <v>111.3</v>
      </c>
      <c r="J1006" t="s">
        <v>839</v>
      </c>
      <c r="K1006" t="s">
        <v>812</v>
      </c>
      <c r="M1006" t="s">
        <v>1085</v>
      </c>
      <c r="O1006" t="s">
        <v>228</v>
      </c>
      <c r="P1006" t="s">
        <v>924</v>
      </c>
      <c r="Q1006" t="s">
        <v>27</v>
      </c>
      <c r="S1006" t="s">
        <v>81</v>
      </c>
      <c r="W1006">
        <v>2</v>
      </c>
      <c r="X1006" s="24">
        <v>46032</v>
      </c>
      <c r="Z1006" t="s">
        <v>38</v>
      </c>
      <c r="AB1006" t="s">
        <v>921</v>
      </c>
      <c r="AC1006" t="s">
        <v>1074</v>
      </c>
      <c r="AD1006" t="s">
        <v>1075</v>
      </c>
    </row>
    <row r="1007" spans="1:30" hidden="1" x14ac:dyDescent="0.25">
      <c r="A1007">
        <v>491</v>
      </c>
      <c r="B1007" t="s">
        <v>678</v>
      </c>
      <c r="C1007">
        <v>30</v>
      </c>
      <c r="D1007">
        <v>290</v>
      </c>
      <c r="E1007">
        <v>670</v>
      </c>
      <c r="F1007" t="s">
        <v>77</v>
      </c>
      <c r="G1007" t="s">
        <v>746</v>
      </c>
      <c r="H1007">
        <v>4</v>
      </c>
      <c r="I1007">
        <v>167.26</v>
      </c>
      <c r="J1007" t="s">
        <v>839</v>
      </c>
      <c r="K1007" t="s">
        <v>812</v>
      </c>
      <c r="M1007" t="s">
        <v>1085</v>
      </c>
      <c r="O1007" t="s">
        <v>228</v>
      </c>
      <c r="P1007" t="s">
        <v>924</v>
      </c>
      <c r="Q1007" t="s">
        <v>27</v>
      </c>
      <c r="S1007" t="s">
        <v>81</v>
      </c>
      <c r="W1007">
        <v>2</v>
      </c>
      <c r="X1007" s="24">
        <v>46032</v>
      </c>
      <c r="Z1007" t="s">
        <v>38</v>
      </c>
      <c r="AB1007" t="s">
        <v>921</v>
      </c>
      <c r="AC1007" t="s">
        <v>1074</v>
      </c>
      <c r="AD1007" t="s">
        <v>1075</v>
      </c>
    </row>
    <row r="1008" spans="1:30" hidden="1" x14ac:dyDescent="0.25">
      <c r="A1008">
        <v>492</v>
      </c>
      <c r="B1008" t="s">
        <v>680</v>
      </c>
      <c r="C1008">
        <v>30</v>
      </c>
      <c r="D1008">
        <v>390</v>
      </c>
      <c r="E1008">
        <v>670</v>
      </c>
      <c r="F1008" t="s">
        <v>77</v>
      </c>
      <c r="G1008" t="s">
        <v>746</v>
      </c>
      <c r="H1008">
        <v>2</v>
      </c>
      <c r="I1008">
        <v>111.3</v>
      </c>
      <c r="J1008" t="s">
        <v>839</v>
      </c>
      <c r="K1008" t="s">
        <v>812</v>
      </c>
      <c r="M1008" t="s">
        <v>1085</v>
      </c>
      <c r="O1008" t="s">
        <v>228</v>
      </c>
      <c r="P1008" t="s">
        <v>924</v>
      </c>
      <c r="Q1008" t="s">
        <v>27</v>
      </c>
      <c r="S1008" t="s">
        <v>81</v>
      </c>
      <c r="W1008">
        <v>2</v>
      </c>
      <c r="X1008" s="24">
        <v>46032</v>
      </c>
      <c r="Z1008" t="s">
        <v>38</v>
      </c>
      <c r="AB1008" t="s">
        <v>921</v>
      </c>
      <c r="AC1008" t="s">
        <v>1074</v>
      </c>
      <c r="AD1008" t="s">
        <v>1075</v>
      </c>
    </row>
    <row r="1009" spans="1:30" hidden="1" x14ac:dyDescent="0.25">
      <c r="A1009">
        <v>493</v>
      </c>
      <c r="B1009" t="s">
        <v>681</v>
      </c>
      <c r="C1009">
        <v>30</v>
      </c>
      <c r="D1009">
        <v>290</v>
      </c>
      <c r="E1009">
        <v>670</v>
      </c>
      <c r="F1009" t="s">
        <v>77</v>
      </c>
      <c r="G1009" t="s">
        <v>746</v>
      </c>
      <c r="H1009">
        <v>4</v>
      </c>
      <c r="I1009">
        <v>167.26</v>
      </c>
      <c r="J1009" t="s">
        <v>839</v>
      </c>
      <c r="K1009" t="s">
        <v>812</v>
      </c>
      <c r="M1009" t="s">
        <v>1085</v>
      </c>
      <c r="O1009" t="s">
        <v>228</v>
      </c>
      <c r="P1009" t="s">
        <v>924</v>
      </c>
      <c r="Q1009" t="s">
        <v>27</v>
      </c>
      <c r="S1009" t="s">
        <v>81</v>
      </c>
      <c r="W1009">
        <v>2</v>
      </c>
      <c r="X1009" s="24">
        <v>46032</v>
      </c>
      <c r="Z1009" t="s">
        <v>38</v>
      </c>
      <c r="AB1009" t="s">
        <v>921</v>
      </c>
      <c r="AC1009" t="s">
        <v>1074</v>
      </c>
      <c r="AD1009" t="s">
        <v>1075</v>
      </c>
    </row>
    <row r="1010" spans="1:30" hidden="1" x14ac:dyDescent="0.25">
      <c r="A1010">
        <v>494</v>
      </c>
      <c r="B1010" t="s">
        <v>682</v>
      </c>
      <c r="C1010">
        <v>30</v>
      </c>
      <c r="D1010">
        <v>390</v>
      </c>
      <c r="E1010">
        <v>670</v>
      </c>
      <c r="F1010" t="s">
        <v>77</v>
      </c>
      <c r="G1010" t="s">
        <v>746</v>
      </c>
      <c r="H1010">
        <v>2</v>
      </c>
      <c r="I1010">
        <v>111.3</v>
      </c>
      <c r="J1010" t="s">
        <v>839</v>
      </c>
      <c r="K1010" t="s">
        <v>812</v>
      </c>
      <c r="M1010" t="s">
        <v>1085</v>
      </c>
      <c r="O1010" t="s">
        <v>228</v>
      </c>
      <c r="P1010" t="s">
        <v>924</v>
      </c>
      <c r="Q1010" t="s">
        <v>27</v>
      </c>
      <c r="S1010" t="s">
        <v>81</v>
      </c>
      <c r="W1010">
        <v>2</v>
      </c>
      <c r="X1010" s="24">
        <v>46032</v>
      </c>
      <c r="Z1010" t="s">
        <v>38</v>
      </c>
      <c r="AB1010" t="s">
        <v>921</v>
      </c>
      <c r="AC1010" t="s">
        <v>1074</v>
      </c>
      <c r="AD1010" t="s">
        <v>1075</v>
      </c>
    </row>
    <row r="1011" spans="1:30" hidden="1" x14ac:dyDescent="0.25">
      <c r="A1011">
        <v>495</v>
      </c>
      <c r="B1011" t="s">
        <v>683</v>
      </c>
      <c r="C1011">
        <v>30</v>
      </c>
      <c r="D1011">
        <v>290</v>
      </c>
      <c r="E1011">
        <v>670</v>
      </c>
      <c r="F1011" t="s">
        <v>77</v>
      </c>
      <c r="G1011" t="s">
        <v>746</v>
      </c>
      <c r="H1011">
        <v>4</v>
      </c>
      <c r="I1011">
        <v>167.26</v>
      </c>
      <c r="J1011" t="s">
        <v>839</v>
      </c>
      <c r="K1011" t="s">
        <v>812</v>
      </c>
      <c r="M1011" t="s">
        <v>1085</v>
      </c>
      <c r="O1011" t="s">
        <v>228</v>
      </c>
      <c r="P1011" t="s">
        <v>924</v>
      </c>
      <c r="Q1011" t="s">
        <v>27</v>
      </c>
      <c r="S1011" t="s">
        <v>81</v>
      </c>
      <c r="W1011">
        <v>2</v>
      </c>
      <c r="X1011" s="24">
        <v>46032</v>
      </c>
      <c r="Z1011" t="s">
        <v>38</v>
      </c>
      <c r="AB1011" t="s">
        <v>921</v>
      </c>
      <c r="AC1011" t="s">
        <v>1074</v>
      </c>
      <c r="AD1011" t="s">
        <v>1075</v>
      </c>
    </row>
    <row r="1012" spans="1:30" hidden="1" x14ac:dyDescent="0.25">
      <c r="A1012">
        <v>496</v>
      </c>
      <c r="B1012" t="s">
        <v>684</v>
      </c>
      <c r="C1012">
        <v>30</v>
      </c>
      <c r="D1012">
        <v>390</v>
      </c>
      <c r="E1012">
        <v>670</v>
      </c>
      <c r="F1012" t="s">
        <v>77</v>
      </c>
      <c r="G1012" t="s">
        <v>746</v>
      </c>
      <c r="H1012">
        <v>2</v>
      </c>
      <c r="I1012">
        <v>111.3</v>
      </c>
      <c r="J1012" t="s">
        <v>839</v>
      </c>
      <c r="K1012" t="s">
        <v>812</v>
      </c>
      <c r="M1012" t="s">
        <v>1085</v>
      </c>
      <c r="O1012" t="s">
        <v>228</v>
      </c>
      <c r="P1012" t="s">
        <v>924</v>
      </c>
      <c r="Q1012" t="s">
        <v>27</v>
      </c>
      <c r="S1012" t="s">
        <v>81</v>
      </c>
      <c r="W1012">
        <v>2</v>
      </c>
      <c r="X1012" s="24">
        <v>46032</v>
      </c>
      <c r="Z1012" t="s">
        <v>38</v>
      </c>
      <c r="AB1012" t="s">
        <v>921</v>
      </c>
      <c r="AC1012" t="s">
        <v>1074</v>
      </c>
      <c r="AD1012" t="s">
        <v>1075</v>
      </c>
    </row>
    <row r="1013" spans="1:30" hidden="1" x14ac:dyDescent="0.25">
      <c r="A1013">
        <v>497</v>
      </c>
      <c r="B1013" t="s">
        <v>685</v>
      </c>
      <c r="C1013">
        <v>30</v>
      </c>
      <c r="D1013">
        <v>290</v>
      </c>
      <c r="E1013">
        <v>670</v>
      </c>
      <c r="F1013" t="s">
        <v>77</v>
      </c>
      <c r="G1013" t="s">
        <v>746</v>
      </c>
      <c r="H1013">
        <v>4</v>
      </c>
      <c r="I1013">
        <v>167.26</v>
      </c>
      <c r="J1013" t="s">
        <v>839</v>
      </c>
      <c r="K1013" t="s">
        <v>812</v>
      </c>
      <c r="M1013" t="s">
        <v>1085</v>
      </c>
      <c r="O1013" t="s">
        <v>228</v>
      </c>
      <c r="P1013" t="s">
        <v>924</v>
      </c>
      <c r="Q1013" t="s">
        <v>27</v>
      </c>
      <c r="S1013" t="s">
        <v>81</v>
      </c>
      <c r="W1013">
        <v>2</v>
      </c>
      <c r="X1013" s="24">
        <v>46032</v>
      </c>
      <c r="Z1013" t="s">
        <v>38</v>
      </c>
      <c r="AB1013" t="s">
        <v>921</v>
      </c>
      <c r="AC1013" t="s">
        <v>1074</v>
      </c>
      <c r="AD1013" t="s">
        <v>1075</v>
      </c>
    </row>
    <row r="1014" spans="1:30" hidden="1" x14ac:dyDescent="0.25">
      <c r="A1014">
        <v>498</v>
      </c>
      <c r="B1014" t="s">
        <v>688</v>
      </c>
      <c r="C1014">
        <v>30</v>
      </c>
      <c r="D1014">
        <v>260</v>
      </c>
      <c r="E1014">
        <v>400</v>
      </c>
      <c r="F1014" t="s">
        <v>77</v>
      </c>
      <c r="G1014" t="s">
        <v>746</v>
      </c>
      <c r="H1014">
        <v>2</v>
      </c>
      <c r="I1014">
        <v>32.659999999999997</v>
      </c>
      <c r="J1014" t="s">
        <v>839</v>
      </c>
      <c r="K1014" t="s">
        <v>812</v>
      </c>
      <c r="M1014" t="s">
        <v>1085</v>
      </c>
      <c r="O1014" t="s">
        <v>228</v>
      </c>
      <c r="P1014" t="s">
        <v>924</v>
      </c>
      <c r="Q1014" t="s">
        <v>27</v>
      </c>
      <c r="S1014" t="s">
        <v>81</v>
      </c>
      <c r="W1014">
        <v>2</v>
      </c>
      <c r="X1014" s="24">
        <v>46032</v>
      </c>
      <c r="Z1014" t="s">
        <v>38</v>
      </c>
      <c r="AB1014" t="s">
        <v>921</v>
      </c>
      <c r="AC1014" t="s">
        <v>1074</v>
      </c>
      <c r="AD1014" t="s">
        <v>1075</v>
      </c>
    </row>
    <row r="1015" spans="1:30" hidden="1" x14ac:dyDescent="0.25">
      <c r="A1015">
        <v>499</v>
      </c>
      <c r="B1015" t="s">
        <v>690</v>
      </c>
      <c r="C1015">
        <v>30</v>
      </c>
      <c r="D1015">
        <v>69</v>
      </c>
      <c r="E1015">
        <v>100</v>
      </c>
      <c r="F1015" t="s">
        <v>77</v>
      </c>
      <c r="G1015" t="s">
        <v>746</v>
      </c>
      <c r="H1015">
        <v>2</v>
      </c>
      <c r="I1015">
        <v>3.25</v>
      </c>
      <c r="J1015" t="s">
        <v>839</v>
      </c>
      <c r="K1015" t="s">
        <v>812</v>
      </c>
      <c r="M1015" t="s">
        <v>1085</v>
      </c>
      <c r="P1015" t="s">
        <v>924</v>
      </c>
      <c r="Q1015" t="s">
        <v>26</v>
      </c>
      <c r="S1015" t="s">
        <v>81</v>
      </c>
      <c r="W1015">
        <v>2</v>
      </c>
      <c r="X1015" s="24">
        <v>46032</v>
      </c>
      <c r="Z1015" t="s">
        <v>38</v>
      </c>
      <c r="AB1015" t="s">
        <v>921</v>
      </c>
      <c r="AC1015" t="s">
        <v>1074</v>
      </c>
      <c r="AD1015" t="s">
        <v>1075</v>
      </c>
    </row>
    <row r="1016" spans="1:30" hidden="1" x14ac:dyDescent="0.25">
      <c r="A1016">
        <v>500</v>
      </c>
      <c r="B1016" t="s">
        <v>693</v>
      </c>
      <c r="C1016">
        <v>30</v>
      </c>
      <c r="D1016">
        <v>69</v>
      </c>
      <c r="E1016">
        <v>100</v>
      </c>
      <c r="F1016" t="s">
        <v>77</v>
      </c>
      <c r="G1016" t="s">
        <v>746</v>
      </c>
      <c r="H1016">
        <v>4</v>
      </c>
      <c r="I1016">
        <v>6.5</v>
      </c>
      <c r="J1016" t="s">
        <v>839</v>
      </c>
      <c r="K1016" t="s">
        <v>812</v>
      </c>
      <c r="M1016" t="s">
        <v>1085</v>
      </c>
      <c r="P1016" t="s">
        <v>924</v>
      </c>
      <c r="Q1016" t="s">
        <v>26</v>
      </c>
      <c r="S1016" t="s">
        <v>81</v>
      </c>
      <c r="W1016">
        <v>2</v>
      </c>
      <c r="X1016" s="24">
        <v>46032</v>
      </c>
      <c r="Z1016" t="s">
        <v>38</v>
      </c>
      <c r="AB1016" t="s">
        <v>921</v>
      </c>
      <c r="AC1016" t="s">
        <v>1074</v>
      </c>
      <c r="AD1016" t="s">
        <v>1075</v>
      </c>
    </row>
    <row r="1017" spans="1:30" hidden="1" x14ac:dyDescent="0.25">
      <c r="A1017">
        <v>501</v>
      </c>
      <c r="B1017" t="s">
        <v>695</v>
      </c>
      <c r="C1017">
        <v>30</v>
      </c>
      <c r="D1017">
        <v>260</v>
      </c>
      <c r="E1017">
        <v>400</v>
      </c>
      <c r="F1017" t="s">
        <v>77</v>
      </c>
      <c r="G1017" t="s">
        <v>746</v>
      </c>
      <c r="H1017">
        <v>2</v>
      </c>
      <c r="I1017">
        <v>32.659999999999997</v>
      </c>
      <c r="J1017" t="s">
        <v>839</v>
      </c>
      <c r="K1017" t="s">
        <v>812</v>
      </c>
      <c r="M1017" t="s">
        <v>1085</v>
      </c>
      <c r="O1017" t="s">
        <v>228</v>
      </c>
      <c r="P1017" t="s">
        <v>924</v>
      </c>
      <c r="Q1017" t="s">
        <v>27</v>
      </c>
      <c r="S1017" t="s">
        <v>81</v>
      </c>
      <c r="W1017">
        <v>2</v>
      </c>
      <c r="X1017" s="24">
        <v>46032</v>
      </c>
      <c r="Z1017" t="s">
        <v>38</v>
      </c>
      <c r="AB1017" t="s">
        <v>921</v>
      </c>
      <c r="AC1017" t="s">
        <v>1074</v>
      </c>
      <c r="AD1017" t="s">
        <v>1075</v>
      </c>
    </row>
    <row r="1018" spans="1:30" hidden="1" x14ac:dyDescent="0.25">
      <c r="A1018">
        <v>502</v>
      </c>
      <c r="B1018" t="s">
        <v>696</v>
      </c>
      <c r="C1018">
        <v>30</v>
      </c>
      <c r="D1018">
        <v>69</v>
      </c>
      <c r="E1018">
        <v>100</v>
      </c>
      <c r="F1018" t="s">
        <v>77</v>
      </c>
      <c r="G1018" t="s">
        <v>746</v>
      </c>
      <c r="H1018">
        <v>2</v>
      </c>
      <c r="I1018">
        <v>3.25</v>
      </c>
      <c r="J1018" t="s">
        <v>839</v>
      </c>
      <c r="K1018" t="s">
        <v>812</v>
      </c>
      <c r="M1018" t="s">
        <v>1085</v>
      </c>
      <c r="P1018" t="s">
        <v>924</v>
      </c>
      <c r="Q1018" t="s">
        <v>26</v>
      </c>
      <c r="S1018" t="s">
        <v>81</v>
      </c>
      <c r="W1018">
        <v>2</v>
      </c>
      <c r="X1018" s="24">
        <v>46032</v>
      </c>
      <c r="Z1018" t="s">
        <v>38</v>
      </c>
      <c r="AB1018" t="s">
        <v>921</v>
      </c>
      <c r="AC1018" t="s">
        <v>1074</v>
      </c>
      <c r="AD1018" t="s">
        <v>1075</v>
      </c>
    </row>
    <row r="1019" spans="1:30" hidden="1" x14ac:dyDescent="0.25">
      <c r="A1019">
        <v>503</v>
      </c>
      <c r="B1019" t="s">
        <v>697</v>
      </c>
      <c r="C1019">
        <v>30</v>
      </c>
      <c r="D1019">
        <v>275</v>
      </c>
      <c r="E1019">
        <v>300</v>
      </c>
      <c r="F1019" t="s">
        <v>77</v>
      </c>
      <c r="G1019" t="s">
        <v>746</v>
      </c>
      <c r="H1019">
        <v>4</v>
      </c>
      <c r="I1019">
        <v>56.03</v>
      </c>
      <c r="J1019" t="s">
        <v>839</v>
      </c>
      <c r="K1019" t="s">
        <v>812</v>
      </c>
      <c r="M1019" t="s">
        <v>1085</v>
      </c>
      <c r="O1019" t="s">
        <v>228</v>
      </c>
      <c r="P1019" t="s">
        <v>924</v>
      </c>
      <c r="Q1019" t="s">
        <v>27</v>
      </c>
      <c r="S1019" t="s">
        <v>81</v>
      </c>
      <c r="W1019">
        <v>2</v>
      </c>
      <c r="X1019" s="24">
        <v>46032</v>
      </c>
      <c r="Z1019" t="s">
        <v>38</v>
      </c>
      <c r="AB1019" t="s">
        <v>921</v>
      </c>
      <c r="AC1019" t="s">
        <v>1074</v>
      </c>
      <c r="AD1019" t="s">
        <v>1075</v>
      </c>
    </row>
    <row r="1020" spans="1:30" hidden="1" x14ac:dyDescent="0.25">
      <c r="A1020">
        <v>504</v>
      </c>
      <c r="B1020" t="s">
        <v>686</v>
      </c>
      <c r="C1020">
        <v>30</v>
      </c>
      <c r="D1020">
        <v>315</v>
      </c>
      <c r="E1020">
        <v>460</v>
      </c>
      <c r="F1020" t="s">
        <v>77</v>
      </c>
      <c r="G1020" t="s">
        <v>746</v>
      </c>
      <c r="H1020">
        <v>2</v>
      </c>
      <c r="I1020">
        <v>45.73</v>
      </c>
      <c r="J1020" t="s">
        <v>839</v>
      </c>
      <c r="K1020" t="s">
        <v>812</v>
      </c>
      <c r="M1020" t="s">
        <v>1085</v>
      </c>
      <c r="O1020" t="s">
        <v>228</v>
      </c>
      <c r="P1020" t="s">
        <v>924</v>
      </c>
      <c r="Q1020" t="s">
        <v>27</v>
      </c>
      <c r="S1020" t="s">
        <v>81</v>
      </c>
      <c r="W1020">
        <v>2</v>
      </c>
      <c r="X1020" s="24">
        <v>46032</v>
      </c>
      <c r="Z1020" t="s">
        <v>38</v>
      </c>
      <c r="AB1020" t="s">
        <v>921</v>
      </c>
      <c r="AC1020" t="s">
        <v>1074</v>
      </c>
      <c r="AD1020" t="s">
        <v>1075</v>
      </c>
    </row>
    <row r="1021" spans="1:30" hidden="1" x14ac:dyDescent="0.25">
      <c r="A1021">
        <v>505</v>
      </c>
      <c r="B1021" t="s">
        <v>692</v>
      </c>
      <c r="C1021">
        <v>30</v>
      </c>
      <c r="D1021">
        <v>315</v>
      </c>
      <c r="E1021">
        <v>460</v>
      </c>
      <c r="F1021" t="s">
        <v>77</v>
      </c>
      <c r="G1021" t="s">
        <v>746</v>
      </c>
      <c r="H1021">
        <v>4</v>
      </c>
      <c r="I1021">
        <v>91.45</v>
      </c>
      <c r="J1021" t="s">
        <v>839</v>
      </c>
      <c r="K1021" t="s">
        <v>812</v>
      </c>
      <c r="M1021" t="s">
        <v>1085</v>
      </c>
      <c r="O1021" t="s">
        <v>228</v>
      </c>
      <c r="P1021" t="s">
        <v>924</v>
      </c>
      <c r="Q1021" t="s">
        <v>27</v>
      </c>
      <c r="S1021" t="s">
        <v>81</v>
      </c>
      <c r="W1021">
        <v>2</v>
      </c>
      <c r="X1021" s="24">
        <v>46032</v>
      </c>
      <c r="Z1021" t="s">
        <v>38</v>
      </c>
      <c r="AB1021" t="s">
        <v>921</v>
      </c>
      <c r="AC1021" t="s">
        <v>1074</v>
      </c>
      <c r="AD1021" t="s">
        <v>1075</v>
      </c>
    </row>
    <row r="1022" spans="1:30" hidden="1" x14ac:dyDescent="0.25">
      <c r="A1022">
        <v>506</v>
      </c>
      <c r="B1022" t="s">
        <v>694</v>
      </c>
      <c r="C1022">
        <v>30</v>
      </c>
      <c r="D1022">
        <v>315</v>
      </c>
      <c r="E1022">
        <v>460</v>
      </c>
      <c r="F1022" t="s">
        <v>77</v>
      </c>
      <c r="G1022" t="s">
        <v>746</v>
      </c>
      <c r="H1022">
        <v>2</v>
      </c>
      <c r="I1022">
        <v>45.73</v>
      </c>
      <c r="J1022" t="s">
        <v>839</v>
      </c>
      <c r="K1022" t="s">
        <v>812</v>
      </c>
      <c r="M1022" t="s">
        <v>1085</v>
      </c>
      <c r="O1022" t="s">
        <v>228</v>
      </c>
      <c r="P1022" t="s">
        <v>924</v>
      </c>
      <c r="Q1022" t="s">
        <v>27</v>
      </c>
      <c r="S1022" t="s">
        <v>81</v>
      </c>
      <c r="W1022">
        <v>2</v>
      </c>
      <c r="X1022" s="24">
        <v>46032</v>
      </c>
      <c r="Z1022" t="s">
        <v>38</v>
      </c>
      <c r="AB1022" t="s">
        <v>921</v>
      </c>
      <c r="AC1022" t="s">
        <v>1074</v>
      </c>
      <c r="AD1022" t="s">
        <v>1075</v>
      </c>
    </row>
    <row r="1023" spans="1:30" hidden="1" x14ac:dyDescent="0.25">
      <c r="A1023">
        <v>507</v>
      </c>
      <c r="B1023" t="s">
        <v>699</v>
      </c>
      <c r="C1023">
        <v>60</v>
      </c>
      <c r="D1023">
        <v>70</v>
      </c>
      <c r="E1023">
        <v>8980</v>
      </c>
      <c r="F1023" t="s">
        <v>700</v>
      </c>
      <c r="G1023" t="s">
        <v>746</v>
      </c>
      <c r="H1023">
        <v>1</v>
      </c>
      <c r="I1023">
        <v>296.07</v>
      </c>
      <c r="J1023" t="s">
        <v>839</v>
      </c>
      <c r="K1023" t="s">
        <v>812</v>
      </c>
      <c r="M1023" t="s">
        <v>1085</v>
      </c>
      <c r="P1023" t="s">
        <v>924</v>
      </c>
      <c r="Q1023" t="s">
        <v>26</v>
      </c>
      <c r="S1023" t="s">
        <v>81</v>
      </c>
      <c r="U1023" t="s">
        <v>81</v>
      </c>
      <c r="W1023">
        <v>2</v>
      </c>
      <c r="X1023" s="24">
        <v>46032</v>
      </c>
      <c r="Z1023" t="s">
        <v>38</v>
      </c>
      <c r="AB1023" t="s">
        <v>921</v>
      </c>
      <c r="AC1023" t="s">
        <v>1078</v>
      </c>
      <c r="AD1023" t="s">
        <v>1079</v>
      </c>
    </row>
    <row r="1024" spans="1:30" hidden="1" x14ac:dyDescent="0.25">
      <c r="A1024">
        <v>508</v>
      </c>
      <c r="B1024" t="s">
        <v>706</v>
      </c>
      <c r="C1024">
        <v>60</v>
      </c>
      <c r="D1024">
        <v>70</v>
      </c>
      <c r="E1024">
        <v>11303</v>
      </c>
      <c r="F1024" t="s">
        <v>700</v>
      </c>
      <c r="G1024" t="s">
        <v>746</v>
      </c>
      <c r="H1024">
        <v>1</v>
      </c>
      <c r="I1024">
        <v>372.66</v>
      </c>
      <c r="J1024" t="s">
        <v>839</v>
      </c>
      <c r="K1024" t="s">
        <v>812</v>
      </c>
      <c r="M1024" t="s">
        <v>1085</v>
      </c>
      <c r="P1024" t="s">
        <v>924</v>
      </c>
      <c r="Q1024" t="s">
        <v>26</v>
      </c>
      <c r="S1024" t="s">
        <v>81</v>
      </c>
      <c r="U1024" t="s">
        <v>81</v>
      </c>
      <c r="W1024">
        <v>2</v>
      </c>
      <c r="X1024" s="24">
        <v>46032</v>
      </c>
      <c r="Z1024" t="s">
        <v>38</v>
      </c>
      <c r="AB1024" t="s">
        <v>921</v>
      </c>
      <c r="AC1024" t="s">
        <v>1078</v>
      </c>
      <c r="AD1024" t="s">
        <v>1079</v>
      </c>
    </row>
    <row r="1025" spans="1:30" hidden="1" x14ac:dyDescent="0.25">
      <c r="A1025">
        <v>509</v>
      </c>
      <c r="B1025" t="s">
        <v>712</v>
      </c>
      <c r="C1025">
        <v>60</v>
      </c>
      <c r="D1025">
        <v>70</v>
      </c>
      <c r="E1025">
        <v>8980</v>
      </c>
      <c r="F1025" t="s">
        <v>700</v>
      </c>
      <c r="G1025" t="s">
        <v>746</v>
      </c>
      <c r="H1025">
        <v>1</v>
      </c>
      <c r="I1025">
        <v>296.07</v>
      </c>
      <c r="J1025" t="s">
        <v>839</v>
      </c>
      <c r="K1025" t="s">
        <v>812</v>
      </c>
      <c r="M1025" t="s">
        <v>1085</v>
      </c>
      <c r="P1025" t="s">
        <v>924</v>
      </c>
      <c r="Q1025" t="s">
        <v>26</v>
      </c>
      <c r="S1025" t="s">
        <v>81</v>
      </c>
      <c r="U1025" t="s">
        <v>81</v>
      </c>
      <c r="W1025">
        <v>2</v>
      </c>
      <c r="X1025" s="24">
        <v>46032</v>
      </c>
      <c r="Z1025" t="s">
        <v>38</v>
      </c>
      <c r="AB1025" t="s">
        <v>921</v>
      </c>
      <c r="AC1025" t="s">
        <v>1078</v>
      </c>
      <c r="AD1025" t="s">
        <v>1079</v>
      </c>
    </row>
    <row r="1026" spans="1:30" hidden="1" x14ac:dyDescent="0.25">
      <c r="A1026">
        <v>510</v>
      </c>
      <c r="B1026" t="s">
        <v>713</v>
      </c>
      <c r="C1026">
        <v>60</v>
      </c>
      <c r="D1026">
        <v>70</v>
      </c>
      <c r="E1026">
        <v>11303</v>
      </c>
      <c r="F1026" t="s">
        <v>700</v>
      </c>
      <c r="G1026" t="s">
        <v>746</v>
      </c>
      <c r="H1026">
        <v>1</v>
      </c>
      <c r="I1026">
        <v>372.66</v>
      </c>
      <c r="J1026" t="s">
        <v>839</v>
      </c>
      <c r="K1026" t="s">
        <v>812</v>
      </c>
      <c r="M1026" t="s">
        <v>1085</v>
      </c>
      <c r="P1026" t="s">
        <v>924</v>
      </c>
      <c r="Q1026" t="s">
        <v>26</v>
      </c>
      <c r="S1026" t="s">
        <v>81</v>
      </c>
      <c r="U1026" t="s">
        <v>81</v>
      </c>
      <c r="W1026">
        <v>2</v>
      </c>
      <c r="X1026" s="24">
        <v>46032</v>
      </c>
      <c r="Z1026" t="s">
        <v>38</v>
      </c>
      <c r="AB1026" t="s">
        <v>921</v>
      </c>
      <c r="AC1026" t="s">
        <v>1078</v>
      </c>
      <c r="AD1026" t="s">
        <v>1079</v>
      </c>
    </row>
    <row r="1027" spans="1:30" hidden="1" x14ac:dyDescent="0.25">
      <c r="A1027">
        <v>511</v>
      </c>
      <c r="B1027" t="s">
        <v>708</v>
      </c>
      <c r="C1027">
        <v>60</v>
      </c>
      <c r="D1027">
        <v>68</v>
      </c>
      <c r="E1027">
        <v>12000</v>
      </c>
      <c r="F1027" t="s">
        <v>700</v>
      </c>
      <c r="G1027" t="s">
        <v>746</v>
      </c>
      <c r="H1027">
        <v>1</v>
      </c>
      <c r="I1027">
        <v>339.12</v>
      </c>
      <c r="J1027" t="s">
        <v>839</v>
      </c>
      <c r="K1027" t="s">
        <v>812</v>
      </c>
      <c r="M1027" t="s">
        <v>1085</v>
      </c>
      <c r="P1027" t="s">
        <v>924</v>
      </c>
      <c r="Q1027" t="s">
        <v>26</v>
      </c>
      <c r="S1027" t="s">
        <v>81</v>
      </c>
      <c r="U1027" t="s">
        <v>81</v>
      </c>
      <c r="W1027">
        <v>2</v>
      </c>
      <c r="X1027" s="24">
        <v>46032</v>
      </c>
      <c r="Z1027" t="s">
        <v>38</v>
      </c>
      <c r="AB1027" t="s">
        <v>921</v>
      </c>
      <c r="AC1027" t="s">
        <v>1082</v>
      </c>
      <c r="AD1027" t="s">
        <v>1083</v>
      </c>
    </row>
    <row r="1028" spans="1:30" hidden="1" x14ac:dyDescent="0.25">
      <c r="A1028">
        <v>512</v>
      </c>
      <c r="B1028" t="s">
        <v>710</v>
      </c>
      <c r="C1028">
        <v>60</v>
      </c>
      <c r="D1028">
        <v>63</v>
      </c>
      <c r="E1028">
        <v>7588</v>
      </c>
      <c r="F1028" t="s">
        <v>700</v>
      </c>
      <c r="G1028" t="s">
        <v>746</v>
      </c>
      <c r="H1028">
        <v>1</v>
      </c>
      <c r="I1028">
        <v>214.44</v>
      </c>
      <c r="J1028" t="s">
        <v>839</v>
      </c>
      <c r="K1028" t="s">
        <v>812</v>
      </c>
      <c r="M1028" t="s">
        <v>1085</v>
      </c>
      <c r="P1028" t="s">
        <v>924</v>
      </c>
      <c r="Q1028" t="s">
        <v>26</v>
      </c>
      <c r="S1028" t="s">
        <v>81</v>
      </c>
      <c r="U1028" t="s">
        <v>81</v>
      </c>
      <c r="W1028">
        <v>2</v>
      </c>
      <c r="X1028" s="24">
        <v>46032</v>
      </c>
      <c r="Z1028" t="s">
        <v>38</v>
      </c>
      <c r="AB1028" t="s">
        <v>921</v>
      </c>
      <c r="AC1028" t="s">
        <v>1082</v>
      </c>
      <c r="AD1028" t="s">
        <v>1083</v>
      </c>
    </row>
    <row r="1029" spans="1:30" hidden="1" x14ac:dyDescent="0.25">
      <c r="A1029">
        <v>513</v>
      </c>
      <c r="B1029" t="s">
        <v>714</v>
      </c>
      <c r="C1029">
        <v>60</v>
      </c>
      <c r="D1029">
        <v>70</v>
      </c>
      <c r="E1029">
        <v>12000</v>
      </c>
      <c r="F1029" t="s">
        <v>700</v>
      </c>
      <c r="G1029" t="s">
        <v>746</v>
      </c>
      <c r="H1029">
        <v>1</v>
      </c>
      <c r="I1029">
        <v>395.64</v>
      </c>
      <c r="J1029" t="s">
        <v>839</v>
      </c>
      <c r="K1029" t="s">
        <v>812</v>
      </c>
      <c r="M1029" t="s">
        <v>1085</v>
      </c>
      <c r="P1029" t="s">
        <v>924</v>
      </c>
      <c r="Q1029" t="s">
        <v>26</v>
      </c>
      <c r="S1029" t="s">
        <v>81</v>
      </c>
      <c r="U1029" t="s">
        <v>81</v>
      </c>
      <c r="W1029">
        <v>2</v>
      </c>
      <c r="X1029" s="24">
        <v>46032</v>
      </c>
      <c r="Z1029" t="s">
        <v>38</v>
      </c>
      <c r="AB1029" t="s">
        <v>921</v>
      </c>
      <c r="AC1029" t="s">
        <v>1082</v>
      </c>
      <c r="AD1029" t="s">
        <v>1083</v>
      </c>
    </row>
    <row r="1030" spans="1:30" hidden="1" x14ac:dyDescent="0.25">
      <c r="A1030">
        <v>514</v>
      </c>
      <c r="B1030" t="s">
        <v>716</v>
      </c>
      <c r="C1030">
        <v>60</v>
      </c>
      <c r="D1030">
        <v>70</v>
      </c>
      <c r="E1030">
        <v>7587</v>
      </c>
      <c r="F1030" t="s">
        <v>700</v>
      </c>
      <c r="G1030" t="s">
        <v>746</v>
      </c>
      <c r="H1030">
        <v>1</v>
      </c>
      <c r="I1030">
        <v>250.16</v>
      </c>
      <c r="J1030" t="s">
        <v>839</v>
      </c>
      <c r="K1030" t="s">
        <v>812</v>
      </c>
      <c r="M1030" t="s">
        <v>1085</v>
      </c>
      <c r="P1030" t="s">
        <v>924</v>
      </c>
      <c r="Q1030" t="s">
        <v>26</v>
      </c>
      <c r="S1030" t="s">
        <v>81</v>
      </c>
      <c r="U1030" t="s">
        <v>81</v>
      </c>
      <c r="W1030">
        <v>2</v>
      </c>
      <c r="X1030" s="24">
        <v>46032</v>
      </c>
      <c r="Z1030" t="s">
        <v>38</v>
      </c>
      <c r="AB1030" t="s">
        <v>921</v>
      </c>
      <c r="AC1030" t="s">
        <v>1082</v>
      </c>
      <c r="AD1030" t="s">
        <v>1083</v>
      </c>
    </row>
    <row r="1031" spans="1:30" hidden="1" x14ac:dyDescent="0.25">
      <c r="A1031">
        <v>1</v>
      </c>
      <c r="B1031" t="s">
        <v>32</v>
      </c>
      <c r="C1031">
        <v>2</v>
      </c>
      <c r="D1031">
        <v>1200</v>
      </c>
      <c r="E1031">
        <v>1800</v>
      </c>
      <c r="F1031" t="s">
        <v>33</v>
      </c>
      <c r="G1031" t="s">
        <v>746</v>
      </c>
      <c r="H1031">
        <v>1</v>
      </c>
      <c r="I1031">
        <v>33.909999999999997</v>
      </c>
      <c r="J1031" t="s">
        <v>839</v>
      </c>
      <c r="K1031" t="s">
        <v>812</v>
      </c>
      <c r="M1031" t="s">
        <v>1085</v>
      </c>
      <c r="P1031" t="s">
        <v>924</v>
      </c>
      <c r="R1031" t="s">
        <v>81</v>
      </c>
      <c r="W1031">
        <v>2</v>
      </c>
      <c r="X1031" s="24">
        <v>46032</v>
      </c>
      <c r="Z1031" t="s">
        <v>38</v>
      </c>
      <c r="AB1031" t="s">
        <v>921</v>
      </c>
      <c r="AC1031" t="s">
        <v>923</v>
      </c>
      <c r="AD1031" t="s">
        <v>39</v>
      </c>
    </row>
    <row r="1032" spans="1:30" hidden="1" x14ac:dyDescent="0.25">
      <c r="A1032">
        <v>2</v>
      </c>
      <c r="B1032" t="s">
        <v>41</v>
      </c>
      <c r="C1032">
        <v>2</v>
      </c>
      <c r="D1032">
        <v>1200</v>
      </c>
      <c r="E1032">
        <v>1800</v>
      </c>
      <c r="F1032" t="s">
        <v>33</v>
      </c>
      <c r="G1032" t="s">
        <v>746</v>
      </c>
      <c r="H1032">
        <v>1</v>
      </c>
      <c r="I1032">
        <v>33.909999999999997</v>
      </c>
      <c r="J1032" t="s">
        <v>839</v>
      </c>
      <c r="K1032" t="s">
        <v>812</v>
      </c>
      <c r="M1032" t="s">
        <v>1085</v>
      </c>
      <c r="P1032" t="s">
        <v>924</v>
      </c>
      <c r="R1032" t="s">
        <v>81</v>
      </c>
      <c r="W1032">
        <v>2</v>
      </c>
      <c r="X1032" s="24">
        <v>46032</v>
      </c>
      <c r="Z1032" t="s">
        <v>38</v>
      </c>
      <c r="AB1032" t="s">
        <v>921</v>
      </c>
      <c r="AC1032" t="s">
        <v>923</v>
      </c>
      <c r="AD1032" t="s">
        <v>39</v>
      </c>
    </row>
    <row r="1033" spans="1:30" hidden="1" x14ac:dyDescent="0.25">
      <c r="A1033">
        <v>3</v>
      </c>
      <c r="B1033" t="s">
        <v>42</v>
      </c>
      <c r="C1033">
        <v>2</v>
      </c>
      <c r="D1033">
        <v>1300</v>
      </c>
      <c r="E1033">
        <v>4000</v>
      </c>
      <c r="F1033" t="s">
        <v>33</v>
      </c>
      <c r="G1033" t="s">
        <v>746</v>
      </c>
      <c r="H1033">
        <v>1</v>
      </c>
      <c r="I1033">
        <v>81.64</v>
      </c>
      <c r="J1033" t="s">
        <v>839</v>
      </c>
      <c r="K1033" t="s">
        <v>812</v>
      </c>
      <c r="M1033" t="s">
        <v>1085</v>
      </c>
      <c r="P1033" t="s">
        <v>924</v>
      </c>
      <c r="R1033" t="s">
        <v>81</v>
      </c>
      <c r="W1033">
        <v>2</v>
      </c>
      <c r="X1033" s="24">
        <v>46032</v>
      </c>
      <c r="Z1033" t="s">
        <v>38</v>
      </c>
      <c r="AB1033" t="s">
        <v>921</v>
      </c>
      <c r="AC1033" t="s">
        <v>926</v>
      </c>
      <c r="AD1033" t="s">
        <v>39</v>
      </c>
    </row>
    <row r="1034" spans="1:30" hidden="1" x14ac:dyDescent="0.25">
      <c r="A1034">
        <v>4</v>
      </c>
      <c r="B1034" t="s">
        <v>45</v>
      </c>
      <c r="C1034">
        <v>2</v>
      </c>
      <c r="D1034">
        <v>1300</v>
      </c>
      <c r="E1034">
        <v>4000</v>
      </c>
      <c r="F1034" t="s">
        <v>33</v>
      </c>
      <c r="G1034" t="s">
        <v>746</v>
      </c>
      <c r="H1034">
        <v>1</v>
      </c>
      <c r="I1034">
        <v>81.64</v>
      </c>
      <c r="J1034" t="s">
        <v>839</v>
      </c>
      <c r="K1034" t="s">
        <v>812</v>
      </c>
      <c r="M1034" t="s">
        <v>1085</v>
      </c>
      <c r="P1034" t="s">
        <v>924</v>
      </c>
      <c r="R1034" t="s">
        <v>81</v>
      </c>
      <c r="W1034">
        <v>2</v>
      </c>
      <c r="X1034" s="24">
        <v>46032</v>
      </c>
      <c r="Z1034" t="s">
        <v>38</v>
      </c>
      <c r="AB1034" t="s">
        <v>921</v>
      </c>
      <c r="AC1034" t="s">
        <v>928</v>
      </c>
      <c r="AD1034" t="s">
        <v>39</v>
      </c>
    </row>
    <row r="1035" spans="1:30" hidden="1" x14ac:dyDescent="0.25">
      <c r="A1035">
        <v>5</v>
      </c>
      <c r="B1035" t="s">
        <v>48</v>
      </c>
      <c r="C1035">
        <v>2</v>
      </c>
      <c r="D1035">
        <v>1060</v>
      </c>
      <c r="E1035">
        <v>4000</v>
      </c>
      <c r="F1035" t="s">
        <v>33</v>
      </c>
      <c r="G1035" t="s">
        <v>746</v>
      </c>
      <c r="H1035">
        <v>1</v>
      </c>
      <c r="I1035">
        <v>66.569999999999993</v>
      </c>
      <c r="J1035" t="s">
        <v>839</v>
      </c>
      <c r="K1035" t="s">
        <v>812</v>
      </c>
      <c r="M1035" t="s">
        <v>1085</v>
      </c>
      <c r="P1035" t="s">
        <v>924</v>
      </c>
      <c r="R1035" t="s">
        <v>81</v>
      </c>
      <c r="W1035">
        <v>2</v>
      </c>
      <c r="X1035" s="24">
        <v>46032</v>
      </c>
      <c r="Z1035" t="s">
        <v>38</v>
      </c>
      <c r="AB1035" t="s">
        <v>921</v>
      </c>
      <c r="AC1035" t="s">
        <v>930</v>
      </c>
      <c r="AD1035" t="s">
        <v>39</v>
      </c>
    </row>
    <row r="1036" spans="1:30" hidden="1" x14ac:dyDescent="0.25">
      <c r="A1036">
        <v>6</v>
      </c>
      <c r="B1036" t="s">
        <v>52</v>
      </c>
      <c r="C1036">
        <v>2</v>
      </c>
      <c r="D1036">
        <v>1060</v>
      </c>
      <c r="E1036">
        <v>4000</v>
      </c>
      <c r="F1036" t="s">
        <v>33</v>
      </c>
      <c r="G1036" t="s">
        <v>746</v>
      </c>
      <c r="H1036">
        <v>1</v>
      </c>
      <c r="I1036">
        <v>66.569999999999993</v>
      </c>
      <c r="J1036" t="s">
        <v>839</v>
      </c>
      <c r="K1036" t="s">
        <v>812</v>
      </c>
      <c r="M1036" t="s">
        <v>1085</v>
      </c>
      <c r="P1036" t="s">
        <v>924</v>
      </c>
      <c r="R1036" t="s">
        <v>81</v>
      </c>
      <c r="W1036">
        <v>2</v>
      </c>
      <c r="X1036" s="24">
        <v>46032</v>
      </c>
      <c r="Z1036" t="s">
        <v>38</v>
      </c>
      <c r="AB1036" t="s">
        <v>921</v>
      </c>
      <c r="AC1036" t="s">
        <v>932</v>
      </c>
      <c r="AD1036" t="s">
        <v>39</v>
      </c>
    </row>
    <row r="1037" spans="1:30" hidden="1" x14ac:dyDescent="0.25">
      <c r="A1037">
        <v>7</v>
      </c>
      <c r="B1037" t="s">
        <v>55</v>
      </c>
      <c r="C1037">
        <v>2</v>
      </c>
      <c r="D1037">
        <v>1060</v>
      </c>
      <c r="E1037">
        <v>4000</v>
      </c>
      <c r="F1037" t="s">
        <v>33</v>
      </c>
      <c r="G1037" t="s">
        <v>746</v>
      </c>
      <c r="H1037">
        <v>1</v>
      </c>
      <c r="I1037">
        <v>66.569999999999993</v>
      </c>
      <c r="J1037" t="s">
        <v>839</v>
      </c>
      <c r="K1037" t="s">
        <v>812</v>
      </c>
      <c r="M1037" t="s">
        <v>1085</v>
      </c>
      <c r="P1037" t="s">
        <v>924</v>
      </c>
      <c r="R1037" t="s">
        <v>81</v>
      </c>
      <c r="W1037">
        <v>2</v>
      </c>
      <c r="X1037" s="24">
        <v>46032</v>
      </c>
      <c r="Z1037" t="s">
        <v>38</v>
      </c>
      <c r="AB1037" t="s">
        <v>921</v>
      </c>
      <c r="AC1037" t="s">
        <v>934</v>
      </c>
      <c r="AD1037" t="s">
        <v>39</v>
      </c>
    </row>
    <row r="1038" spans="1:30" hidden="1" x14ac:dyDescent="0.25">
      <c r="A1038">
        <v>8</v>
      </c>
      <c r="B1038" t="s">
        <v>58</v>
      </c>
      <c r="C1038">
        <v>2</v>
      </c>
      <c r="D1038">
        <v>1060</v>
      </c>
      <c r="E1038">
        <v>4000</v>
      </c>
      <c r="F1038" t="s">
        <v>33</v>
      </c>
      <c r="G1038" t="s">
        <v>746</v>
      </c>
      <c r="H1038">
        <v>1</v>
      </c>
      <c r="I1038">
        <v>66.569999999999993</v>
      </c>
      <c r="J1038" t="s">
        <v>839</v>
      </c>
      <c r="K1038" t="s">
        <v>812</v>
      </c>
      <c r="M1038" t="s">
        <v>1085</v>
      </c>
      <c r="P1038" t="s">
        <v>924</v>
      </c>
      <c r="R1038" t="s">
        <v>81</v>
      </c>
      <c r="W1038">
        <v>2</v>
      </c>
      <c r="X1038" s="24">
        <v>46032</v>
      </c>
      <c r="Z1038" t="s">
        <v>38</v>
      </c>
      <c r="AB1038" t="s">
        <v>921</v>
      </c>
      <c r="AC1038" t="s">
        <v>936</v>
      </c>
      <c r="AD1038" t="s">
        <v>39</v>
      </c>
    </row>
    <row r="1039" spans="1:30" hidden="1" x14ac:dyDescent="0.25">
      <c r="A1039">
        <v>9</v>
      </c>
      <c r="B1039" t="s">
        <v>61</v>
      </c>
      <c r="C1039">
        <v>2</v>
      </c>
      <c r="D1039">
        <v>500</v>
      </c>
      <c r="E1039">
        <v>4000</v>
      </c>
      <c r="F1039" t="s">
        <v>33</v>
      </c>
      <c r="G1039" t="s">
        <v>746</v>
      </c>
      <c r="H1039">
        <v>1</v>
      </c>
      <c r="I1039">
        <v>31.4</v>
      </c>
      <c r="J1039" t="s">
        <v>839</v>
      </c>
      <c r="K1039" t="s">
        <v>812</v>
      </c>
      <c r="M1039" t="s">
        <v>1085</v>
      </c>
      <c r="P1039" t="s">
        <v>924</v>
      </c>
      <c r="R1039" t="s">
        <v>81</v>
      </c>
      <c r="W1039">
        <v>2</v>
      </c>
      <c r="X1039" s="24">
        <v>46032</v>
      </c>
      <c r="Z1039" t="s">
        <v>38</v>
      </c>
      <c r="AB1039" t="s">
        <v>921</v>
      </c>
      <c r="AC1039" t="s">
        <v>938</v>
      </c>
      <c r="AD1039" t="s">
        <v>39</v>
      </c>
    </row>
    <row r="1040" spans="1:30" hidden="1" x14ac:dyDescent="0.25">
      <c r="A1040">
        <v>10</v>
      </c>
      <c r="B1040" t="s">
        <v>65</v>
      </c>
      <c r="C1040">
        <v>2</v>
      </c>
      <c r="D1040">
        <v>500</v>
      </c>
      <c r="E1040">
        <v>4000</v>
      </c>
      <c r="F1040" t="s">
        <v>33</v>
      </c>
      <c r="G1040" t="s">
        <v>746</v>
      </c>
      <c r="H1040">
        <v>1</v>
      </c>
      <c r="I1040">
        <v>31.4</v>
      </c>
      <c r="J1040" t="s">
        <v>839</v>
      </c>
      <c r="K1040" t="s">
        <v>812</v>
      </c>
      <c r="M1040" t="s">
        <v>1085</v>
      </c>
      <c r="P1040" t="s">
        <v>924</v>
      </c>
      <c r="R1040" t="s">
        <v>81</v>
      </c>
      <c r="W1040">
        <v>2</v>
      </c>
      <c r="X1040" s="24">
        <v>46032</v>
      </c>
      <c r="Z1040" t="s">
        <v>38</v>
      </c>
      <c r="AB1040" t="s">
        <v>921</v>
      </c>
      <c r="AC1040" t="s">
        <v>938</v>
      </c>
      <c r="AD1040" t="s">
        <v>39</v>
      </c>
    </row>
    <row r="1041" spans="1:30" hidden="1" x14ac:dyDescent="0.25">
      <c r="A1041">
        <v>11</v>
      </c>
      <c r="B1041" t="s">
        <v>66</v>
      </c>
      <c r="C1041">
        <v>2</v>
      </c>
      <c r="D1041">
        <v>1060</v>
      </c>
      <c r="E1041">
        <v>1200</v>
      </c>
      <c r="F1041" t="s">
        <v>33</v>
      </c>
      <c r="G1041" t="s">
        <v>746</v>
      </c>
      <c r="H1041">
        <v>1</v>
      </c>
      <c r="I1041">
        <v>19.97</v>
      </c>
      <c r="J1041" t="s">
        <v>839</v>
      </c>
      <c r="K1041" t="s">
        <v>812</v>
      </c>
      <c r="M1041" t="s">
        <v>1085</v>
      </c>
      <c r="P1041" t="s">
        <v>924</v>
      </c>
      <c r="S1041" t="s">
        <v>81</v>
      </c>
      <c r="W1041">
        <v>2</v>
      </c>
      <c r="X1041" s="24">
        <v>46032</v>
      </c>
      <c r="Z1041" t="s">
        <v>38</v>
      </c>
      <c r="AB1041" t="s">
        <v>921</v>
      </c>
      <c r="AC1041" t="s">
        <v>940</v>
      </c>
      <c r="AD1041" t="s">
        <v>941</v>
      </c>
    </row>
    <row r="1042" spans="1:30" hidden="1" x14ac:dyDescent="0.25">
      <c r="A1042">
        <v>12</v>
      </c>
      <c r="B1042" t="s">
        <v>70</v>
      </c>
      <c r="C1042">
        <v>2</v>
      </c>
      <c r="D1042">
        <v>500</v>
      </c>
      <c r="E1042">
        <v>1800</v>
      </c>
      <c r="F1042" t="s">
        <v>33</v>
      </c>
      <c r="G1042" t="s">
        <v>746</v>
      </c>
      <c r="H1042">
        <v>1</v>
      </c>
      <c r="I1042">
        <v>14.13</v>
      </c>
      <c r="J1042" t="s">
        <v>839</v>
      </c>
      <c r="K1042" t="s">
        <v>812</v>
      </c>
      <c r="M1042" t="s">
        <v>1085</v>
      </c>
      <c r="P1042" t="s">
        <v>924</v>
      </c>
      <c r="R1042" t="s">
        <v>81</v>
      </c>
      <c r="W1042">
        <v>2</v>
      </c>
      <c r="X1042" s="24">
        <v>46032</v>
      </c>
      <c r="Z1042" t="s">
        <v>38</v>
      </c>
      <c r="AB1042" t="s">
        <v>921</v>
      </c>
      <c r="AC1042" t="s">
        <v>943</v>
      </c>
      <c r="AD1042" t="s">
        <v>39</v>
      </c>
    </row>
    <row r="1043" spans="1:30" hidden="1" x14ac:dyDescent="0.25">
      <c r="A1043">
        <v>13</v>
      </c>
      <c r="B1043" t="s">
        <v>74</v>
      </c>
      <c r="C1043">
        <v>2</v>
      </c>
      <c r="D1043">
        <v>1060</v>
      </c>
      <c r="E1043">
        <v>1200</v>
      </c>
      <c r="F1043" t="s">
        <v>33</v>
      </c>
      <c r="G1043" t="s">
        <v>746</v>
      </c>
      <c r="H1043">
        <v>1</v>
      </c>
      <c r="I1043">
        <v>19.97</v>
      </c>
      <c r="J1043" t="s">
        <v>839</v>
      </c>
      <c r="K1043" t="s">
        <v>812</v>
      </c>
      <c r="M1043" t="s">
        <v>1085</v>
      </c>
      <c r="P1043" t="s">
        <v>924</v>
      </c>
      <c r="R1043" t="s">
        <v>81</v>
      </c>
      <c r="W1043">
        <v>2</v>
      </c>
      <c r="X1043" s="24">
        <v>46032</v>
      </c>
      <c r="Z1043" t="s">
        <v>38</v>
      </c>
      <c r="AB1043" t="s">
        <v>921</v>
      </c>
      <c r="AC1043" t="s">
        <v>943</v>
      </c>
      <c r="AD1043" t="s">
        <v>39</v>
      </c>
    </row>
    <row r="1044" spans="1:30" hidden="1" x14ac:dyDescent="0.25">
      <c r="A1044">
        <v>14</v>
      </c>
      <c r="B1044" t="s">
        <v>75</v>
      </c>
      <c r="C1044">
        <v>2</v>
      </c>
      <c r="D1044">
        <v>500</v>
      </c>
      <c r="E1044">
        <v>1800</v>
      </c>
      <c r="F1044" t="s">
        <v>33</v>
      </c>
      <c r="G1044" t="s">
        <v>746</v>
      </c>
      <c r="H1044">
        <v>1</v>
      </c>
      <c r="I1044">
        <v>14.13</v>
      </c>
      <c r="J1044" t="s">
        <v>839</v>
      </c>
      <c r="K1044" t="s">
        <v>812</v>
      </c>
      <c r="M1044" t="s">
        <v>1085</v>
      </c>
      <c r="P1044" t="s">
        <v>924</v>
      </c>
      <c r="R1044" t="s">
        <v>81</v>
      </c>
      <c r="W1044">
        <v>2</v>
      </c>
      <c r="X1044" s="24">
        <v>46032</v>
      </c>
      <c r="Z1044" t="s">
        <v>38</v>
      </c>
      <c r="AB1044" t="s">
        <v>921</v>
      </c>
      <c r="AC1044" t="s">
        <v>943</v>
      </c>
      <c r="AD1044" t="s">
        <v>39</v>
      </c>
    </row>
    <row r="1045" spans="1:30" hidden="1" x14ac:dyDescent="0.25">
      <c r="A1045">
        <v>15</v>
      </c>
      <c r="B1045" t="s">
        <v>76</v>
      </c>
      <c r="C1045">
        <v>5</v>
      </c>
      <c r="D1045">
        <v>63</v>
      </c>
      <c r="E1045">
        <v>186</v>
      </c>
      <c r="F1045" t="s">
        <v>77</v>
      </c>
      <c r="G1045" t="s">
        <v>746</v>
      </c>
      <c r="H1045">
        <v>26</v>
      </c>
      <c r="I1045">
        <v>11.86</v>
      </c>
      <c r="J1045" t="s">
        <v>839</v>
      </c>
      <c r="K1045" t="s">
        <v>812</v>
      </c>
      <c r="M1045" t="s">
        <v>1085</v>
      </c>
      <c r="P1045" t="s">
        <v>924</v>
      </c>
      <c r="Q1045" t="s">
        <v>26</v>
      </c>
      <c r="S1045" t="s">
        <v>81</v>
      </c>
      <c r="W1045">
        <v>2</v>
      </c>
      <c r="X1045" s="24">
        <v>46032</v>
      </c>
      <c r="Z1045" t="s">
        <v>38</v>
      </c>
      <c r="AB1045" t="s">
        <v>921</v>
      </c>
      <c r="AC1045" t="s">
        <v>946</v>
      </c>
      <c r="AD1045" t="s">
        <v>947</v>
      </c>
    </row>
    <row r="1046" spans="1:30" hidden="1" x14ac:dyDescent="0.25">
      <c r="A1046">
        <v>16</v>
      </c>
      <c r="B1046" t="s">
        <v>83</v>
      </c>
      <c r="C1046">
        <v>5</v>
      </c>
      <c r="D1046">
        <v>43</v>
      </c>
      <c r="E1046">
        <v>86</v>
      </c>
      <c r="F1046" t="s">
        <v>77</v>
      </c>
      <c r="G1046" t="s">
        <v>746</v>
      </c>
      <c r="H1046">
        <v>112</v>
      </c>
      <c r="I1046">
        <v>15.82</v>
      </c>
      <c r="J1046" t="s">
        <v>839</v>
      </c>
      <c r="K1046" t="s">
        <v>812</v>
      </c>
      <c r="M1046" t="s">
        <v>1085</v>
      </c>
      <c r="P1046" t="s">
        <v>924</v>
      </c>
      <c r="Q1046" t="s">
        <v>26</v>
      </c>
      <c r="S1046" t="s">
        <v>81</v>
      </c>
      <c r="W1046">
        <v>2</v>
      </c>
      <c r="X1046" s="24">
        <v>46032</v>
      </c>
      <c r="Z1046" t="s">
        <v>38</v>
      </c>
      <c r="AB1046" t="s">
        <v>921</v>
      </c>
      <c r="AC1046" t="s">
        <v>946</v>
      </c>
      <c r="AD1046" t="s">
        <v>947</v>
      </c>
    </row>
    <row r="1047" spans="1:30" hidden="1" x14ac:dyDescent="0.25">
      <c r="A1047">
        <v>17</v>
      </c>
      <c r="B1047" t="s">
        <v>85</v>
      </c>
      <c r="C1047">
        <v>5</v>
      </c>
      <c r="D1047">
        <v>63</v>
      </c>
      <c r="E1047">
        <v>186</v>
      </c>
      <c r="F1047" t="s">
        <v>77</v>
      </c>
      <c r="G1047" t="s">
        <v>746</v>
      </c>
      <c r="H1047">
        <v>28</v>
      </c>
      <c r="I1047">
        <v>12.77</v>
      </c>
      <c r="J1047" t="s">
        <v>839</v>
      </c>
      <c r="K1047" t="s">
        <v>812</v>
      </c>
      <c r="M1047" t="s">
        <v>1085</v>
      </c>
      <c r="P1047" t="s">
        <v>924</v>
      </c>
      <c r="Q1047" t="s">
        <v>26</v>
      </c>
      <c r="S1047" t="s">
        <v>81</v>
      </c>
      <c r="W1047">
        <v>2</v>
      </c>
      <c r="X1047" s="24">
        <v>46032</v>
      </c>
      <c r="Z1047" t="s">
        <v>38</v>
      </c>
      <c r="AB1047" t="s">
        <v>921</v>
      </c>
      <c r="AC1047" t="s">
        <v>946</v>
      </c>
      <c r="AD1047" t="s">
        <v>947</v>
      </c>
    </row>
    <row r="1048" spans="1:30" hidden="1" x14ac:dyDescent="0.25">
      <c r="A1048">
        <v>18</v>
      </c>
      <c r="B1048" t="s">
        <v>86</v>
      </c>
      <c r="C1048">
        <v>5</v>
      </c>
      <c r="D1048">
        <v>43</v>
      </c>
      <c r="E1048">
        <v>86</v>
      </c>
      <c r="F1048" t="s">
        <v>77</v>
      </c>
      <c r="G1048" t="s">
        <v>746</v>
      </c>
      <c r="H1048">
        <v>38</v>
      </c>
      <c r="I1048">
        <v>5.37</v>
      </c>
      <c r="J1048" t="s">
        <v>839</v>
      </c>
      <c r="K1048" t="s">
        <v>812</v>
      </c>
      <c r="M1048" t="s">
        <v>1085</v>
      </c>
      <c r="P1048" t="s">
        <v>924</v>
      </c>
      <c r="Q1048" t="s">
        <v>26</v>
      </c>
      <c r="S1048" t="s">
        <v>81</v>
      </c>
      <c r="W1048">
        <v>2</v>
      </c>
      <c r="X1048" s="24">
        <v>46032</v>
      </c>
      <c r="Z1048" t="s">
        <v>38</v>
      </c>
      <c r="AB1048" t="s">
        <v>921</v>
      </c>
      <c r="AC1048" t="s">
        <v>946</v>
      </c>
      <c r="AD1048" t="s">
        <v>947</v>
      </c>
    </row>
    <row r="1049" spans="1:30" hidden="1" x14ac:dyDescent="0.25">
      <c r="A1049">
        <v>19</v>
      </c>
      <c r="B1049" t="s">
        <v>87</v>
      </c>
      <c r="C1049">
        <v>5</v>
      </c>
      <c r="D1049">
        <v>63</v>
      </c>
      <c r="E1049">
        <v>186</v>
      </c>
      <c r="F1049" t="s">
        <v>77</v>
      </c>
      <c r="G1049" t="s">
        <v>746</v>
      </c>
      <c r="H1049">
        <v>42</v>
      </c>
      <c r="I1049">
        <v>19.149999999999999</v>
      </c>
      <c r="J1049" t="s">
        <v>839</v>
      </c>
      <c r="K1049" t="s">
        <v>812</v>
      </c>
      <c r="M1049" t="s">
        <v>1085</v>
      </c>
      <c r="P1049" t="s">
        <v>924</v>
      </c>
      <c r="Q1049" t="s">
        <v>26</v>
      </c>
      <c r="S1049" t="s">
        <v>81</v>
      </c>
      <c r="W1049">
        <v>2</v>
      </c>
      <c r="X1049" s="24">
        <v>46032</v>
      </c>
      <c r="Z1049" t="s">
        <v>38</v>
      </c>
      <c r="AB1049" t="s">
        <v>921</v>
      </c>
      <c r="AC1049" t="s">
        <v>946</v>
      </c>
      <c r="AD1049" t="s">
        <v>947</v>
      </c>
    </row>
    <row r="1050" spans="1:30" hidden="1" x14ac:dyDescent="0.25">
      <c r="A1050">
        <v>20</v>
      </c>
      <c r="B1050" t="s">
        <v>89</v>
      </c>
      <c r="C1050">
        <v>5</v>
      </c>
      <c r="D1050">
        <v>63</v>
      </c>
      <c r="E1050">
        <v>186</v>
      </c>
      <c r="F1050" t="s">
        <v>77</v>
      </c>
      <c r="G1050" t="s">
        <v>746</v>
      </c>
      <c r="H1050">
        <v>26</v>
      </c>
      <c r="I1050">
        <v>11.86</v>
      </c>
      <c r="J1050" t="s">
        <v>839</v>
      </c>
      <c r="K1050" t="s">
        <v>812</v>
      </c>
      <c r="M1050" t="s">
        <v>1085</v>
      </c>
      <c r="P1050" t="s">
        <v>924</v>
      </c>
      <c r="Q1050" t="s">
        <v>26</v>
      </c>
      <c r="S1050" t="s">
        <v>81</v>
      </c>
      <c r="W1050">
        <v>2</v>
      </c>
      <c r="X1050" s="24">
        <v>46032</v>
      </c>
      <c r="Z1050" t="s">
        <v>38</v>
      </c>
      <c r="AB1050" t="s">
        <v>921</v>
      </c>
      <c r="AC1050" t="s">
        <v>946</v>
      </c>
      <c r="AD1050" t="s">
        <v>947</v>
      </c>
    </row>
    <row r="1051" spans="1:30" hidden="1" x14ac:dyDescent="0.25">
      <c r="A1051">
        <v>21</v>
      </c>
      <c r="B1051" t="s">
        <v>91</v>
      </c>
      <c r="C1051">
        <v>5</v>
      </c>
      <c r="D1051">
        <v>63</v>
      </c>
      <c r="E1051">
        <v>186</v>
      </c>
      <c r="F1051" t="s">
        <v>77</v>
      </c>
      <c r="G1051" t="s">
        <v>746</v>
      </c>
      <c r="H1051">
        <v>26</v>
      </c>
      <c r="I1051">
        <v>11.86</v>
      </c>
      <c r="J1051" t="s">
        <v>839</v>
      </c>
      <c r="K1051" t="s">
        <v>812</v>
      </c>
      <c r="M1051" t="s">
        <v>1085</v>
      </c>
      <c r="P1051" t="s">
        <v>924</v>
      </c>
      <c r="Q1051" t="s">
        <v>26</v>
      </c>
      <c r="S1051" t="s">
        <v>81</v>
      </c>
      <c r="W1051">
        <v>2</v>
      </c>
      <c r="X1051" s="24">
        <v>46032</v>
      </c>
      <c r="Z1051" t="s">
        <v>38</v>
      </c>
      <c r="AB1051" t="s">
        <v>921</v>
      </c>
      <c r="AC1051" t="s">
        <v>946</v>
      </c>
      <c r="AD1051" t="s">
        <v>947</v>
      </c>
    </row>
    <row r="1052" spans="1:30" hidden="1" x14ac:dyDescent="0.25">
      <c r="A1052">
        <v>22</v>
      </c>
      <c r="B1052" t="s">
        <v>86</v>
      </c>
      <c r="C1052">
        <v>5</v>
      </c>
      <c r="D1052">
        <v>43</v>
      </c>
      <c r="E1052">
        <v>86</v>
      </c>
      <c r="F1052" t="s">
        <v>77</v>
      </c>
      <c r="G1052" t="s">
        <v>746</v>
      </c>
      <c r="H1052">
        <v>82</v>
      </c>
      <c r="I1052">
        <v>11.58</v>
      </c>
      <c r="J1052" t="s">
        <v>839</v>
      </c>
      <c r="K1052" t="s">
        <v>812</v>
      </c>
      <c r="M1052" t="s">
        <v>1085</v>
      </c>
      <c r="P1052" t="s">
        <v>924</v>
      </c>
      <c r="Q1052" t="s">
        <v>26</v>
      </c>
      <c r="R1052" t="s">
        <v>81</v>
      </c>
      <c r="W1052">
        <v>2</v>
      </c>
      <c r="X1052" s="24">
        <v>46032</v>
      </c>
      <c r="Z1052" t="s">
        <v>38</v>
      </c>
      <c r="AB1052" t="s">
        <v>921</v>
      </c>
      <c r="AC1052" t="s">
        <v>949</v>
      </c>
      <c r="AD1052" t="s">
        <v>39</v>
      </c>
    </row>
    <row r="1053" spans="1:30" hidden="1" x14ac:dyDescent="0.25">
      <c r="A1053">
        <v>23</v>
      </c>
      <c r="B1053" t="s">
        <v>88</v>
      </c>
      <c r="C1053">
        <v>5</v>
      </c>
      <c r="D1053">
        <v>43</v>
      </c>
      <c r="E1053">
        <v>86</v>
      </c>
      <c r="F1053" t="s">
        <v>77</v>
      </c>
      <c r="G1053" t="s">
        <v>746</v>
      </c>
      <c r="H1053">
        <v>176</v>
      </c>
      <c r="I1053">
        <v>24.85</v>
      </c>
      <c r="J1053" t="s">
        <v>839</v>
      </c>
      <c r="K1053" t="s">
        <v>812</v>
      </c>
      <c r="M1053" t="s">
        <v>1085</v>
      </c>
      <c r="P1053" t="s">
        <v>924</v>
      </c>
      <c r="Q1053" t="s">
        <v>26</v>
      </c>
      <c r="R1053" t="s">
        <v>81</v>
      </c>
      <c r="W1053">
        <v>2</v>
      </c>
      <c r="X1053" s="24">
        <v>46032</v>
      </c>
      <c r="Z1053" t="s">
        <v>38</v>
      </c>
      <c r="AB1053" t="s">
        <v>921</v>
      </c>
      <c r="AC1053" t="s">
        <v>949</v>
      </c>
      <c r="AD1053" t="s">
        <v>39</v>
      </c>
    </row>
    <row r="1054" spans="1:30" hidden="1" x14ac:dyDescent="0.25">
      <c r="A1054">
        <v>24</v>
      </c>
      <c r="B1054" t="s">
        <v>90</v>
      </c>
      <c r="C1054">
        <v>5</v>
      </c>
      <c r="D1054">
        <v>43</v>
      </c>
      <c r="E1054">
        <v>86</v>
      </c>
      <c r="F1054" t="s">
        <v>77</v>
      </c>
      <c r="G1054" t="s">
        <v>746</v>
      </c>
      <c r="H1054">
        <v>112</v>
      </c>
      <c r="I1054">
        <v>15.82</v>
      </c>
      <c r="J1054" t="s">
        <v>839</v>
      </c>
      <c r="K1054" t="s">
        <v>812</v>
      </c>
      <c r="M1054" t="s">
        <v>1085</v>
      </c>
      <c r="P1054" t="s">
        <v>924</v>
      </c>
      <c r="Q1054" t="s">
        <v>26</v>
      </c>
      <c r="R1054" t="s">
        <v>81</v>
      </c>
      <c r="W1054">
        <v>2</v>
      </c>
      <c r="X1054" s="24">
        <v>46032</v>
      </c>
      <c r="Z1054" t="s">
        <v>38</v>
      </c>
      <c r="AB1054" t="s">
        <v>921</v>
      </c>
      <c r="AC1054" t="s">
        <v>949</v>
      </c>
      <c r="AD1054" t="s">
        <v>39</v>
      </c>
    </row>
    <row r="1055" spans="1:30" hidden="1" x14ac:dyDescent="0.25">
      <c r="A1055">
        <v>25</v>
      </c>
      <c r="B1055" t="s">
        <v>91</v>
      </c>
      <c r="C1055">
        <v>5</v>
      </c>
      <c r="D1055">
        <v>63</v>
      </c>
      <c r="E1055">
        <v>186</v>
      </c>
      <c r="F1055" t="s">
        <v>77</v>
      </c>
      <c r="G1055" t="s">
        <v>746</v>
      </c>
      <c r="H1055">
        <v>2</v>
      </c>
      <c r="I1055">
        <v>0.91</v>
      </c>
      <c r="J1055" t="s">
        <v>839</v>
      </c>
      <c r="K1055" t="s">
        <v>812</v>
      </c>
      <c r="M1055" t="s">
        <v>1085</v>
      </c>
      <c r="P1055" t="s">
        <v>924</v>
      </c>
      <c r="Q1055" t="s">
        <v>26</v>
      </c>
      <c r="R1055" t="s">
        <v>81</v>
      </c>
      <c r="W1055">
        <v>2</v>
      </c>
      <c r="X1055" s="24">
        <v>46032</v>
      </c>
      <c r="Z1055" t="s">
        <v>38</v>
      </c>
      <c r="AB1055" t="s">
        <v>921</v>
      </c>
      <c r="AC1055" t="s">
        <v>949</v>
      </c>
      <c r="AD1055" t="s">
        <v>39</v>
      </c>
    </row>
    <row r="1056" spans="1:30" hidden="1" x14ac:dyDescent="0.25">
      <c r="A1056">
        <v>26</v>
      </c>
      <c r="B1056" t="s">
        <v>92</v>
      </c>
      <c r="C1056">
        <v>5</v>
      </c>
      <c r="D1056">
        <v>43</v>
      </c>
      <c r="E1056">
        <v>86</v>
      </c>
      <c r="F1056" t="s">
        <v>77</v>
      </c>
      <c r="G1056" t="s">
        <v>746</v>
      </c>
      <c r="H1056">
        <v>120</v>
      </c>
      <c r="I1056">
        <v>16.95</v>
      </c>
      <c r="J1056" t="s">
        <v>839</v>
      </c>
      <c r="K1056" t="s">
        <v>812</v>
      </c>
      <c r="M1056" t="s">
        <v>1085</v>
      </c>
      <c r="P1056" t="s">
        <v>924</v>
      </c>
      <c r="Q1056" t="s">
        <v>26</v>
      </c>
      <c r="R1056" t="s">
        <v>81</v>
      </c>
      <c r="W1056">
        <v>2</v>
      </c>
      <c r="X1056" s="24">
        <v>46032</v>
      </c>
      <c r="Z1056" t="s">
        <v>38</v>
      </c>
      <c r="AB1056" t="s">
        <v>921</v>
      </c>
      <c r="AC1056" t="s">
        <v>949</v>
      </c>
      <c r="AD1056" t="s">
        <v>39</v>
      </c>
    </row>
    <row r="1057" spans="1:30" hidden="1" x14ac:dyDescent="0.25">
      <c r="A1057">
        <v>27</v>
      </c>
      <c r="B1057" t="s">
        <v>93</v>
      </c>
      <c r="C1057">
        <v>5</v>
      </c>
      <c r="D1057">
        <v>63</v>
      </c>
      <c r="E1057">
        <v>186</v>
      </c>
      <c r="F1057" t="s">
        <v>77</v>
      </c>
      <c r="G1057" t="s">
        <v>746</v>
      </c>
      <c r="H1057">
        <v>42</v>
      </c>
      <c r="I1057">
        <v>19.149999999999999</v>
      </c>
      <c r="J1057" t="s">
        <v>839</v>
      </c>
      <c r="K1057" t="s">
        <v>812</v>
      </c>
      <c r="M1057" t="s">
        <v>1085</v>
      </c>
      <c r="P1057" t="s">
        <v>924</v>
      </c>
      <c r="Q1057" t="s">
        <v>26</v>
      </c>
      <c r="R1057" t="s">
        <v>81</v>
      </c>
      <c r="W1057">
        <v>2</v>
      </c>
      <c r="X1057" s="24">
        <v>46032</v>
      </c>
      <c r="Z1057" t="s">
        <v>38</v>
      </c>
      <c r="AB1057" t="s">
        <v>921</v>
      </c>
      <c r="AC1057" t="s">
        <v>949</v>
      </c>
      <c r="AD1057" t="s">
        <v>39</v>
      </c>
    </row>
    <row r="1058" spans="1:30" hidden="1" x14ac:dyDescent="0.25">
      <c r="A1058">
        <v>28</v>
      </c>
      <c r="B1058" t="s">
        <v>94</v>
      </c>
      <c r="C1058">
        <v>5</v>
      </c>
      <c r="D1058">
        <v>43</v>
      </c>
      <c r="E1058">
        <v>86</v>
      </c>
      <c r="F1058" t="s">
        <v>77</v>
      </c>
      <c r="G1058" t="s">
        <v>746</v>
      </c>
      <c r="H1058">
        <v>176</v>
      </c>
      <c r="I1058">
        <v>24.85</v>
      </c>
      <c r="J1058" t="s">
        <v>839</v>
      </c>
      <c r="K1058" t="s">
        <v>812</v>
      </c>
      <c r="M1058" t="s">
        <v>1085</v>
      </c>
      <c r="P1058" t="s">
        <v>924</v>
      </c>
      <c r="Q1058" t="s">
        <v>26</v>
      </c>
      <c r="R1058" t="s">
        <v>81</v>
      </c>
      <c r="W1058">
        <v>2</v>
      </c>
      <c r="X1058" s="24">
        <v>46032</v>
      </c>
      <c r="Z1058" t="s">
        <v>38</v>
      </c>
      <c r="AB1058" t="s">
        <v>921</v>
      </c>
      <c r="AC1058" t="s">
        <v>949</v>
      </c>
      <c r="AD1058" t="s">
        <v>39</v>
      </c>
    </row>
    <row r="1059" spans="1:30" hidden="1" x14ac:dyDescent="0.25">
      <c r="A1059">
        <v>29</v>
      </c>
      <c r="B1059" t="s">
        <v>95</v>
      </c>
      <c r="C1059">
        <v>6</v>
      </c>
      <c r="D1059">
        <v>328</v>
      </c>
      <c r="E1059">
        <v>1752</v>
      </c>
      <c r="F1059" t="s">
        <v>77</v>
      </c>
      <c r="G1059" t="s">
        <v>746</v>
      </c>
      <c r="H1059">
        <v>1</v>
      </c>
      <c r="I1059">
        <v>25.59</v>
      </c>
      <c r="J1059" t="s">
        <v>839</v>
      </c>
      <c r="K1059" t="s">
        <v>812</v>
      </c>
      <c r="M1059" t="s">
        <v>1085</v>
      </c>
      <c r="P1059" t="s">
        <v>924</v>
      </c>
      <c r="R1059" t="s">
        <v>81</v>
      </c>
      <c r="U1059" t="s">
        <v>81</v>
      </c>
      <c r="V1059" t="s">
        <v>81</v>
      </c>
      <c r="W1059">
        <v>2</v>
      </c>
      <c r="X1059" s="24">
        <v>46032</v>
      </c>
      <c r="Z1059" t="s">
        <v>38</v>
      </c>
      <c r="AB1059" t="s">
        <v>921</v>
      </c>
      <c r="AC1059" t="s">
        <v>951</v>
      </c>
      <c r="AD1059" t="s">
        <v>39</v>
      </c>
    </row>
    <row r="1060" spans="1:30" hidden="1" x14ac:dyDescent="0.25">
      <c r="A1060">
        <v>30</v>
      </c>
      <c r="B1060" t="s">
        <v>100</v>
      </c>
      <c r="C1060">
        <v>6</v>
      </c>
      <c r="D1060">
        <v>328</v>
      </c>
      <c r="E1060">
        <v>1752</v>
      </c>
      <c r="F1060" t="s">
        <v>77</v>
      </c>
      <c r="G1060" t="s">
        <v>746</v>
      </c>
      <c r="H1060">
        <v>1</v>
      </c>
      <c r="I1060">
        <v>25.59</v>
      </c>
      <c r="J1060" t="s">
        <v>839</v>
      </c>
      <c r="K1060" t="s">
        <v>812</v>
      </c>
      <c r="M1060" t="s">
        <v>1085</v>
      </c>
      <c r="P1060" t="s">
        <v>924</v>
      </c>
      <c r="R1060" t="s">
        <v>81</v>
      </c>
      <c r="U1060" t="s">
        <v>81</v>
      </c>
      <c r="V1060" t="s">
        <v>81</v>
      </c>
      <c r="W1060">
        <v>2</v>
      </c>
      <c r="X1060" s="24">
        <v>46032</v>
      </c>
      <c r="Z1060" t="s">
        <v>38</v>
      </c>
      <c r="AB1060" t="s">
        <v>921</v>
      </c>
      <c r="AC1060" t="s">
        <v>951</v>
      </c>
      <c r="AD1060" t="s">
        <v>39</v>
      </c>
    </row>
    <row r="1061" spans="1:30" hidden="1" x14ac:dyDescent="0.25">
      <c r="A1061">
        <v>31</v>
      </c>
      <c r="B1061" t="s">
        <v>101</v>
      </c>
      <c r="C1061">
        <v>6</v>
      </c>
      <c r="D1061">
        <v>328</v>
      </c>
      <c r="E1061">
        <v>1752</v>
      </c>
      <c r="F1061" t="s">
        <v>77</v>
      </c>
      <c r="G1061" t="s">
        <v>746</v>
      </c>
      <c r="H1061">
        <v>3</v>
      </c>
      <c r="I1061">
        <v>76.790000000000006</v>
      </c>
      <c r="J1061" t="s">
        <v>839</v>
      </c>
      <c r="K1061" t="s">
        <v>812</v>
      </c>
      <c r="M1061" t="s">
        <v>1085</v>
      </c>
      <c r="P1061" t="s">
        <v>924</v>
      </c>
      <c r="R1061" t="s">
        <v>81</v>
      </c>
      <c r="U1061" t="s">
        <v>81</v>
      </c>
      <c r="V1061" t="s">
        <v>81</v>
      </c>
      <c r="W1061">
        <v>2</v>
      </c>
      <c r="X1061" s="24">
        <v>46032</v>
      </c>
      <c r="Z1061" t="s">
        <v>38</v>
      </c>
      <c r="AB1061" t="s">
        <v>921</v>
      </c>
      <c r="AC1061" t="s">
        <v>951</v>
      </c>
      <c r="AD1061" t="s">
        <v>39</v>
      </c>
    </row>
    <row r="1062" spans="1:30" hidden="1" x14ac:dyDescent="0.25">
      <c r="A1062">
        <v>32</v>
      </c>
      <c r="B1062" t="s">
        <v>102</v>
      </c>
      <c r="C1062">
        <v>6</v>
      </c>
      <c r="D1062">
        <v>328</v>
      </c>
      <c r="E1062">
        <v>1753</v>
      </c>
      <c r="F1062" t="s">
        <v>77</v>
      </c>
      <c r="G1062" t="s">
        <v>746</v>
      </c>
      <c r="H1062">
        <v>3</v>
      </c>
      <c r="I1062">
        <v>76.83</v>
      </c>
      <c r="J1062" t="s">
        <v>839</v>
      </c>
      <c r="K1062" t="s">
        <v>812</v>
      </c>
      <c r="M1062" t="s">
        <v>1085</v>
      </c>
      <c r="P1062" t="s">
        <v>924</v>
      </c>
      <c r="R1062" t="s">
        <v>81</v>
      </c>
      <c r="U1062" t="s">
        <v>81</v>
      </c>
      <c r="V1062" t="s">
        <v>81</v>
      </c>
      <c r="W1062">
        <v>2</v>
      </c>
      <c r="X1062" s="24">
        <v>46032</v>
      </c>
      <c r="Z1062" t="s">
        <v>38</v>
      </c>
      <c r="AB1062" t="s">
        <v>921</v>
      </c>
      <c r="AC1062" t="s">
        <v>951</v>
      </c>
      <c r="AD1062" t="s">
        <v>39</v>
      </c>
    </row>
    <row r="1063" spans="1:30" hidden="1" x14ac:dyDescent="0.25">
      <c r="A1063">
        <v>33</v>
      </c>
      <c r="B1063" t="s">
        <v>104</v>
      </c>
      <c r="C1063">
        <v>6</v>
      </c>
      <c r="D1063">
        <v>328</v>
      </c>
      <c r="E1063">
        <v>1752</v>
      </c>
      <c r="F1063" t="s">
        <v>77</v>
      </c>
      <c r="G1063" t="s">
        <v>746</v>
      </c>
      <c r="H1063">
        <v>2</v>
      </c>
      <c r="I1063">
        <v>51.18</v>
      </c>
      <c r="J1063" t="s">
        <v>839</v>
      </c>
      <c r="K1063" t="s">
        <v>812</v>
      </c>
      <c r="M1063" t="s">
        <v>1085</v>
      </c>
      <c r="P1063" t="s">
        <v>924</v>
      </c>
      <c r="R1063" t="s">
        <v>81</v>
      </c>
      <c r="U1063" t="s">
        <v>81</v>
      </c>
      <c r="V1063" t="s">
        <v>81</v>
      </c>
      <c r="W1063">
        <v>2</v>
      </c>
      <c r="X1063" s="24">
        <v>46032</v>
      </c>
      <c r="Z1063" t="s">
        <v>38</v>
      </c>
      <c r="AB1063" t="s">
        <v>921</v>
      </c>
      <c r="AC1063" t="s">
        <v>951</v>
      </c>
      <c r="AD1063" t="s">
        <v>39</v>
      </c>
    </row>
    <row r="1064" spans="1:30" hidden="1" x14ac:dyDescent="0.25">
      <c r="A1064">
        <v>34</v>
      </c>
      <c r="B1064" t="s">
        <v>105</v>
      </c>
      <c r="C1064">
        <v>6</v>
      </c>
      <c r="D1064">
        <v>328</v>
      </c>
      <c r="E1064">
        <v>1752</v>
      </c>
      <c r="F1064" t="s">
        <v>77</v>
      </c>
      <c r="G1064" t="s">
        <v>746</v>
      </c>
      <c r="H1064">
        <v>1</v>
      </c>
      <c r="I1064">
        <v>25.59</v>
      </c>
      <c r="J1064" t="s">
        <v>839</v>
      </c>
      <c r="K1064" t="s">
        <v>812</v>
      </c>
      <c r="M1064" t="s">
        <v>1085</v>
      </c>
      <c r="P1064" t="s">
        <v>924</v>
      </c>
      <c r="R1064" t="s">
        <v>81</v>
      </c>
      <c r="U1064" t="s">
        <v>81</v>
      </c>
      <c r="V1064" t="s">
        <v>81</v>
      </c>
      <c r="W1064">
        <v>2</v>
      </c>
      <c r="X1064" s="24">
        <v>46032</v>
      </c>
      <c r="Z1064" t="s">
        <v>38</v>
      </c>
      <c r="AB1064" t="s">
        <v>921</v>
      </c>
      <c r="AC1064" t="s">
        <v>951</v>
      </c>
      <c r="AD1064" t="s">
        <v>39</v>
      </c>
    </row>
    <row r="1065" spans="1:30" hidden="1" x14ac:dyDescent="0.25">
      <c r="A1065">
        <v>35</v>
      </c>
      <c r="B1065" t="s">
        <v>106</v>
      </c>
      <c r="C1065">
        <v>6</v>
      </c>
      <c r="D1065">
        <v>328</v>
      </c>
      <c r="E1065">
        <v>1752</v>
      </c>
      <c r="F1065" t="s">
        <v>77</v>
      </c>
      <c r="G1065" t="s">
        <v>746</v>
      </c>
      <c r="H1065">
        <v>1</v>
      </c>
      <c r="I1065">
        <v>25.59</v>
      </c>
      <c r="J1065" t="s">
        <v>839</v>
      </c>
      <c r="K1065" t="s">
        <v>812</v>
      </c>
      <c r="M1065" t="s">
        <v>1085</v>
      </c>
      <c r="P1065" t="s">
        <v>924</v>
      </c>
      <c r="R1065" t="s">
        <v>81</v>
      </c>
      <c r="U1065" t="s">
        <v>81</v>
      </c>
      <c r="V1065" t="s">
        <v>81</v>
      </c>
      <c r="W1065">
        <v>2</v>
      </c>
      <c r="X1065" s="24">
        <v>46032</v>
      </c>
      <c r="Z1065" t="s">
        <v>38</v>
      </c>
      <c r="AB1065" t="s">
        <v>921</v>
      </c>
      <c r="AC1065" t="s">
        <v>951</v>
      </c>
      <c r="AD1065" t="s">
        <v>39</v>
      </c>
    </row>
    <row r="1066" spans="1:30" hidden="1" x14ac:dyDescent="0.25">
      <c r="A1066">
        <v>36</v>
      </c>
      <c r="B1066" t="s">
        <v>107</v>
      </c>
      <c r="C1066">
        <v>6</v>
      </c>
      <c r="D1066">
        <v>328</v>
      </c>
      <c r="E1066">
        <v>1752</v>
      </c>
      <c r="F1066" t="s">
        <v>77</v>
      </c>
      <c r="G1066" t="s">
        <v>746</v>
      </c>
      <c r="H1066">
        <v>3</v>
      </c>
      <c r="I1066">
        <v>76.790000000000006</v>
      </c>
      <c r="J1066" t="s">
        <v>839</v>
      </c>
      <c r="K1066" t="s">
        <v>812</v>
      </c>
      <c r="M1066" t="s">
        <v>1085</v>
      </c>
      <c r="P1066" t="s">
        <v>924</v>
      </c>
      <c r="R1066" t="s">
        <v>81</v>
      </c>
      <c r="U1066" t="s">
        <v>81</v>
      </c>
      <c r="V1066" t="s">
        <v>81</v>
      </c>
      <c r="W1066">
        <v>2</v>
      </c>
      <c r="X1066" s="24">
        <v>46032</v>
      </c>
      <c r="Z1066" t="s">
        <v>38</v>
      </c>
      <c r="AB1066" t="s">
        <v>921</v>
      </c>
      <c r="AC1066" t="s">
        <v>951</v>
      </c>
      <c r="AD1066" t="s">
        <v>39</v>
      </c>
    </row>
    <row r="1067" spans="1:30" hidden="1" x14ac:dyDescent="0.25">
      <c r="A1067">
        <v>37</v>
      </c>
      <c r="B1067" t="s">
        <v>108</v>
      </c>
      <c r="C1067">
        <v>6</v>
      </c>
      <c r="D1067">
        <v>328</v>
      </c>
      <c r="E1067">
        <v>1753</v>
      </c>
      <c r="F1067" t="s">
        <v>77</v>
      </c>
      <c r="G1067" t="s">
        <v>746</v>
      </c>
      <c r="H1067">
        <v>3</v>
      </c>
      <c r="I1067">
        <v>76.83</v>
      </c>
      <c r="J1067" t="s">
        <v>839</v>
      </c>
      <c r="K1067" t="s">
        <v>812</v>
      </c>
      <c r="M1067" t="s">
        <v>1085</v>
      </c>
      <c r="P1067" t="s">
        <v>924</v>
      </c>
      <c r="R1067" t="s">
        <v>81</v>
      </c>
      <c r="U1067" t="s">
        <v>81</v>
      </c>
      <c r="V1067" t="s">
        <v>81</v>
      </c>
      <c r="W1067">
        <v>2</v>
      </c>
      <c r="X1067" s="24">
        <v>46032</v>
      </c>
      <c r="Z1067" t="s">
        <v>38</v>
      </c>
      <c r="AB1067" t="s">
        <v>921</v>
      </c>
      <c r="AC1067" t="s">
        <v>951</v>
      </c>
      <c r="AD1067" t="s">
        <v>39</v>
      </c>
    </row>
    <row r="1068" spans="1:30" hidden="1" x14ac:dyDescent="0.25">
      <c r="A1068">
        <v>38</v>
      </c>
      <c r="B1068" t="s">
        <v>109</v>
      </c>
      <c r="C1068">
        <v>6</v>
      </c>
      <c r="D1068">
        <v>328</v>
      </c>
      <c r="E1068">
        <v>1752</v>
      </c>
      <c r="F1068" t="s">
        <v>77</v>
      </c>
      <c r="G1068" t="s">
        <v>746</v>
      </c>
      <c r="H1068">
        <v>2</v>
      </c>
      <c r="I1068">
        <v>51.18</v>
      </c>
      <c r="J1068" t="s">
        <v>839</v>
      </c>
      <c r="K1068" t="s">
        <v>812</v>
      </c>
      <c r="M1068" t="s">
        <v>1085</v>
      </c>
      <c r="P1068" t="s">
        <v>924</v>
      </c>
      <c r="R1068" t="s">
        <v>81</v>
      </c>
      <c r="U1068" t="s">
        <v>81</v>
      </c>
      <c r="V1068" t="s">
        <v>81</v>
      </c>
      <c r="W1068">
        <v>2</v>
      </c>
      <c r="X1068" s="24">
        <v>46032</v>
      </c>
      <c r="Z1068" t="s">
        <v>38</v>
      </c>
      <c r="AB1068" t="s">
        <v>921</v>
      </c>
      <c r="AC1068" t="s">
        <v>951</v>
      </c>
      <c r="AD1068" t="s">
        <v>39</v>
      </c>
    </row>
    <row r="1069" spans="1:30" hidden="1" x14ac:dyDescent="0.25">
      <c r="A1069">
        <v>39</v>
      </c>
      <c r="B1069" t="s">
        <v>110</v>
      </c>
      <c r="C1069">
        <v>6</v>
      </c>
      <c r="D1069">
        <v>328</v>
      </c>
      <c r="E1069">
        <v>1672</v>
      </c>
      <c r="F1069" t="s">
        <v>77</v>
      </c>
      <c r="G1069" t="s">
        <v>746</v>
      </c>
      <c r="H1069">
        <v>2</v>
      </c>
      <c r="I1069">
        <v>48.91</v>
      </c>
      <c r="J1069" t="s">
        <v>839</v>
      </c>
      <c r="K1069" t="s">
        <v>812</v>
      </c>
      <c r="M1069" t="s">
        <v>1085</v>
      </c>
      <c r="P1069" t="s">
        <v>924</v>
      </c>
      <c r="R1069" t="s">
        <v>81</v>
      </c>
      <c r="U1069" t="s">
        <v>81</v>
      </c>
      <c r="V1069" t="s">
        <v>81</v>
      </c>
      <c r="W1069">
        <v>2</v>
      </c>
      <c r="X1069" s="24">
        <v>46032</v>
      </c>
      <c r="Z1069" t="s">
        <v>38</v>
      </c>
      <c r="AB1069" t="s">
        <v>921</v>
      </c>
      <c r="AC1069" t="s">
        <v>951</v>
      </c>
      <c r="AD1069" t="s">
        <v>39</v>
      </c>
    </row>
    <row r="1070" spans="1:30" hidden="1" x14ac:dyDescent="0.25">
      <c r="A1070">
        <v>40</v>
      </c>
      <c r="B1070" t="s">
        <v>112</v>
      </c>
      <c r="C1070">
        <v>6</v>
      </c>
      <c r="D1070">
        <v>328</v>
      </c>
      <c r="E1070">
        <v>1718</v>
      </c>
      <c r="F1070" t="s">
        <v>77</v>
      </c>
      <c r="G1070" t="s">
        <v>746</v>
      </c>
      <c r="H1070">
        <v>1</v>
      </c>
      <c r="I1070">
        <v>25.11</v>
      </c>
      <c r="J1070" t="s">
        <v>839</v>
      </c>
      <c r="K1070" t="s">
        <v>812</v>
      </c>
      <c r="M1070" t="s">
        <v>1085</v>
      </c>
      <c r="P1070" t="s">
        <v>924</v>
      </c>
      <c r="R1070" t="s">
        <v>81</v>
      </c>
      <c r="U1070" t="s">
        <v>81</v>
      </c>
      <c r="V1070" t="s">
        <v>81</v>
      </c>
      <c r="W1070">
        <v>2</v>
      </c>
      <c r="X1070" s="24">
        <v>46032</v>
      </c>
      <c r="Z1070" t="s">
        <v>38</v>
      </c>
      <c r="AB1070" t="s">
        <v>921</v>
      </c>
      <c r="AC1070" t="s">
        <v>951</v>
      </c>
      <c r="AD1070" t="s">
        <v>39</v>
      </c>
    </row>
    <row r="1071" spans="1:30" hidden="1" x14ac:dyDescent="0.25">
      <c r="A1071">
        <v>41</v>
      </c>
      <c r="B1071" t="s">
        <v>114</v>
      </c>
      <c r="C1071">
        <v>6</v>
      </c>
      <c r="D1071">
        <v>328</v>
      </c>
      <c r="E1071">
        <v>1729</v>
      </c>
      <c r="F1071" t="s">
        <v>77</v>
      </c>
      <c r="G1071" t="s">
        <v>746</v>
      </c>
      <c r="H1071">
        <v>5</v>
      </c>
      <c r="I1071">
        <v>126.35</v>
      </c>
      <c r="J1071" t="s">
        <v>839</v>
      </c>
      <c r="K1071" t="s">
        <v>812</v>
      </c>
      <c r="M1071" t="s">
        <v>1085</v>
      </c>
      <c r="P1071" t="s">
        <v>924</v>
      </c>
      <c r="R1071" t="s">
        <v>81</v>
      </c>
      <c r="U1071" t="s">
        <v>81</v>
      </c>
      <c r="V1071" t="s">
        <v>81</v>
      </c>
      <c r="W1071">
        <v>2</v>
      </c>
      <c r="X1071" s="24">
        <v>46032</v>
      </c>
      <c r="Z1071" t="s">
        <v>38</v>
      </c>
      <c r="AB1071" t="s">
        <v>921</v>
      </c>
      <c r="AC1071" t="s">
        <v>951</v>
      </c>
      <c r="AD1071" t="s">
        <v>39</v>
      </c>
    </row>
    <row r="1072" spans="1:30" hidden="1" x14ac:dyDescent="0.25">
      <c r="A1072">
        <v>42</v>
      </c>
      <c r="B1072" t="s">
        <v>116</v>
      </c>
      <c r="C1072">
        <v>6</v>
      </c>
      <c r="D1072">
        <v>298</v>
      </c>
      <c r="E1072">
        <v>378</v>
      </c>
      <c r="F1072" t="s">
        <v>77</v>
      </c>
      <c r="G1072" t="s">
        <v>746</v>
      </c>
      <c r="H1072">
        <v>1</v>
      </c>
      <c r="I1072">
        <v>5.27</v>
      </c>
      <c r="J1072" t="s">
        <v>839</v>
      </c>
      <c r="K1072" t="s">
        <v>812</v>
      </c>
      <c r="M1072" t="s">
        <v>1085</v>
      </c>
      <c r="P1072" t="s">
        <v>924</v>
      </c>
      <c r="Q1072" t="s">
        <v>26</v>
      </c>
      <c r="R1072" t="s">
        <v>81</v>
      </c>
      <c r="W1072">
        <v>2</v>
      </c>
      <c r="X1072" s="24">
        <v>46032</v>
      </c>
      <c r="Z1072" t="s">
        <v>38</v>
      </c>
      <c r="AB1072" t="s">
        <v>921</v>
      </c>
      <c r="AC1072" t="s">
        <v>951</v>
      </c>
      <c r="AD1072" t="s">
        <v>39</v>
      </c>
    </row>
    <row r="1073" spans="1:30" hidden="1" x14ac:dyDescent="0.25">
      <c r="A1073">
        <v>43</v>
      </c>
      <c r="B1073" t="s">
        <v>118</v>
      </c>
      <c r="C1073">
        <v>6</v>
      </c>
      <c r="D1073">
        <v>328</v>
      </c>
      <c r="E1073">
        <v>1729</v>
      </c>
      <c r="F1073" t="s">
        <v>77</v>
      </c>
      <c r="G1073" t="s">
        <v>746</v>
      </c>
      <c r="H1073">
        <v>13</v>
      </c>
      <c r="I1073">
        <v>328.51</v>
      </c>
      <c r="J1073" t="s">
        <v>839</v>
      </c>
      <c r="K1073" t="s">
        <v>812</v>
      </c>
      <c r="M1073" t="s">
        <v>1085</v>
      </c>
      <c r="P1073" t="s">
        <v>924</v>
      </c>
      <c r="R1073" t="s">
        <v>81</v>
      </c>
      <c r="U1073" t="s">
        <v>81</v>
      </c>
      <c r="V1073" t="s">
        <v>81</v>
      </c>
      <c r="W1073">
        <v>2</v>
      </c>
      <c r="X1073" s="24">
        <v>46032</v>
      </c>
      <c r="Z1073" t="s">
        <v>38</v>
      </c>
      <c r="AB1073" t="s">
        <v>921</v>
      </c>
      <c r="AC1073" t="s">
        <v>953</v>
      </c>
      <c r="AD1073" t="s">
        <v>39</v>
      </c>
    </row>
    <row r="1074" spans="1:30" hidden="1" x14ac:dyDescent="0.25">
      <c r="A1074">
        <v>44</v>
      </c>
      <c r="B1074" t="s">
        <v>114</v>
      </c>
      <c r="C1074">
        <v>6</v>
      </c>
      <c r="D1074">
        <v>328</v>
      </c>
      <c r="E1074">
        <v>1729</v>
      </c>
      <c r="F1074" t="s">
        <v>77</v>
      </c>
      <c r="G1074" t="s">
        <v>746</v>
      </c>
      <c r="H1074">
        <v>15</v>
      </c>
      <c r="I1074">
        <v>379.05</v>
      </c>
      <c r="J1074" t="s">
        <v>839</v>
      </c>
      <c r="K1074" t="s">
        <v>812</v>
      </c>
      <c r="M1074" t="s">
        <v>1085</v>
      </c>
      <c r="P1074" t="s">
        <v>924</v>
      </c>
      <c r="R1074" t="s">
        <v>81</v>
      </c>
      <c r="U1074" t="s">
        <v>81</v>
      </c>
      <c r="V1074" t="s">
        <v>81</v>
      </c>
      <c r="W1074">
        <v>2</v>
      </c>
      <c r="X1074" s="24">
        <v>46032</v>
      </c>
      <c r="Z1074" t="s">
        <v>38</v>
      </c>
      <c r="AB1074" t="s">
        <v>921</v>
      </c>
      <c r="AC1074" t="s">
        <v>953</v>
      </c>
      <c r="AD1074" t="s">
        <v>39</v>
      </c>
    </row>
    <row r="1075" spans="1:30" hidden="1" x14ac:dyDescent="0.25">
      <c r="A1075">
        <v>45</v>
      </c>
      <c r="B1075" t="s">
        <v>121</v>
      </c>
      <c r="C1075">
        <v>6</v>
      </c>
      <c r="D1075">
        <v>328</v>
      </c>
      <c r="E1075">
        <v>934</v>
      </c>
      <c r="F1075" t="s">
        <v>77</v>
      </c>
      <c r="G1075" t="s">
        <v>746</v>
      </c>
      <c r="H1075">
        <v>1</v>
      </c>
      <c r="I1075">
        <v>14.43</v>
      </c>
      <c r="J1075" t="s">
        <v>839</v>
      </c>
      <c r="K1075" t="s">
        <v>812</v>
      </c>
      <c r="M1075" t="s">
        <v>1085</v>
      </c>
      <c r="P1075" t="s">
        <v>924</v>
      </c>
      <c r="R1075" t="s">
        <v>81</v>
      </c>
      <c r="U1075" t="s">
        <v>81</v>
      </c>
      <c r="W1075">
        <v>2</v>
      </c>
      <c r="X1075" s="24">
        <v>46032</v>
      </c>
      <c r="Z1075" t="s">
        <v>38</v>
      </c>
      <c r="AB1075" t="s">
        <v>921</v>
      </c>
      <c r="AC1075" t="s">
        <v>953</v>
      </c>
      <c r="AD1075" t="s">
        <v>39</v>
      </c>
    </row>
    <row r="1076" spans="1:30" hidden="1" x14ac:dyDescent="0.25">
      <c r="A1076">
        <v>46</v>
      </c>
      <c r="B1076" t="s">
        <v>123</v>
      </c>
      <c r="C1076">
        <v>6</v>
      </c>
      <c r="D1076">
        <v>298</v>
      </c>
      <c r="E1076">
        <v>378</v>
      </c>
      <c r="F1076" t="s">
        <v>77</v>
      </c>
      <c r="G1076" t="s">
        <v>746</v>
      </c>
      <c r="H1076">
        <v>1</v>
      </c>
      <c r="I1076">
        <v>5.27</v>
      </c>
      <c r="J1076" t="s">
        <v>839</v>
      </c>
      <c r="K1076" t="s">
        <v>812</v>
      </c>
      <c r="M1076" t="s">
        <v>1085</v>
      </c>
      <c r="P1076" t="s">
        <v>924</v>
      </c>
      <c r="Q1076" t="s">
        <v>26</v>
      </c>
      <c r="R1076" t="s">
        <v>81</v>
      </c>
      <c r="W1076">
        <v>2</v>
      </c>
      <c r="X1076" s="24">
        <v>46032</v>
      </c>
      <c r="Z1076" t="s">
        <v>38</v>
      </c>
      <c r="AB1076" t="s">
        <v>921</v>
      </c>
      <c r="AC1076" t="s">
        <v>953</v>
      </c>
      <c r="AD1076" t="s">
        <v>39</v>
      </c>
    </row>
    <row r="1077" spans="1:30" hidden="1" x14ac:dyDescent="0.25">
      <c r="A1077">
        <v>47</v>
      </c>
      <c r="B1077" t="s">
        <v>124</v>
      </c>
      <c r="C1077">
        <v>6</v>
      </c>
      <c r="D1077">
        <v>328</v>
      </c>
      <c r="E1077">
        <v>1672</v>
      </c>
      <c r="F1077" t="s">
        <v>77</v>
      </c>
      <c r="G1077" t="s">
        <v>746</v>
      </c>
      <c r="H1077">
        <v>2</v>
      </c>
      <c r="I1077">
        <v>48.91</v>
      </c>
      <c r="J1077" t="s">
        <v>839</v>
      </c>
      <c r="K1077" t="s">
        <v>812</v>
      </c>
      <c r="M1077" t="s">
        <v>1085</v>
      </c>
      <c r="P1077" t="s">
        <v>924</v>
      </c>
      <c r="R1077" t="s">
        <v>81</v>
      </c>
      <c r="U1077" t="s">
        <v>81</v>
      </c>
      <c r="V1077" t="s">
        <v>81</v>
      </c>
      <c r="W1077">
        <v>2</v>
      </c>
      <c r="X1077" s="24">
        <v>46032</v>
      </c>
      <c r="Z1077" t="s">
        <v>38</v>
      </c>
      <c r="AB1077" t="s">
        <v>921</v>
      </c>
      <c r="AC1077" t="s">
        <v>955</v>
      </c>
      <c r="AD1077" t="s">
        <v>39</v>
      </c>
    </row>
    <row r="1078" spans="1:30" hidden="1" x14ac:dyDescent="0.25">
      <c r="A1078">
        <v>48</v>
      </c>
      <c r="B1078" t="s">
        <v>127</v>
      </c>
      <c r="C1078">
        <v>6</v>
      </c>
      <c r="D1078">
        <v>328</v>
      </c>
      <c r="E1078">
        <v>1718</v>
      </c>
      <c r="F1078" t="s">
        <v>77</v>
      </c>
      <c r="G1078" t="s">
        <v>746</v>
      </c>
      <c r="H1078">
        <v>8</v>
      </c>
      <c r="I1078">
        <v>200.91</v>
      </c>
      <c r="J1078" t="s">
        <v>839</v>
      </c>
      <c r="K1078" t="s">
        <v>812</v>
      </c>
      <c r="M1078" t="s">
        <v>1085</v>
      </c>
      <c r="P1078" t="s">
        <v>924</v>
      </c>
      <c r="R1078" t="s">
        <v>81</v>
      </c>
      <c r="U1078" t="s">
        <v>81</v>
      </c>
      <c r="V1078" t="s">
        <v>81</v>
      </c>
      <c r="W1078">
        <v>2</v>
      </c>
      <c r="X1078" s="24">
        <v>46032</v>
      </c>
      <c r="Z1078" t="s">
        <v>38</v>
      </c>
      <c r="AB1078" t="s">
        <v>921</v>
      </c>
      <c r="AC1078" t="s">
        <v>955</v>
      </c>
      <c r="AD1078" t="s">
        <v>39</v>
      </c>
    </row>
    <row r="1079" spans="1:30" hidden="1" x14ac:dyDescent="0.25">
      <c r="A1079">
        <v>49</v>
      </c>
      <c r="B1079" t="s">
        <v>118</v>
      </c>
      <c r="C1079">
        <v>6</v>
      </c>
      <c r="D1079">
        <v>328</v>
      </c>
      <c r="E1079">
        <v>1729</v>
      </c>
      <c r="F1079" t="s">
        <v>77</v>
      </c>
      <c r="G1079" t="s">
        <v>746</v>
      </c>
      <c r="H1079">
        <v>7</v>
      </c>
      <c r="I1079">
        <v>176.89</v>
      </c>
      <c r="J1079" t="s">
        <v>839</v>
      </c>
      <c r="K1079" t="s">
        <v>812</v>
      </c>
      <c r="M1079" t="s">
        <v>1085</v>
      </c>
      <c r="P1079" t="s">
        <v>924</v>
      </c>
      <c r="R1079" t="s">
        <v>81</v>
      </c>
      <c r="U1079" t="s">
        <v>81</v>
      </c>
      <c r="V1079" t="s">
        <v>81</v>
      </c>
      <c r="W1079">
        <v>2</v>
      </c>
      <c r="X1079" s="24">
        <v>46032</v>
      </c>
      <c r="Z1079" t="s">
        <v>38</v>
      </c>
      <c r="AB1079" t="s">
        <v>921</v>
      </c>
      <c r="AC1079" t="s">
        <v>955</v>
      </c>
      <c r="AD1079" t="s">
        <v>39</v>
      </c>
    </row>
    <row r="1080" spans="1:30" hidden="1" x14ac:dyDescent="0.25">
      <c r="A1080">
        <v>50</v>
      </c>
      <c r="B1080" t="s">
        <v>112</v>
      </c>
      <c r="C1080">
        <v>6</v>
      </c>
      <c r="D1080">
        <v>328</v>
      </c>
      <c r="E1080">
        <v>1718</v>
      </c>
      <c r="F1080" t="s">
        <v>77</v>
      </c>
      <c r="G1080" t="s">
        <v>746</v>
      </c>
      <c r="H1080">
        <v>7</v>
      </c>
      <c r="I1080">
        <v>175.79</v>
      </c>
      <c r="J1080" t="s">
        <v>839</v>
      </c>
      <c r="K1080" t="s">
        <v>812</v>
      </c>
      <c r="M1080" t="s">
        <v>1085</v>
      </c>
      <c r="P1080" t="s">
        <v>924</v>
      </c>
      <c r="R1080" t="s">
        <v>81</v>
      </c>
      <c r="U1080" t="s">
        <v>81</v>
      </c>
      <c r="V1080" t="s">
        <v>81</v>
      </c>
      <c r="W1080">
        <v>2</v>
      </c>
      <c r="X1080" s="24">
        <v>46032</v>
      </c>
      <c r="Z1080" t="s">
        <v>38</v>
      </c>
      <c r="AB1080" t="s">
        <v>921</v>
      </c>
      <c r="AC1080" t="s">
        <v>955</v>
      </c>
      <c r="AD1080" t="s">
        <v>39</v>
      </c>
    </row>
    <row r="1081" spans="1:30" hidden="1" x14ac:dyDescent="0.25">
      <c r="A1081">
        <v>51</v>
      </c>
      <c r="B1081" t="s">
        <v>121</v>
      </c>
      <c r="C1081">
        <v>6</v>
      </c>
      <c r="D1081">
        <v>328</v>
      </c>
      <c r="E1081">
        <v>934</v>
      </c>
      <c r="F1081" t="s">
        <v>77</v>
      </c>
      <c r="G1081" t="s">
        <v>746</v>
      </c>
      <c r="H1081">
        <v>8</v>
      </c>
      <c r="I1081">
        <v>115.43</v>
      </c>
      <c r="J1081" t="s">
        <v>839</v>
      </c>
      <c r="K1081" t="s">
        <v>812</v>
      </c>
      <c r="M1081" t="s">
        <v>1085</v>
      </c>
      <c r="P1081" t="s">
        <v>924</v>
      </c>
      <c r="R1081" t="s">
        <v>81</v>
      </c>
      <c r="U1081" t="s">
        <v>81</v>
      </c>
      <c r="W1081">
        <v>2</v>
      </c>
      <c r="X1081" s="24">
        <v>46032</v>
      </c>
      <c r="Z1081" t="s">
        <v>38</v>
      </c>
      <c r="AB1081" t="s">
        <v>921</v>
      </c>
      <c r="AC1081" t="s">
        <v>955</v>
      </c>
      <c r="AD1081" t="s">
        <v>39</v>
      </c>
    </row>
    <row r="1082" spans="1:30" hidden="1" x14ac:dyDescent="0.25">
      <c r="A1082">
        <v>52</v>
      </c>
      <c r="B1082" t="s">
        <v>116</v>
      </c>
      <c r="C1082">
        <v>6</v>
      </c>
      <c r="D1082">
        <v>298</v>
      </c>
      <c r="E1082">
        <v>378</v>
      </c>
      <c r="F1082" t="s">
        <v>77</v>
      </c>
      <c r="G1082" t="s">
        <v>746</v>
      </c>
      <c r="H1082">
        <v>1</v>
      </c>
      <c r="I1082">
        <v>5.27</v>
      </c>
      <c r="J1082" t="s">
        <v>839</v>
      </c>
      <c r="K1082" t="s">
        <v>812</v>
      </c>
      <c r="M1082" t="s">
        <v>1085</v>
      </c>
      <c r="P1082" t="s">
        <v>924</v>
      </c>
      <c r="Q1082" t="s">
        <v>26</v>
      </c>
      <c r="R1082" t="s">
        <v>81</v>
      </c>
      <c r="W1082">
        <v>2</v>
      </c>
      <c r="X1082" s="24">
        <v>46032</v>
      </c>
      <c r="Z1082" t="s">
        <v>38</v>
      </c>
      <c r="AB1082" t="s">
        <v>921</v>
      </c>
      <c r="AC1082" t="s">
        <v>955</v>
      </c>
      <c r="AD1082" t="s">
        <v>39</v>
      </c>
    </row>
    <row r="1083" spans="1:30" hidden="1" x14ac:dyDescent="0.25">
      <c r="A1083">
        <v>53</v>
      </c>
      <c r="B1083" t="s">
        <v>128</v>
      </c>
      <c r="C1083">
        <v>6</v>
      </c>
      <c r="D1083">
        <v>188</v>
      </c>
      <c r="E1083">
        <v>2493</v>
      </c>
      <c r="F1083" t="s">
        <v>77</v>
      </c>
      <c r="G1083" t="s">
        <v>746</v>
      </c>
      <c r="H1083">
        <v>4</v>
      </c>
      <c r="I1083">
        <v>86.83</v>
      </c>
      <c r="J1083" t="s">
        <v>839</v>
      </c>
      <c r="K1083" t="s">
        <v>812</v>
      </c>
      <c r="M1083" t="s">
        <v>1085</v>
      </c>
      <c r="P1083" t="s">
        <v>924</v>
      </c>
      <c r="R1083" t="s">
        <v>81</v>
      </c>
      <c r="U1083" t="s">
        <v>81</v>
      </c>
      <c r="V1083" t="s">
        <v>81</v>
      </c>
      <c r="W1083">
        <v>2</v>
      </c>
      <c r="X1083" s="24">
        <v>46032</v>
      </c>
      <c r="Z1083" t="s">
        <v>38</v>
      </c>
      <c r="AB1083" t="s">
        <v>921</v>
      </c>
      <c r="AC1083" t="s">
        <v>957</v>
      </c>
      <c r="AD1083" t="s">
        <v>39</v>
      </c>
    </row>
    <row r="1084" spans="1:30" hidden="1" x14ac:dyDescent="0.25">
      <c r="A1084">
        <v>54</v>
      </c>
      <c r="B1084" t="s">
        <v>132</v>
      </c>
      <c r="C1084">
        <v>6</v>
      </c>
      <c r="D1084">
        <v>188</v>
      </c>
      <c r="E1084">
        <v>2494</v>
      </c>
      <c r="F1084" t="s">
        <v>77</v>
      </c>
      <c r="G1084" t="s">
        <v>746</v>
      </c>
      <c r="H1084">
        <v>4</v>
      </c>
      <c r="I1084">
        <v>86.84</v>
      </c>
      <c r="J1084" t="s">
        <v>839</v>
      </c>
      <c r="K1084" t="s">
        <v>812</v>
      </c>
      <c r="M1084" t="s">
        <v>1085</v>
      </c>
      <c r="P1084" t="s">
        <v>924</v>
      </c>
      <c r="R1084" t="s">
        <v>81</v>
      </c>
      <c r="U1084" t="s">
        <v>81</v>
      </c>
      <c r="V1084" t="s">
        <v>81</v>
      </c>
      <c r="W1084">
        <v>2</v>
      </c>
      <c r="X1084" s="24">
        <v>46032</v>
      </c>
      <c r="Z1084" t="s">
        <v>38</v>
      </c>
      <c r="AB1084" t="s">
        <v>921</v>
      </c>
      <c r="AC1084" t="s">
        <v>957</v>
      </c>
      <c r="AD1084" t="s">
        <v>39</v>
      </c>
    </row>
    <row r="1085" spans="1:30" hidden="1" x14ac:dyDescent="0.25">
      <c r="A1085">
        <v>55</v>
      </c>
      <c r="B1085" t="s">
        <v>134</v>
      </c>
      <c r="C1085">
        <v>6</v>
      </c>
      <c r="D1085">
        <v>188</v>
      </c>
      <c r="E1085">
        <v>2491</v>
      </c>
      <c r="F1085" t="s">
        <v>77</v>
      </c>
      <c r="G1085" t="s">
        <v>746</v>
      </c>
      <c r="H1085">
        <v>12</v>
      </c>
      <c r="I1085">
        <v>260.32</v>
      </c>
      <c r="J1085" t="s">
        <v>839</v>
      </c>
      <c r="K1085" t="s">
        <v>812</v>
      </c>
      <c r="M1085" t="s">
        <v>1085</v>
      </c>
      <c r="P1085" t="s">
        <v>924</v>
      </c>
      <c r="R1085" t="s">
        <v>81</v>
      </c>
      <c r="U1085" t="s">
        <v>81</v>
      </c>
      <c r="V1085" t="s">
        <v>81</v>
      </c>
      <c r="W1085">
        <v>2</v>
      </c>
      <c r="X1085" s="24">
        <v>46032</v>
      </c>
      <c r="Z1085" t="s">
        <v>38</v>
      </c>
      <c r="AB1085" t="s">
        <v>921</v>
      </c>
      <c r="AC1085" t="s">
        <v>957</v>
      </c>
      <c r="AD1085" t="s">
        <v>39</v>
      </c>
    </row>
    <row r="1086" spans="1:30" hidden="1" x14ac:dyDescent="0.25">
      <c r="A1086">
        <v>56</v>
      </c>
      <c r="B1086" t="s">
        <v>136</v>
      </c>
      <c r="C1086">
        <v>6</v>
      </c>
      <c r="D1086">
        <v>188</v>
      </c>
      <c r="E1086">
        <v>2493</v>
      </c>
      <c r="F1086" t="s">
        <v>77</v>
      </c>
      <c r="G1086" t="s">
        <v>746</v>
      </c>
      <c r="H1086">
        <v>4</v>
      </c>
      <c r="I1086">
        <v>86.83</v>
      </c>
      <c r="J1086" t="s">
        <v>839</v>
      </c>
      <c r="K1086" t="s">
        <v>812</v>
      </c>
      <c r="M1086" t="s">
        <v>1085</v>
      </c>
      <c r="P1086" t="s">
        <v>924</v>
      </c>
      <c r="R1086" t="s">
        <v>81</v>
      </c>
      <c r="U1086" t="s">
        <v>81</v>
      </c>
      <c r="V1086" t="s">
        <v>81</v>
      </c>
      <c r="W1086">
        <v>2</v>
      </c>
      <c r="X1086" s="24">
        <v>46032</v>
      </c>
      <c r="Z1086" t="s">
        <v>38</v>
      </c>
      <c r="AB1086" t="s">
        <v>921</v>
      </c>
      <c r="AC1086" t="s">
        <v>957</v>
      </c>
      <c r="AD1086" t="s">
        <v>39</v>
      </c>
    </row>
    <row r="1087" spans="1:30" hidden="1" x14ac:dyDescent="0.25">
      <c r="A1087">
        <v>57</v>
      </c>
      <c r="B1087" t="s">
        <v>137</v>
      </c>
      <c r="C1087">
        <v>6</v>
      </c>
      <c r="D1087">
        <v>188</v>
      </c>
      <c r="E1087">
        <v>2494</v>
      </c>
      <c r="F1087" t="s">
        <v>77</v>
      </c>
      <c r="G1087" t="s">
        <v>746</v>
      </c>
      <c r="H1087">
        <v>4</v>
      </c>
      <c r="I1087">
        <v>86.84</v>
      </c>
      <c r="J1087" t="s">
        <v>839</v>
      </c>
      <c r="K1087" t="s">
        <v>812</v>
      </c>
      <c r="M1087" t="s">
        <v>1085</v>
      </c>
      <c r="P1087" t="s">
        <v>924</v>
      </c>
      <c r="R1087" t="s">
        <v>81</v>
      </c>
      <c r="U1087" t="s">
        <v>81</v>
      </c>
      <c r="V1087" t="s">
        <v>81</v>
      </c>
      <c r="W1087">
        <v>2</v>
      </c>
      <c r="X1087" s="24">
        <v>46032</v>
      </c>
      <c r="Z1087" t="s">
        <v>38</v>
      </c>
      <c r="AB1087" t="s">
        <v>921</v>
      </c>
      <c r="AC1087" t="s">
        <v>957</v>
      </c>
      <c r="AD1087" t="s">
        <v>39</v>
      </c>
    </row>
    <row r="1088" spans="1:30" hidden="1" x14ac:dyDescent="0.25">
      <c r="A1088">
        <v>58</v>
      </c>
      <c r="B1088" t="s">
        <v>138</v>
      </c>
      <c r="C1088">
        <v>6</v>
      </c>
      <c r="D1088">
        <v>328</v>
      </c>
      <c r="E1088">
        <v>934</v>
      </c>
      <c r="F1088" t="s">
        <v>77</v>
      </c>
      <c r="G1088" t="s">
        <v>746</v>
      </c>
      <c r="H1088">
        <v>4</v>
      </c>
      <c r="I1088">
        <v>57.72</v>
      </c>
      <c r="J1088" t="s">
        <v>839</v>
      </c>
      <c r="K1088" t="s">
        <v>812</v>
      </c>
      <c r="M1088" t="s">
        <v>1085</v>
      </c>
      <c r="P1088" t="s">
        <v>924</v>
      </c>
      <c r="R1088" t="s">
        <v>81</v>
      </c>
      <c r="U1088" t="s">
        <v>81</v>
      </c>
      <c r="W1088">
        <v>2</v>
      </c>
      <c r="X1088" s="24">
        <v>46032</v>
      </c>
      <c r="Z1088" t="s">
        <v>38</v>
      </c>
      <c r="AB1088" t="s">
        <v>921</v>
      </c>
      <c r="AC1088" t="s">
        <v>957</v>
      </c>
      <c r="AD1088" t="s">
        <v>39</v>
      </c>
    </row>
    <row r="1089" spans="1:30" hidden="1" x14ac:dyDescent="0.25">
      <c r="A1089">
        <v>59</v>
      </c>
      <c r="B1089" t="s">
        <v>139</v>
      </c>
      <c r="C1089">
        <v>6</v>
      </c>
      <c r="D1089">
        <v>328</v>
      </c>
      <c r="E1089">
        <v>934</v>
      </c>
      <c r="F1089" t="s">
        <v>77</v>
      </c>
      <c r="G1089" t="s">
        <v>746</v>
      </c>
      <c r="H1089">
        <v>4</v>
      </c>
      <c r="I1089">
        <v>57.72</v>
      </c>
      <c r="J1089" t="s">
        <v>839</v>
      </c>
      <c r="K1089" t="s">
        <v>812</v>
      </c>
      <c r="M1089" t="s">
        <v>1085</v>
      </c>
      <c r="P1089" t="s">
        <v>924</v>
      </c>
      <c r="R1089" t="s">
        <v>81</v>
      </c>
      <c r="U1089" t="s">
        <v>81</v>
      </c>
      <c r="W1089">
        <v>2</v>
      </c>
      <c r="X1089" s="24">
        <v>46032</v>
      </c>
      <c r="Z1089" t="s">
        <v>38</v>
      </c>
      <c r="AB1089" t="s">
        <v>921</v>
      </c>
      <c r="AC1089" t="s">
        <v>957</v>
      </c>
      <c r="AD1089" t="s">
        <v>39</v>
      </c>
    </row>
    <row r="1090" spans="1:30" hidden="1" x14ac:dyDescent="0.25">
      <c r="A1090">
        <v>60</v>
      </c>
      <c r="B1090" t="s">
        <v>140</v>
      </c>
      <c r="C1090">
        <v>6</v>
      </c>
      <c r="D1090">
        <v>188</v>
      </c>
      <c r="E1090">
        <v>2491</v>
      </c>
      <c r="F1090" t="s">
        <v>77</v>
      </c>
      <c r="G1090" t="s">
        <v>746</v>
      </c>
      <c r="H1090">
        <v>18</v>
      </c>
      <c r="I1090">
        <v>390.49</v>
      </c>
      <c r="J1090" t="s">
        <v>839</v>
      </c>
      <c r="K1090" t="s">
        <v>812</v>
      </c>
      <c r="M1090" t="s">
        <v>1085</v>
      </c>
      <c r="P1090" t="s">
        <v>924</v>
      </c>
      <c r="R1090" t="s">
        <v>81</v>
      </c>
      <c r="U1090" t="s">
        <v>81</v>
      </c>
      <c r="V1090" t="s">
        <v>81</v>
      </c>
      <c r="W1090">
        <v>2</v>
      </c>
      <c r="X1090" s="24">
        <v>46032</v>
      </c>
      <c r="Z1090" t="s">
        <v>38</v>
      </c>
      <c r="AB1090" t="s">
        <v>921</v>
      </c>
      <c r="AC1090" t="s">
        <v>959</v>
      </c>
      <c r="AD1090" t="s">
        <v>39</v>
      </c>
    </row>
    <row r="1091" spans="1:30" hidden="1" x14ac:dyDescent="0.25">
      <c r="A1091">
        <v>61</v>
      </c>
      <c r="B1091" t="s">
        <v>134</v>
      </c>
      <c r="C1091">
        <v>6</v>
      </c>
      <c r="D1091">
        <v>188</v>
      </c>
      <c r="E1091">
        <v>2491</v>
      </c>
      <c r="F1091" t="s">
        <v>77</v>
      </c>
      <c r="G1091" t="s">
        <v>746</v>
      </c>
      <c r="H1091">
        <v>6</v>
      </c>
      <c r="I1091">
        <v>130.16</v>
      </c>
      <c r="J1091" t="s">
        <v>839</v>
      </c>
      <c r="K1091" t="s">
        <v>812</v>
      </c>
      <c r="M1091" t="s">
        <v>1085</v>
      </c>
      <c r="P1091" t="s">
        <v>924</v>
      </c>
      <c r="R1091" t="s">
        <v>81</v>
      </c>
      <c r="U1091" t="s">
        <v>81</v>
      </c>
      <c r="V1091" t="s">
        <v>81</v>
      </c>
      <c r="W1091">
        <v>2</v>
      </c>
      <c r="X1091" s="24">
        <v>46032</v>
      </c>
      <c r="Z1091" t="s">
        <v>38</v>
      </c>
      <c r="AB1091" t="s">
        <v>921</v>
      </c>
      <c r="AC1091" t="s">
        <v>959</v>
      </c>
      <c r="AD1091" t="s">
        <v>39</v>
      </c>
    </row>
    <row r="1092" spans="1:30" hidden="1" x14ac:dyDescent="0.25">
      <c r="A1092">
        <v>62</v>
      </c>
      <c r="B1092" t="s">
        <v>143</v>
      </c>
      <c r="C1092">
        <v>6</v>
      </c>
      <c r="D1092">
        <v>188</v>
      </c>
      <c r="E1092">
        <v>2491</v>
      </c>
      <c r="F1092" t="s">
        <v>77</v>
      </c>
      <c r="G1092" t="s">
        <v>746</v>
      </c>
      <c r="H1092">
        <v>4</v>
      </c>
      <c r="I1092">
        <v>86.77</v>
      </c>
      <c r="J1092" t="s">
        <v>839</v>
      </c>
      <c r="K1092" t="s">
        <v>812</v>
      </c>
      <c r="M1092" t="s">
        <v>1085</v>
      </c>
      <c r="P1092" t="s">
        <v>924</v>
      </c>
      <c r="R1092" t="s">
        <v>81</v>
      </c>
      <c r="U1092" t="s">
        <v>81</v>
      </c>
      <c r="V1092" t="s">
        <v>81</v>
      </c>
      <c r="W1092">
        <v>2</v>
      </c>
      <c r="X1092" s="24">
        <v>46032</v>
      </c>
      <c r="Z1092" t="s">
        <v>38</v>
      </c>
      <c r="AB1092" t="s">
        <v>921</v>
      </c>
      <c r="AC1092" t="s">
        <v>959</v>
      </c>
      <c r="AD1092" t="s">
        <v>39</v>
      </c>
    </row>
    <row r="1093" spans="1:30" hidden="1" x14ac:dyDescent="0.25">
      <c r="A1093">
        <v>63</v>
      </c>
      <c r="B1093" t="s">
        <v>144</v>
      </c>
      <c r="C1093">
        <v>6</v>
      </c>
      <c r="D1093">
        <v>328</v>
      </c>
      <c r="E1093">
        <v>934</v>
      </c>
      <c r="F1093" t="s">
        <v>77</v>
      </c>
      <c r="G1093" t="s">
        <v>746</v>
      </c>
      <c r="H1093">
        <v>5</v>
      </c>
      <c r="I1093">
        <v>72.150000000000006</v>
      </c>
      <c r="J1093" t="s">
        <v>839</v>
      </c>
      <c r="K1093" t="s">
        <v>812</v>
      </c>
      <c r="M1093" t="s">
        <v>1085</v>
      </c>
      <c r="P1093" t="s">
        <v>924</v>
      </c>
      <c r="R1093" t="s">
        <v>81</v>
      </c>
      <c r="U1093" t="s">
        <v>81</v>
      </c>
      <c r="W1093">
        <v>2</v>
      </c>
      <c r="X1093" s="24">
        <v>46032</v>
      </c>
      <c r="Z1093" t="s">
        <v>38</v>
      </c>
      <c r="AB1093" t="s">
        <v>921</v>
      </c>
      <c r="AC1093" t="s">
        <v>959</v>
      </c>
      <c r="AD1093" t="s">
        <v>39</v>
      </c>
    </row>
    <row r="1094" spans="1:30" hidden="1" x14ac:dyDescent="0.25">
      <c r="A1094">
        <v>64</v>
      </c>
      <c r="B1094" t="s">
        <v>138</v>
      </c>
      <c r="C1094">
        <v>6</v>
      </c>
      <c r="D1094">
        <v>328</v>
      </c>
      <c r="E1094">
        <v>934</v>
      </c>
      <c r="F1094" t="s">
        <v>77</v>
      </c>
      <c r="G1094" t="s">
        <v>746</v>
      </c>
      <c r="H1094">
        <v>3</v>
      </c>
      <c r="I1094">
        <v>43.29</v>
      </c>
      <c r="J1094" t="s">
        <v>839</v>
      </c>
      <c r="K1094" t="s">
        <v>812</v>
      </c>
      <c r="M1094" t="s">
        <v>1085</v>
      </c>
      <c r="P1094" t="s">
        <v>924</v>
      </c>
      <c r="R1094" t="s">
        <v>81</v>
      </c>
      <c r="U1094" t="s">
        <v>81</v>
      </c>
      <c r="W1094">
        <v>2</v>
      </c>
      <c r="X1094" s="24">
        <v>46032</v>
      </c>
      <c r="Z1094" t="s">
        <v>38</v>
      </c>
      <c r="AB1094" t="s">
        <v>921</v>
      </c>
      <c r="AC1094" t="s">
        <v>959</v>
      </c>
      <c r="AD1094" t="s">
        <v>39</v>
      </c>
    </row>
    <row r="1095" spans="1:30" hidden="1" x14ac:dyDescent="0.25">
      <c r="A1095">
        <v>65</v>
      </c>
      <c r="B1095" t="s">
        <v>145</v>
      </c>
      <c r="C1095">
        <v>6</v>
      </c>
      <c r="D1095">
        <v>188</v>
      </c>
      <c r="E1095">
        <v>2491</v>
      </c>
      <c r="F1095" t="s">
        <v>77</v>
      </c>
      <c r="G1095" t="s">
        <v>746</v>
      </c>
      <c r="H1095">
        <v>14</v>
      </c>
      <c r="I1095">
        <v>303.7</v>
      </c>
      <c r="J1095" t="s">
        <v>839</v>
      </c>
      <c r="K1095" t="s">
        <v>812</v>
      </c>
      <c r="M1095" t="s">
        <v>1085</v>
      </c>
      <c r="P1095" t="s">
        <v>924</v>
      </c>
      <c r="R1095" t="s">
        <v>81</v>
      </c>
      <c r="U1095" t="s">
        <v>81</v>
      </c>
      <c r="V1095" t="s">
        <v>81</v>
      </c>
      <c r="W1095">
        <v>2</v>
      </c>
      <c r="X1095" s="24">
        <v>46032</v>
      </c>
      <c r="Z1095" t="s">
        <v>38</v>
      </c>
      <c r="AB1095" t="s">
        <v>921</v>
      </c>
      <c r="AC1095" t="s">
        <v>961</v>
      </c>
      <c r="AD1095" t="s">
        <v>39</v>
      </c>
    </row>
    <row r="1096" spans="1:30" hidden="1" x14ac:dyDescent="0.25">
      <c r="A1096">
        <v>66</v>
      </c>
      <c r="B1096" t="s">
        <v>148</v>
      </c>
      <c r="C1096">
        <v>6</v>
      </c>
      <c r="D1096">
        <v>328</v>
      </c>
      <c r="E1096">
        <v>934</v>
      </c>
      <c r="F1096" t="s">
        <v>77</v>
      </c>
      <c r="G1096" t="s">
        <v>746</v>
      </c>
      <c r="H1096">
        <v>4</v>
      </c>
      <c r="I1096">
        <v>57.72</v>
      </c>
      <c r="J1096" t="s">
        <v>839</v>
      </c>
      <c r="K1096" t="s">
        <v>812</v>
      </c>
      <c r="M1096" t="s">
        <v>1085</v>
      </c>
      <c r="P1096" t="s">
        <v>924</v>
      </c>
      <c r="R1096" t="s">
        <v>81</v>
      </c>
      <c r="U1096" t="s">
        <v>81</v>
      </c>
      <c r="W1096">
        <v>2</v>
      </c>
      <c r="X1096" s="24">
        <v>46032</v>
      </c>
      <c r="Z1096" t="s">
        <v>38</v>
      </c>
      <c r="AB1096" t="s">
        <v>921</v>
      </c>
      <c r="AC1096" t="s">
        <v>961</v>
      </c>
      <c r="AD1096" t="s">
        <v>39</v>
      </c>
    </row>
    <row r="1097" spans="1:30" hidden="1" x14ac:dyDescent="0.25">
      <c r="A1097">
        <v>67</v>
      </c>
      <c r="B1097" t="s">
        <v>143</v>
      </c>
      <c r="C1097">
        <v>6</v>
      </c>
      <c r="D1097">
        <v>188</v>
      </c>
      <c r="E1097">
        <v>2491</v>
      </c>
      <c r="F1097" t="s">
        <v>77</v>
      </c>
      <c r="G1097" t="s">
        <v>746</v>
      </c>
      <c r="H1097">
        <v>14</v>
      </c>
      <c r="I1097">
        <v>303.7</v>
      </c>
      <c r="J1097" t="s">
        <v>839</v>
      </c>
      <c r="K1097" t="s">
        <v>812</v>
      </c>
      <c r="M1097" t="s">
        <v>1085</v>
      </c>
      <c r="P1097" t="s">
        <v>924</v>
      </c>
      <c r="R1097" t="s">
        <v>81</v>
      </c>
      <c r="U1097" t="s">
        <v>81</v>
      </c>
      <c r="V1097" t="s">
        <v>81</v>
      </c>
      <c r="W1097">
        <v>2</v>
      </c>
      <c r="X1097" s="24">
        <v>46032</v>
      </c>
      <c r="Z1097" t="s">
        <v>38</v>
      </c>
      <c r="AB1097" t="s">
        <v>921</v>
      </c>
      <c r="AC1097" t="s">
        <v>961</v>
      </c>
      <c r="AD1097" t="s">
        <v>39</v>
      </c>
    </row>
    <row r="1098" spans="1:30" hidden="1" x14ac:dyDescent="0.25">
      <c r="A1098">
        <v>68</v>
      </c>
      <c r="B1098" t="s">
        <v>149</v>
      </c>
      <c r="C1098">
        <v>6</v>
      </c>
      <c r="D1098">
        <v>328</v>
      </c>
      <c r="E1098">
        <v>934</v>
      </c>
      <c r="F1098" t="s">
        <v>77</v>
      </c>
      <c r="G1098" t="s">
        <v>746</v>
      </c>
      <c r="H1098">
        <v>3</v>
      </c>
      <c r="I1098">
        <v>43.29</v>
      </c>
      <c r="J1098" t="s">
        <v>839</v>
      </c>
      <c r="K1098" t="s">
        <v>812</v>
      </c>
      <c r="M1098" t="s">
        <v>1085</v>
      </c>
      <c r="P1098" t="s">
        <v>924</v>
      </c>
      <c r="R1098" t="s">
        <v>81</v>
      </c>
      <c r="U1098" t="s">
        <v>81</v>
      </c>
      <c r="W1098">
        <v>2</v>
      </c>
      <c r="X1098" s="24">
        <v>46032</v>
      </c>
      <c r="Z1098" t="s">
        <v>38</v>
      </c>
      <c r="AB1098" t="s">
        <v>921</v>
      </c>
      <c r="AC1098" t="s">
        <v>961</v>
      </c>
      <c r="AD1098" t="s">
        <v>39</v>
      </c>
    </row>
    <row r="1099" spans="1:30" hidden="1" x14ac:dyDescent="0.25">
      <c r="A1099">
        <v>69</v>
      </c>
      <c r="B1099" t="s">
        <v>144</v>
      </c>
      <c r="C1099">
        <v>6</v>
      </c>
      <c r="D1099">
        <v>328</v>
      </c>
      <c r="E1099">
        <v>934</v>
      </c>
      <c r="F1099" t="s">
        <v>77</v>
      </c>
      <c r="G1099" t="s">
        <v>746</v>
      </c>
      <c r="H1099">
        <v>1</v>
      </c>
      <c r="I1099">
        <v>14.43</v>
      </c>
      <c r="J1099" t="s">
        <v>839</v>
      </c>
      <c r="K1099" t="s">
        <v>812</v>
      </c>
      <c r="M1099" t="s">
        <v>1085</v>
      </c>
      <c r="P1099" t="s">
        <v>924</v>
      </c>
      <c r="R1099" t="s">
        <v>81</v>
      </c>
      <c r="U1099" t="s">
        <v>81</v>
      </c>
      <c r="W1099">
        <v>2</v>
      </c>
      <c r="X1099" s="24">
        <v>46032</v>
      </c>
      <c r="Z1099" t="s">
        <v>38</v>
      </c>
      <c r="AB1099" t="s">
        <v>921</v>
      </c>
      <c r="AC1099" t="s">
        <v>961</v>
      </c>
      <c r="AD1099" t="s">
        <v>39</v>
      </c>
    </row>
    <row r="1100" spans="1:30" hidden="1" x14ac:dyDescent="0.25">
      <c r="A1100">
        <v>70</v>
      </c>
      <c r="B1100" t="s">
        <v>145</v>
      </c>
      <c r="C1100">
        <v>6</v>
      </c>
      <c r="D1100">
        <v>188</v>
      </c>
      <c r="E1100">
        <v>2491</v>
      </c>
      <c r="F1100" t="s">
        <v>77</v>
      </c>
      <c r="G1100" t="s">
        <v>746</v>
      </c>
      <c r="H1100">
        <v>4</v>
      </c>
      <c r="I1100">
        <v>86.77</v>
      </c>
      <c r="J1100" t="s">
        <v>839</v>
      </c>
      <c r="K1100" t="s">
        <v>812</v>
      </c>
      <c r="M1100" t="s">
        <v>1085</v>
      </c>
      <c r="P1100" t="s">
        <v>924</v>
      </c>
      <c r="R1100" t="s">
        <v>81</v>
      </c>
      <c r="U1100" t="s">
        <v>81</v>
      </c>
      <c r="V1100" t="s">
        <v>81</v>
      </c>
      <c r="W1100">
        <v>2</v>
      </c>
      <c r="X1100" s="24">
        <v>46032</v>
      </c>
      <c r="Z1100" t="s">
        <v>38</v>
      </c>
      <c r="AB1100" t="s">
        <v>921</v>
      </c>
      <c r="AC1100" t="s">
        <v>963</v>
      </c>
      <c r="AD1100" t="s">
        <v>39</v>
      </c>
    </row>
    <row r="1101" spans="1:30" hidden="1" x14ac:dyDescent="0.25">
      <c r="A1101">
        <v>71</v>
      </c>
      <c r="B1101" t="s">
        <v>152</v>
      </c>
      <c r="C1101">
        <v>6</v>
      </c>
      <c r="D1101">
        <v>188</v>
      </c>
      <c r="E1101">
        <v>2491</v>
      </c>
      <c r="F1101" t="s">
        <v>77</v>
      </c>
      <c r="G1101" t="s">
        <v>746</v>
      </c>
      <c r="H1101">
        <v>6</v>
      </c>
      <c r="I1101">
        <v>130.12</v>
      </c>
      <c r="J1101" t="s">
        <v>839</v>
      </c>
      <c r="K1101" t="s">
        <v>812</v>
      </c>
      <c r="M1101" t="s">
        <v>1085</v>
      </c>
      <c r="P1101" t="s">
        <v>924</v>
      </c>
      <c r="R1101" t="s">
        <v>81</v>
      </c>
      <c r="U1101" t="s">
        <v>81</v>
      </c>
      <c r="V1101" t="s">
        <v>81</v>
      </c>
      <c r="W1101">
        <v>2</v>
      </c>
      <c r="X1101" s="24">
        <v>46032</v>
      </c>
      <c r="Z1101" t="s">
        <v>38</v>
      </c>
      <c r="AB1101" t="s">
        <v>921</v>
      </c>
      <c r="AC1101" t="s">
        <v>963</v>
      </c>
      <c r="AD1101" t="s">
        <v>39</v>
      </c>
    </row>
    <row r="1102" spans="1:30" hidden="1" x14ac:dyDescent="0.25">
      <c r="A1102">
        <v>72</v>
      </c>
      <c r="B1102" t="s">
        <v>153</v>
      </c>
      <c r="C1102">
        <v>6</v>
      </c>
      <c r="D1102">
        <v>188</v>
      </c>
      <c r="E1102">
        <v>2491</v>
      </c>
      <c r="F1102" t="s">
        <v>77</v>
      </c>
      <c r="G1102" t="s">
        <v>746</v>
      </c>
      <c r="H1102">
        <v>18</v>
      </c>
      <c r="I1102">
        <v>390.36</v>
      </c>
      <c r="J1102" t="s">
        <v>839</v>
      </c>
      <c r="K1102" t="s">
        <v>812</v>
      </c>
      <c r="M1102" t="s">
        <v>1085</v>
      </c>
      <c r="P1102" t="s">
        <v>924</v>
      </c>
      <c r="R1102" t="s">
        <v>81</v>
      </c>
      <c r="U1102" t="s">
        <v>81</v>
      </c>
      <c r="V1102" t="s">
        <v>81</v>
      </c>
      <c r="W1102">
        <v>2</v>
      </c>
      <c r="X1102" s="24">
        <v>46032</v>
      </c>
      <c r="Z1102" t="s">
        <v>38</v>
      </c>
      <c r="AB1102" t="s">
        <v>921</v>
      </c>
      <c r="AC1102" t="s">
        <v>963</v>
      </c>
      <c r="AD1102" t="s">
        <v>39</v>
      </c>
    </row>
    <row r="1103" spans="1:30" hidden="1" x14ac:dyDescent="0.25">
      <c r="A1103">
        <v>73</v>
      </c>
      <c r="B1103" t="s">
        <v>154</v>
      </c>
      <c r="C1103">
        <v>6</v>
      </c>
      <c r="D1103">
        <v>328</v>
      </c>
      <c r="E1103">
        <v>934</v>
      </c>
      <c r="F1103" t="s">
        <v>77</v>
      </c>
      <c r="G1103" t="s">
        <v>746</v>
      </c>
      <c r="H1103">
        <v>3</v>
      </c>
      <c r="I1103">
        <v>43.29</v>
      </c>
      <c r="J1103" t="s">
        <v>839</v>
      </c>
      <c r="K1103" t="s">
        <v>812</v>
      </c>
      <c r="M1103" t="s">
        <v>1085</v>
      </c>
      <c r="P1103" t="s">
        <v>924</v>
      </c>
      <c r="R1103" t="s">
        <v>81</v>
      </c>
      <c r="U1103" t="s">
        <v>81</v>
      </c>
      <c r="W1103">
        <v>2</v>
      </c>
      <c r="X1103" s="24">
        <v>46032</v>
      </c>
      <c r="Z1103" t="s">
        <v>38</v>
      </c>
      <c r="AB1103" t="s">
        <v>921</v>
      </c>
      <c r="AC1103" t="s">
        <v>963</v>
      </c>
      <c r="AD1103" t="s">
        <v>39</v>
      </c>
    </row>
    <row r="1104" spans="1:30" hidden="1" x14ac:dyDescent="0.25">
      <c r="A1104">
        <v>74</v>
      </c>
      <c r="B1104" t="s">
        <v>139</v>
      </c>
      <c r="C1104">
        <v>6</v>
      </c>
      <c r="D1104">
        <v>328</v>
      </c>
      <c r="E1104">
        <v>934</v>
      </c>
      <c r="F1104" t="s">
        <v>77</v>
      </c>
      <c r="G1104" t="s">
        <v>746</v>
      </c>
      <c r="H1104">
        <v>5</v>
      </c>
      <c r="I1104">
        <v>72.150000000000006</v>
      </c>
      <c r="J1104" t="s">
        <v>839</v>
      </c>
      <c r="K1104" t="s">
        <v>812</v>
      </c>
      <c r="M1104" t="s">
        <v>1085</v>
      </c>
      <c r="P1104" t="s">
        <v>924</v>
      </c>
      <c r="R1104" t="s">
        <v>81</v>
      </c>
      <c r="U1104" t="s">
        <v>81</v>
      </c>
      <c r="W1104">
        <v>2</v>
      </c>
      <c r="X1104" s="24">
        <v>46032</v>
      </c>
      <c r="Z1104" t="s">
        <v>38</v>
      </c>
      <c r="AB1104" t="s">
        <v>921</v>
      </c>
      <c r="AC1104" t="s">
        <v>963</v>
      </c>
      <c r="AD1104" t="s">
        <v>39</v>
      </c>
    </row>
    <row r="1105" spans="1:30" hidden="1" x14ac:dyDescent="0.25">
      <c r="A1105">
        <v>75</v>
      </c>
      <c r="B1105" t="s">
        <v>152</v>
      </c>
      <c r="C1105">
        <v>6</v>
      </c>
      <c r="D1105">
        <v>188</v>
      </c>
      <c r="E1105">
        <v>2491</v>
      </c>
      <c r="F1105" t="s">
        <v>77</v>
      </c>
      <c r="G1105" t="s">
        <v>746</v>
      </c>
      <c r="H1105">
        <v>12</v>
      </c>
      <c r="I1105">
        <v>260.24</v>
      </c>
      <c r="J1105" t="s">
        <v>839</v>
      </c>
      <c r="K1105" t="s">
        <v>812</v>
      </c>
      <c r="M1105" t="s">
        <v>1085</v>
      </c>
      <c r="P1105" t="s">
        <v>924</v>
      </c>
      <c r="R1105" t="s">
        <v>81</v>
      </c>
      <c r="U1105" t="s">
        <v>81</v>
      </c>
      <c r="V1105" t="s">
        <v>81</v>
      </c>
      <c r="W1105">
        <v>2</v>
      </c>
      <c r="X1105" s="24">
        <v>46032</v>
      </c>
      <c r="Z1105" t="s">
        <v>38</v>
      </c>
      <c r="AB1105" t="s">
        <v>921</v>
      </c>
      <c r="AC1105" t="s">
        <v>965</v>
      </c>
      <c r="AD1105" t="s">
        <v>39</v>
      </c>
    </row>
    <row r="1106" spans="1:30" hidden="1" x14ac:dyDescent="0.25">
      <c r="A1106">
        <v>76</v>
      </c>
      <c r="B1106" t="s">
        <v>148</v>
      </c>
      <c r="C1106">
        <v>6</v>
      </c>
      <c r="D1106">
        <v>328</v>
      </c>
      <c r="E1106">
        <v>934</v>
      </c>
      <c r="F1106" t="s">
        <v>77</v>
      </c>
      <c r="G1106" t="s">
        <v>746</v>
      </c>
      <c r="H1106">
        <v>1</v>
      </c>
      <c r="I1106">
        <v>14.43</v>
      </c>
      <c r="J1106" t="s">
        <v>839</v>
      </c>
      <c r="K1106" t="s">
        <v>812</v>
      </c>
      <c r="M1106" t="s">
        <v>1085</v>
      </c>
      <c r="P1106" t="s">
        <v>924</v>
      </c>
      <c r="R1106" t="s">
        <v>81</v>
      </c>
      <c r="U1106" t="s">
        <v>81</v>
      </c>
      <c r="W1106">
        <v>2</v>
      </c>
      <c r="X1106" s="24">
        <v>46032</v>
      </c>
      <c r="Z1106" t="s">
        <v>38</v>
      </c>
      <c r="AB1106" t="s">
        <v>921</v>
      </c>
      <c r="AC1106" t="s">
        <v>965</v>
      </c>
      <c r="AD1106" t="s">
        <v>39</v>
      </c>
    </row>
    <row r="1107" spans="1:30" hidden="1" x14ac:dyDescent="0.25">
      <c r="A1107">
        <v>77</v>
      </c>
      <c r="B1107" t="s">
        <v>149</v>
      </c>
      <c r="C1107">
        <v>6</v>
      </c>
      <c r="D1107">
        <v>328</v>
      </c>
      <c r="E1107">
        <v>934</v>
      </c>
      <c r="F1107" t="s">
        <v>77</v>
      </c>
      <c r="G1107" t="s">
        <v>746</v>
      </c>
      <c r="H1107">
        <v>3</v>
      </c>
      <c r="I1107">
        <v>43.29</v>
      </c>
      <c r="J1107" t="s">
        <v>839</v>
      </c>
      <c r="K1107" t="s">
        <v>812</v>
      </c>
      <c r="M1107" t="s">
        <v>1085</v>
      </c>
      <c r="P1107" t="s">
        <v>924</v>
      </c>
      <c r="R1107" t="s">
        <v>81</v>
      </c>
      <c r="U1107" t="s">
        <v>81</v>
      </c>
      <c r="W1107">
        <v>2</v>
      </c>
      <c r="X1107" s="24">
        <v>46032</v>
      </c>
      <c r="Z1107" t="s">
        <v>38</v>
      </c>
      <c r="AB1107" t="s">
        <v>921</v>
      </c>
      <c r="AC1107" t="s">
        <v>965</v>
      </c>
      <c r="AD1107" t="s">
        <v>39</v>
      </c>
    </row>
    <row r="1108" spans="1:30" hidden="1" x14ac:dyDescent="0.25">
      <c r="A1108">
        <v>78</v>
      </c>
      <c r="B1108" t="s">
        <v>157</v>
      </c>
      <c r="C1108">
        <v>6</v>
      </c>
      <c r="D1108">
        <v>188</v>
      </c>
      <c r="E1108">
        <v>2491</v>
      </c>
      <c r="F1108" t="s">
        <v>77</v>
      </c>
      <c r="G1108" t="s">
        <v>746</v>
      </c>
      <c r="H1108">
        <v>16</v>
      </c>
      <c r="I1108">
        <v>346.99</v>
      </c>
      <c r="J1108" t="s">
        <v>839</v>
      </c>
      <c r="K1108" t="s">
        <v>812</v>
      </c>
      <c r="M1108" t="s">
        <v>1085</v>
      </c>
      <c r="P1108" t="s">
        <v>924</v>
      </c>
      <c r="R1108" t="s">
        <v>81</v>
      </c>
      <c r="U1108" t="s">
        <v>81</v>
      </c>
      <c r="V1108" t="s">
        <v>81</v>
      </c>
      <c r="W1108">
        <v>2</v>
      </c>
      <c r="X1108" s="24">
        <v>46032</v>
      </c>
      <c r="Z1108" t="s">
        <v>38</v>
      </c>
      <c r="AB1108" t="s">
        <v>921</v>
      </c>
      <c r="AC1108" t="s">
        <v>965</v>
      </c>
      <c r="AD1108" t="s">
        <v>39</v>
      </c>
    </row>
    <row r="1109" spans="1:30" hidden="1" x14ac:dyDescent="0.25">
      <c r="A1109">
        <v>79</v>
      </c>
      <c r="B1109" t="s">
        <v>154</v>
      </c>
      <c r="C1109">
        <v>6</v>
      </c>
      <c r="D1109">
        <v>328</v>
      </c>
      <c r="E1109">
        <v>934</v>
      </c>
      <c r="F1109" t="s">
        <v>77</v>
      </c>
      <c r="G1109" t="s">
        <v>746</v>
      </c>
      <c r="H1109">
        <v>4</v>
      </c>
      <c r="I1109">
        <v>57.72</v>
      </c>
      <c r="J1109" t="s">
        <v>839</v>
      </c>
      <c r="K1109" t="s">
        <v>812</v>
      </c>
      <c r="M1109" t="s">
        <v>1085</v>
      </c>
      <c r="P1109" t="s">
        <v>924</v>
      </c>
      <c r="R1109" t="s">
        <v>81</v>
      </c>
      <c r="U1109" t="s">
        <v>81</v>
      </c>
      <c r="W1109">
        <v>2</v>
      </c>
      <c r="X1109" s="24">
        <v>46032</v>
      </c>
      <c r="Z1109" t="s">
        <v>38</v>
      </c>
      <c r="AB1109" t="s">
        <v>921</v>
      </c>
      <c r="AC1109" t="s">
        <v>965</v>
      </c>
      <c r="AD1109" t="s">
        <v>39</v>
      </c>
    </row>
    <row r="1110" spans="1:30" hidden="1" x14ac:dyDescent="0.25">
      <c r="A1110">
        <v>80</v>
      </c>
      <c r="B1110" t="s">
        <v>158</v>
      </c>
      <c r="C1110">
        <v>6</v>
      </c>
      <c r="D1110">
        <v>328</v>
      </c>
      <c r="E1110">
        <v>894</v>
      </c>
      <c r="F1110" t="s">
        <v>77</v>
      </c>
      <c r="G1110" t="s">
        <v>746</v>
      </c>
      <c r="H1110">
        <v>2</v>
      </c>
      <c r="I1110">
        <v>27.62</v>
      </c>
      <c r="J1110" t="s">
        <v>839</v>
      </c>
      <c r="K1110" t="s">
        <v>812</v>
      </c>
      <c r="M1110" t="s">
        <v>1085</v>
      </c>
      <c r="P1110" t="s">
        <v>924</v>
      </c>
      <c r="R1110" t="s">
        <v>81</v>
      </c>
      <c r="U1110" t="s">
        <v>81</v>
      </c>
      <c r="W1110">
        <v>2</v>
      </c>
      <c r="X1110" s="24">
        <v>46032</v>
      </c>
      <c r="Z1110" t="s">
        <v>38</v>
      </c>
      <c r="AB1110" t="s">
        <v>921</v>
      </c>
      <c r="AC1110" t="s">
        <v>967</v>
      </c>
      <c r="AD1110" t="s">
        <v>39</v>
      </c>
    </row>
    <row r="1111" spans="1:30" hidden="1" x14ac:dyDescent="0.25">
      <c r="A1111">
        <v>81</v>
      </c>
      <c r="B1111" t="s">
        <v>162</v>
      </c>
      <c r="C1111">
        <v>6</v>
      </c>
      <c r="D1111">
        <v>188</v>
      </c>
      <c r="E1111">
        <v>2491</v>
      </c>
      <c r="F1111" t="s">
        <v>77</v>
      </c>
      <c r="G1111" t="s">
        <v>746</v>
      </c>
      <c r="H1111">
        <v>18</v>
      </c>
      <c r="I1111">
        <v>390.36</v>
      </c>
      <c r="J1111" t="s">
        <v>839</v>
      </c>
      <c r="K1111" t="s">
        <v>812</v>
      </c>
      <c r="M1111" t="s">
        <v>1085</v>
      </c>
      <c r="P1111" t="s">
        <v>924</v>
      </c>
      <c r="R1111" t="s">
        <v>81</v>
      </c>
      <c r="U1111" t="s">
        <v>81</v>
      </c>
      <c r="V1111" t="s">
        <v>81</v>
      </c>
      <c r="W1111">
        <v>2</v>
      </c>
      <c r="X1111" s="24">
        <v>46032</v>
      </c>
      <c r="Z1111" t="s">
        <v>38</v>
      </c>
      <c r="AB1111" t="s">
        <v>921</v>
      </c>
      <c r="AC1111" t="s">
        <v>967</v>
      </c>
      <c r="AD1111" t="s">
        <v>39</v>
      </c>
    </row>
    <row r="1112" spans="1:30" hidden="1" x14ac:dyDescent="0.25">
      <c r="A1112">
        <v>82</v>
      </c>
      <c r="B1112" t="s">
        <v>163</v>
      </c>
      <c r="C1112">
        <v>6</v>
      </c>
      <c r="D1112">
        <v>328</v>
      </c>
      <c r="E1112">
        <v>894</v>
      </c>
      <c r="F1112" t="s">
        <v>77</v>
      </c>
      <c r="G1112" t="s">
        <v>746</v>
      </c>
      <c r="H1112">
        <v>2</v>
      </c>
      <c r="I1112">
        <v>27.62</v>
      </c>
      <c r="J1112" t="s">
        <v>839</v>
      </c>
      <c r="K1112" t="s">
        <v>812</v>
      </c>
      <c r="M1112" t="s">
        <v>1085</v>
      </c>
      <c r="P1112" t="s">
        <v>924</v>
      </c>
      <c r="R1112" t="s">
        <v>81</v>
      </c>
      <c r="U1112" t="s">
        <v>81</v>
      </c>
      <c r="W1112">
        <v>2</v>
      </c>
      <c r="X1112" s="24">
        <v>46032</v>
      </c>
      <c r="Z1112" t="s">
        <v>38</v>
      </c>
      <c r="AB1112" t="s">
        <v>921</v>
      </c>
      <c r="AC1112" t="s">
        <v>967</v>
      </c>
      <c r="AD1112" t="s">
        <v>39</v>
      </c>
    </row>
    <row r="1113" spans="1:30" hidden="1" x14ac:dyDescent="0.25">
      <c r="A1113">
        <v>83</v>
      </c>
      <c r="B1113" t="s">
        <v>164</v>
      </c>
      <c r="C1113">
        <v>6</v>
      </c>
      <c r="D1113">
        <v>328</v>
      </c>
      <c r="E1113">
        <v>894</v>
      </c>
      <c r="F1113" t="s">
        <v>77</v>
      </c>
      <c r="G1113" t="s">
        <v>746</v>
      </c>
      <c r="H1113">
        <v>1</v>
      </c>
      <c r="I1113">
        <v>13.81</v>
      </c>
      <c r="J1113" t="s">
        <v>839</v>
      </c>
      <c r="K1113" t="s">
        <v>812</v>
      </c>
      <c r="M1113" t="s">
        <v>1085</v>
      </c>
      <c r="P1113" t="s">
        <v>924</v>
      </c>
      <c r="R1113" t="s">
        <v>81</v>
      </c>
      <c r="U1113" t="s">
        <v>81</v>
      </c>
      <c r="W1113">
        <v>2</v>
      </c>
      <c r="X1113" s="24">
        <v>46032</v>
      </c>
      <c r="Z1113" t="s">
        <v>38</v>
      </c>
      <c r="AB1113" t="s">
        <v>921</v>
      </c>
      <c r="AC1113" t="s">
        <v>967</v>
      </c>
      <c r="AD1113" t="s">
        <v>39</v>
      </c>
    </row>
    <row r="1114" spans="1:30" hidden="1" x14ac:dyDescent="0.25">
      <c r="A1114">
        <v>84</v>
      </c>
      <c r="B1114" t="s">
        <v>165</v>
      </c>
      <c r="C1114">
        <v>6</v>
      </c>
      <c r="D1114">
        <v>328</v>
      </c>
      <c r="E1114">
        <v>894</v>
      </c>
      <c r="F1114" t="s">
        <v>77</v>
      </c>
      <c r="G1114" t="s">
        <v>746</v>
      </c>
      <c r="H1114">
        <v>2</v>
      </c>
      <c r="I1114">
        <v>27.62</v>
      </c>
      <c r="J1114" t="s">
        <v>839</v>
      </c>
      <c r="K1114" t="s">
        <v>812</v>
      </c>
      <c r="M1114" t="s">
        <v>1085</v>
      </c>
      <c r="P1114" t="s">
        <v>924</v>
      </c>
      <c r="R1114" t="s">
        <v>81</v>
      </c>
      <c r="U1114" t="s">
        <v>81</v>
      </c>
      <c r="W1114">
        <v>2</v>
      </c>
      <c r="X1114" s="24">
        <v>46032</v>
      </c>
      <c r="Z1114" t="s">
        <v>38</v>
      </c>
      <c r="AB1114" t="s">
        <v>921</v>
      </c>
      <c r="AC1114" t="s">
        <v>967</v>
      </c>
      <c r="AD1114" t="s">
        <v>39</v>
      </c>
    </row>
    <row r="1115" spans="1:30" hidden="1" x14ac:dyDescent="0.25">
      <c r="A1115">
        <v>85</v>
      </c>
      <c r="B1115" t="s">
        <v>157</v>
      </c>
      <c r="C1115">
        <v>6</v>
      </c>
      <c r="D1115">
        <v>188</v>
      </c>
      <c r="E1115">
        <v>2491</v>
      </c>
      <c r="F1115" t="s">
        <v>77</v>
      </c>
      <c r="G1115" t="s">
        <v>746</v>
      </c>
      <c r="H1115">
        <v>2</v>
      </c>
      <c r="I1115">
        <v>43.37</v>
      </c>
      <c r="J1115" t="s">
        <v>839</v>
      </c>
      <c r="K1115" t="s">
        <v>812</v>
      </c>
      <c r="M1115" t="s">
        <v>1085</v>
      </c>
      <c r="P1115" t="s">
        <v>924</v>
      </c>
      <c r="R1115" t="s">
        <v>81</v>
      </c>
      <c r="U1115" t="s">
        <v>81</v>
      </c>
      <c r="V1115" t="s">
        <v>81</v>
      </c>
      <c r="W1115">
        <v>2</v>
      </c>
      <c r="X1115" s="24">
        <v>46032</v>
      </c>
      <c r="Z1115" t="s">
        <v>38</v>
      </c>
      <c r="AB1115" t="s">
        <v>921</v>
      </c>
      <c r="AC1115" t="s">
        <v>967</v>
      </c>
      <c r="AD1115" t="s">
        <v>39</v>
      </c>
    </row>
    <row r="1116" spans="1:30" hidden="1" x14ac:dyDescent="0.25">
      <c r="A1116">
        <v>86</v>
      </c>
      <c r="B1116" t="s">
        <v>166</v>
      </c>
      <c r="C1116">
        <v>6</v>
      </c>
      <c r="D1116">
        <v>188</v>
      </c>
      <c r="E1116">
        <v>2483</v>
      </c>
      <c r="F1116" t="s">
        <v>77</v>
      </c>
      <c r="G1116" t="s">
        <v>746</v>
      </c>
      <c r="H1116">
        <v>8</v>
      </c>
      <c r="I1116">
        <v>172.99</v>
      </c>
      <c r="J1116" t="s">
        <v>839</v>
      </c>
      <c r="K1116" t="s">
        <v>812</v>
      </c>
      <c r="M1116" t="s">
        <v>1085</v>
      </c>
      <c r="P1116" t="s">
        <v>924</v>
      </c>
      <c r="R1116" t="s">
        <v>81</v>
      </c>
      <c r="U1116" t="s">
        <v>81</v>
      </c>
      <c r="V1116" t="s">
        <v>81</v>
      </c>
      <c r="W1116">
        <v>2</v>
      </c>
      <c r="X1116" s="24">
        <v>46032</v>
      </c>
      <c r="Z1116" t="s">
        <v>38</v>
      </c>
      <c r="AB1116" t="s">
        <v>921</v>
      </c>
      <c r="AC1116" t="s">
        <v>967</v>
      </c>
      <c r="AD1116" t="s">
        <v>39</v>
      </c>
    </row>
    <row r="1117" spans="1:30" hidden="1" x14ac:dyDescent="0.25">
      <c r="A1117">
        <v>87</v>
      </c>
      <c r="B1117" t="s">
        <v>168</v>
      </c>
      <c r="C1117">
        <v>6</v>
      </c>
      <c r="D1117">
        <v>328</v>
      </c>
      <c r="E1117">
        <v>894</v>
      </c>
      <c r="F1117" t="s">
        <v>77</v>
      </c>
      <c r="G1117" t="s">
        <v>746</v>
      </c>
      <c r="H1117">
        <v>2</v>
      </c>
      <c r="I1117">
        <v>27.62</v>
      </c>
      <c r="J1117" t="s">
        <v>839</v>
      </c>
      <c r="K1117" t="s">
        <v>812</v>
      </c>
      <c r="M1117" t="s">
        <v>1085</v>
      </c>
      <c r="P1117" t="s">
        <v>924</v>
      </c>
      <c r="R1117" t="s">
        <v>81</v>
      </c>
      <c r="U1117" t="s">
        <v>81</v>
      </c>
      <c r="W1117">
        <v>2</v>
      </c>
      <c r="X1117" s="24">
        <v>46032</v>
      </c>
      <c r="Z1117" t="s">
        <v>38</v>
      </c>
      <c r="AB1117" t="s">
        <v>921</v>
      </c>
      <c r="AC1117" t="s">
        <v>967</v>
      </c>
      <c r="AD1117" t="s">
        <v>39</v>
      </c>
    </row>
    <row r="1118" spans="1:30" hidden="1" x14ac:dyDescent="0.25">
      <c r="A1118">
        <v>88</v>
      </c>
      <c r="B1118" t="s">
        <v>116</v>
      </c>
      <c r="C1118">
        <v>6</v>
      </c>
      <c r="D1118">
        <v>298</v>
      </c>
      <c r="E1118">
        <v>378</v>
      </c>
      <c r="F1118" t="s">
        <v>77</v>
      </c>
      <c r="G1118" t="s">
        <v>746</v>
      </c>
      <c r="H1118">
        <v>1</v>
      </c>
      <c r="I1118">
        <v>5.27</v>
      </c>
      <c r="J1118" t="s">
        <v>839</v>
      </c>
      <c r="K1118" t="s">
        <v>812</v>
      </c>
      <c r="M1118" t="s">
        <v>1085</v>
      </c>
      <c r="P1118" t="s">
        <v>924</v>
      </c>
      <c r="Q1118" t="s">
        <v>26</v>
      </c>
      <c r="R1118" t="s">
        <v>81</v>
      </c>
      <c r="W1118">
        <v>2</v>
      </c>
      <c r="X1118" s="24">
        <v>46032</v>
      </c>
      <c r="Z1118" t="s">
        <v>38</v>
      </c>
      <c r="AB1118" t="s">
        <v>921</v>
      </c>
      <c r="AC1118" t="s">
        <v>967</v>
      </c>
      <c r="AD1118" t="s">
        <v>39</v>
      </c>
    </row>
    <row r="1119" spans="1:30" hidden="1" x14ac:dyDescent="0.25">
      <c r="A1119">
        <v>89</v>
      </c>
      <c r="B1119" t="s">
        <v>166</v>
      </c>
      <c r="C1119">
        <v>6</v>
      </c>
      <c r="D1119">
        <v>188</v>
      </c>
      <c r="E1119">
        <v>2483</v>
      </c>
      <c r="F1119" t="s">
        <v>77</v>
      </c>
      <c r="G1119" t="s">
        <v>746</v>
      </c>
      <c r="H1119">
        <v>28</v>
      </c>
      <c r="I1119">
        <v>605.47</v>
      </c>
      <c r="J1119" t="s">
        <v>839</v>
      </c>
      <c r="K1119" t="s">
        <v>812</v>
      </c>
      <c r="M1119" t="s">
        <v>1085</v>
      </c>
      <c r="P1119" t="s">
        <v>924</v>
      </c>
      <c r="R1119" t="s">
        <v>81</v>
      </c>
      <c r="U1119" t="s">
        <v>81</v>
      </c>
      <c r="V1119" t="s">
        <v>81</v>
      </c>
      <c r="W1119">
        <v>2</v>
      </c>
      <c r="X1119" s="24">
        <v>46032</v>
      </c>
      <c r="Z1119" t="s">
        <v>38</v>
      </c>
      <c r="AB1119" t="s">
        <v>921</v>
      </c>
      <c r="AC1119" t="s">
        <v>969</v>
      </c>
      <c r="AD1119" t="s">
        <v>39</v>
      </c>
    </row>
    <row r="1120" spans="1:30" hidden="1" x14ac:dyDescent="0.25">
      <c r="A1120">
        <v>90</v>
      </c>
      <c r="B1120" t="s">
        <v>116</v>
      </c>
      <c r="C1120">
        <v>6</v>
      </c>
      <c r="D1120">
        <v>298</v>
      </c>
      <c r="E1120">
        <v>378</v>
      </c>
      <c r="F1120" t="s">
        <v>77</v>
      </c>
      <c r="G1120" t="s">
        <v>746</v>
      </c>
      <c r="H1120">
        <v>5</v>
      </c>
      <c r="I1120">
        <v>26.34</v>
      </c>
      <c r="J1120" t="s">
        <v>839</v>
      </c>
      <c r="K1120" t="s">
        <v>812</v>
      </c>
      <c r="M1120" t="s">
        <v>1085</v>
      </c>
      <c r="P1120" t="s">
        <v>924</v>
      </c>
      <c r="Q1120" t="s">
        <v>26</v>
      </c>
      <c r="R1120" t="s">
        <v>81</v>
      </c>
      <c r="W1120">
        <v>2</v>
      </c>
      <c r="X1120" s="24">
        <v>46032</v>
      </c>
      <c r="Z1120" t="s">
        <v>38</v>
      </c>
      <c r="AB1120" t="s">
        <v>921</v>
      </c>
      <c r="AC1120" t="s">
        <v>969</v>
      </c>
      <c r="AD1120" t="s">
        <v>39</v>
      </c>
    </row>
    <row r="1121" spans="1:30" hidden="1" x14ac:dyDescent="0.25">
      <c r="A1121">
        <v>91</v>
      </c>
      <c r="B1121" t="s">
        <v>123</v>
      </c>
      <c r="C1121">
        <v>6</v>
      </c>
      <c r="D1121">
        <v>298</v>
      </c>
      <c r="E1121">
        <v>378</v>
      </c>
      <c r="F1121" t="s">
        <v>77</v>
      </c>
      <c r="G1121" t="s">
        <v>746</v>
      </c>
      <c r="H1121">
        <v>7</v>
      </c>
      <c r="I1121">
        <v>36.869999999999997</v>
      </c>
      <c r="J1121" t="s">
        <v>839</v>
      </c>
      <c r="K1121" t="s">
        <v>812</v>
      </c>
      <c r="M1121" t="s">
        <v>1085</v>
      </c>
      <c r="P1121" t="s">
        <v>924</v>
      </c>
      <c r="Q1121" t="s">
        <v>26</v>
      </c>
      <c r="R1121" t="s">
        <v>81</v>
      </c>
      <c r="W1121">
        <v>2</v>
      </c>
      <c r="X1121" s="24">
        <v>46032</v>
      </c>
      <c r="Z1121" t="s">
        <v>38</v>
      </c>
      <c r="AB1121" t="s">
        <v>921</v>
      </c>
      <c r="AC1121" t="s">
        <v>969</v>
      </c>
      <c r="AD1121" t="s">
        <v>39</v>
      </c>
    </row>
    <row r="1122" spans="1:30" hidden="1" x14ac:dyDescent="0.25">
      <c r="A1122">
        <v>92</v>
      </c>
      <c r="B1122" t="s">
        <v>171</v>
      </c>
      <c r="C1122">
        <v>6</v>
      </c>
      <c r="D1122">
        <v>298</v>
      </c>
      <c r="E1122">
        <v>378</v>
      </c>
      <c r="F1122" t="s">
        <v>77</v>
      </c>
      <c r="G1122" t="s">
        <v>746</v>
      </c>
      <c r="H1122">
        <v>14</v>
      </c>
      <c r="I1122">
        <v>73.75</v>
      </c>
      <c r="J1122" t="s">
        <v>839</v>
      </c>
      <c r="K1122" t="s">
        <v>812</v>
      </c>
      <c r="M1122" t="s">
        <v>1085</v>
      </c>
      <c r="P1122" t="s">
        <v>924</v>
      </c>
      <c r="Q1122" t="s">
        <v>26</v>
      </c>
      <c r="R1122" t="s">
        <v>81</v>
      </c>
      <c r="W1122">
        <v>2</v>
      </c>
      <c r="X1122" s="24">
        <v>46032</v>
      </c>
      <c r="Z1122" t="s">
        <v>38</v>
      </c>
      <c r="AB1122" t="s">
        <v>921</v>
      </c>
      <c r="AC1122" t="s">
        <v>969</v>
      </c>
      <c r="AD1122" t="s">
        <v>39</v>
      </c>
    </row>
    <row r="1123" spans="1:30" hidden="1" x14ac:dyDescent="0.25">
      <c r="A1123">
        <v>93</v>
      </c>
      <c r="B1123" t="s">
        <v>172</v>
      </c>
      <c r="C1123">
        <v>6</v>
      </c>
      <c r="D1123">
        <v>188</v>
      </c>
      <c r="E1123">
        <v>2483</v>
      </c>
      <c r="F1123" t="s">
        <v>77</v>
      </c>
      <c r="G1123" t="s">
        <v>746</v>
      </c>
      <c r="H1123">
        <v>24</v>
      </c>
      <c r="I1123">
        <v>518.97</v>
      </c>
      <c r="J1123" t="s">
        <v>839</v>
      </c>
      <c r="K1123" t="s">
        <v>812</v>
      </c>
      <c r="M1123" t="s">
        <v>1085</v>
      </c>
      <c r="P1123" t="s">
        <v>924</v>
      </c>
      <c r="R1123" t="s">
        <v>81</v>
      </c>
      <c r="U1123" t="s">
        <v>81</v>
      </c>
      <c r="V1123" t="s">
        <v>81</v>
      </c>
      <c r="W1123">
        <v>2</v>
      </c>
      <c r="X1123" s="24">
        <v>46032</v>
      </c>
      <c r="Z1123" t="s">
        <v>38</v>
      </c>
      <c r="AB1123" t="s">
        <v>921</v>
      </c>
      <c r="AC1123" t="s">
        <v>971</v>
      </c>
      <c r="AD1123" t="s">
        <v>39</v>
      </c>
    </row>
    <row r="1124" spans="1:30" hidden="1" x14ac:dyDescent="0.25">
      <c r="A1124">
        <v>94</v>
      </c>
      <c r="B1124" t="s">
        <v>166</v>
      </c>
      <c r="C1124">
        <v>6</v>
      </c>
      <c r="D1124">
        <v>188</v>
      </c>
      <c r="E1124">
        <v>2483</v>
      </c>
      <c r="F1124" t="s">
        <v>77</v>
      </c>
      <c r="G1124" t="s">
        <v>746</v>
      </c>
      <c r="H1124">
        <v>4</v>
      </c>
      <c r="I1124">
        <v>86.5</v>
      </c>
      <c r="J1124" t="s">
        <v>839</v>
      </c>
      <c r="K1124" t="s">
        <v>812</v>
      </c>
      <c r="M1124" t="s">
        <v>1085</v>
      </c>
      <c r="P1124" t="s">
        <v>924</v>
      </c>
      <c r="R1124" t="s">
        <v>81</v>
      </c>
      <c r="U1124" t="s">
        <v>81</v>
      </c>
      <c r="V1124" t="s">
        <v>81</v>
      </c>
      <c r="W1124">
        <v>2</v>
      </c>
      <c r="X1124" s="24">
        <v>46032</v>
      </c>
      <c r="Z1124" t="s">
        <v>38</v>
      </c>
      <c r="AB1124" t="s">
        <v>921</v>
      </c>
      <c r="AC1124" t="s">
        <v>971</v>
      </c>
      <c r="AD1124" t="s">
        <v>39</v>
      </c>
    </row>
    <row r="1125" spans="1:30" hidden="1" x14ac:dyDescent="0.25">
      <c r="A1125">
        <v>95</v>
      </c>
      <c r="B1125" t="s">
        <v>116</v>
      </c>
      <c r="C1125">
        <v>6</v>
      </c>
      <c r="D1125">
        <v>298</v>
      </c>
      <c r="E1125">
        <v>378</v>
      </c>
      <c r="F1125" t="s">
        <v>77</v>
      </c>
      <c r="G1125" t="s">
        <v>746</v>
      </c>
      <c r="H1125">
        <v>6</v>
      </c>
      <c r="I1125">
        <v>31.61</v>
      </c>
      <c r="J1125" t="s">
        <v>839</v>
      </c>
      <c r="K1125" t="s">
        <v>812</v>
      </c>
      <c r="M1125" t="s">
        <v>1085</v>
      </c>
      <c r="P1125" t="s">
        <v>924</v>
      </c>
      <c r="Q1125" t="s">
        <v>26</v>
      </c>
      <c r="R1125" t="s">
        <v>81</v>
      </c>
      <c r="W1125">
        <v>2</v>
      </c>
      <c r="X1125" s="24">
        <v>46032</v>
      </c>
      <c r="Z1125" t="s">
        <v>38</v>
      </c>
      <c r="AB1125" t="s">
        <v>921</v>
      </c>
      <c r="AC1125" t="s">
        <v>971</v>
      </c>
      <c r="AD1125" t="s">
        <v>39</v>
      </c>
    </row>
    <row r="1126" spans="1:30" hidden="1" x14ac:dyDescent="0.25">
      <c r="A1126">
        <v>96</v>
      </c>
      <c r="B1126" t="s">
        <v>123</v>
      </c>
      <c r="C1126">
        <v>6</v>
      </c>
      <c r="D1126">
        <v>298</v>
      </c>
      <c r="E1126">
        <v>378</v>
      </c>
      <c r="F1126" t="s">
        <v>77</v>
      </c>
      <c r="G1126" t="s">
        <v>746</v>
      </c>
      <c r="H1126">
        <v>20</v>
      </c>
      <c r="I1126">
        <v>105.36</v>
      </c>
      <c r="J1126" t="s">
        <v>839</v>
      </c>
      <c r="K1126" t="s">
        <v>812</v>
      </c>
      <c r="M1126" t="s">
        <v>1085</v>
      </c>
      <c r="P1126" t="s">
        <v>924</v>
      </c>
      <c r="Q1126" t="s">
        <v>26</v>
      </c>
      <c r="R1126" t="s">
        <v>81</v>
      </c>
      <c r="W1126">
        <v>2</v>
      </c>
      <c r="X1126" s="24">
        <v>46032</v>
      </c>
      <c r="Z1126" t="s">
        <v>38</v>
      </c>
      <c r="AB1126" t="s">
        <v>921</v>
      </c>
      <c r="AC1126" t="s">
        <v>971</v>
      </c>
      <c r="AD1126" t="s">
        <v>39</v>
      </c>
    </row>
    <row r="1127" spans="1:30" hidden="1" x14ac:dyDescent="0.25">
      <c r="A1127">
        <v>97</v>
      </c>
      <c r="B1127" t="s">
        <v>175</v>
      </c>
      <c r="C1127">
        <v>6</v>
      </c>
      <c r="D1127">
        <v>328</v>
      </c>
      <c r="E1127">
        <v>934</v>
      </c>
      <c r="F1127" t="s">
        <v>77</v>
      </c>
      <c r="G1127" t="s">
        <v>746</v>
      </c>
      <c r="H1127">
        <v>2</v>
      </c>
      <c r="I1127">
        <v>28.86</v>
      </c>
      <c r="J1127" t="s">
        <v>839</v>
      </c>
      <c r="K1127" t="s">
        <v>812</v>
      </c>
      <c r="M1127" t="s">
        <v>1085</v>
      </c>
      <c r="P1127" t="s">
        <v>924</v>
      </c>
      <c r="R1127" t="s">
        <v>81</v>
      </c>
      <c r="U1127" t="s">
        <v>81</v>
      </c>
      <c r="W1127">
        <v>2</v>
      </c>
      <c r="X1127" s="24">
        <v>46032</v>
      </c>
      <c r="Z1127" t="s">
        <v>38</v>
      </c>
      <c r="AB1127" t="s">
        <v>921</v>
      </c>
      <c r="AC1127" t="s">
        <v>973</v>
      </c>
      <c r="AD1127" t="s">
        <v>39</v>
      </c>
    </row>
    <row r="1128" spans="1:30" hidden="1" x14ac:dyDescent="0.25">
      <c r="A1128">
        <v>98</v>
      </c>
      <c r="B1128" t="s">
        <v>178</v>
      </c>
      <c r="C1128">
        <v>6</v>
      </c>
      <c r="D1128">
        <v>328</v>
      </c>
      <c r="E1128">
        <v>934</v>
      </c>
      <c r="F1128" t="s">
        <v>77</v>
      </c>
      <c r="G1128" t="s">
        <v>746</v>
      </c>
      <c r="H1128">
        <v>4</v>
      </c>
      <c r="I1128">
        <v>57.72</v>
      </c>
      <c r="J1128" t="s">
        <v>839</v>
      </c>
      <c r="K1128" t="s">
        <v>812</v>
      </c>
      <c r="M1128" t="s">
        <v>1085</v>
      </c>
      <c r="P1128" t="s">
        <v>924</v>
      </c>
      <c r="R1128" t="s">
        <v>81</v>
      </c>
      <c r="U1128" t="s">
        <v>81</v>
      </c>
      <c r="W1128">
        <v>2</v>
      </c>
      <c r="X1128" s="24">
        <v>46032</v>
      </c>
      <c r="Z1128" t="s">
        <v>38</v>
      </c>
      <c r="AB1128" t="s">
        <v>921</v>
      </c>
      <c r="AC1128" t="s">
        <v>973</v>
      </c>
      <c r="AD1128" t="s">
        <v>39</v>
      </c>
    </row>
    <row r="1129" spans="1:30" hidden="1" x14ac:dyDescent="0.25">
      <c r="A1129">
        <v>99</v>
      </c>
      <c r="B1129" t="s">
        <v>179</v>
      </c>
      <c r="C1129">
        <v>6</v>
      </c>
      <c r="D1129">
        <v>328</v>
      </c>
      <c r="E1129">
        <v>934</v>
      </c>
      <c r="F1129" t="s">
        <v>77</v>
      </c>
      <c r="G1129" t="s">
        <v>746</v>
      </c>
      <c r="H1129">
        <v>2</v>
      </c>
      <c r="I1129">
        <v>28.86</v>
      </c>
      <c r="J1129" t="s">
        <v>839</v>
      </c>
      <c r="K1129" t="s">
        <v>812</v>
      </c>
      <c r="M1129" t="s">
        <v>1085</v>
      </c>
      <c r="P1129" t="s">
        <v>924</v>
      </c>
      <c r="R1129" t="s">
        <v>81</v>
      </c>
      <c r="U1129" t="s">
        <v>81</v>
      </c>
      <c r="W1129">
        <v>2</v>
      </c>
      <c r="X1129" s="24">
        <v>46032</v>
      </c>
      <c r="Z1129" t="s">
        <v>38</v>
      </c>
      <c r="AB1129" t="s">
        <v>921</v>
      </c>
      <c r="AC1129" t="s">
        <v>973</v>
      </c>
      <c r="AD1129" t="s">
        <v>39</v>
      </c>
    </row>
    <row r="1130" spans="1:30" hidden="1" x14ac:dyDescent="0.25">
      <c r="A1130">
        <v>100</v>
      </c>
      <c r="B1130" t="s">
        <v>172</v>
      </c>
      <c r="C1130">
        <v>6</v>
      </c>
      <c r="D1130">
        <v>188</v>
      </c>
      <c r="E1130">
        <v>2483</v>
      </c>
      <c r="F1130" t="s">
        <v>77</v>
      </c>
      <c r="G1130" t="s">
        <v>746</v>
      </c>
      <c r="H1130">
        <v>16</v>
      </c>
      <c r="I1130">
        <v>345.98</v>
      </c>
      <c r="J1130" t="s">
        <v>839</v>
      </c>
      <c r="K1130" t="s">
        <v>812</v>
      </c>
      <c r="M1130" t="s">
        <v>1085</v>
      </c>
      <c r="P1130" t="s">
        <v>924</v>
      </c>
      <c r="R1130" t="s">
        <v>81</v>
      </c>
      <c r="U1130" t="s">
        <v>81</v>
      </c>
      <c r="V1130" t="s">
        <v>81</v>
      </c>
      <c r="W1130">
        <v>2</v>
      </c>
      <c r="X1130" s="24">
        <v>46032</v>
      </c>
      <c r="Z1130" t="s">
        <v>38</v>
      </c>
      <c r="AB1130" t="s">
        <v>921</v>
      </c>
      <c r="AC1130" t="s">
        <v>973</v>
      </c>
      <c r="AD1130" t="s">
        <v>39</v>
      </c>
    </row>
    <row r="1131" spans="1:30" hidden="1" x14ac:dyDescent="0.25">
      <c r="A1131">
        <v>101</v>
      </c>
      <c r="B1131" t="s">
        <v>180</v>
      </c>
      <c r="C1131">
        <v>6</v>
      </c>
      <c r="D1131">
        <v>188</v>
      </c>
      <c r="E1131">
        <v>2483</v>
      </c>
      <c r="F1131" t="s">
        <v>77</v>
      </c>
      <c r="G1131" t="s">
        <v>746</v>
      </c>
      <c r="H1131">
        <v>12</v>
      </c>
      <c r="I1131">
        <v>259.49</v>
      </c>
      <c r="J1131" t="s">
        <v>839</v>
      </c>
      <c r="K1131" t="s">
        <v>812</v>
      </c>
      <c r="M1131" t="s">
        <v>1085</v>
      </c>
      <c r="P1131" t="s">
        <v>924</v>
      </c>
      <c r="R1131" t="s">
        <v>81</v>
      </c>
      <c r="U1131" t="s">
        <v>81</v>
      </c>
      <c r="V1131" t="s">
        <v>81</v>
      </c>
      <c r="W1131">
        <v>2</v>
      </c>
      <c r="X1131" s="24">
        <v>46032</v>
      </c>
      <c r="Z1131" t="s">
        <v>38</v>
      </c>
      <c r="AB1131" t="s">
        <v>921</v>
      </c>
      <c r="AC1131" t="s">
        <v>973</v>
      </c>
      <c r="AD1131" t="s">
        <v>39</v>
      </c>
    </row>
    <row r="1132" spans="1:30" hidden="1" x14ac:dyDescent="0.25">
      <c r="A1132">
        <v>102</v>
      </c>
      <c r="B1132" t="s">
        <v>175</v>
      </c>
      <c r="C1132">
        <v>6</v>
      </c>
      <c r="D1132">
        <v>328</v>
      </c>
      <c r="E1132">
        <v>934</v>
      </c>
      <c r="F1132" t="s">
        <v>77</v>
      </c>
      <c r="G1132" t="s">
        <v>746</v>
      </c>
      <c r="H1132">
        <v>2</v>
      </c>
      <c r="I1132">
        <v>28.86</v>
      </c>
      <c r="J1132" t="s">
        <v>839</v>
      </c>
      <c r="K1132" t="s">
        <v>812</v>
      </c>
      <c r="M1132" t="s">
        <v>1085</v>
      </c>
      <c r="P1132" t="s">
        <v>924</v>
      </c>
      <c r="R1132" t="s">
        <v>81</v>
      </c>
      <c r="U1132" t="s">
        <v>81</v>
      </c>
      <c r="W1132">
        <v>2</v>
      </c>
      <c r="X1132" s="24">
        <v>46032</v>
      </c>
      <c r="Z1132" t="s">
        <v>38</v>
      </c>
      <c r="AB1132" t="s">
        <v>921</v>
      </c>
      <c r="AC1132" t="s">
        <v>975</v>
      </c>
      <c r="AD1132" t="s">
        <v>39</v>
      </c>
    </row>
    <row r="1133" spans="1:30" hidden="1" x14ac:dyDescent="0.25">
      <c r="A1133">
        <v>103</v>
      </c>
      <c r="B1133" t="s">
        <v>178</v>
      </c>
      <c r="C1133">
        <v>6</v>
      </c>
      <c r="D1133">
        <v>328</v>
      </c>
      <c r="E1133">
        <v>934</v>
      </c>
      <c r="F1133" t="s">
        <v>77</v>
      </c>
      <c r="G1133" t="s">
        <v>746</v>
      </c>
      <c r="H1133">
        <v>1</v>
      </c>
      <c r="I1133">
        <v>14.43</v>
      </c>
      <c r="J1133" t="s">
        <v>839</v>
      </c>
      <c r="K1133" t="s">
        <v>812</v>
      </c>
      <c r="M1133" t="s">
        <v>1085</v>
      </c>
      <c r="P1133" t="s">
        <v>924</v>
      </c>
      <c r="R1133" t="s">
        <v>81</v>
      </c>
      <c r="U1133" t="s">
        <v>81</v>
      </c>
      <c r="W1133">
        <v>2</v>
      </c>
      <c r="X1133" s="24">
        <v>46032</v>
      </c>
      <c r="Z1133" t="s">
        <v>38</v>
      </c>
      <c r="AB1133" t="s">
        <v>921</v>
      </c>
      <c r="AC1133" t="s">
        <v>975</v>
      </c>
      <c r="AD1133" t="s">
        <v>39</v>
      </c>
    </row>
    <row r="1134" spans="1:30" hidden="1" x14ac:dyDescent="0.25">
      <c r="A1134">
        <v>104</v>
      </c>
      <c r="B1134" t="s">
        <v>179</v>
      </c>
      <c r="C1134">
        <v>6</v>
      </c>
      <c r="D1134">
        <v>328</v>
      </c>
      <c r="E1134">
        <v>934</v>
      </c>
      <c r="F1134" t="s">
        <v>77</v>
      </c>
      <c r="G1134" t="s">
        <v>746</v>
      </c>
      <c r="H1134">
        <v>5</v>
      </c>
      <c r="I1134">
        <v>72.150000000000006</v>
      </c>
      <c r="J1134" t="s">
        <v>839</v>
      </c>
      <c r="K1134" t="s">
        <v>812</v>
      </c>
      <c r="M1134" t="s">
        <v>1085</v>
      </c>
      <c r="P1134" t="s">
        <v>924</v>
      </c>
      <c r="R1134" t="s">
        <v>81</v>
      </c>
      <c r="U1134" t="s">
        <v>81</v>
      </c>
      <c r="W1134">
        <v>2</v>
      </c>
      <c r="X1134" s="24">
        <v>46032</v>
      </c>
      <c r="Z1134" t="s">
        <v>38</v>
      </c>
      <c r="AB1134" t="s">
        <v>921</v>
      </c>
      <c r="AC1134" t="s">
        <v>975</v>
      </c>
      <c r="AD1134" t="s">
        <v>39</v>
      </c>
    </row>
    <row r="1135" spans="1:30" hidden="1" x14ac:dyDescent="0.25">
      <c r="A1135">
        <v>105</v>
      </c>
      <c r="B1135" t="s">
        <v>180</v>
      </c>
      <c r="C1135">
        <v>6</v>
      </c>
      <c r="D1135">
        <v>188</v>
      </c>
      <c r="E1135">
        <v>2483</v>
      </c>
      <c r="F1135" t="s">
        <v>77</v>
      </c>
      <c r="G1135" t="s">
        <v>746</v>
      </c>
      <c r="H1135">
        <v>28</v>
      </c>
      <c r="I1135">
        <v>605.47</v>
      </c>
      <c r="J1135" t="s">
        <v>839</v>
      </c>
      <c r="K1135" t="s">
        <v>812</v>
      </c>
      <c r="M1135" t="s">
        <v>1085</v>
      </c>
      <c r="P1135" t="s">
        <v>924</v>
      </c>
      <c r="R1135" t="s">
        <v>81</v>
      </c>
      <c r="U1135" t="s">
        <v>81</v>
      </c>
      <c r="V1135" t="s">
        <v>81</v>
      </c>
      <c r="W1135">
        <v>2</v>
      </c>
      <c r="X1135" s="24">
        <v>46032</v>
      </c>
      <c r="Z1135" t="s">
        <v>38</v>
      </c>
      <c r="AB1135" t="s">
        <v>921</v>
      </c>
      <c r="AC1135" t="s">
        <v>975</v>
      </c>
      <c r="AD1135" t="s">
        <v>39</v>
      </c>
    </row>
    <row r="1136" spans="1:30" hidden="1" x14ac:dyDescent="0.25">
      <c r="A1136">
        <v>106</v>
      </c>
      <c r="B1136" t="s">
        <v>175</v>
      </c>
      <c r="C1136">
        <v>6</v>
      </c>
      <c r="D1136">
        <v>328</v>
      </c>
      <c r="E1136">
        <v>934</v>
      </c>
      <c r="F1136" t="s">
        <v>77</v>
      </c>
      <c r="G1136" t="s">
        <v>746</v>
      </c>
      <c r="H1136">
        <v>2</v>
      </c>
      <c r="I1136">
        <v>28.86</v>
      </c>
      <c r="J1136" t="s">
        <v>839</v>
      </c>
      <c r="K1136" t="s">
        <v>812</v>
      </c>
      <c r="M1136" t="s">
        <v>1085</v>
      </c>
      <c r="P1136" t="s">
        <v>924</v>
      </c>
      <c r="R1136" t="s">
        <v>81</v>
      </c>
      <c r="U1136" t="s">
        <v>81</v>
      </c>
      <c r="W1136">
        <v>2</v>
      </c>
      <c r="X1136" s="24">
        <v>46032</v>
      </c>
      <c r="Z1136" t="s">
        <v>38</v>
      </c>
      <c r="AB1136" t="s">
        <v>921</v>
      </c>
      <c r="AC1136" t="s">
        <v>977</v>
      </c>
      <c r="AD1136" t="s">
        <v>39</v>
      </c>
    </row>
    <row r="1137" spans="1:30" hidden="1" x14ac:dyDescent="0.25">
      <c r="A1137">
        <v>107</v>
      </c>
      <c r="B1137" t="s">
        <v>178</v>
      </c>
      <c r="C1137">
        <v>6</v>
      </c>
      <c r="D1137">
        <v>328</v>
      </c>
      <c r="E1137">
        <v>934</v>
      </c>
      <c r="F1137" t="s">
        <v>77</v>
      </c>
      <c r="G1137" t="s">
        <v>746</v>
      </c>
      <c r="H1137">
        <v>1</v>
      </c>
      <c r="I1137">
        <v>14.43</v>
      </c>
      <c r="J1137" t="s">
        <v>839</v>
      </c>
      <c r="K1137" t="s">
        <v>812</v>
      </c>
      <c r="M1137" t="s">
        <v>1085</v>
      </c>
      <c r="P1137" t="s">
        <v>924</v>
      </c>
      <c r="R1137" t="s">
        <v>81</v>
      </c>
      <c r="U1137" t="s">
        <v>81</v>
      </c>
      <c r="W1137">
        <v>2</v>
      </c>
      <c r="X1137" s="24">
        <v>46032</v>
      </c>
      <c r="Z1137" t="s">
        <v>38</v>
      </c>
      <c r="AB1137" t="s">
        <v>921</v>
      </c>
      <c r="AC1137" t="s">
        <v>977</v>
      </c>
      <c r="AD1137" t="s">
        <v>39</v>
      </c>
    </row>
    <row r="1138" spans="1:30" hidden="1" x14ac:dyDescent="0.25">
      <c r="A1138">
        <v>108</v>
      </c>
      <c r="B1138" t="s">
        <v>179</v>
      </c>
      <c r="C1138">
        <v>6</v>
      </c>
      <c r="D1138">
        <v>328</v>
      </c>
      <c r="E1138">
        <v>934</v>
      </c>
      <c r="F1138" t="s">
        <v>77</v>
      </c>
      <c r="G1138" t="s">
        <v>746</v>
      </c>
      <c r="H1138">
        <v>1</v>
      </c>
      <c r="I1138">
        <v>14.43</v>
      </c>
      <c r="J1138" t="s">
        <v>839</v>
      </c>
      <c r="K1138" t="s">
        <v>812</v>
      </c>
      <c r="M1138" t="s">
        <v>1085</v>
      </c>
      <c r="P1138" t="s">
        <v>924</v>
      </c>
      <c r="R1138" t="s">
        <v>81</v>
      </c>
      <c r="U1138" t="s">
        <v>81</v>
      </c>
      <c r="W1138">
        <v>2</v>
      </c>
      <c r="X1138" s="24">
        <v>46032</v>
      </c>
      <c r="Z1138" t="s">
        <v>38</v>
      </c>
      <c r="AB1138" t="s">
        <v>921</v>
      </c>
      <c r="AC1138" t="s">
        <v>977</v>
      </c>
      <c r="AD1138" t="s">
        <v>39</v>
      </c>
    </row>
    <row r="1139" spans="1:30" hidden="1" x14ac:dyDescent="0.25">
      <c r="A1139">
        <v>109</v>
      </c>
      <c r="B1139" t="s">
        <v>185</v>
      </c>
      <c r="C1139">
        <v>6</v>
      </c>
      <c r="D1139">
        <v>188</v>
      </c>
      <c r="E1139">
        <v>2483</v>
      </c>
      <c r="F1139" t="s">
        <v>77</v>
      </c>
      <c r="G1139" t="s">
        <v>746</v>
      </c>
      <c r="H1139">
        <v>28</v>
      </c>
      <c r="I1139">
        <v>605.47</v>
      </c>
      <c r="J1139" t="s">
        <v>839</v>
      </c>
      <c r="K1139" t="s">
        <v>812</v>
      </c>
      <c r="M1139" t="s">
        <v>1085</v>
      </c>
      <c r="P1139" t="s">
        <v>924</v>
      </c>
      <c r="R1139" t="s">
        <v>81</v>
      </c>
      <c r="U1139" t="s">
        <v>81</v>
      </c>
      <c r="V1139" t="s">
        <v>81</v>
      </c>
      <c r="W1139">
        <v>2</v>
      </c>
      <c r="X1139" s="24">
        <v>46032</v>
      </c>
      <c r="Z1139" t="s">
        <v>38</v>
      </c>
      <c r="AB1139" t="s">
        <v>921</v>
      </c>
      <c r="AC1139" t="s">
        <v>977</v>
      </c>
      <c r="AD1139" t="s">
        <v>39</v>
      </c>
    </row>
    <row r="1140" spans="1:30" hidden="1" x14ac:dyDescent="0.25">
      <c r="A1140">
        <v>110</v>
      </c>
      <c r="B1140" t="s">
        <v>138</v>
      </c>
      <c r="C1140">
        <v>6</v>
      </c>
      <c r="D1140">
        <v>328</v>
      </c>
      <c r="E1140">
        <v>934</v>
      </c>
      <c r="F1140" t="s">
        <v>77</v>
      </c>
      <c r="G1140" t="s">
        <v>746</v>
      </c>
      <c r="H1140">
        <v>2</v>
      </c>
      <c r="I1140">
        <v>28.86</v>
      </c>
      <c r="J1140" t="s">
        <v>839</v>
      </c>
      <c r="K1140" t="s">
        <v>812</v>
      </c>
      <c r="M1140" t="s">
        <v>1085</v>
      </c>
      <c r="P1140" t="s">
        <v>924</v>
      </c>
      <c r="R1140" t="s">
        <v>81</v>
      </c>
      <c r="U1140" t="s">
        <v>81</v>
      </c>
      <c r="W1140">
        <v>2</v>
      </c>
      <c r="X1140" s="24">
        <v>46032</v>
      </c>
      <c r="Z1140" t="s">
        <v>38</v>
      </c>
      <c r="AB1140" t="s">
        <v>921</v>
      </c>
      <c r="AC1140" t="s">
        <v>977</v>
      </c>
      <c r="AD1140" t="s">
        <v>39</v>
      </c>
    </row>
    <row r="1141" spans="1:30" hidden="1" x14ac:dyDescent="0.25">
      <c r="A1141">
        <v>111</v>
      </c>
      <c r="B1141" t="s">
        <v>154</v>
      </c>
      <c r="C1141">
        <v>6</v>
      </c>
      <c r="D1141">
        <v>328</v>
      </c>
      <c r="E1141">
        <v>934</v>
      </c>
      <c r="F1141" t="s">
        <v>77</v>
      </c>
      <c r="G1141" t="s">
        <v>746</v>
      </c>
      <c r="H1141">
        <v>2</v>
      </c>
      <c r="I1141">
        <v>28.86</v>
      </c>
      <c r="J1141" t="s">
        <v>839</v>
      </c>
      <c r="K1141" t="s">
        <v>812</v>
      </c>
      <c r="M1141" t="s">
        <v>1085</v>
      </c>
      <c r="P1141" t="s">
        <v>924</v>
      </c>
      <c r="R1141" t="s">
        <v>81</v>
      </c>
      <c r="U1141" t="s">
        <v>81</v>
      </c>
      <c r="W1141">
        <v>2</v>
      </c>
      <c r="X1141" s="24">
        <v>46032</v>
      </c>
      <c r="Z1141" t="s">
        <v>38</v>
      </c>
      <c r="AB1141" t="s">
        <v>921</v>
      </c>
      <c r="AC1141" t="s">
        <v>977</v>
      </c>
      <c r="AD1141" t="s">
        <v>39</v>
      </c>
    </row>
    <row r="1142" spans="1:30" hidden="1" x14ac:dyDescent="0.25">
      <c r="A1142">
        <v>112</v>
      </c>
      <c r="B1142" t="s">
        <v>186</v>
      </c>
      <c r="C1142">
        <v>6</v>
      </c>
      <c r="D1142">
        <v>328</v>
      </c>
      <c r="E1142">
        <v>894</v>
      </c>
      <c r="F1142" t="s">
        <v>77</v>
      </c>
      <c r="G1142" t="s">
        <v>746</v>
      </c>
      <c r="H1142">
        <v>2</v>
      </c>
      <c r="I1142">
        <v>27.62</v>
      </c>
      <c r="J1142" t="s">
        <v>839</v>
      </c>
      <c r="K1142" t="s">
        <v>812</v>
      </c>
      <c r="M1142" t="s">
        <v>1085</v>
      </c>
      <c r="P1142" t="s">
        <v>924</v>
      </c>
      <c r="R1142" t="s">
        <v>81</v>
      </c>
      <c r="U1142" t="s">
        <v>81</v>
      </c>
      <c r="W1142">
        <v>2</v>
      </c>
      <c r="X1142" s="24">
        <v>46032</v>
      </c>
      <c r="Z1142" t="s">
        <v>38</v>
      </c>
      <c r="AB1142" t="s">
        <v>921</v>
      </c>
      <c r="AC1142" t="s">
        <v>979</v>
      </c>
      <c r="AD1142" t="s">
        <v>39</v>
      </c>
    </row>
    <row r="1143" spans="1:30" hidden="1" x14ac:dyDescent="0.25">
      <c r="A1143">
        <v>113</v>
      </c>
      <c r="B1143" t="s">
        <v>189</v>
      </c>
      <c r="C1143">
        <v>6</v>
      </c>
      <c r="D1143">
        <v>188</v>
      </c>
      <c r="E1143">
        <v>2481</v>
      </c>
      <c r="F1143" t="s">
        <v>77</v>
      </c>
      <c r="G1143" t="s">
        <v>746</v>
      </c>
      <c r="H1143">
        <v>2</v>
      </c>
      <c r="I1143">
        <v>43.22</v>
      </c>
      <c r="J1143" t="s">
        <v>839</v>
      </c>
      <c r="K1143" t="s">
        <v>812</v>
      </c>
      <c r="M1143" t="s">
        <v>1085</v>
      </c>
      <c r="P1143" t="s">
        <v>924</v>
      </c>
      <c r="R1143" t="s">
        <v>81</v>
      </c>
      <c r="U1143" t="s">
        <v>81</v>
      </c>
      <c r="V1143" t="s">
        <v>81</v>
      </c>
      <c r="W1143">
        <v>2</v>
      </c>
      <c r="X1143" s="24">
        <v>46032</v>
      </c>
      <c r="Z1143" t="s">
        <v>38</v>
      </c>
      <c r="AB1143" t="s">
        <v>921</v>
      </c>
      <c r="AC1143" t="s">
        <v>979</v>
      </c>
      <c r="AD1143" t="s">
        <v>39</v>
      </c>
    </row>
    <row r="1144" spans="1:30" hidden="1" x14ac:dyDescent="0.25">
      <c r="A1144">
        <v>114</v>
      </c>
      <c r="B1144" t="s">
        <v>191</v>
      </c>
      <c r="C1144">
        <v>6</v>
      </c>
      <c r="D1144">
        <v>188</v>
      </c>
      <c r="E1144">
        <v>2481</v>
      </c>
      <c r="F1144" t="s">
        <v>77</v>
      </c>
      <c r="G1144" t="s">
        <v>746</v>
      </c>
      <c r="H1144">
        <v>2</v>
      </c>
      <c r="I1144">
        <v>43.22</v>
      </c>
      <c r="J1144" t="s">
        <v>839</v>
      </c>
      <c r="K1144" t="s">
        <v>812</v>
      </c>
      <c r="M1144" t="s">
        <v>1085</v>
      </c>
      <c r="P1144" t="s">
        <v>924</v>
      </c>
      <c r="R1144" t="s">
        <v>81</v>
      </c>
      <c r="U1144" t="s">
        <v>81</v>
      </c>
      <c r="V1144" t="s">
        <v>81</v>
      </c>
      <c r="W1144">
        <v>2</v>
      </c>
      <c r="X1144" s="24">
        <v>46032</v>
      </c>
      <c r="Z1144" t="s">
        <v>38</v>
      </c>
      <c r="AB1144" t="s">
        <v>921</v>
      </c>
      <c r="AC1144" t="s">
        <v>979</v>
      </c>
      <c r="AD1144" t="s">
        <v>39</v>
      </c>
    </row>
    <row r="1145" spans="1:30" hidden="1" x14ac:dyDescent="0.25">
      <c r="A1145">
        <v>115</v>
      </c>
      <c r="B1145" t="s">
        <v>192</v>
      </c>
      <c r="C1145">
        <v>6</v>
      </c>
      <c r="D1145">
        <v>188</v>
      </c>
      <c r="E1145">
        <v>2480</v>
      </c>
      <c r="F1145" t="s">
        <v>77</v>
      </c>
      <c r="G1145" t="s">
        <v>746</v>
      </c>
      <c r="H1145">
        <v>2</v>
      </c>
      <c r="I1145">
        <v>43.2</v>
      </c>
      <c r="J1145" t="s">
        <v>839</v>
      </c>
      <c r="K1145" t="s">
        <v>812</v>
      </c>
      <c r="M1145" t="s">
        <v>1085</v>
      </c>
      <c r="P1145" t="s">
        <v>924</v>
      </c>
      <c r="R1145" t="s">
        <v>81</v>
      </c>
      <c r="U1145" t="s">
        <v>81</v>
      </c>
      <c r="V1145" t="s">
        <v>81</v>
      </c>
      <c r="W1145">
        <v>2</v>
      </c>
      <c r="X1145" s="24">
        <v>46032</v>
      </c>
      <c r="Z1145" t="s">
        <v>38</v>
      </c>
      <c r="AB1145" t="s">
        <v>921</v>
      </c>
      <c r="AC1145" t="s">
        <v>979</v>
      </c>
      <c r="AD1145" t="s">
        <v>39</v>
      </c>
    </row>
    <row r="1146" spans="1:30" hidden="1" x14ac:dyDescent="0.25">
      <c r="A1146">
        <v>116</v>
      </c>
      <c r="B1146" t="s">
        <v>194</v>
      </c>
      <c r="C1146">
        <v>6</v>
      </c>
      <c r="D1146">
        <v>188</v>
      </c>
      <c r="E1146">
        <v>2480</v>
      </c>
      <c r="F1146" t="s">
        <v>77</v>
      </c>
      <c r="G1146" t="s">
        <v>746</v>
      </c>
      <c r="H1146">
        <v>2</v>
      </c>
      <c r="I1146">
        <v>43.21</v>
      </c>
      <c r="J1146" t="s">
        <v>839</v>
      </c>
      <c r="K1146" t="s">
        <v>812</v>
      </c>
      <c r="M1146" t="s">
        <v>1085</v>
      </c>
      <c r="P1146" t="s">
        <v>924</v>
      </c>
      <c r="R1146" t="s">
        <v>81</v>
      </c>
      <c r="U1146" t="s">
        <v>81</v>
      </c>
      <c r="V1146" t="s">
        <v>81</v>
      </c>
      <c r="W1146">
        <v>2</v>
      </c>
      <c r="X1146" s="24">
        <v>46032</v>
      </c>
      <c r="Z1146" t="s">
        <v>38</v>
      </c>
      <c r="AB1146" t="s">
        <v>921</v>
      </c>
      <c r="AC1146" t="s">
        <v>979</v>
      </c>
      <c r="AD1146" t="s">
        <v>39</v>
      </c>
    </row>
    <row r="1147" spans="1:30" hidden="1" x14ac:dyDescent="0.25">
      <c r="A1147">
        <v>117</v>
      </c>
      <c r="B1147" t="s">
        <v>195</v>
      </c>
      <c r="C1147">
        <v>6</v>
      </c>
      <c r="D1147">
        <v>328</v>
      </c>
      <c r="E1147">
        <v>934</v>
      </c>
      <c r="F1147" t="s">
        <v>77</v>
      </c>
      <c r="G1147" t="s">
        <v>746</v>
      </c>
      <c r="H1147">
        <v>2</v>
      </c>
      <c r="I1147">
        <v>28.86</v>
      </c>
      <c r="J1147" t="s">
        <v>839</v>
      </c>
      <c r="K1147" t="s">
        <v>812</v>
      </c>
      <c r="M1147" t="s">
        <v>1085</v>
      </c>
      <c r="P1147" t="s">
        <v>924</v>
      </c>
      <c r="R1147" t="s">
        <v>81</v>
      </c>
      <c r="U1147" t="s">
        <v>81</v>
      </c>
      <c r="W1147">
        <v>2</v>
      </c>
      <c r="X1147" s="24">
        <v>46032</v>
      </c>
      <c r="Z1147" t="s">
        <v>38</v>
      </c>
      <c r="AB1147" t="s">
        <v>921</v>
      </c>
      <c r="AC1147" t="s">
        <v>979</v>
      </c>
      <c r="AD1147" t="s">
        <v>39</v>
      </c>
    </row>
    <row r="1148" spans="1:30" hidden="1" x14ac:dyDescent="0.25">
      <c r="A1148">
        <v>118</v>
      </c>
      <c r="B1148" t="s">
        <v>185</v>
      </c>
      <c r="C1148">
        <v>6</v>
      </c>
      <c r="D1148">
        <v>188</v>
      </c>
      <c r="E1148">
        <v>2483</v>
      </c>
      <c r="F1148" t="s">
        <v>77</v>
      </c>
      <c r="G1148" t="s">
        <v>746</v>
      </c>
      <c r="H1148">
        <v>12</v>
      </c>
      <c r="I1148">
        <v>259.49</v>
      </c>
      <c r="J1148" t="s">
        <v>839</v>
      </c>
      <c r="K1148" t="s">
        <v>812</v>
      </c>
      <c r="M1148" t="s">
        <v>1085</v>
      </c>
      <c r="P1148" t="s">
        <v>924</v>
      </c>
      <c r="R1148" t="s">
        <v>81</v>
      </c>
      <c r="U1148" t="s">
        <v>81</v>
      </c>
      <c r="V1148" t="s">
        <v>81</v>
      </c>
      <c r="W1148">
        <v>2</v>
      </c>
      <c r="X1148" s="24">
        <v>46032</v>
      </c>
      <c r="Z1148" t="s">
        <v>38</v>
      </c>
      <c r="AB1148" t="s">
        <v>921</v>
      </c>
      <c r="AC1148" t="s">
        <v>979</v>
      </c>
      <c r="AD1148" t="s">
        <v>39</v>
      </c>
    </row>
    <row r="1149" spans="1:30" hidden="1" x14ac:dyDescent="0.25">
      <c r="A1149">
        <v>119</v>
      </c>
      <c r="B1149" t="s">
        <v>164</v>
      </c>
      <c r="C1149">
        <v>6</v>
      </c>
      <c r="D1149">
        <v>328</v>
      </c>
      <c r="E1149">
        <v>894</v>
      </c>
      <c r="F1149" t="s">
        <v>77</v>
      </c>
      <c r="G1149" t="s">
        <v>746</v>
      </c>
      <c r="H1149">
        <v>1</v>
      </c>
      <c r="I1149">
        <v>13.81</v>
      </c>
      <c r="J1149" t="s">
        <v>839</v>
      </c>
      <c r="K1149" t="s">
        <v>812</v>
      </c>
      <c r="M1149" t="s">
        <v>1085</v>
      </c>
      <c r="P1149" t="s">
        <v>924</v>
      </c>
      <c r="R1149" t="s">
        <v>81</v>
      </c>
      <c r="U1149" t="s">
        <v>81</v>
      </c>
      <c r="W1149">
        <v>2</v>
      </c>
      <c r="X1149" s="24">
        <v>46032</v>
      </c>
      <c r="Z1149" t="s">
        <v>38</v>
      </c>
      <c r="AB1149" t="s">
        <v>921</v>
      </c>
      <c r="AC1149" t="s">
        <v>979</v>
      </c>
      <c r="AD1149" t="s">
        <v>39</v>
      </c>
    </row>
    <row r="1150" spans="1:30" hidden="1" x14ac:dyDescent="0.25">
      <c r="A1150">
        <v>120</v>
      </c>
      <c r="B1150" t="s">
        <v>196</v>
      </c>
      <c r="C1150">
        <v>6</v>
      </c>
      <c r="D1150">
        <v>328</v>
      </c>
      <c r="E1150">
        <v>894</v>
      </c>
      <c r="F1150" t="s">
        <v>77</v>
      </c>
      <c r="G1150" t="s">
        <v>746</v>
      </c>
      <c r="H1150">
        <v>1</v>
      </c>
      <c r="I1150">
        <v>13.81</v>
      </c>
      <c r="J1150" t="s">
        <v>839</v>
      </c>
      <c r="K1150" t="s">
        <v>812</v>
      </c>
      <c r="M1150" t="s">
        <v>1085</v>
      </c>
      <c r="P1150" t="s">
        <v>924</v>
      </c>
      <c r="R1150" t="s">
        <v>81</v>
      </c>
      <c r="U1150" t="s">
        <v>81</v>
      </c>
      <c r="W1150">
        <v>2</v>
      </c>
      <c r="X1150" s="24">
        <v>46032</v>
      </c>
      <c r="Z1150" t="s">
        <v>38</v>
      </c>
      <c r="AB1150" t="s">
        <v>921</v>
      </c>
      <c r="AC1150" t="s">
        <v>979</v>
      </c>
      <c r="AD1150" t="s">
        <v>39</v>
      </c>
    </row>
    <row r="1151" spans="1:30" hidden="1" x14ac:dyDescent="0.25">
      <c r="A1151">
        <v>121</v>
      </c>
      <c r="B1151" t="s">
        <v>197</v>
      </c>
      <c r="C1151">
        <v>6</v>
      </c>
      <c r="D1151">
        <v>188</v>
      </c>
      <c r="E1151">
        <v>2481</v>
      </c>
      <c r="F1151" t="s">
        <v>77</v>
      </c>
      <c r="G1151" t="s">
        <v>746</v>
      </c>
      <c r="H1151">
        <v>2</v>
      </c>
      <c r="I1151">
        <v>43.22</v>
      </c>
      <c r="J1151" t="s">
        <v>839</v>
      </c>
      <c r="K1151" t="s">
        <v>812</v>
      </c>
      <c r="M1151" t="s">
        <v>1085</v>
      </c>
      <c r="P1151" t="s">
        <v>924</v>
      </c>
      <c r="R1151" t="s">
        <v>81</v>
      </c>
      <c r="U1151" t="s">
        <v>81</v>
      </c>
      <c r="V1151" t="s">
        <v>81</v>
      </c>
      <c r="W1151">
        <v>2</v>
      </c>
      <c r="X1151" s="24">
        <v>46032</v>
      </c>
      <c r="Z1151" t="s">
        <v>38</v>
      </c>
      <c r="AB1151" t="s">
        <v>921</v>
      </c>
      <c r="AC1151" t="s">
        <v>979</v>
      </c>
      <c r="AD1151" t="s">
        <v>39</v>
      </c>
    </row>
    <row r="1152" spans="1:30" hidden="1" x14ac:dyDescent="0.25">
      <c r="A1152">
        <v>122</v>
      </c>
      <c r="B1152" t="s">
        <v>198</v>
      </c>
      <c r="C1152">
        <v>6</v>
      </c>
      <c r="D1152">
        <v>188</v>
      </c>
      <c r="E1152">
        <v>2481</v>
      </c>
      <c r="F1152" t="s">
        <v>77</v>
      </c>
      <c r="G1152" t="s">
        <v>746</v>
      </c>
      <c r="H1152">
        <v>2</v>
      </c>
      <c r="I1152">
        <v>43.22</v>
      </c>
      <c r="J1152" t="s">
        <v>839</v>
      </c>
      <c r="K1152" t="s">
        <v>812</v>
      </c>
      <c r="M1152" t="s">
        <v>1085</v>
      </c>
      <c r="P1152" t="s">
        <v>924</v>
      </c>
      <c r="R1152" t="s">
        <v>81</v>
      </c>
      <c r="U1152" t="s">
        <v>81</v>
      </c>
      <c r="V1152" t="s">
        <v>81</v>
      </c>
      <c r="W1152">
        <v>2</v>
      </c>
      <c r="X1152" s="24">
        <v>46032</v>
      </c>
      <c r="Z1152" t="s">
        <v>38</v>
      </c>
      <c r="AB1152" t="s">
        <v>921</v>
      </c>
      <c r="AC1152" t="s">
        <v>979</v>
      </c>
      <c r="AD1152" t="s">
        <v>39</v>
      </c>
    </row>
    <row r="1153" spans="1:30" hidden="1" x14ac:dyDescent="0.25">
      <c r="A1153">
        <v>123</v>
      </c>
      <c r="B1153" t="s">
        <v>199</v>
      </c>
      <c r="C1153">
        <v>6</v>
      </c>
      <c r="D1153">
        <v>188</v>
      </c>
      <c r="E1153">
        <v>2480</v>
      </c>
      <c r="F1153" t="s">
        <v>77</v>
      </c>
      <c r="G1153" t="s">
        <v>746</v>
      </c>
      <c r="H1153">
        <v>2</v>
      </c>
      <c r="I1153">
        <v>43.2</v>
      </c>
      <c r="J1153" t="s">
        <v>839</v>
      </c>
      <c r="K1153" t="s">
        <v>812</v>
      </c>
      <c r="M1153" t="s">
        <v>1085</v>
      </c>
      <c r="P1153" t="s">
        <v>924</v>
      </c>
      <c r="R1153" t="s">
        <v>81</v>
      </c>
      <c r="U1153" t="s">
        <v>81</v>
      </c>
      <c r="V1153" t="s">
        <v>81</v>
      </c>
      <c r="W1153">
        <v>2</v>
      </c>
      <c r="X1153" s="24">
        <v>46032</v>
      </c>
      <c r="Z1153" t="s">
        <v>38</v>
      </c>
      <c r="AB1153" t="s">
        <v>921</v>
      </c>
      <c r="AC1153" t="s">
        <v>979</v>
      </c>
      <c r="AD1153" t="s">
        <v>39</v>
      </c>
    </row>
    <row r="1154" spans="1:30" hidden="1" x14ac:dyDescent="0.25">
      <c r="A1154">
        <v>124</v>
      </c>
      <c r="B1154" t="s">
        <v>200</v>
      </c>
      <c r="C1154">
        <v>6</v>
      </c>
      <c r="D1154">
        <v>188</v>
      </c>
      <c r="E1154">
        <v>2480</v>
      </c>
      <c r="F1154" t="s">
        <v>77</v>
      </c>
      <c r="G1154" t="s">
        <v>746</v>
      </c>
      <c r="H1154">
        <v>2</v>
      </c>
      <c r="I1154">
        <v>43.21</v>
      </c>
      <c r="J1154" t="s">
        <v>839</v>
      </c>
      <c r="K1154" t="s">
        <v>812</v>
      </c>
      <c r="M1154" t="s">
        <v>1085</v>
      </c>
      <c r="P1154" t="s">
        <v>924</v>
      </c>
      <c r="R1154" t="s">
        <v>81</v>
      </c>
      <c r="U1154" t="s">
        <v>81</v>
      </c>
      <c r="V1154" t="s">
        <v>81</v>
      </c>
      <c r="W1154">
        <v>2</v>
      </c>
      <c r="X1154" s="24">
        <v>46032</v>
      </c>
      <c r="Z1154" t="s">
        <v>38</v>
      </c>
      <c r="AB1154" t="s">
        <v>921</v>
      </c>
      <c r="AC1154" t="s">
        <v>979</v>
      </c>
      <c r="AD1154" t="s">
        <v>39</v>
      </c>
    </row>
    <row r="1155" spans="1:30" hidden="1" x14ac:dyDescent="0.25">
      <c r="A1155">
        <v>125</v>
      </c>
      <c r="B1155" t="s">
        <v>201</v>
      </c>
      <c r="C1155">
        <v>6</v>
      </c>
      <c r="D1155">
        <v>328</v>
      </c>
      <c r="E1155">
        <v>894</v>
      </c>
      <c r="F1155" t="s">
        <v>77</v>
      </c>
      <c r="G1155" t="s">
        <v>746</v>
      </c>
      <c r="H1155">
        <v>2</v>
      </c>
      <c r="I1155">
        <v>27.62</v>
      </c>
      <c r="J1155" t="s">
        <v>839</v>
      </c>
      <c r="K1155" t="s">
        <v>812</v>
      </c>
      <c r="M1155" t="s">
        <v>1085</v>
      </c>
      <c r="P1155" t="s">
        <v>924</v>
      </c>
      <c r="R1155" t="s">
        <v>81</v>
      </c>
      <c r="U1155" t="s">
        <v>81</v>
      </c>
      <c r="W1155">
        <v>2</v>
      </c>
      <c r="X1155" s="24">
        <v>46032</v>
      </c>
      <c r="Z1155" t="s">
        <v>38</v>
      </c>
      <c r="AB1155" t="s">
        <v>921</v>
      </c>
      <c r="AC1155" t="s">
        <v>979</v>
      </c>
      <c r="AD1155" t="s">
        <v>39</v>
      </c>
    </row>
    <row r="1156" spans="1:30" hidden="1" x14ac:dyDescent="0.25">
      <c r="A1156">
        <v>126</v>
      </c>
      <c r="B1156" t="s">
        <v>116</v>
      </c>
      <c r="C1156">
        <v>6</v>
      </c>
      <c r="D1156">
        <v>298</v>
      </c>
      <c r="E1156">
        <v>378</v>
      </c>
      <c r="F1156" t="s">
        <v>77</v>
      </c>
      <c r="G1156" t="s">
        <v>746</v>
      </c>
      <c r="H1156">
        <v>2</v>
      </c>
      <c r="I1156">
        <v>10.54</v>
      </c>
      <c r="J1156" t="s">
        <v>839</v>
      </c>
      <c r="K1156" t="s">
        <v>812</v>
      </c>
      <c r="M1156" t="s">
        <v>1085</v>
      </c>
      <c r="P1156" t="s">
        <v>924</v>
      </c>
      <c r="Q1156" t="s">
        <v>26</v>
      </c>
      <c r="R1156" t="s">
        <v>81</v>
      </c>
      <c r="W1156">
        <v>2</v>
      </c>
      <c r="X1156" s="24">
        <v>46032</v>
      </c>
      <c r="Z1156" t="s">
        <v>38</v>
      </c>
      <c r="AB1156" t="s">
        <v>921</v>
      </c>
      <c r="AC1156" t="s">
        <v>979</v>
      </c>
      <c r="AD1156" t="s">
        <v>39</v>
      </c>
    </row>
    <row r="1157" spans="1:30" hidden="1" x14ac:dyDescent="0.25">
      <c r="A1157">
        <v>127</v>
      </c>
      <c r="B1157" t="s">
        <v>202</v>
      </c>
      <c r="C1157">
        <v>6</v>
      </c>
      <c r="D1157">
        <v>188</v>
      </c>
      <c r="E1157">
        <v>2348</v>
      </c>
      <c r="F1157" t="s">
        <v>77</v>
      </c>
      <c r="G1157" t="s">
        <v>746</v>
      </c>
      <c r="H1157">
        <v>8</v>
      </c>
      <c r="I1157">
        <v>164.9</v>
      </c>
      <c r="J1157" t="s">
        <v>839</v>
      </c>
      <c r="K1157" t="s">
        <v>812</v>
      </c>
      <c r="M1157" t="s">
        <v>1085</v>
      </c>
      <c r="P1157" t="s">
        <v>924</v>
      </c>
      <c r="R1157" t="s">
        <v>81</v>
      </c>
      <c r="U1157" t="s">
        <v>81</v>
      </c>
      <c r="V1157" t="s">
        <v>81</v>
      </c>
      <c r="W1157">
        <v>2</v>
      </c>
      <c r="X1157" s="24">
        <v>46032</v>
      </c>
      <c r="Z1157" t="s">
        <v>38</v>
      </c>
      <c r="AB1157" t="s">
        <v>921</v>
      </c>
      <c r="AC1157" t="s">
        <v>981</v>
      </c>
      <c r="AD1157" t="s">
        <v>39</v>
      </c>
    </row>
    <row r="1158" spans="1:30" hidden="1" x14ac:dyDescent="0.25">
      <c r="A1158">
        <v>128</v>
      </c>
      <c r="B1158" t="s">
        <v>206</v>
      </c>
      <c r="C1158">
        <v>6</v>
      </c>
      <c r="D1158">
        <v>188</v>
      </c>
      <c r="E1158">
        <v>2348</v>
      </c>
      <c r="F1158" t="s">
        <v>77</v>
      </c>
      <c r="G1158" t="s">
        <v>746</v>
      </c>
      <c r="H1158">
        <v>2</v>
      </c>
      <c r="I1158">
        <v>41.23</v>
      </c>
      <c r="J1158" t="s">
        <v>839</v>
      </c>
      <c r="K1158" t="s">
        <v>812</v>
      </c>
      <c r="M1158" t="s">
        <v>1085</v>
      </c>
      <c r="P1158" t="s">
        <v>924</v>
      </c>
      <c r="R1158" t="s">
        <v>81</v>
      </c>
      <c r="U1158" t="s">
        <v>81</v>
      </c>
      <c r="V1158" t="s">
        <v>81</v>
      </c>
      <c r="W1158">
        <v>2</v>
      </c>
      <c r="X1158" s="24">
        <v>46032</v>
      </c>
      <c r="Z1158" t="s">
        <v>38</v>
      </c>
      <c r="AB1158" t="s">
        <v>921</v>
      </c>
      <c r="AC1158" t="s">
        <v>981</v>
      </c>
      <c r="AD1158" t="s">
        <v>39</v>
      </c>
    </row>
    <row r="1159" spans="1:30" hidden="1" x14ac:dyDescent="0.25">
      <c r="A1159">
        <v>129</v>
      </c>
      <c r="B1159" t="s">
        <v>207</v>
      </c>
      <c r="C1159">
        <v>6</v>
      </c>
      <c r="D1159">
        <v>188</v>
      </c>
      <c r="E1159">
        <v>2348</v>
      </c>
      <c r="F1159" t="s">
        <v>77</v>
      </c>
      <c r="G1159" t="s">
        <v>746</v>
      </c>
      <c r="H1159">
        <v>1</v>
      </c>
      <c r="I1159">
        <v>20.61</v>
      </c>
      <c r="J1159" t="s">
        <v>839</v>
      </c>
      <c r="K1159" t="s">
        <v>812</v>
      </c>
      <c r="M1159" t="s">
        <v>1085</v>
      </c>
      <c r="P1159" t="s">
        <v>924</v>
      </c>
      <c r="R1159" t="s">
        <v>81</v>
      </c>
      <c r="U1159" t="s">
        <v>81</v>
      </c>
      <c r="V1159" t="s">
        <v>81</v>
      </c>
      <c r="W1159">
        <v>2</v>
      </c>
      <c r="X1159" s="24">
        <v>46032</v>
      </c>
      <c r="Z1159" t="s">
        <v>38</v>
      </c>
      <c r="AB1159" t="s">
        <v>921</v>
      </c>
      <c r="AC1159" t="s">
        <v>981</v>
      </c>
      <c r="AD1159" t="s">
        <v>39</v>
      </c>
    </row>
    <row r="1160" spans="1:30" hidden="1" x14ac:dyDescent="0.25">
      <c r="A1160">
        <v>130</v>
      </c>
      <c r="B1160" t="s">
        <v>208</v>
      </c>
      <c r="C1160">
        <v>6</v>
      </c>
      <c r="D1160">
        <v>188</v>
      </c>
      <c r="E1160">
        <v>2348</v>
      </c>
      <c r="F1160" t="s">
        <v>77</v>
      </c>
      <c r="G1160" t="s">
        <v>746</v>
      </c>
      <c r="H1160">
        <v>6</v>
      </c>
      <c r="I1160">
        <v>123.67</v>
      </c>
      <c r="J1160" t="s">
        <v>839</v>
      </c>
      <c r="K1160" t="s">
        <v>812</v>
      </c>
      <c r="M1160" t="s">
        <v>1085</v>
      </c>
      <c r="P1160" t="s">
        <v>924</v>
      </c>
      <c r="R1160" t="s">
        <v>81</v>
      </c>
      <c r="U1160" t="s">
        <v>81</v>
      </c>
      <c r="V1160" t="s">
        <v>81</v>
      </c>
      <c r="W1160">
        <v>2</v>
      </c>
      <c r="X1160" s="24">
        <v>46032</v>
      </c>
      <c r="Z1160" t="s">
        <v>38</v>
      </c>
      <c r="AB1160" t="s">
        <v>921</v>
      </c>
      <c r="AC1160" t="s">
        <v>981</v>
      </c>
      <c r="AD1160" t="s">
        <v>39</v>
      </c>
    </row>
    <row r="1161" spans="1:30" hidden="1" x14ac:dyDescent="0.25">
      <c r="A1161">
        <v>131</v>
      </c>
      <c r="B1161" t="s">
        <v>209</v>
      </c>
      <c r="C1161">
        <v>6</v>
      </c>
      <c r="D1161">
        <v>188</v>
      </c>
      <c r="E1161">
        <v>2348</v>
      </c>
      <c r="F1161" t="s">
        <v>77</v>
      </c>
      <c r="G1161" t="s">
        <v>746</v>
      </c>
      <c r="H1161">
        <v>6</v>
      </c>
      <c r="I1161">
        <v>123.67</v>
      </c>
      <c r="J1161" t="s">
        <v>839</v>
      </c>
      <c r="K1161" t="s">
        <v>812</v>
      </c>
      <c r="M1161" t="s">
        <v>1085</v>
      </c>
      <c r="P1161" t="s">
        <v>924</v>
      </c>
      <c r="R1161" t="s">
        <v>81</v>
      </c>
      <c r="U1161" t="s">
        <v>81</v>
      </c>
      <c r="V1161" t="s">
        <v>81</v>
      </c>
      <c r="W1161">
        <v>2</v>
      </c>
      <c r="X1161" s="24">
        <v>46032</v>
      </c>
      <c r="Z1161" t="s">
        <v>38</v>
      </c>
      <c r="AB1161" t="s">
        <v>921</v>
      </c>
      <c r="AC1161" t="s">
        <v>981</v>
      </c>
      <c r="AD1161" t="s">
        <v>39</v>
      </c>
    </row>
    <row r="1162" spans="1:30" hidden="1" x14ac:dyDescent="0.25">
      <c r="A1162">
        <v>132</v>
      </c>
      <c r="B1162" t="s">
        <v>210</v>
      </c>
      <c r="C1162">
        <v>6</v>
      </c>
      <c r="D1162">
        <v>188</v>
      </c>
      <c r="E1162">
        <v>2348</v>
      </c>
      <c r="F1162" t="s">
        <v>77</v>
      </c>
      <c r="G1162" t="s">
        <v>746</v>
      </c>
      <c r="H1162">
        <v>8</v>
      </c>
      <c r="I1162">
        <v>164.9</v>
      </c>
      <c r="J1162" t="s">
        <v>839</v>
      </c>
      <c r="K1162" t="s">
        <v>812</v>
      </c>
      <c r="M1162" t="s">
        <v>1085</v>
      </c>
      <c r="P1162" t="s">
        <v>924</v>
      </c>
      <c r="R1162" t="s">
        <v>81</v>
      </c>
      <c r="U1162" t="s">
        <v>81</v>
      </c>
      <c r="V1162" t="s">
        <v>81</v>
      </c>
      <c r="W1162">
        <v>2</v>
      </c>
      <c r="X1162" s="24">
        <v>46032</v>
      </c>
      <c r="Z1162" t="s">
        <v>38</v>
      </c>
      <c r="AB1162" t="s">
        <v>921</v>
      </c>
      <c r="AC1162" t="s">
        <v>981</v>
      </c>
      <c r="AD1162" t="s">
        <v>39</v>
      </c>
    </row>
    <row r="1163" spans="1:30" hidden="1" x14ac:dyDescent="0.25">
      <c r="A1163">
        <v>133</v>
      </c>
      <c r="B1163" t="s">
        <v>211</v>
      </c>
      <c r="C1163">
        <v>6</v>
      </c>
      <c r="D1163">
        <v>188</v>
      </c>
      <c r="E1163">
        <v>2348</v>
      </c>
      <c r="F1163" t="s">
        <v>77</v>
      </c>
      <c r="G1163" t="s">
        <v>746</v>
      </c>
      <c r="H1163">
        <v>4</v>
      </c>
      <c r="I1163">
        <v>82.45</v>
      </c>
      <c r="J1163" t="s">
        <v>839</v>
      </c>
      <c r="K1163" t="s">
        <v>812</v>
      </c>
      <c r="M1163" t="s">
        <v>1085</v>
      </c>
      <c r="P1163" t="s">
        <v>924</v>
      </c>
      <c r="R1163" t="s">
        <v>81</v>
      </c>
      <c r="U1163" t="s">
        <v>81</v>
      </c>
      <c r="V1163" t="s">
        <v>81</v>
      </c>
      <c r="W1163">
        <v>2</v>
      </c>
      <c r="X1163" s="24">
        <v>46032</v>
      </c>
      <c r="Z1163" t="s">
        <v>38</v>
      </c>
      <c r="AB1163" t="s">
        <v>921</v>
      </c>
      <c r="AC1163" t="s">
        <v>981</v>
      </c>
      <c r="AD1163" t="s">
        <v>39</v>
      </c>
    </row>
    <row r="1164" spans="1:30" hidden="1" x14ac:dyDescent="0.25">
      <c r="A1164">
        <v>134</v>
      </c>
      <c r="B1164" t="s">
        <v>123</v>
      </c>
      <c r="C1164">
        <v>6</v>
      </c>
      <c r="D1164">
        <v>298</v>
      </c>
      <c r="E1164">
        <v>378</v>
      </c>
      <c r="F1164" t="s">
        <v>77</v>
      </c>
      <c r="G1164" t="s">
        <v>746</v>
      </c>
      <c r="H1164">
        <v>2</v>
      </c>
      <c r="I1164">
        <v>10.54</v>
      </c>
      <c r="J1164" t="s">
        <v>839</v>
      </c>
      <c r="K1164" t="s">
        <v>812</v>
      </c>
      <c r="M1164" t="s">
        <v>1085</v>
      </c>
      <c r="P1164" t="s">
        <v>924</v>
      </c>
      <c r="Q1164" t="s">
        <v>26</v>
      </c>
      <c r="R1164" t="s">
        <v>81</v>
      </c>
      <c r="W1164">
        <v>2</v>
      </c>
      <c r="X1164" s="24">
        <v>46032</v>
      </c>
      <c r="Z1164" t="s">
        <v>38</v>
      </c>
      <c r="AB1164" t="s">
        <v>921</v>
      </c>
      <c r="AC1164" t="s">
        <v>981</v>
      </c>
      <c r="AD1164" t="s">
        <v>39</v>
      </c>
    </row>
    <row r="1165" spans="1:30" hidden="1" x14ac:dyDescent="0.25">
      <c r="A1165">
        <v>135</v>
      </c>
      <c r="B1165" t="s">
        <v>171</v>
      </c>
      <c r="C1165">
        <v>6</v>
      </c>
      <c r="D1165">
        <v>298</v>
      </c>
      <c r="E1165">
        <v>378</v>
      </c>
      <c r="F1165" t="s">
        <v>77</v>
      </c>
      <c r="G1165" t="s">
        <v>746</v>
      </c>
      <c r="H1165">
        <v>1</v>
      </c>
      <c r="I1165">
        <v>5.27</v>
      </c>
      <c r="J1165" t="s">
        <v>839</v>
      </c>
      <c r="K1165" t="s">
        <v>812</v>
      </c>
      <c r="M1165" t="s">
        <v>1085</v>
      </c>
      <c r="P1165" t="s">
        <v>924</v>
      </c>
      <c r="Q1165" t="s">
        <v>26</v>
      </c>
      <c r="R1165" t="s">
        <v>81</v>
      </c>
      <c r="W1165">
        <v>2</v>
      </c>
      <c r="X1165" s="24">
        <v>46032</v>
      </c>
      <c r="Z1165" t="s">
        <v>38</v>
      </c>
      <c r="AB1165" t="s">
        <v>921</v>
      </c>
      <c r="AC1165" t="s">
        <v>981</v>
      </c>
      <c r="AD1165" t="s">
        <v>39</v>
      </c>
    </row>
    <row r="1166" spans="1:30" hidden="1" x14ac:dyDescent="0.25">
      <c r="A1166">
        <v>136</v>
      </c>
      <c r="B1166" t="s">
        <v>212</v>
      </c>
      <c r="C1166">
        <v>6</v>
      </c>
      <c r="D1166">
        <v>188</v>
      </c>
      <c r="E1166">
        <v>2348</v>
      </c>
      <c r="F1166" t="s">
        <v>77</v>
      </c>
      <c r="G1166" t="s">
        <v>746</v>
      </c>
      <c r="H1166">
        <v>6</v>
      </c>
      <c r="I1166">
        <v>123.67</v>
      </c>
      <c r="J1166" t="s">
        <v>839</v>
      </c>
      <c r="K1166" t="s">
        <v>812</v>
      </c>
      <c r="M1166" t="s">
        <v>1085</v>
      </c>
      <c r="P1166" t="s">
        <v>924</v>
      </c>
      <c r="R1166" t="s">
        <v>81</v>
      </c>
      <c r="U1166" t="s">
        <v>81</v>
      </c>
      <c r="V1166" t="s">
        <v>81</v>
      </c>
      <c r="W1166">
        <v>2</v>
      </c>
      <c r="X1166" s="24">
        <v>46032</v>
      </c>
      <c r="Z1166" t="s">
        <v>38</v>
      </c>
      <c r="AB1166" t="s">
        <v>921</v>
      </c>
      <c r="AC1166" t="s">
        <v>983</v>
      </c>
      <c r="AD1166" t="s">
        <v>39</v>
      </c>
    </row>
    <row r="1167" spans="1:30" hidden="1" x14ac:dyDescent="0.25">
      <c r="A1167">
        <v>137</v>
      </c>
      <c r="B1167" t="s">
        <v>215</v>
      </c>
      <c r="C1167">
        <v>6</v>
      </c>
      <c r="D1167">
        <v>188</v>
      </c>
      <c r="E1167">
        <v>2348</v>
      </c>
      <c r="F1167" t="s">
        <v>77</v>
      </c>
      <c r="G1167" t="s">
        <v>746</v>
      </c>
      <c r="H1167">
        <v>6</v>
      </c>
      <c r="I1167">
        <v>123.67</v>
      </c>
      <c r="J1167" t="s">
        <v>839</v>
      </c>
      <c r="K1167" t="s">
        <v>812</v>
      </c>
      <c r="M1167" t="s">
        <v>1085</v>
      </c>
      <c r="P1167" t="s">
        <v>924</v>
      </c>
      <c r="R1167" t="s">
        <v>81</v>
      </c>
      <c r="U1167" t="s">
        <v>81</v>
      </c>
      <c r="V1167" t="s">
        <v>81</v>
      </c>
      <c r="W1167">
        <v>2</v>
      </c>
      <c r="X1167" s="24">
        <v>46032</v>
      </c>
      <c r="Z1167" t="s">
        <v>38</v>
      </c>
      <c r="AB1167" t="s">
        <v>921</v>
      </c>
      <c r="AC1167" t="s">
        <v>983</v>
      </c>
      <c r="AD1167" t="s">
        <v>39</v>
      </c>
    </row>
    <row r="1168" spans="1:30" hidden="1" x14ac:dyDescent="0.25">
      <c r="A1168">
        <v>138</v>
      </c>
      <c r="B1168" t="s">
        <v>216</v>
      </c>
      <c r="C1168">
        <v>6</v>
      </c>
      <c r="D1168">
        <v>188</v>
      </c>
      <c r="E1168">
        <v>2348</v>
      </c>
      <c r="F1168" t="s">
        <v>77</v>
      </c>
      <c r="G1168" t="s">
        <v>746</v>
      </c>
      <c r="H1168">
        <v>8</v>
      </c>
      <c r="I1168">
        <v>164.9</v>
      </c>
      <c r="J1168" t="s">
        <v>839</v>
      </c>
      <c r="K1168" t="s">
        <v>812</v>
      </c>
      <c r="M1168" t="s">
        <v>1085</v>
      </c>
      <c r="P1168" t="s">
        <v>924</v>
      </c>
      <c r="R1168" t="s">
        <v>81</v>
      </c>
      <c r="U1168" t="s">
        <v>81</v>
      </c>
      <c r="V1168" t="s">
        <v>81</v>
      </c>
      <c r="W1168">
        <v>2</v>
      </c>
      <c r="X1168" s="24">
        <v>46032</v>
      </c>
      <c r="Z1168" t="s">
        <v>38</v>
      </c>
      <c r="AB1168" t="s">
        <v>921</v>
      </c>
      <c r="AC1168" t="s">
        <v>983</v>
      </c>
      <c r="AD1168" t="s">
        <v>39</v>
      </c>
    </row>
    <row r="1169" spans="1:30" hidden="1" x14ac:dyDescent="0.25">
      <c r="A1169">
        <v>139</v>
      </c>
      <c r="B1169" t="s">
        <v>195</v>
      </c>
      <c r="C1169">
        <v>6</v>
      </c>
      <c r="D1169">
        <v>328</v>
      </c>
      <c r="E1169">
        <v>934</v>
      </c>
      <c r="F1169" t="s">
        <v>77</v>
      </c>
      <c r="G1169" t="s">
        <v>746</v>
      </c>
      <c r="H1169">
        <v>7</v>
      </c>
      <c r="I1169">
        <v>101</v>
      </c>
      <c r="J1169" t="s">
        <v>839</v>
      </c>
      <c r="K1169" t="s">
        <v>812</v>
      </c>
      <c r="M1169" t="s">
        <v>1085</v>
      </c>
      <c r="P1169" t="s">
        <v>924</v>
      </c>
      <c r="R1169" t="s">
        <v>81</v>
      </c>
      <c r="U1169" t="s">
        <v>81</v>
      </c>
      <c r="W1169">
        <v>2</v>
      </c>
      <c r="X1169" s="24">
        <v>46032</v>
      </c>
      <c r="Z1169" t="s">
        <v>38</v>
      </c>
      <c r="AB1169" t="s">
        <v>921</v>
      </c>
      <c r="AC1169" t="s">
        <v>983</v>
      </c>
      <c r="AD1169" t="s">
        <v>39</v>
      </c>
    </row>
    <row r="1170" spans="1:30" hidden="1" x14ac:dyDescent="0.25">
      <c r="A1170">
        <v>140</v>
      </c>
      <c r="B1170" t="s">
        <v>207</v>
      </c>
      <c r="C1170">
        <v>6</v>
      </c>
      <c r="D1170">
        <v>188</v>
      </c>
      <c r="E1170">
        <v>2348</v>
      </c>
      <c r="F1170" t="s">
        <v>77</v>
      </c>
      <c r="G1170" t="s">
        <v>746</v>
      </c>
      <c r="H1170">
        <v>3</v>
      </c>
      <c r="I1170">
        <v>61.84</v>
      </c>
      <c r="J1170" t="s">
        <v>839</v>
      </c>
      <c r="K1170" t="s">
        <v>812</v>
      </c>
      <c r="M1170" t="s">
        <v>1085</v>
      </c>
      <c r="P1170" t="s">
        <v>924</v>
      </c>
      <c r="R1170" t="s">
        <v>81</v>
      </c>
      <c r="U1170" t="s">
        <v>81</v>
      </c>
      <c r="V1170" t="s">
        <v>81</v>
      </c>
      <c r="W1170">
        <v>2</v>
      </c>
      <c r="X1170" s="24">
        <v>46032</v>
      </c>
      <c r="Z1170" t="s">
        <v>38</v>
      </c>
      <c r="AB1170" t="s">
        <v>921</v>
      </c>
      <c r="AC1170" t="s">
        <v>983</v>
      </c>
      <c r="AD1170" t="s">
        <v>39</v>
      </c>
    </row>
    <row r="1171" spans="1:30" hidden="1" x14ac:dyDescent="0.25">
      <c r="A1171">
        <v>141</v>
      </c>
      <c r="B1171" t="s">
        <v>217</v>
      </c>
      <c r="C1171">
        <v>6</v>
      </c>
      <c r="D1171">
        <v>328</v>
      </c>
      <c r="E1171">
        <v>934</v>
      </c>
      <c r="F1171" t="s">
        <v>77</v>
      </c>
      <c r="G1171" t="s">
        <v>746</v>
      </c>
      <c r="H1171">
        <v>9</v>
      </c>
      <c r="I1171">
        <v>129.86000000000001</v>
      </c>
      <c r="J1171" t="s">
        <v>839</v>
      </c>
      <c r="K1171" t="s">
        <v>812</v>
      </c>
      <c r="M1171" t="s">
        <v>1085</v>
      </c>
      <c r="P1171" t="s">
        <v>924</v>
      </c>
      <c r="R1171" t="s">
        <v>81</v>
      </c>
      <c r="U1171" t="s">
        <v>81</v>
      </c>
      <c r="W1171">
        <v>2</v>
      </c>
      <c r="X1171" s="24">
        <v>46032</v>
      </c>
      <c r="Z1171" t="s">
        <v>38</v>
      </c>
      <c r="AB1171" t="s">
        <v>921</v>
      </c>
      <c r="AC1171" t="s">
        <v>983</v>
      </c>
      <c r="AD1171" t="s">
        <v>39</v>
      </c>
    </row>
    <row r="1172" spans="1:30" hidden="1" x14ac:dyDescent="0.25">
      <c r="A1172">
        <v>142</v>
      </c>
      <c r="B1172" t="s">
        <v>148</v>
      </c>
      <c r="C1172">
        <v>6</v>
      </c>
      <c r="D1172">
        <v>328</v>
      </c>
      <c r="E1172">
        <v>934</v>
      </c>
      <c r="F1172" t="s">
        <v>77</v>
      </c>
      <c r="G1172" t="s">
        <v>746</v>
      </c>
      <c r="H1172">
        <v>4</v>
      </c>
      <c r="I1172">
        <v>57.72</v>
      </c>
      <c r="J1172" t="s">
        <v>839</v>
      </c>
      <c r="K1172" t="s">
        <v>812</v>
      </c>
      <c r="M1172" t="s">
        <v>1085</v>
      </c>
      <c r="P1172" t="s">
        <v>924</v>
      </c>
      <c r="R1172" t="s">
        <v>81</v>
      </c>
      <c r="U1172" t="s">
        <v>81</v>
      </c>
      <c r="W1172">
        <v>2</v>
      </c>
      <c r="X1172" s="24">
        <v>46032</v>
      </c>
      <c r="Z1172" t="s">
        <v>38</v>
      </c>
      <c r="AB1172" t="s">
        <v>921</v>
      </c>
      <c r="AC1172" t="s">
        <v>983</v>
      </c>
      <c r="AD1172" t="s">
        <v>39</v>
      </c>
    </row>
    <row r="1173" spans="1:30" hidden="1" x14ac:dyDescent="0.25">
      <c r="A1173">
        <v>143</v>
      </c>
      <c r="B1173" t="s">
        <v>123</v>
      </c>
      <c r="C1173">
        <v>6</v>
      </c>
      <c r="D1173">
        <v>298</v>
      </c>
      <c r="E1173">
        <v>378</v>
      </c>
      <c r="F1173" t="s">
        <v>77</v>
      </c>
      <c r="G1173" t="s">
        <v>746</v>
      </c>
      <c r="H1173">
        <v>2</v>
      </c>
      <c r="I1173">
        <v>10.54</v>
      </c>
      <c r="J1173" t="s">
        <v>839</v>
      </c>
      <c r="K1173" t="s">
        <v>812</v>
      </c>
      <c r="M1173" t="s">
        <v>1085</v>
      </c>
      <c r="P1173" t="s">
        <v>924</v>
      </c>
      <c r="Q1173" t="s">
        <v>26</v>
      </c>
      <c r="R1173" t="s">
        <v>81</v>
      </c>
      <c r="W1173">
        <v>2</v>
      </c>
      <c r="X1173" s="24">
        <v>46032</v>
      </c>
      <c r="Z1173" t="s">
        <v>38</v>
      </c>
      <c r="AB1173" t="s">
        <v>921</v>
      </c>
      <c r="AC1173" t="s">
        <v>983</v>
      </c>
      <c r="AD1173" t="s">
        <v>39</v>
      </c>
    </row>
    <row r="1174" spans="1:30" hidden="1" x14ac:dyDescent="0.25">
      <c r="A1174">
        <v>144</v>
      </c>
      <c r="B1174" t="s">
        <v>179</v>
      </c>
      <c r="C1174">
        <v>6</v>
      </c>
      <c r="D1174">
        <v>328</v>
      </c>
      <c r="E1174">
        <v>934</v>
      </c>
      <c r="F1174" t="s">
        <v>77</v>
      </c>
      <c r="G1174" t="s">
        <v>746</v>
      </c>
      <c r="H1174">
        <v>1</v>
      </c>
      <c r="I1174">
        <v>14.43</v>
      </c>
      <c r="J1174" t="s">
        <v>839</v>
      </c>
      <c r="K1174" t="s">
        <v>812</v>
      </c>
      <c r="M1174" t="s">
        <v>1085</v>
      </c>
      <c r="P1174" t="s">
        <v>924</v>
      </c>
      <c r="S1174" t="s">
        <v>81</v>
      </c>
      <c r="U1174" t="s">
        <v>81</v>
      </c>
      <c r="W1174">
        <v>2</v>
      </c>
      <c r="X1174" s="24">
        <v>46032</v>
      </c>
      <c r="Z1174" t="s">
        <v>38</v>
      </c>
      <c r="AB1174" t="s">
        <v>921</v>
      </c>
      <c r="AC1174" t="s">
        <v>986</v>
      </c>
      <c r="AD1174" t="s">
        <v>987</v>
      </c>
    </row>
    <row r="1175" spans="1:30" hidden="1" x14ac:dyDescent="0.25">
      <c r="A1175">
        <v>145</v>
      </c>
      <c r="B1175" t="s">
        <v>206</v>
      </c>
      <c r="C1175">
        <v>6</v>
      </c>
      <c r="D1175">
        <v>188</v>
      </c>
      <c r="E1175">
        <v>2348</v>
      </c>
      <c r="F1175" t="s">
        <v>77</v>
      </c>
      <c r="G1175" t="s">
        <v>746</v>
      </c>
      <c r="H1175">
        <v>2</v>
      </c>
      <c r="I1175">
        <v>41.23</v>
      </c>
      <c r="J1175" t="s">
        <v>839</v>
      </c>
      <c r="K1175" t="s">
        <v>812</v>
      </c>
      <c r="M1175" t="s">
        <v>1085</v>
      </c>
      <c r="P1175" t="s">
        <v>924</v>
      </c>
      <c r="S1175" t="s">
        <v>81</v>
      </c>
      <c r="U1175" t="s">
        <v>81</v>
      </c>
      <c r="V1175" t="s">
        <v>81</v>
      </c>
      <c r="W1175">
        <v>2</v>
      </c>
      <c r="X1175" s="24">
        <v>46032</v>
      </c>
      <c r="Z1175" t="s">
        <v>38</v>
      </c>
      <c r="AB1175" t="s">
        <v>921</v>
      </c>
      <c r="AC1175" t="s">
        <v>986</v>
      </c>
      <c r="AD1175" t="s">
        <v>987</v>
      </c>
    </row>
    <row r="1176" spans="1:30" hidden="1" x14ac:dyDescent="0.25">
      <c r="A1176">
        <v>146</v>
      </c>
      <c r="B1176" t="s">
        <v>196</v>
      </c>
      <c r="C1176">
        <v>6</v>
      </c>
      <c r="D1176">
        <v>328</v>
      </c>
      <c r="E1176">
        <v>894</v>
      </c>
      <c r="F1176" t="s">
        <v>77</v>
      </c>
      <c r="G1176" t="s">
        <v>746</v>
      </c>
      <c r="H1176">
        <v>1</v>
      </c>
      <c r="I1176">
        <v>13.81</v>
      </c>
      <c r="J1176" t="s">
        <v>839</v>
      </c>
      <c r="K1176" t="s">
        <v>812</v>
      </c>
      <c r="M1176" t="s">
        <v>1085</v>
      </c>
      <c r="P1176" t="s">
        <v>924</v>
      </c>
      <c r="S1176" t="s">
        <v>81</v>
      </c>
      <c r="U1176" t="s">
        <v>81</v>
      </c>
      <c r="W1176">
        <v>2</v>
      </c>
      <c r="X1176" s="24">
        <v>46032</v>
      </c>
      <c r="Z1176" t="s">
        <v>38</v>
      </c>
      <c r="AB1176" t="s">
        <v>921</v>
      </c>
      <c r="AC1176" t="s">
        <v>986</v>
      </c>
      <c r="AD1176" t="s">
        <v>987</v>
      </c>
    </row>
    <row r="1177" spans="1:30" hidden="1" x14ac:dyDescent="0.25">
      <c r="A1177">
        <v>147</v>
      </c>
      <c r="B1177" t="s">
        <v>220</v>
      </c>
      <c r="C1177">
        <v>6</v>
      </c>
      <c r="D1177">
        <v>188</v>
      </c>
      <c r="E1177">
        <v>2348</v>
      </c>
      <c r="F1177" t="s">
        <v>77</v>
      </c>
      <c r="G1177" t="s">
        <v>746</v>
      </c>
      <c r="H1177">
        <v>12</v>
      </c>
      <c r="I1177">
        <v>247.35</v>
      </c>
      <c r="J1177" t="s">
        <v>839</v>
      </c>
      <c r="K1177" t="s">
        <v>812</v>
      </c>
      <c r="M1177" t="s">
        <v>1085</v>
      </c>
      <c r="P1177" t="s">
        <v>924</v>
      </c>
      <c r="S1177" t="s">
        <v>81</v>
      </c>
      <c r="U1177" t="s">
        <v>81</v>
      </c>
      <c r="V1177" t="s">
        <v>81</v>
      </c>
      <c r="W1177">
        <v>2</v>
      </c>
      <c r="X1177" s="24">
        <v>46032</v>
      </c>
      <c r="Z1177" t="s">
        <v>38</v>
      </c>
      <c r="AB1177" t="s">
        <v>921</v>
      </c>
      <c r="AC1177" t="s">
        <v>986</v>
      </c>
      <c r="AD1177" t="s">
        <v>987</v>
      </c>
    </row>
    <row r="1178" spans="1:30" hidden="1" x14ac:dyDescent="0.25">
      <c r="A1178">
        <v>148</v>
      </c>
      <c r="B1178" t="s">
        <v>116</v>
      </c>
      <c r="C1178">
        <v>6</v>
      </c>
      <c r="D1178">
        <v>298</v>
      </c>
      <c r="E1178">
        <v>378</v>
      </c>
      <c r="F1178" t="s">
        <v>77</v>
      </c>
      <c r="G1178" t="s">
        <v>746</v>
      </c>
      <c r="H1178">
        <v>1</v>
      </c>
      <c r="I1178">
        <v>5.27</v>
      </c>
      <c r="J1178" t="s">
        <v>839</v>
      </c>
      <c r="K1178" t="s">
        <v>812</v>
      </c>
      <c r="M1178" t="s">
        <v>1085</v>
      </c>
      <c r="P1178" t="s">
        <v>924</v>
      </c>
      <c r="Q1178" t="s">
        <v>26</v>
      </c>
      <c r="S1178" t="s">
        <v>81</v>
      </c>
      <c r="W1178">
        <v>2</v>
      </c>
      <c r="X1178" s="24">
        <v>46032</v>
      </c>
      <c r="Z1178" t="s">
        <v>38</v>
      </c>
      <c r="AB1178" t="s">
        <v>921</v>
      </c>
      <c r="AC1178" t="s">
        <v>986</v>
      </c>
      <c r="AD1178" t="s">
        <v>987</v>
      </c>
    </row>
    <row r="1179" spans="1:30" hidden="1" x14ac:dyDescent="0.25">
      <c r="A1179">
        <v>149</v>
      </c>
      <c r="B1179" t="s">
        <v>123</v>
      </c>
      <c r="C1179">
        <v>6</v>
      </c>
      <c r="D1179">
        <v>298</v>
      </c>
      <c r="E1179">
        <v>378</v>
      </c>
      <c r="F1179" t="s">
        <v>77</v>
      </c>
      <c r="G1179" t="s">
        <v>746</v>
      </c>
      <c r="H1179">
        <v>2</v>
      </c>
      <c r="I1179">
        <v>10.54</v>
      </c>
      <c r="J1179" t="s">
        <v>839</v>
      </c>
      <c r="K1179" t="s">
        <v>812</v>
      </c>
      <c r="M1179" t="s">
        <v>1085</v>
      </c>
      <c r="P1179" t="s">
        <v>924</v>
      </c>
      <c r="Q1179" t="s">
        <v>26</v>
      </c>
      <c r="S1179" t="s">
        <v>81</v>
      </c>
      <c r="W1179">
        <v>2</v>
      </c>
      <c r="X1179" s="24">
        <v>46032</v>
      </c>
      <c r="Z1179" t="s">
        <v>38</v>
      </c>
      <c r="AB1179" t="s">
        <v>921</v>
      </c>
      <c r="AC1179" t="s">
        <v>986</v>
      </c>
      <c r="AD1179" t="s">
        <v>987</v>
      </c>
    </row>
    <row r="1180" spans="1:30" hidden="1" x14ac:dyDescent="0.25">
      <c r="A1180">
        <v>150</v>
      </c>
      <c r="B1180" t="s">
        <v>171</v>
      </c>
      <c r="C1180">
        <v>6</v>
      </c>
      <c r="D1180">
        <v>298</v>
      </c>
      <c r="E1180">
        <v>378</v>
      </c>
      <c r="F1180" t="s">
        <v>77</v>
      </c>
      <c r="G1180" t="s">
        <v>746</v>
      </c>
      <c r="H1180">
        <v>2</v>
      </c>
      <c r="I1180">
        <v>10.54</v>
      </c>
      <c r="J1180" t="s">
        <v>839</v>
      </c>
      <c r="K1180" t="s">
        <v>812</v>
      </c>
      <c r="M1180" t="s">
        <v>1085</v>
      </c>
      <c r="P1180" t="s">
        <v>924</v>
      </c>
      <c r="Q1180" t="s">
        <v>26</v>
      </c>
      <c r="S1180" t="s">
        <v>81</v>
      </c>
      <c r="W1180">
        <v>2</v>
      </c>
      <c r="X1180" s="24">
        <v>46032</v>
      </c>
      <c r="Z1180" t="s">
        <v>38</v>
      </c>
      <c r="AB1180" t="s">
        <v>921</v>
      </c>
      <c r="AC1180" t="s">
        <v>986</v>
      </c>
      <c r="AD1180" t="s">
        <v>987</v>
      </c>
    </row>
    <row r="1181" spans="1:30" hidden="1" x14ac:dyDescent="0.25">
      <c r="A1181">
        <v>151</v>
      </c>
      <c r="B1181" t="s">
        <v>221</v>
      </c>
      <c r="C1181">
        <v>8</v>
      </c>
      <c r="D1181">
        <v>334</v>
      </c>
      <c r="E1181">
        <v>11992</v>
      </c>
      <c r="F1181" t="s">
        <v>77</v>
      </c>
      <c r="G1181" t="s">
        <v>746</v>
      </c>
      <c r="H1181">
        <v>4</v>
      </c>
      <c r="I1181">
        <v>981.99</v>
      </c>
      <c r="J1181" t="s">
        <v>839</v>
      </c>
      <c r="K1181" t="s">
        <v>812</v>
      </c>
      <c r="M1181" t="s">
        <v>1085</v>
      </c>
      <c r="P1181" t="s">
        <v>924</v>
      </c>
      <c r="Q1181" t="s">
        <v>28</v>
      </c>
      <c r="R1181" t="s">
        <v>81</v>
      </c>
      <c r="W1181">
        <v>2</v>
      </c>
      <c r="X1181" s="24">
        <v>46032</v>
      </c>
      <c r="Z1181" t="s">
        <v>38</v>
      </c>
      <c r="AB1181" t="s">
        <v>921</v>
      </c>
      <c r="AC1181" t="s">
        <v>989</v>
      </c>
      <c r="AD1181" t="s">
        <v>39</v>
      </c>
    </row>
    <row r="1182" spans="1:30" hidden="1" x14ac:dyDescent="0.25">
      <c r="A1182">
        <v>152</v>
      </c>
      <c r="B1182" t="s">
        <v>226</v>
      </c>
      <c r="C1182">
        <v>8</v>
      </c>
      <c r="D1182">
        <v>334</v>
      </c>
      <c r="E1182">
        <v>11998</v>
      </c>
      <c r="F1182" t="s">
        <v>77</v>
      </c>
      <c r="G1182" t="s">
        <v>746</v>
      </c>
      <c r="H1182">
        <v>1</v>
      </c>
      <c r="I1182">
        <v>244.33</v>
      </c>
      <c r="J1182" t="s">
        <v>839</v>
      </c>
      <c r="K1182" t="s">
        <v>812</v>
      </c>
      <c r="M1182" t="s">
        <v>1085</v>
      </c>
      <c r="O1182" t="s">
        <v>228</v>
      </c>
      <c r="P1182" t="s">
        <v>924</v>
      </c>
      <c r="Q1182" t="s">
        <v>28</v>
      </c>
      <c r="R1182" t="s">
        <v>81</v>
      </c>
      <c r="W1182">
        <v>2</v>
      </c>
      <c r="X1182" s="24">
        <v>46032</v>
      </c>
      <c r="Z1182" t="s">
        <v>38</v>
      </c>
      <c r="AB1182" t="s">
        <v>921</v>
      </c>
      <c r="AC1182" t="s">
        <v>989</v>
      </c>
      <c r="AD1182" t="s">
        <v>39</v>
      </c>
    </row>
    <row r="1183" spans="1:30" hidden="1" x14ac:dyDescent="0.25">
      <c r="A1183">
        <v>153</v>
      </c>
      <c r="B1183" t="s">
        <v>229</v>
      </c>
      <c r="C1183">
        <v>8</v>
      </c>
      <c r="D1183">
        <v>90</v>
      </c>
      <c r="E1183">
        <v>150</v>
      </c>
      <c r="F1183" t="s">
        <v>77</v>
      </c>
      <c r="G1183" t="s">
        <v>746</v>
      </c>
      <c r="H1183">
        <v>1</v>
      </c>
      <c r="I1183">
        <v>0.62</v>
      </c>
      <c r="J1183" t="s">
        <v>839</v>
      </c>
      <c r="K1183" t="s">
        <v>812</v>
      </c>
      <c r="M1183" t="s">
        <v>1085</v>
      </c>
      <c r="P1183" t="s">
        <v>924</v>
      </c>
      <c r="Q1183" t="s">
        <v>26</v>
      </c>
      <c r="R1183" t="s">
        <v>81</v>
      </c>
      <c r="W1183">
        <v>2</v>
      </c>
      <c r="X1183" s="24">
        <v>46032</v>
      </c>
      <c r="Z1183" t="s">
        <v>38</v>
      </c>
      <c r="AB1183" t="s">
        <v>921</v>
      </c>
      <c r="AC1183" t="s">
        <v>989</v>
      </c>
      <c r="AD1183" t="s">
        <v>39</v>
      </c>
    </row>
    <row r="1184" spans="1:30" hidden="1" x14ac:dyDescent="0.25">
      <c r="A1184">
        <v>154</v>
      </c>
      <c r="B1184" t="s">
        <v>231</v>
      </c>
      <c r="C1184">
        <v>8</v>
      </c>
      <c r="D1184">
        <v>150</v>
      </c>
      <c r="E1184">
        <v>4252</v>
      </c>
      <c r="F1184" t="s">
        <v>77</v>
      </c>
      <c r="G1184" t="s">
        <v>746</v>
      </c>
      <c r="H1184">
        <v>2</v>
      </c>
      <c r="I1184">
        <v>80.11</v>
      </c>
      <c r="J1184" t="s">
        <v>839</v>
      </c>
      <c r="K1184" t="s">
        <v>812</v>
      </c>
      <c r="M1184" t="s">
        <v>1085</v>
      </c>
      <c r="P1184" t="s">
        <v>924</v>
      </c>
      <c r="Q1184" t="s">
        <v>28</v>
      </c>
      <c r="R1184" t="s">
        <v>81</v>
      </c>
      <c r="W1184">
        <v>2</v>
      </c>
      <c r="X1184" s="24">
        <v>46032</v>
      </c>
      <c r="Z1184" t="s">
        <v>38</v>
      </c>
      <c r="AB1184" t="s">
        <v>921</v>
      </c>
      <c r="AC1184" t="s">
        <v>989</v>
      </c>
      <c r="AD1184" t="s">
        <v>39</v>
      </c>
    </row>
    <row r="1185" spans="1:30" hidden="1" x14ac:dyDescent="0.25">
      <c r="A1185">
        <v>155</v>
      </c>
      <c r="B1185" t="s">
        <v>233</v>
      </c>
      <c r="C1185">
        <v>8</v>
      </c>
      <c r="D1185">
        <v>150</v>
      </c>
      <c r="E1185">
        <v>6824</v>
      </c>
      <c r="F1185" t="s">
        <v>77</v>
      </c>
      <c r="G1185" t="s">
        <v>746</v>
      </c>
      <c r="H1185">
        <v>2</v>
      </c>
      <c r="I1185">
        <v>128.56</v>
      </c>
      <c r="J1185" t="s">
        <v>839</v>
      </c>
      <c r="K1185" t="s">
        <v>812</v>
      </c>
      <c r="M1185" t="s">
        <v>1085</v>
      </c>
      <c r="P1185" t="s">
        <v>924</v>
      </c>
      <c r="Q1185" t="s">
        <v>28</v>
      </c>
      <c r="R1185" t="s">
        <v>81</v>
      </c>
      <c r="W1185">
        <v>2</v>
      </c>
      <c r="X1185" s="24">
        <v>46032</v>
      </c>
      <c r="Z1185" t="s">
        <v>38</v>
      </c>
      <c r="AB1185" t="s">
        <v>921</v>
      </c>
      <c r="AC1185" t="s">
        <v>989</v>
      </c>
      <c r="AD1185" t="s">
        <v>39</v>
      </c>
    </row>
    <row r="1186" spans="1:30" hidden="1" x14ac:dyDescent="0.25">
      <c r="A1186">
        <v>156</v>
      </c>
      <c r="B1186" t="s">
        <v>235</v>
      </c>
      <c r="C1186">
        <v>8</v>
      </c>
      <c r="D1186">
        <v>150</v>
      </c>
      <c r="E1186">
        <v>792</v>
      </c>
      <c r="F1186" t="s">
        <v>77</v>
      </c>
      <c r="G1186" t="s">
        <v>746</v>
      </c>
      <c r="H1186">
        <v>2</v>
      </c>
      <c r="I1186">
        <v>14.92</v>
      </c>
      <c r="J1186" t="s">
        <v>839</v>
      </c>
      <c r="K1186" t="s">
        <v>812</v>
      </c>
      <c r="M1186" t="s">
        <v>1085</v>
      </c>
      <c r="P1186" t="s">
        <v>924</v>
      </c>
      <c r="Q1186" t="s">
        <v>28</v>
      </c>
      <c r="R1186" t="s">
        <v>81</v>
      </c>
      <c r="W1186">
        <v>2</v>
      </c>
      <c r="X1186" s="24">
        <v>46032</v>
      </c>
      <c r="Z1186" t="s">
        <v>38</v>
      </c>
      <c r="AB1186" t="s">
        <v>921</v>
      </c>
      <c r="AC1186" t="s">
        <v>989</v>
      </c>
      <c r="AD1186" t="s">
        <v>39</v>
      </c>
    </row>
    <row r="1187" spans="1:30" hidden="1" x14ac:dyDescent="0.25">
      <c r="A1187">
        <v>157</v>
      </c>
      <c r="B1187" t="s">
        <v>237</v>
      </c>
      <c r="C1187">
        <v>8</v>
      </c>
      <c r="D1187">
        <v>148</v>
      </c>
      <c r="E1187">
        <v>441</v>
      </c>
      <c r="F1187" t="s">
        <v>77</v>
      </c>
      <c r="G1187" t="s">
        <v>746</v>
      </c>
      <c r="H1187">
        <v>1</v>
      </c>
      <c r="I1187">
        <v>4.0999999999999996</v>
      </c>
      <c r="J1187" t="s">
        <v>839</v>
      </c>
      <c r="K1187" t="s">
        <v>812</v>
      </c>
      <c r="M1187" t="s">
        <v>1085</v>
      </c>
      <c r="P1187" t="s">
        <v>924</v>
      </c>
      <c r="Q1187" t="s">
        <v>26</v>
      </c>
      <c r="R1187" t="s">
        <v>81</v>
      </c>
      <c r="W1187">
        <v>2</v>
      </c>
      <c r="X1187" s="24">
        <v>46032</v>
      </c>
      <c r="Z1187" t="s">
        <v>38</v>
      </c>
      <c r="AB1187" t="s">
        <v>921</v>
      </c>
      <c r="AC1187" t="s">
        <v>991</v>
      </c>
      <c r="AD1187" t="s">
        <v>39</v>
      </c>
    </row>
    <row r="1188" spans="1:30" hidden="1" x14ac:dyDescent="0.25">
      <c r="A1188">
        <v>158</v>
      </c>
      <c r="B1188" t="s">
        <v>241</v>
      </c>
      <c r="C1188">
        <v>8</v>
      </c>
      <c r="D1188">
        <v>156</v>
      </c>
      <c r="E1188">
        <v>465</v>
      </c>
      <c r="F1188" t="s">
        <v>77</v>
      </c>
      <c r="G1188" t="s">
        <v>746</v>
      </c>
      <c r="H1188">
        <v>1</v>
      </c>
      <c r="I1188">
        <v>4.55</v>
      </c>
      <c r="J1188" t="s">
        <v>839</v>
      </c>
      <c r="K1188" t="s">
        <v>812</v>
      </c>
      <c r="M1188" t="s">
        <v>1085</v>
      </c>
      <c r="P1188" t="s">
        <v>924</v>
      </c>
      <c r="Q1188" t="s">
        <v>26</v>
      </c>
      <c r="R1188" t="s">
        <v>81</v>
      </c>
      <c r="W1188">
        <v>2</v>
      </c>
      <c r="X1188" s="24">
        <v>46032</v>
      </c>
      <c r="Z1188" t="s">
        <v>38</v>
      </c>
      <c r="AB1188" t="s">
        <v>921</v>
      </c>
      <c r="AC1188" t="s">
        <v>991</v>
      </c>
      <c r="AD1188" t="s">
        <v>39</v>
      </c>
    </row>
    <row r="1189" spans="1:30" hidden="1" x14ac:dyDescent="0.25">
      <c r="A1189">
        <v>159</v>
      </c>
      <c r="B1189" t="s">
        <v>243</v>
      </c>
      <c r="C1189">
        <v>8</v>
      </c>
      <c r="D1189">
        <v>464</v>
      </c>
      <c r="E1189">
        <v>12000</v>
      </c>
      <c r="F1189" t="s">
        <v>77</v>
      </c>
      <c r="G1189" t="s">
        <v>746</v>
      </c>
      <c r="H1189">
        <v>1</v>
      </c>
      <c r="I1189">
        <v>332.54</v>
      </c>
      <c r="J1189" t="s">
        <v>839</v>
      </c>
      <c r="K1189" t="s">
        <v>812</v>
      </c>
      <c r="M1189" t="s">
        <v>1085</v>
      </c>
      <c r="O1189" t="s">
        <v>228</v>
      </c>
      <c r="P1189" t="s">
        <v>924</v>
      </c>
      <c r="Q1189" t="s">
        <v>28</v>
      </c>
      <c r="R1189" t="s">
        <v>81</v>
      </c>
      <c r="W1189">
        <v>2</v>
      </c>
      <c r="X1189" s="24">
        <v>46032</v>
      </c>
      <c r="Z1189" t="s">
        <v>38</v>
      </c>
      <c r="AB1189" t="s">
        <v>921</v>
      </c>
      <c r="AC1189" t="s">
        <v>991</v>
      </c>
      <c r="AD1189" t="s">
        <v>39</v>
      </c>
    </row>
    <row r="1190" spans="1:30" hidden="1" x14ac:dyDescent="0.25">
      <c r="A1190">
        <v>160</v>
      </c>
      <c r="B1190" t="s">
        <v>245</v>
      </c>
      <c r="C1190">
        <v>8</v>
      </c>
      <c r="D1190">
        <v>342</v>
      </c>
      <c r="E1190">
        <v>11990</v>
      </c>
      <c r="F1190" t="s">
        <v>77</v>
      </c>
      <c r="G1190" t="s">
        <v>746</v>
      </c>
      <c r="H1190">
        <v>1</v>
      </c>
      <c r="I1190">
        <v>244.16</v>
      </c>
      <c r="J1190" t="s">
        <v>839</v>
      </c>
      <c r="K1190" t="s">
        <v>812</v>
      </c>
      <c r="M1190" t="s">
        <v>1085</v>
      </c>
      <c r="O1190" t="s">
        <v>228</v>
      </c>
      <c r="P1190" t="s">
        <v>924</v>
      </c>
      <c r="Q1190" t="s">
        <v>28</v>
      </c>
      <c r="R1190" t="s">
        <v>81</v>
      </c>
      <c r="W1190">
        <v>2</v>
      </c>
      <c r="X1190" s="24">
        <v>46032</v>
      </c>
      <c r="Z1190" t="s">
        <v>38</v>
      </c>
      <c r="AB1190" t="s">
        <v>921</v>
      </c>
      <c r="AC1190" t="s">
        <v>991</v>
      </c>
      <c r="AD1190" t="s">
        <v>39</v>
      </c>
    </row>
    <row r="1191" spans="1:30" hidden="1" x14ac:dyDescent="0.25">
      <c r="A1191">
        <v>161</v>
      </c>
      <c r="B1191" t="s">
        <v>226</v>
      </c>
      <c r="C1191">
        <v>8</v>
      </c>
      <c r="D1191">
        <v>334</v>
      </c>
      <c r="E1191">
        <v>11998</v>
      </c>
      <c r="F1191" t="s">
        <v>77</v>
      </c>
      <c r="G1191" t="s">
        <v>746</v>
      </c>
      <c r="H1191">
        <v>3</v>
      </c>
      <c r="I1191">
        <v>732.99</v>
      </c>
      <c r="J1191" t="s">
        <v>839</v>
      </c>
      <c r="K1191" t="s">
        <v>812</v>
      </c>
      <c r="M1191" t="s">
        <v>1085</v>
      </c>
      <c r="O1191" t="s">
        <v>228</v>
      </c>
      <c r="P1191" t="s">
        <v>924</v>
      </c>
      <c r="Q1191" t="s">
        <v>28</v>
      </c>
      <c r="R1191" t="s">
        <v>81</v>
      </c>
      <c r="W1191">
        <v>2</v>
      </c>
      <c r="X1191" s="24">
        <v>46032</v>
      </c>
      <c r="Z1191" t="s">
        <v>38</v>
      </c>
      <c r="AB1191" t="s">
        <v>921</v>
      </c>
      <c r="AC1191" t="s">
        <v>991</v>
      </c>
      <c r="AD1191" t="s">
        <v>39</v>
      </c>
    </row>
    <row r="1192" spans="1:30" hidden="1" x14ac:dyDescent="0.25">
      <c r="A1192">
        <v>162</v>
      </c>
      <c r="B1192" t="s">
        <v>231</v>
      </c>
      <c r="C1192">
        <v>8</v>
      </c>
      <c r="D1192">
        <v>150</v>
      </c>
      <c r="E1192">
        <v>4252</v>
      </c>
      <c r="F1192" t="s">
        <v>77</v>
      </c>
      <c r="G1192" t="s">
        <v>746</v>
      </c>
      <c r="H1192">
        <v>1</v>
      </c>
      <c r="I1192">
        <v>40.049999999999997</v>
      </c>
      <c r="J1192" t="s">
        <v>839</v>
      </c>
      <c r="K1192" t="s">
        <v>812</v>
      </c>
      <c r="M1192" t="s">
        <v>1085</v>
      </c>
      <c r="P1192" t="s">
        <v>924</v>
      </c>
      <c r="Q1192" t="s">
        <v>28</v>
      </c>
      <c r="R1192" t="s">
        <v>81</v>
      </c>
      <c r="W1192">
        <v>2</v>
      </c>
      <c r="X1192" s="24">
        <v>46032</v>
      </c>
      <c r="Z1192" t="s">
        <v>38</v>
      </c>
      <c r="AB1192" t="s">
        <v>921</v>
      </c>
      <c r="AC1192" t="s">
        <v>991</v>
      </c>
      <c r="AD1192" t="s">
        <v>39</v>
      </c>
    </row>
    <row r="1193" spans="1:30" hidden="1" x14ac:dyDescent="0.25">
      <c r="A1193">
        <v>163</v>
      </c>
      <c r="B1193" t="s">
        <v>233</v>
      </c>
      <c r="C1193">
        <v>8</v>
      </c>
      <c r="D1193">
        <v>150</v>
      </c>
      <c r="E1193">
        <v>6824</v>
      </c>
      <c r="F1193" t="s">
        <v>77</v>
      </c>
      <c r="G1193" t="s">
        <v>746</v>
      </c>
      <c r="H1193">
        <v>1</v>
      </c>
      <c r="I1193">
        <v>64.28</v>
      </c>
      <c r="J1193" t="s">
        <v>839</v>
      </c>
      <c r="K1193" t="s">
        <v>812</v>
      </c>
      <c r="M1193" t="s">
        <v>1085</v>
      </c>
      <c r="P1193" t="s">
        <v>924</v>
      </c>
      <c r="Q1193" t="s">
        <v>28</v>
      </c>
      <c r="R1193" t="s">
        <v>81</v>
      </c>
      <c r="W1193">
        <v>2</v>
      </c>
      <c r="X1193" s="24">
        <v>46032</v>
      </c>
      <c r="Z1193" t="s">
        <v>38</v>
      </c>
      <c r="AB1193" t="s">
        <v>921</v>
      </c>
      <c r="AC1193" t="s">
        <v>991</v>
      </c>
      <c r="AD1193" t="s">
        <v>39</v>
      </c>
    </row>
    <row r="1194" spans="1:30" hidden="1" x14ac:dyDescent="0.25">
      <c r="A1194">
        <v>164</v>
      </c>
      <c r="B1194" t="s">
        <v>243</v>
      </c>
      <c r="C1194">
        <v>8</v>
      </c>
      <c r="D1194">
        <v>464</v>
      </c>
      <c r="E1194">
        <v>12000</v>
      </c>
      <c r="F1194" t="s">
        <v>77</v>
      </c>
      <c r="G1194" t="s">
        <v>746</v>
      </c>
      <c r="H1194">
        <v>1</v>
      </c>
      <c r="I1194">
        <v>332.54</v>
      </c>
      <c r="J1194" t="s">
        <v>839</v>
      </c>
      <c r="K1194" t="s">
        <v>812</v>
      </c>
      <c r="M1194" t="s">
        <v>1085</v>
      </c>
      <c r="O1194" t="s">
        <v>228</v>
      </c>
      <c r="P1194" t="s">
        <v>924</v>
      </c>
      <c r="Q1194" t="s">
        <v>28</v>
      </c>
      <c r="R1194" t="s">
        <v>81</v>
      </c>
      <c r="W1194">
        <v>2</v>
      </c>
      <c r="X1194" s="24">
        <v>46032</v>
      </c>
      <c r="Z1194" t="s">
        <v>38</v>
      </c>
      <c r="AB1194" t="s">
        <v>921</v>
      </c>
      <c r="AC1194" t="s">
        <v>993</v>
      </c>
      <c r="AD1194" t="s">
        <v>39</v>
      </c>
    </row>
    <row r="1195" spans="1:30" hidden="1" x14ac:dyDescent="0.25">
      <c r="A1195">
        <v>165</v>
      </c>
      <c r="B1195" t="s">
        <v>249</v>
      </c>
      <c r="C1195">
        <v>8</v>
      </c>
      <c r="D1195">
        <v>347</v>
      </c>
      <c r="E1195">
        <v>12000</v>
      </c>
      <c r="F1195" t="s">
        <v>77</v>
      </c>
      <c r="G1195" t="s">
        <v>746</v>
      </c>
      <c r="H1195">
        <v>4</v>
      </c>
      <c r="I1195">
        <v>977.5</v>
      </c>
      <c r="J1195" t="s">
        <v>839</v>
      </c>
      <c r="K1195" t="s">
        <v>812</v>
      </c>
      <c r="M1195" t="s">
        <v>1085</v>
      </c>
      <c r="O1195" t="s">
        <v>228</v>
      </c>
      <c r="P1195" t="s">
        <v>924</v>
      </c>
      <c r="Q1195" t="s">
        <v>28</v>
      </c>
      <c r="R1195" t="s">
        <v>81</v>
      </c>
      <c r="W1195">
        <v>2</v>
      </c>
      <c r="X1195" s="24">
        <v>46032</v>
      </c>
      <c r="Z1195" t="s">
        <v>38</v>
      </c>
      <c r="AB1195" t="s">
        <v>921</v>
      </c>
      <c r="AC1195" t="s">
        <v>993</v>
      </c>
      <c r="AD1195" t="s">
        <v>39</v>
      </c>
    </row>
    <row r="1196" spans="1:30" hidden="1" x14ac:dyDescent="0.25">
      <c r="A1196">
        <v>166</v>
      </c>
      <c r="B1196" t="s">
        <v>229</v>
      </c>
      <c r="C1196">
        <v>8</v>
      </c>
      <c r="D1196">
        <v>90</v>
      </c>
      <c r="E1196">
        <v>150</v>
      </c>
      <c r="F1196" t="s">
        <v>77</v>
      </c>
      <c r="G1196" t="s">
        <v>746</v>
      </c>
      <c r="H1196">
        <v>1</v>
      </c>
      <c r="I1196">
        <v>0.62</v>
      </c>
      <c r="J1196" t="s">
        <v>839</v>
      </c>
      <c r="K1196" t="s">
        <v>812</v>
      </c>
      <c r="M1196" t="s">
        <v>1085</v>
      </c>
      <c r="P1196" t="s">
        <v>924</v>
      </c>
      <c r="Q1196" t="s">
        <v>26</v>
      </c>
      <c r="R1196" t="s">
        <v>81</v>
      </c>
      <c r="W1196">
        <v>2</v>
      </c>
      <c r="X1196" s="24">
        <v>46032</v>
      </c>
      <c r="Z1196" t="s">
        <v>38</v>
      </c>
      <c r="AB1196" t="s">
        <v>921</v>
      </c>
      <c r="AC1196" t="s">
        <v>993</v>
      </c>
      <c r="AD1196" t="s">
        <v>39</v>
      </c>
    </row>
    <row r="1197" spans="1:30" hidden="1" x14ac:dyDescent="0.25">
      <c r="A1197">
        <v>167</v>
      </c>
      <c r="B1197" t="s">
        <v>231</v>
      </c>
      <c r="C1197">
        <v>8</v>
      </c>
      <c r="D1197">
        <v>150</v>
      </c>
      <c r="E1197">
        <v>4252</v>
      </c>
      <c r="F1197" t="s">
        <v>77</v>
      </c>
      <c r="G1197" t="s">
        <v>746</v>
      </c>
      <c r="H1197">
        <v>1</v>
      </c>
      <c r="I1197">
        <v>40.049999999999997</v>
      </c>
      <c r="J1197" t="s">
        <v>839</v>
      </c>
      <c r="K1197" t="s">
        <v>812</v>
      </c>
      <c r="M1197" t="s">
        <v>1085</v>
      </c>
      <c r="P1197" t="s">
        <v>924</v>
      </c>
      <c r="Q1197" t="s">
        <v>28</v>
      </c>
      <c r="R1197" t="s">
        <v>81</v>
      </c>
      <c r="W1197">
        <v>2</v>
      </c>
      <c r="X1197" s="24">
        <v>46032</v>
      </c>
      <c r="Z1197" t="s">
        <v>38</v>
      </c>
      <c r="AB1197" t="s">
        <v>921</v>
      </c>
      <c r="AC1197" t="s">
        <v>993</v>
      </c>
      <c r="AD1197" t="s">
        <v>39</v>
      </c>
    </row>
    <row r="1198" spans="1:30" hidden="1" x14ac:dyDescent="0.25">
      <c r="A1198">
        <v>168</v>
      </c>
      <c r="B1198" t="s">
        <v>233</v>
      </c>
      <c r="C1198">
        <v>8</v>
      </c>
      <c r="D1198">
        <v>150</v>
      </c>
      <c r="E1198">
        <v>6824</v>
      </c>
      <c r="F1198" t="s">
        <v>77</v>
      </c>
      <c r="G1198" t="s">
        <v>746</v>
      </c>
      <c r="H1198">
        <v>1</v>
      </c>
      <c r="I1198">
        <v>64.28</v>
      </c>
      <c r="J1198" t="s">
        <v>839</v>
      </c>
      <c r="K1198" t="s">
        <v>812</v>
      </c>
      <c r="M1198" t="s">
        <v>1085</v>
      </c>
      <c r="P1198" t="s">
        <v>924</v>
      </c>
      <c r="Q1198" t="s">
        <v>28</v>
      </c>
      <c r="R1198" t="s">
        <v>81</v>
      </c>
      <c r="W1198">
        <v>2</v>
      </c>
      <c r="X1198" s="24">
        <v>46032</v>
      </c>
      <c r="Z1198" t="s">
        <v>38</v>
      </c>
      <c r="AB1198" t="s">
        <v>921</v>
      </c>
      <c r="AC1198" t="s">
        <v>993</v>
      </c>
      <c r="AD1198" t="s">
        <v>39</v>
      </c>
    </row>
    <row r="1199" spans="1:30" hidden="1" x14ac:dyDescent="0.25">
      <c r="A1199">
        <v>169</v>
      </c>
      <c r="B1199" t="s">
        <v>235</v>
      </c>
      <c r="C1199">
        <v>8</v>
      </c>
      <c r="D1199">
        <v>150</v>
      </c>
      <c r="E1199">
        <v>792</v>
      </c>
      <c r="F1199" t="s">
        <v>77</v>
      </c>
      <c r="G1199" t="s">
        <v>746</v>
      </c>
      <c r="H1199">
        <v>1</v>
      </c>
      <c r="I1199">
        <v>7.46</v>
      </c>
      <c r="J1199" t="s">
        <v>839</v>
      </c>
      <c r="K1199" t="s">
        <v>812</v>
      </c>
      <c r="M1199" t="s">
        <v>1085</v>
      </c>
      <c r="P1199" t="s">
        <v>924</v>
      </c>
      <c r="Q1199" t="s">
        <v>28</v>
      </c>
      <c r="R1199" t="s">
        <v>81</v>
      </c>
      <c r="W1199">
        <v>2</v>
      </c>
      <c r="X1199" s="24">
        <v>46032</v>
      </c>
      <c r="Z1199" t="s">
        <v>38</v>
      </c>
      <c r="AB1199" t="s">
        <v>921</v>
      </c>
      <c r="AC1199" t="s">
        <v>993</v>
      </c>
      <c r="AD1199" t="s">
        <v>39</v>
      </c>
    </row>
    <row r="1200" spans="1:30" hidden="1" x14ac:dyDescent="0.25">
      <c r="A1200">
        <v>170</v>
      </c>
      <c r="B1200" t="s">
        <v>251</v>
      </c>
      <c r="C1200">
        <v>8</v>
      </c>
      <c r="D1200">
        <v>459</v>
      </c>
      <c r="E1200">
        <v>11977</v>
      </c>
      <c r="F1200" t="s">
        <v>77</v>
      </c>
      <c r="G1200" t="s">
        <v>746</v>
      </c>
      <c r="H1200">
        <v>1</v>
      </c>
      <c r="I1200">
        <v>331.9</v>
      </c>
      <c r="J1200" t="s">
        <v>839</v>
      </c>
      <c r="K1200" t="s">
        <v>812</v>
      </c>
      <c r="M1200" t="s">
        <v>1085</v>
      </c>
      <c r="O1200" t="s">
        <v>228</v>
      </c>
      <c r="P1200" t="s">
        <v>924</v>
      </c>
      <c r="Q1200" t="s">
        <v>28</v>
      </c>
      <c r="R1200" t="s">
        <v>81</v>
      </c>
      <c r="W1200">
        <v>2</v>
      </c>
      <c r="X1200" s="24">
        <v>46032</v>
      </c>
      <c r="Z1200" t="s">
        <v>38</v>
      </c>
      <c r="AB1200" t="s">
        <v>921</v>
      </c>
      <c r="AC1200" t="s">
        <v>995</v>
      </c>
      <c r="AD1200" t="s">
        <v>39</v>
      </c>
    </row>
    <row r="1201" spans="1:30" hidden="1" x14ac:dyDescent="0.25">
      <c r="A1201">
        <v>171</v>
      </c>
      <c r="B1201" t="s">
        <v>255</v>
      </c>
      <c r="C1201">
        <v>8</v>
      </c>
      <c r="D1201">
        <v>342</v>
      </c>
      <c r="E1201">
        <v>11990</v>
      </c>
      <c r="F1201" t="s">
        <v>77</v>
      </c>
      <c r="G1201" t="s">
        <v>746</v>
      </c>
      <c r="H1201">
        <v>3</v>
      </c>
      <c r="I1201">
        <v>732.47</v>
      </c>
      <c r="J1201" t="s">
        <v>839</v>
      </c>
      <c r="K1201" t="s">
        <v>812</v>
      </c>
      <c r="M1201" t="s">
        <v>1085</v>
      </c>
      <c r="O1201" t="s">
        <v>228</v>
      </c>
      <c r="P1201" t="s">
        <v>924</v>
      </c>
      <c r="Q1201" t="s">
        <v>28</v>
      </c>
      <c r="R1201" t="s">
        <v>81</v>
      </c>
      <c r="W1201">
        <v>2</v>
      </c>
      <c r="X1201" s="24">
        <v>46032</v>
      </c>
      <c r="Z1201" t="s">
        <v>38</v>
      </c>
      <c r="AB1201" t="s">
        <v>921</v>
      </c>
      <c r="AC1201" t="s">
        <v>995</v>
      </c>
      <c r="AD1201" t="s">
        <v>39</v>
      </c>
    </row>
    <row r="1202" spans="1:30" hidden="1" x14ac:dyDescent="0.25">
      <c r="A1202">
        <v>172</v>
      </c>
      <c r="B1202" t="s">
        <v>256</v>
      </c>
      <c r="C1202">
        <v>8</v>
      </c>
      <c r="D1202">
        <v>458</v>
      </c>
      <c r="E1202">
        <v>11977</v>
      </c>
      <c r="F1202" t="s">
        <v>77</v>
      </c>
      <c r="G1202" t="s">
        <v>746</v>
      </c>
      <c r="H1202">
        <v>1</v>
      </c>
      <c r="I1202">
        <v>331.9</v>
      </c>
      <c r="J1202" t="s">
        <v>839</v>
      </c>
      <c r="K1202" t="s">
        <v>812</v>
      </c>
      <c r="M1202" t="s">
        <v>1085</v>
      </c>
      <c r="O1202" t="s">
        <v>228</v>
      </c>
      <c r="P1202" t="s">
        <v>924</v>
      </c>
      <c r="Q1202" t="s">
        <v>28</v>
      </c>
      <c r="R1202" t="s">
        <v>81</v>
      </c>
      <c r="W1202">
        <v>2</v>
      </c>
      <c r="X1202" s="24">
        <v>46032</v>
      </c>
      <c r="Z1202" t="s">
        <v>38</v>
      </c>
      <c r="AB1202" t="s">
        <v>921</v>
      </c>
      <c r="AC1202" t="s">
        <v>995</v>
      </c>
      <c r="AD1202" t="s">
        <v>39</v>
      </c>
    </row>
    <row r="1203" spans="1:30" hidden="1" x14ac:dyDescent="0.25">
      <c r="A1203">
        <v>173</v>
      </c>
      <c r="B1203" t="s">
        <v>255</v>
      </c>
      <c r="C1203">
        <v>8</v>
      </c>
      <c r="D1203">
        <v>342</v>
      </c>
      <c r="E1203">
        <v>11990</v>
      </c>
      <c r="F1203" t="s">
        <v>77</v>
      </c>
      <c r="G1203" t="s">
        <v>746</v>
      </c>
      <c r="H1203">
        <v>1</v>
      </c>
      <c r="I1203">
        <v>244.16</v>
      </c>
      <c r="J1203" t="s">
        <v>839</v>
      </c>
      <c r="K1203" t="s">
        <v>812</v>
      </c>
      <c r="M1203" t="s">
        <v>1085</v>
      </c>
      <c r="O1203" t="s">
        <v>228</v>
      </c>
      <c r="P1203" t="s">
        <v>924</v>
      </c>
      <c r="Q1203" t="s">
        <v>28</v>
      </c>
      <c r="R1203" t="s">
        <v>81</v>
      </c>
      <c r="W1203">
        <v>2</v>
      </c>
      <c r="X1203" s="24">
        <v>46032</v>
      </c>
      <c r="Z1203" t="s">
        <v>38</v>
      </c>
      <c r="AB1203" t="s">
        <v>921</v>
      </c>
      <c r="AC1203" t="s">
        <v>997</v>
      </c>
      <c r="AD1203" t="s">
        <v>39</v>
      </c>
    </row>
    <row r="1204" spans="1:30" hidden="1" x14ac:dyDescent="0.25">
      <c r="A1204">
        <v>174</v>
      </c>
      <c r="B1204" t="s">
        <v>245</v>
      </c>
      <c r="C1204">
        <v>8</v>
      </c>
      <c r="D1204">
        <v>342</v>
      </c>
      <c r="E1204">
        <v>11990</v>
      </c>
      <c r="F1204" t="s">
        <v>77</v>
      </c>
      <c r="G1204" t="s">
        <v>746</v>
      </c>
      <c r="H1204">
        <v>2</v>
      </c>
      <c r="I1204">
        <v>488.31</v>
      </c>
      <c r="J1204" t="s">
        <v>839</v>
      </c>
      <c r="K1204" t="s">
        <v>812</v>
      </c>
      <c r="M1204" t="s">
        <v>1085</v>
      </c>
      <c r="O1204" t="s">
        <v>228</v>
      </c>
      <c r="P1204" t="s">
        <v>924</v>
      </c>
      <c r="Q1204" t="s">
        <v>28</v>
      </c>
      <c r="R1204" t="s">
        <v>81</v>
      </c>
      <c r="W1204">
        <v>2</v>
      </c>
      <c r="X1204" s="24">
        <v>46032</v>
      </c>
      <c r="Z1204" t="s">
        <v>38</v>
      </c>
      <c r="AB1204" t="s">
        <v>921</v>
      </c>
      <c r="AC1204" t="s">
        <v>997</v>
      </c>
      <c r="AD1204" t="s">
        <v>39</v>
      </c>
    </row>
    <row r="1205" spans="1:30" hidden="1" x14ac:dyDescent="0.25">
      <c r="A1205">
        <v>175</v>
      </c>
      <c r="B1205" t="s">
        <v>260</v>
      </c>
      <c r="C1205">
        <v>8</v>
      </c>
      <c r="D1205">
        <v>451</v>
      </c>
      <c r="E1205">
        <v>12000</v>
      </c>
      <c r="F1205" t="s">
        <v>77</v>
      </c>
      <c r="G1205" t="s">
        <v>746</v>
      </c>
      <c r="H1205">
        <v>2</v>
      </c>
      <c r="I1205">
        <v>665.18</v>
      </c>
      <c r="J1205" t="s">
        <v>839</v>
      </c>
      <c r="K1205" t="s">
        <v>812</v>
      </c>
      <c r="M1205" t="s">
        <v>1085</v>
      </c>
      <c r="O1205" t="s">
        <v>228</v>
      </c>
      <c r="P1205" t="s">
        <v>924</v>
      </c>
      <c r="Q1205" t="s">
        <v>28</v>
      </c>
      <c r="R1205" t="s">
        <v>81</v>
      </c>
      <c r="W1205">
        <v>2</v>
      </c>
      <c r="X1205" s="24">
        <v>46032</v>
      </c>
      <c r="Z1205" t="s">
        <v>38</v>
      </c>
      <c r="AB1205" t="s">
        <v>921</v>
      </c>
      <c r="AC1205" t="s">
        <v>997</v>
      </c>
      <c r="AD1205" t="s">
        <v>39</v>
      </c>
    </row>
    <row r="1206" spans="1:30" hidden="1" x14ac:dyDescent="0.25">
      <c r="A1206">
        <v>176</v>
      </c>
      <c r="B1206" t="s">
        <v>262</v>
      </c>
      <c r="C1206">
        <v>8</v>
      </c>
      <c r="D1206">
        <v>334</v>
      </c>
      <c r="E1206">
        <v>11992</v>
      </c>
      <c r="F1206" t="s">
        <v>77</v>
      </c>
      <c r="G1206" t="s">
        <v>746</v>
      </c>
      <c r="H1206">
        <v>4</v>
      </c>
      <c r="I1206">
        <v>981.99</v>
      </c>
      <c r="J1206" t="s">
        <v>839</v>
      </c>
      <c r="K1206" t="s">
        <v>812</v>
      </c>
      <c r="M1206" t="s">
        <v>1085</v>
      </c>
      <c r="P1206" t="s">
        <v>924</v>
      </c>
      <c r="Q1206" t="s">
        <v>28</v>
      </c>
      <c r="R1206" t="s">
        <v>81</v>
      </c>
      <c r="W1206">
        <v>2</v>
      </c>
      <c r="X1206" s="24">
        <v>46032</v>
      </c>
      <c r="Z1206" t="s">
        <v>38</v>
      </c>
      <c r="AB1206" t="s">
        <v>921</v>
      </c>
      <c r="AC1206" t="s">
        <v>999</v>
      </c>
      <c r="AD1206" t="s">
        <v>39</v>
      </c>
    </row>
    <row r="1207" spans="1:30" hidden="1" x14ac:dyDescent="0.25">
      <c r="A1207">
        <v>177</v>
      </c>
      <c r="B1207" t="s">
        <v>245</v>
      </c>
      <c r="C1207">
        <v>8</v>
      </c>
      <c r="D1207">
        <v>342</v>
      </c>
      <c r="E1207">
        <v>11990</v>
      </c>
      <c r="F1207" t="s">
        <v>77</v>
      </c>
      <c r="G1207" t="s">
        <v>746</v>
      </c>
      <c r="H1207">
        <v>1</v>
      </c>
      <c r="I1207">
        <v>244.16</v>
      </c>
      <c r="J1207" t="s">
        <v>839</v>
      </c>
      <c r="K1207" t="s">
        <v>812</v>
      </c>
      <c r="M1207" t="s">
        <v>1085</v>
      </c>
      <c r="O1207" t="s">
        <v>228</v>
      </c>
      <c r="P1207" t="s">
        <v>924</v>
      </c>
      <c r="Q1207" t="s">
        <v>28</v>
      </c>
      <c r="R1207" t="s">
        <v>81</v>
      </c>
      <c r="W1207">
        <v>2</v>
      </c>
      <c r="X1207" s="24">
        <v>46032</v>
      </c>
      <c r="Z1207" t="s">
        <v>38</v>
      </c>
      <c r="AB1207" t="s">
        <v>921</v>
      </c>
      <c r="AC1207" t="s">
        <v>999</v>
      </c>
      <c r="AD1207" t="s">
        <v>39</v>
      </c>
    </row>
    <row r="1208" spans="1:30" hidden="1" x14ac:dyDescent="0.25">
      <c r="A1208">
        <v>178</v>
      </c>
      <c r="B1208" t="s">
        <v>265</v>
      </c>
      <c r="C1208">
        <v>8</v>
      </c>
      <c r="D1208">
        <v>124</v>
      </c>
      <c r="E1208">
        <v>4252</v>
      </c>
      <c r="F1208" t="s">
        <v>77</v>
      </c>
      <c r="G1208" t="s">
        <v>746</v>
      </c>
      <c r="H1208">
        <v>2</v>
      </c>
      <c r="I1208">
        <v>66.22</v>
      </c>
      <c r="J1208" t="s">
        <v>839</v>
      </c>
      <c r="K1208" t="s">
        <v>812</v>
      </c>
      <c r="M1208" t="s">
        <v>1085</v>
      </c>
      <c r="P1208" t="s">
        <v>924</v>
      </c>
      <c r="Q1208" t="s">
        <v>28</v>
      </c>
      <c r="R1208" t="s">
        <v>81</v>
      </c>
      <c r="W1208">
        <v>2</v>
      </c>
      <c r="X1208" s="24">
        <v>46032</v>
      </c>
      <c r="Z1208" t="s">
        <v>38</v>
      </c>
      <c r="AB1208" t="s">
        <v>921</v>
      </c>
      <c r="AC1208" t="s">
        <v>999</v>
      </c>
      <c r="AD1208" t="s">
        <v>39</v>
      </c>
    </row>
    <row r="1209" spans="1:30" hidden="1" x14ac:dyDescent="0.25">
      <c r="A1209">
        <v>179</v>
      </c>
      <c r="B1209" t="s">
        <v>267</v>
      </c>
      <c r="C1209">
        <v>8</v>
      </c>
      <c r="D1209">
        <v>124</v>
      </c>
      <c r="E1209">
        <v>6824</v>
      </c>
      <c r="F1209" t="s">
        <v>77</v>
      </c>
      <c r="G1209" t="s">
        <v>746</v>
      </c>
      <c r="H1209">
        <v>2</v>
      </c>
      <c r="I1209">
        <v>106.28</v>
      </c>
      <c r="J1209" t="s">
        <v>839</v>
      </c>
      <c r="K1209" t="s">
        <v>812</v>
      </c>
      <c r="M1209" t="s">
        <v>1085</v>
      </c>
      <c r="P1209" t="s">
        <v>924</v>
      </c>
      <c r="Q1209" t="s">
        <v>28</v>
      </c>
      <c r="R1209" t="s">
        <v>81</v>
      </c>
      <c r="W1209">
        <v>2</v>
      </c>
      <c r="X1209" s="24">
        <v>46032</v>
      </c>
      <c r="Z1209" t="s">
        <v>38</v>
      </c>
      <c r="AB1209" t="s">
        <v>921</v>
      </c>
      <c r="AC1209" t="s">
        <v>999</v>
      </c>
      <c r="AD1209" t="s">
        <v>39</v>
      </c>
    </row>
    <row r="1210" spans="1:30" hidden="1" x14ac:dyDescent="0.25">
      <c r="A1210">
        <v>180</v>
      </c>
      <c r="B1210" t="s">
        <v>235</v>
      </c>
      <c r="C1210">
        <v>8</v>
      </c>
      <c r="D1210">
        <v>150</v>
      </c>
      <c r="E1210">
        <v>792</v>
      </c>
      <c r="F1210" t="s">
        <v>77</v>
      </c>
      <c r="G1210" t="s">
        <v>746</v>
      </c>
      <c r="H1210">
        <v>1</v>
      </c>
      <c r="I1210">
        <v>7.46</v>
      </c>
      <c r="J1210" t="s">
        <v>839</v>
      </c>
      <c r="K1210" t="s">
        <v>812</v>
      </c>
      <c r="M1210" t="s">
        <v>1085</v>
      </c>
      <c r="P1210" t="s">
        <v>924</v>
      </c>
      <c r="Q1210" t="s">
        <v>28</v>
      </c>
      <c r="R1210" t="s">
        <v>81</v>
      </c>
      <c r="W1210">
        <v>2</v>
      </c>
      <c r="X1210" s="24">
        <v>46032</v>
      </c>
      <c r="Z1210" t="s">
        <v>38</v>
      </c>
      <c r="AB1210" t="s">
        <v>921</v>
      </c>
      <c r="AC1210" t="s">
        <v>999</v>
      </c>
      <c r="AD1210" t="s">
        <v>39</v>
      </c>
    </row>
    <row r="1211" spans="1:30" hidden="1" x14ac:dyDescent="0.25">
      <c r="A1211">
        <v>181</v>
      </c>
      <c r="B1211" t="s">
        <v>269</v>
      </c>
      <c r="C1211">
        <v>8</v>
      </c>
      <c r="D1211">
        <v>124</v>
      </c>
      <c r="E1211">
        <v>792</v>
      </c>
      <c r="F1211" t="s">
        <v>77</v>
      </c>
      <c r="G1211" t="s">
        <v>746</v>
      </c>
      <c r="H1211">
        <v>1</v>
      </c>
      <c r="I1211">
        <v>6.17</v>
      </c>
      <c r="J1211" t="s">
        <v>839</v>
      </c>
      <c r="K1211" t="s">
        <v>812</v>
      </c>
      <c r="M1211" t="s">
        <v>1085</v>
      </c>
      <c r="P1211" t="s">
        <v>924</v>
      </c>
      <c r="Q1211" t="s">
        <v>28</v>
      </c>
      <c r="R1211" t="s">
        <v>81</v>
      </c>
      <c r="W1211">
        <v>2</v>
      </c>
      <c r="X1211" s="24">
        <v>46032</v>
      </c>
      <c r="Z1211" t="s">
        <v>38</v>
      </c>
      <c r="AB1211" t="s">
        <v>921</v>
      </c>
      <c r="AC1211" t="s">
        <v>999</v>
      </c>
      <c r="AD1211" t="s">
        <v>39</v>
      </c>
    </row>
    <row r="1212" spans="1:30" hidden="1" x14ac:dyDescent="0.25">
      <c r="A1212">
        <v>182</v>
      </c>
      <c r="B1212" t="s">
        <v>251</v>
      </c>
      <c r="C1212">
        <v>8</v>
      </c>
      <c r="D1212">
        <v>459</v>
      </c>
      <c r="E1212">
        <v>11977</v>
      </c>
      <c r="F1212" t="s">
        <v>77</v>
      </c>
      <c r="G1212" t="s">
        <v>746</v>
      </c>
      <c r="H1212">
        <v>1</v>
      </c>
      <c r="I1212">
        <v>331.9</v>
      </c>
      <c r="J1212" t="s">
        <v>839</v>
      </c>
      <c r="K1212" t="s">
        <v>812</v>
      </c>
      <c r="M1212" t="s">
        <v>1085</v>
      </c>
      <c r="O1212" t="s">
        <v>228</v>
      </c>
      <c r="P1212" t="s">
        <v>924</v>
      </c>
      <c r="Q1212" t="s">
        <v>28</v>
      </c>
      <c r="R1212" t="s">
        <v>81</v>
      </c>
      <c r="W1212">
        <v>2</v>
      </c>
      <c r="X1212" s="24">
        <v>46032</v>
      </c>
      <c r="Z1212" t="s">
        <v>38</v>
      </c>
      <c r="AB1212" t="s">
        <v>921</v>
      </c>
      <c r="AC1212" t="s">
        <v>1001</v>
      </c>
      <c r="AD1212" t="s">
        <v>39</v>
      </c>
    </row>
    <row r="1213" spans="1:30" hidden="1" x14ac:dyDescent="0.25">
      <c r="A1213">
        <v>183</v>
      </c>
      <c r="B1213" t="s">
        <v>256</v>
      </c>
      <c r="C1213">
        <v>8</v>
      </c>
      <c r="D1213">
        <v>458</v>
      </c>
      <c r="E1213">
        <v>11977</v>
      </c>
      <c r="F1213" t="s">
        <v>77</v>
      </c>
      <c r="G1213" t="s">
        <v>746</v>
      </c>
      <c r="H1213">
        <v>1</v>
      </c>
      <c r="I1213">
        <v>331.9</v>
      </c>
      <c r="J1213" t="s">
        <v>839</v>
      </c>
      <c r="K1213" t="s">
        <v>812</v>
      </c>
      <c r="M1213" t="s">
        <v>1085</v>
      </c>
      <c r="O1213" t="s">
        <v>228</v>
      </c>
      <c r="P1213" t="s">
        <v>924</v>
      </c>
      <c r="Q1213" t="s">
        <v>28</v>
      </c>
      <c r="R1213" t="s">
        <v>81</v>
      </c>
      <c r="W1213">
        <v>2</v>
      </c>
      <c r="X1213" s="24">
        <v>46032</v>
      </c>
      <c r="Z1213" t="s">
        <v>38</v>
      </c>
      <c r="AB1213" t="s">
        <v>921</v>
      </c>
      <c r="AC1213" t="s">
        <v>1001</v>
      </c>
      <c r="AD1213" t="s">
        <v>39</v>
      </c>
    </row>
    <row r="1214" spans="1:30" hidden="1" x14ac:dyDescent="0.25">
      <c r="A1214">
        <v>184</v>
      </c>
      <c r="B1214" t="s">
        <v>273</v>
      </c>
      <c r="C1214">
        <v>8</v>
      </c>
      <c r="D1214">
        <v>448</v>
      </c>
      <c r="E1214">
        <v>7587</v>
      </c>
      <c r="F1214" t="s">
        <v>77</v>
      </c>
      <c r="G1214" t="s">
        <v>746</v>
      </c>
      <c r="H1214">
        <v>2</v>
      </c>
      <c r="I1214">
        <v>422.1</v>
      </c>
      <c r="J1214" t="s">
        <v>839</v>
      </c>
      <c r="K1214" t="s">
        <v>812</v>
      </c>
      <c r="M1214" t="s">
        <v>1085</v>
      </c>
      <c r="O1214" t="s">
        <v>228</v>
      </c>
      <c r="P1214" t="s">
        <v>924</v>
      </c>
      <c r="Q1214" t="s">
        <v>28</v>
      </c>
      <c r="R1214" t="s">
        <v>81</v>
      </c>
      <c r="W1214">
        <v>2</v>
      </c>
      <c r="X1214" s="24">
        <v>46032</v>
      </c>
      <c r="Z1214" t="s">
        <v>38</v>
      </c>
      <c r="AB1214" t="s">
        <v>921</v>
      </c>
      <c r="AC1214" t="s">
        <v>1001</v>
      </c>
      <c r="AD1214" t="s">
        <v>39</v>
      </c>
    </row>
    <row r="1215" spans="1:30" hidden="1" x14ac:dyDescent="0.25">
      <c r="A1215">
        <v>185</v>
      </c>
      <c r="B1215" t="s">
        <v>265</v>
      </c>
      <c r="C1215">
        <v>8</v>
      </c>
      <c r="D1215">
        <v>124</v>
      </c>
      <c r="E1215">
        <v>4252</v>
      </c>
      <c r="F1215" t="s">
        <v>77</v>
      </c>
      <c r="G1215" t="s">
        <v>746</v>
      </c>
      <c r="H1215">
        <v>2</v>
      </c>
      <c r="I1215">
        <v>66.22</v>
      </c>
      <c r="J1215" t="s">
        <v>839</v>
      </c>
      <c r="K1215" t="s">
        <v>812</v>
      </c>
      <c r="M1215" t="s">
        <v>1085</v>
      </c>
      <c r="P1215" t="s">
        <v>924</v>
      </c>
      <c r="Q1215" t="s">
        <v>28</v>
      </c>
      <c r="R1215" t="s">
        <v>81</v>
      </c>
      <c r="W1215">
        <v>2</v>
      </c>
      <c r="X1215" s="24">
        <v>46032</v>
      </c>
      <c r="Z1215" t="s">
        <v>38</v>
      </c>
      <c r="AB1215" t="s">
        <v>921</v>
      </c>
      <c r="AC1215" t="s">
        <v>1001</v>
      </c>
      <c r="AD1215" t="s">
        <v>39</v>
      </c>
    </row>
    <row r="1216" spans="1:30" hidden="1" x14ac:dyDescent="0.25">
      <c r="A1216">
        <v>186</v>
      </c>
      <c r="B1216" t="s">
        <v>275</v>
      </c>
      <c r="C1216">
        <v>8</v>
      </c>
      <c r="D1216">
        <v>150</v>
      </c>
      <c r="E1216">
        <v>2972</v>
      </c>
      <c r="F1216" t="s">
        <v>77</v>
      </c>
      <c r="G1216" t="s">
        <v>746</v>
      </c>
      <c r="H1216">
        <v>1</v>
      </c>
      <c r="I1216">
        <v>28</v>
      </c>
      <c r="J1216" t="s">
        <v>839</v>
      </c>
      <c r="K1216" t="s">
        <v>812</v>
      </c>
      <c r="M1216" t="s">
        <v>1085</v>
      </c>
      <c r="P1216" t="s">
        <v>924</v>
      </c>
      <c r="Q1216" t="s">
        <v>28</v>
      </c>
      <c r="R1216" t="s">
        <v>81</v>
      </c>
      <c r="W1216">
        <v>2</v>
      </c>
      <c r="X1216" s="24">
        <v>46032</v>
      </c>
      <c r="Z1216" t="s">
        <v>38</v>
      </c>
      <c r="AB1216" t="s">
        <v>921</v>
      </c>
      <c r="AC1216" t="s">
        <v>1001</v>
      </c>
      <c r="AD1216" t="s">
        <v>39</v>
      </c>
    </row>
    <row r="1217" spans="1:30" hidden="1" x14ac:dyDescent="0.25">
      <c r="A1217">
        <v>187</v>
      </c>
      <c r="B1217" t="s">
        <v>277</v>
      </c>
      <c r="C1217">
        <v>8</v>
      </c>
      <c r="D1217">
        <v>124</v>
      </c>
      <c r="E1217">
        <v>2972</v>
      </c>
      <c r="F1217" t="s">
        <v>77</v>
      </c>
      <c r="G1217" t="s">
        <v>746</v>
      </c>
      <c r="H1217">
        <v>4</v>
      </c>
      <c r="I1217">
        <v>92.57</v>
      </c>
      <c r="J1217" t="s">
        <v>839</v>
      </c>
      <c r="K1217" t="s">
        <v>812</v>
      </c>
      <c r="M1217" t="s">
        <v>1085</v>
      </c>
      <c r="P1217" t="s">
        <v>924</v>
      </c>
      <c r="Q1217" t="s">
        <v>28</v>
      </c>
      <c r="R1217" t="s">
        <v>81</v>
      </c>
      <c r="W1217">
        <v>2</v>
      </c>
      <c r="X1217" s="24">
        <v>46032</v>
      </c>
      <c r="Z1217" t="s">
        <v>38</v>
      </c>
      <c r="AB1217" t="s">
        <v>921</v>
      </c>
      <c r="AC1217" t="s">
        <v>1001</v>
      </c>
      <c r="AD1217" t="s">
        <v>39</v>
      </c>
    </row>
    <row r="1218" spans="1:30" hidden="1" x14ac:dyDescent="0.25">
      <c r="A1218">
        <v>188</v>
      </c>
      <c r="B1218" t="s">
        <v>279</v>
      </c>
      <c r="C1218">
        <v>8</v>
      </c>
      <c r="D1218">
        <v>124</v>
      </c>
      <c r="E1218">
        <v>2972</v>
      </c>
      <c r="F1218" t="s">
        <v>77</v>
      </c>
      <c r="G1218" t="s">
        <v>746</v>
      </c>
      <c r="H1218">
        <v>1</v>
      </c>
      <c r="I1218">
        <v>23.14</v>
      </c>
      <c r="J1218" t="s">
        <v>839</v>
      </c>
      <c r="K1218" t="s">
        <v>812</v>
      </c>
      <c r="M1218" t="s">
        <v>1085</v>
      </c>
      <c r="P1218" t="s">
        <v>924</v>
      </c>
      <c r="Q1218" t="s">
        <v>28</v>
      </c>
      <c r="R1218" t="s">
        <v>81</v>
      </c>
      <c r="W1218">
        <v>2</v>
      </c>
      <c r="X1218" s="24">
        <v>46032</v>
      </c>
      <c r="Z1218" t="s">
        <v>38</v>
      </c>
      <c r="AB1218" t="s">
        <v>921</v>
      </c>
      <c r="AC1218" t="s">
        <v>1001</v>
      </c>
      <c r="AD1218" t="s">
        <v>39</v>
      </c>
    </row>
    <row r="1219" spans="1:30" hidden="1" x14ac:dyDescent="0.25">
      <c r="A1219">
        <v>189</v>
      </c>
      <c r="B1219" t="s">
        <v>280</v>
      </c>
      <c r="C1219">
        <v>8</v>
      </c>
      <c r="D1219">
        <v>124</v>
      </c>
      <c r="E1219">
        <v>601</v>
      </c>
      <c r="F1219" t="s">
        <v>77</v>
      </c>
      <c r="G1219" t="s">
        <v>746</v>
      </c>
      <c r="H1219">
        <v>1</v>
      </c>
      <c r="I1219">
        <v>4.68</v>
      </c>
      <c r="J1219" t="s">
        <v>839</v>
      </c>
      <c r="K1219" t="s">
        <v>812</v>
      </c>
      <c r="M1219" t="s">
        <v>1085</v>
      </c>
      <c r="P1219" t="s">
        <v>924</v>
      </c>
      <c r="Q1219" t="s">
        <v>28</v>
      </c>
      <c r="R1219" t="s">
        <v>81</v>
      </c>
      <c r="W1219">
        <v>2</v>
      </c>
      <c r="X1219" s="24">
        <v>46032</v>
      </c>
      <c r="Z1219" t="s">
        <v>38</v>
      </c>
      <c r="AB1219" t="s">
        <v>921</v>
      </c>
      <c r="AC1219" t="s">
        <v>1001</v>
      </c>
      <c r="AD1219" t="s">
        <v>39</v>
      </c>
    </row>
    <row r="1220" spans="1:30" hidden="1" x14ac:dyDescent="0.25">
      <c r="A1220">
        <v>190</v>
      </c>
      <c r="B1220" t="s">
        <v>282</v>
      </c>
      <c r="C1220">
        <v>8</v>
      </c>
      <c r="D1220">
        <v>150</v>
      </c>
      <c r="E1220">
        <v>1381</v>
      </c>
      <c r="F1220" t="s">
        <v>77</v>
      </c>
      <c r="G1220" t="s">
        <v>746</v>
      </c>
      <c r="H1220">
        <v>1</v>
      </c>
      <c r="I1220">
        <v>13.01</v>
      </c>
      <c r="J1220" t="s">
        <v>839</v>
      </c>
      <c r="K1220" t="s">
        <v>812</v>
      </c>
      <c r="M1220" t="s">
        <v>1085</v>
      </c>
      <c r="P1220" t="s">
        <v>924</v>
      </c>
      <c r="Q1220" t="s">
        <v>28</v>
      </c>
      <c r="R1220" t="s">
        <v>81</v>
      </c>
      <c r="W1220">
        <v>2</v>
      </c>
      <c r="X1220" s="24">
        <v>46032</v>
      </c>
      <c r="Z1220" t="s">
        <v>38</v>
      </c>
      <c r="AB1220" t="s">
        <v>921</v>
      </c>
      <c r="AC1220" t="s">
        <v>1001</v>
      </c>
      <c r="AD1220" t="s">
        <v>39</v>
      </c>
    </row>
    <row r="1221" spans="1:30" hidden="1" x14ac:dyDescent="0.25">
      <c r="A1221">
        <v>191</v>
      </c>
      <c r="B1221" t="s">
        <v>284</v>
      </c>
      <c r="C1221">
        <v>8</v>
      </c>
      <c r="D1221">
        <v>124</v>
      </c>
      <c r="E1221">
        <v>1381</v>
      </c>
      <c r="F1221" t="s">
        <v>77</v>
      </c>
      <c r="G1221" t="s">
        <v>746</v>
      </c>
      <c r="H1221">
        <v>4</v>
      </c>
      <c r="I1221">
        <v>43.02</v>
      </c>
      <c r="J1221" t="s">
        <v>839</v>
      </c>
      <c r="K1221" t="s">
        <v>812</v>
      </c>
      <c r="M1221" t="s">
        <v>1085</v>
      </c>
      <c r="P1221" t="s">
        <v>924</v>
      </c>
      <c r="Q1221" t="s">
        <v>28</v>
      </c>
      <c r="R1221" t="s">
        <v>81</v>
      </c>
      <c r="W1221">
        <v>2</v>
      </c>
      <c r="X1221" s="24">
        <v>46032</v>
      </c>
      <c r="Z1221" t="s">
        <v>38</v>
      </c>
      <c r="AB1221" t="s">
        <v>921</v>
      </c>
      <c r="AC1221" t="s">
        <v>1001</v>
      </c>
      <c r="AD1221" t="s">
        <v>39</v>
      </c>
    </row>
    <row r="1222" spans="1:30" hidden="1" x14ac:dyDescent="0.25">
      <c r="A1222">
        <v>192</v>
      </c>
      <c r="B1222" t="s">
        <v>267</v>
      </c>
      <c r="C1222">
        <v>8</v>
      </c>
      <c r="D1222">
        <v>124</v>
      </c>
      <c r="E1222">
        <v>6824</v>
      </c>
      <c r="F1222" t="s">
        <v>77</v>
      </c>
      <c r="G1222" t="s">
        <v>746</v>
      </c>
      <c r="H1222">
        <v>1</v>
      </c>
      <c r="I1222">
        <v>53.14</v>
      </c>
      <c r="J1222" t="s">
        <v>839</v>
      </c>
      <c r="K1222" t="s">
        <v>812</v>
      </c>
      <c r="M1222" t="s">
        <v>1085</v>
      </c>
      <c r="P1222" t="s">
        <v>924</v>
      </c>
      <c r="Q1222" t="s">
        <v>28</v>
      </c>
      <c r="R1222" t="s">
        <v>81</v>
      </c>
      <c r="W1222">
        <v>2</v>
      </c>
      <c r="X1222" s="24">
        <v>46032</v>
      </c>
      <c r="Z1222" t="s">
        <v>38</v>
      </c>
      <c r="AB1222" t="s">
        <v>921</v>
      </c>
      <c r="AC1222" t="s">
        <v>1001</v>
      </c>
      <c r="AD1222" t="s">
        <v>39</v>
      </c>
    </row>
    <row r="1223" spans="1:30" hidden="1" x14ac:dyDescent="0.25">
      <c r="A1223">
        <v>193</v>
      </c>
      <c r="B1223" t="s">
        <v>269</v>
      </c>
      <c r="C1223">
        <v>8</v>
      </c>
      <c r="D1223">
        <v>124</v>
      </c>
      <c r="E1223">
        <v>792</v>
      </c>
      <c r="F1223" t="s">
        <v>77</v>
      </c>
      <c r="G1223" t="s">
        <v>746</v>
      </c>
      <c r="H1223">
        <v>2</v>
      </c>
      <c r="I1223">
        <v>12.33</v>
      </c>
      <c r="J1223" t="s">
        <v>839</v>
      </c>
      <c r="K1223" t="s">
        <v>812</v>
      </c>
      <c r="M1223" t="s">
        <v>1085</v>
      </c>
      <c r="P1223" t="s">
        <v>924</v>
      </c>
      <c r="Q1223" t="s">
        <v>28</v>
      </c>
      <c r="R1223" t="s">
        <v>81</v>
      </c>
      <c r="W1223">
        <v>2</v>
      </c>
      <c r="X1223" s="24">
        <v>46032</v>
      </c>
      <c r="Z1223" t="s">
        <v>38</v>
      </c>
      <c r="AB1223" t="s">
        <v>921</v>
      </c>
      <c r="AC1223" t="s">
        <v>1001</v>
      </c>
      <c r="AD1223" t="s">
        <v>39</v>
      </c>
    </row>
    <row r="1224" spans="1:30" hidden="1" x14ac:dyDescent="0.25">
      <c r="A1224">
        <v>194</v>
      </c>
      <c r="B1224" t="s">
        <v>286</v>
      </c>
      <c r="C1224">
        <v>8</v>
      </c>
      <c r="D1224">
        <v>450</v>
      </c>
      <c r="E1224">
        <v>12007</v>
      </c>
      <c r="F1224" t="s">
        <v>77</v>
      </c>
      <c r="G1224" t="s">
        <v>746</v>
      </c>
      <c r="H1224">
        <v>2</v>
      </c>
      <c r="I1224">
        <v>668.05</v>
      </c>
      <c r="J1224" t="s">
        <v>839</v>
      </c>
      <c r="K1224" t="s">
        <v>812</v>
      </c>
      <c r="M1224" t="s">
        <v>1085</v>
      </c>
      <c r="P1224" t="s">
        <v>924</v>
      </c>
      <c r="Q1224" t="s">
        <v>28</v>
      </c>
      <c r="R1224" t="s">
        <v>81</v>
      </c>
      <c r="W1224">
        <v>2</v>
      </c>
      <c r="X1224" s="24">
        <v>46032</v>
      </c>
      <c r="Z1224" t="s">
        <v>38</v>
      </c>
      <c r="AB1224" t="s">
        <v>921</v>
      </c>
      <c r="AC1224" t="s">
        <v>1003</v>
      </c>
      <c r="AD1224" t="s">
        <v>39</v>
      </c>
    </row>
    <row r="1225" spans="1:30" hidden="1" x14ac:dyDescent="0.25">
      <c r="A1225">
        <v>195</v>
      </c>
      <c r="B1225" t="s">
        <v>290</v>
      </c>
      <c r="C1225">
        <v>8</v>
      </c>
      <c r="D1225">
        <v>450</v>
      </c>
      <c r="E1225">
        <v>12007</v>
      </c>
      <c r="F1225" t="s">
        <v>77</v>
      </c>
      <c r="G1225" t="s">
        <v>746</v>
      </c>
      <c r="H1225">
        <v>2</v>
      </c>
      <c r="I1225">
        <v>668.05</v>
      </c>
      <c r="J1225" t="s">
        <v>839</v>
      </c>
      <c r="K1225" t="s">
        <v>812</v>
      </c>
      <c r="M1225" t="s">
        <v>1085</v>
      </c>
      <c r="P1225" t="s">
        <v>924</v>
      </c>
      <c r="Q1225" t="s">
        <v>28</v>
      </c>
      <c r="R1225" t="s">
        <v>81</v>
      </c>
      <c r="W1225">
        <v>2</v>
      </c>
      <c r="X1225" s="24">
        <v>46032</v>
      </c>
      <c r="Z1225" t="s">
        <v>38</v>
      </c>
      <c r="AB1225" t="s">
        <v>921</v>
      </c>
      <c r="AC1225" t="s">
        <v>1003</v>
      </c>
      <c r="AD1225" t="s">
        <v>39</v>
      </c>
    </row>
    <row r="1226" spans="1:30" hidden="1" x14ac:dyDescent="0.25">
      <c r="A1226">
        <v>196</v>
      </c>
      <c r="B1226" t="s">
        <v>229</v>
      </c>
      <c r="C1226">
        <v>8</v>
      </c>
      <c r="D1226">
        <v>90</v>
      </c>
      <c r="E1226">
        <v>150</v>
      </c>
      <c r="F1226" t="s">
        <v>77</v>
      </c>
      <c r="G1226" t="s">
        <v>746</v>
      </c>
      <c r="H1226">
        <v>1</v>
      </c>
      <c r="I1226">
        <v>0.62</v>
      </c>
      <c r="J1226" t="s">
        <v>839</v>
      </c>
      <c r="K1226" t="s">
        <v>812</v>
      </c>
      <c r="M1226" t="s">
        <v>1085</v>
      </c>
      <c r="P1226" t="s">
        <v>924</v>
      </c>
      <c r="Q1226" t="s">
        <v>26</v>
      </c>
      <c r="R1226" t="s">
        <v>81</v>
      </c>
      <c r="W1226">
        <v>2</v>
      </c>
      <c r="X1226" s="24">
        <v>46032</v>
      </c>
      <c r="Z1226" t="s">
        <v>38</v>
      </c>
      <c r="AB1226" t="s">
        <v>921</v>
      </c>
      <c r="AC1226" t="s">
        <v>1003</v>
      </c>
      <c r="AD1226" t="s">
        <v>39</v>
      </c>
    </row>
    <row r="1227" spans="1:30" hidden="1" x14ac:dyDescent="0.25">
      <c r="A1227">
        <v>197</v>
      </c>
      <c r="B1227" t="s">
        <v>275</v>
      </c>
      <c r="C1227">
        <v>8</v>
      </c>
      <c r="D1227">
        <v>150</v>
      </c>
      <c r="E1227">
        <v>2972</v>
      </c>
      <c r="F1227" t="s">
        <v>77</v>
      </c>
      <c r="G1227" t="s">
        <v>746</v>
      </c>
      <c r="H1227">
        <v>3</v>
      </c>
      <c r="I1227">
        <v>83.99</v>
      </c>
      <c r="J1227" t="s">
        <v>839</v>
      </c>
      <c r="K1227" t="s">
        <v>812</v>
      </c>
      <c r="M1227" t="s">
        <v>1085</v>
      </c>
      <c r="P1227" t="s">
        <v>924</v>
      </c>
      <c r="Q1227" t="s">
        <v>28</v>
      </c>
      <c r="R1227" t="s">
        <v>81</v>
      </c>
      <c r="W1227">
        <v>2</v>
      </c>
      <c r="X1227" s="24">
        <v>46032</v>
      </c>
      <c r="Z1227" t="s">
        <v>38</v>
      </c>
      <c r="AB1227" t="s">
        <v>921</v>
      </c>
      <c r="AC1227" t="s">
        <v>1003</v>
      </c>
      <c r="AD1227" t="s">
        <v>39</v>
      </c>
    </row>
    <row r="1228" spans="1:30" hidden="1" x14ac:dyDescent="0.25">
      <c r="A1228">
        <v>198</v>
      </c>
      <c r="B1228" t="s">
        <v>291</v>
      </c>
      <c r="C1228">
        <v>8</v>
      </c>
      <c r="D1228">
        <v>150</v>
      </c>
      <c r="E1228">
        <v>2972</v>
      </c>
      <c r="F1228" t="s">
        <v>77</v>
      </c>
      <c r="G1228" t="s">
        <v>746</v>
      </c>
      <c r="H1228">
        <v>1</v>
      </c>
      <c r="I1228">
        <v>28</v>
      </c>
      <c r="J1228" t="s">
        <v>839</v>
      </c>
      <c r="K1228" t="s">
        <v>812</v>
      </c>
      <c r="M1228" t="s">
        <v>1085</v>
      </c>
      <c r="P1228" t="s">
        <v>924</v>
      </c>
      <c r="Q1228" t="s">
        <v>28</v>
      </c>
      <c r="R1228" t="s">
        <v>81</v>
      </c>
      <c r="W1228">
        <v>2</v>
      </c>
      <c r="X1228" s="24">
        <v>46032</v>
      </c>
      <c r="Z1228" t="s">
        <v>38</v>
      </c>
      <c r="AB1228" t="s">
        <v>921</v>
      </c>
      <c r="AC1228" t="s">
        <v>1003</v>
      </c>
      <c r="AD1228" t="s">
        <v>39</v>
      </c>
    </row>
    <row r="1229" spans="1:30" hidden="1" x14ac:dyDescent="0.25">
      <c r="A1229">
        <v>199</v>
      </c>
      <c r="B1229" t="s">
        <v>292</v>
      </c>
      <c r="C1229">
        <v>8</v>
      </c>
      <c r="D1229">
        <v>446</v>
      </c>
      <c r="E1229">
        <v>7588</v>
      </c>
      <c r="F1229" t="s">
        <v>77</v>
      </c>
      <c r="G1229" t="s">
        <v>746</v>
      </c>
      <c r="H1229">
        <v>2</v>
      </c>
      <c r="I1229">
        <v>422.16</v>
      </c>
      <c r="J1229" t="s">
        <v>839</v>
      </c>
      <c r="K1229" t="s">
        <v>812</v>
      </c>
      <c r="M1229" t="s">
        <v>1085</v>
      </c>
      <c r="O1229" t="s">
        <v>228</v>
      </c>
      <c r="P1229" t="s">
        <v>924</v>
      </c>
      <c r="Q1229" t="s">
        <v>28</v>
      </c>
      <c r="R1229" t="s">
        <v>81</v>
      </c>
      <c r="W1229">
        <v>2</v>
      </c>
      <c r="X1229" s="24">
        <v>46032</v>
      </c>
      <c r="Z1229" t="s">
        <v>38</v>
      </c>
      <c r="AB1229" t="s">
        <v>921</v>
      </c>
      <c r="AC1229" t="s">
        <v>1005</v>
      </c>
      <c r="AD1229" t="s">
        <v>39</v>
      </c>
    </row>
    <row r="1230" spans="1:30" hidden="1" x14ac:dyDescent="0.25">
      <c r="A1230">
        <v>200</v>
      </c>
      <c r="B1230" t="s">
        <v>296</v>
      </c>
      <c r="C1230">
        <v>8</v>
      </c>
      <c r="D1230">
        <v>329</v>
      </c>
      <c r="E1230">
        <v>7565</v>
      </c>
      <c r="F1230" t="s">
        <v>77</v>
      </c>
      <c r="G1230" t="s">
        <v>746</v>
      </c>
      <c r="H1230">
        <v>2</v>
      </c>
      <c r="I1230">
        <v>309.73</v>
      </c>
      <c r="J1230" t="s">
        <v>839</v>
      </c>
      <c r="K1230" t="s">
        <v>812</v>
      </c>
      <c r="M1230" t="s">
        <v>1085</v>
      </c>
      <c r="O1230" t="s">
        <v>228</v>
      </c>
      <c r="P1230" t="s">
        <v>924</v>
      </c>
      <c r="Q1230" t="s">
        <v>28</v>
      </c>
      <c r="R1230" t="s">
        <v>81</v>
      </c>
      <c r="W1230">
        <v>2</v>
      </c>
      <c r="X1230" s="24">
        <v>46032</v>
      </c>
      <c r="Z1230" t="s">
        <v>38</v>
      </c>
      <c r="AB1230" t="s">
        <v>921</v>
      </c>
      <c r="AC1230" t="s">
        <v>1005</v>
      </c>
      <c r="AD1230" t="s">
        <v>39</v>
      </c>
    </row>
    <row r="1231" spans="1:30" hidden="1" x14ac:dyDescent="0.25">
      <c r="A1231">
        <v>201</v>
      </c>
      <c r="B1231" t="s">
        <v>298</v>
      </c>
      <c r="C1231">
        <v>8</v>
      </c>
      <c r="D1231">
        <v>329</v>
      </c>
      <c r="E1231">
        <v>7566</v>
      </c>
      <c r="F1231" t="s">
        <v>77</v>
      </c>
      <c r="G1231" t="s">
        <v>746</v>
      </c>
      <c r="H1231">
        <v>1</v>
      </c>
      <c r="I1231">
        <v>154.88</v>
      </c>
      <c r="J1231" t="s">
        <v>839</v>
      </c>
      <c r="K1231" t="s">
        <v>812</v>
      </c>
      <c r="M1231" t="s">
        <v>1085</v>
      </c>
      <c r="O1231" t="s">
        <v>228</v>
      </c>
      <c r="P1231" t="s">
        <v>924</v>
      </c>
      <c r="Q1231" t="s">
        <v>28</v>
      </c>
      <c r="R1231" t="s">
        <v>81</v>
      </c>
      <c r="W1231">
        <v>2</v>
      </c>
      <c r="X1231" s="24">
        <v>46032</v>
      </c>
      <c r="Z1231" t="s">
        <v>38</v>
      </c>
      <c r="AB1231" t="s">
        <v>921</v>
      </c>
      <c r="AC1231" t="s">
        <v>1005</v>
      </c>
      <c r="AD1231" t="s">
        <v>39</v>
      </c>
    </row>
    <row r="1232" spans="1:30" hidden="1" x14ac:dyDescent="0.25">
      <c r="A1232">
        <v>202</v>
      </c>
      <c r="B1232" t="s">
        <v>300</v>
      </c>
      <c r="C1232">
        <v>8</v>
      </c>
      <c r="D1232">
        <v>66</v>
      </c>
      <c r="E1232">
        <v>150</v>
      </c>
      <c r="F1232" t="s">
        <v>77</v>
      </c>
      <c r="G1232" t="s">
        <v>746</v>
      </c>
      <c r="H1232">
        <v>3</v>
      </c>
      <c r="I1232">
        <v>1.38</v>
      </c>
      <c r="J1232" t="s">
        <v>839</v>
      </c>
      <c r="K1232" t="s">
        <v>812</v>
      </c>
      <c r="M1232" t="s">
        <v>1085</v>
      </c>
      <c r="P1232" t="s">
        <v>924</v>
      </c>
      <c r="Q1232" t="s">
        <v>26</v>
      </c>
      <c r="R1232" t="s">
        <v>81</v>
      </c>
      <c r="W1232">
        <v>2</v>
      </c>
      <c r="X1232" s="24">
        <v>46032</v>
      </c>
      <c r="Z1232" t="s">
        <v>38</v>
      </c>
      <c r="AB1232" t="s">
        <v>921</v>
      </c>
      <c r="AC1232" t="s">
        <v>1005</v>
      </c>
      <c r="AD1232" t="s">
        <v>39</v>
      </c>
    </row>
    <row r="1233" spans="1:30" hidden="1" x14ac:dyDescent="0.25">
      <c r="A1233">
        <v>203</v>
      </c>
      <c r="B1233" t="s">
        <v>302</v>
      </c>
      <c r="C1233">
        <v>8</v>
      </c>
      <c r="D1233">
        <v>66</v>
      </c>
      <c r="E1233">
        <v>150</v>
      </c>
      <c r="F1233" t="s">
        <v>77</v>
      </c>
      <c r="G1233" t="s">
        <v>746</v>
      </c>
      <c r="H1233">
        <v>6</v>
      </c>
      <c r="I1233">
        <v>2.77</v>
      </c>
      <c r="J1233" t="s">
        <v>839</v>
      </c>
      <c r="K1233" t="s">
        <v>812</v>
      </c>
      <c r="M1233" t="s">
        <v>1085</v>
      </c>
      <c r="P1233" t="s">
        <v>924</v>
      </c>
      <c r="Q1233" t="s">
        <v>26</v>
      </c>
      <c r="R1233" t="s">
        <v>81</v>
      </c>
      <c r="W1233">
        <v>2</v>
      </c>
      <c r="X1233" s="24">
        <v>46032</v>
      </c>
      <c r="Z1233" t="s">
        <v>38</v>
      </c>
      <c r="AB1233" t="s">
        <v>921</v>
      </c>
      <c r="AC1233" t="s">
        <v>1005</v>
      </c>
      <c r="AD1233" t="s">
        <v>39</v>
      </c>
    </row>
    <row r="1234" spans="1:30" hidden="1" x14ac:dyDescent="0.25">
      <c r="A1234">
        <v>204</v>
      </c>
      <c r="B1234" t="s">
        <v>303</v>
      </c>
      <c r="C1234">
        <v>8</v>
      </c>
      <c r="D1234">
        <v>66</v>
      </c>
      <c r="E1234">
        <v>150</v>
      </c>
      <c r="F1234" t="s">
        <v>77</v>
      </c>
      <c r="G1234" t="s">
        <v>746</v>
      </c>
      <c r="H1234">
        <v>3</v>
      </c>
      <c r="I1234">
        <v>1.38</v>
      </c>
      <c r="J1234" t="s">
        <v>839</v>
      </c>
      <c r="K1234" t="s">
        <v>812</v>
      </c>
      <c r="M1234" t="s">
        <v>1085</v>
      </c>
      <c r="P1234" t="s">
        <v>924</v>
      </c>
      <c r="Q1234" t="s">
        <v>26</v>
      </c>
      <c r="R1234" t="s">
        <v>81</v>
      </c>
      <c r="W1234">
        <v>2</v>
      </c>
      <c r="X1234" s="24">
        <v>46032</v>
      </c>
      <c r="Z1234" t="s">
        <v>38</v>
      </c>
      <c r="AB1234" t="s">
        <v>921</v>
      </c>
      <c r="AC1234" t="s">
        <v>1005</v>
      </c>
      <c r="AD1234" t="s">
        <v>39</v>
      </c>
    </row>
    <row r="1235" spans="1:30" hidden="1" x14ac:dyDescent="0.25">
      <c r="A1235">
        <v>205</v>
      </c>
      <c r="B1235" t="s">
        <v>304</v>
      </c>
      <c r="C1235">
        <v>8</v>
      </c>
      <c r="D1235">
        <v>150</v>
      </c>
      <c r="E1235">
        <v>1882</v>
      </c>
      <c r="F1235" t="s">
        <v>77</v>
      </c>
      <c r="G1235" t="s">
        <v>746</v>
      </c>
      <c r="H1235">
        <v>6</v>
      </c>
      <c r="I1235">
        <v>106.37</v>
      </c>
      <c r="J1235" t="s">
        <v>839</v>
      </c>
      <c r="K1235" t="s">
        <v>812</v>
      </c>
      <c r="M1235" t="s">
        <v>1085</v>
      </c>
      <c r="P1235" t="s">
        <v>924</v>
      </c>
      <c r="Q1235" t="s">
        <v>28</v>
      </c>
      <c r="R1235" t="s">
        <v>81</v>
      </c>
      <c r="W1235">
        <v>2</v>
      </c>
      <c r="X1235" s="24">
        <v>46032</v>
      </c>
      <c r="Z1235" t="s">
        <v>38</v>
      </c>
      <c r="AB1235" t="s">
        <v>921</v>
      </c>
      <c r="AC1235" t="s">
        <v>1005</v>
      </c>
      <c r="AD1235" t="s">
        <v>39</v>
      </c>
    </row>
    <row r="1236" spans="1:30" hidden="1" x14ac:dyDescent="0.25">
      <c r="A1236">
        <v>206</v>
      </c>
      <c r="B1236" t="s">
        <v>306</v>
      </c>
      <c r="C1236">
        <v>8</v>
      </c>
      <c r="D1236">
        <v>124</v>
      </c>
      <c r="E1236">
        <v>1882</v>
      </c>
      <c r="F1236" t="s">
        <v>77</v>
      </c>
      <c r="G1236" t="s">
        <v>746</v>
      </c>
      <c r="H1236">
        <v>2</v>
      </c>
      <c r="I1236">
        <v>29.31</v>
      </c>
      <c r="J1236" t="s">
        <v>839</v>
      </c>
      <c r="K1236" t="s">
        <v>812</v>
      </c>
      <c r="M1236" t="s">
        <v>1085</v>
      </c>
      <c r="P1236" t="s">
        <v>924</v>
      </c>
      <c r="Q1236" t="s">
        <v>28</v>
      </c>
      <c r="R1236" t="s">
        <v>81</v>
      </c>
      <c r="W1236">
        <v>2</v>
      </c>
      <c r="X1236" s="24">
        <v>46032</v>
      </c>
      <c r="Z1236" t="s">
        <v>38</v>
      </c>
      <c r="AB1236" t="s">
        <v>921</v>
      </c>
      <c r="AC1236" t="s">
        <v>1005</v>
      </c>
      <c r="AD1236" t="s">
        <v>39</v>
      </c>
    </row>
    <row r="1237" spans="1:30" hidden="1" x14ac:dyDescent="0.25">
      <c r="A1237">
        <v>207</v>
      </c>
      <c r="B1237" t="s">
        <v>291</v>
      </c>
      <c r="C1237">
        <v>8</v>
      </c>
      <c r="D1237">
        <v>150</v>
      </c>
      <c r="E1237">
        <v>2972</v>
      </c>
      <c r="F1237" t="s">
        <v>77</v>
      </c>
      <c r="G1237" t="s">
        <v>746</v>
      </c>
      <c r="H1237">
        <v>3</v>
      </c>
      <c r="I1237">
        <v>83.99</v>
      </c>
      <c r="J1237" t="s">
        <v>839</v>
      </c>
      <c r="K1237" t="s">
        <v>812</v>
      </c>
      <c r="M1237" t="s">
        <v>1085</v>
      </c>
      <c r="P1237" t="s">
        <v>924</v>
      </c>
      <c r="Q1237" t="s">
        <v>28</v>
      </c>
      <c r="R1237" t="s">
        <v>81</v>
      </c>
      <c r="W1237">
        <v>2</v>
      </c>
      <c r="X1237" s="24">
        <v>46032</v>
      </c>
      <c r="Z1237" t="s">
        <v>38</v>
      </c>
      <c r="AB1237" t="s">
        <v>921</v>
      </c>
      <c r="AC1237" t="s">
        <v>1005</v>
      </c>
      <c r="AD1237" t="s">
        <v>39</v>
      </c>
    </row>
    <row r="1238" spans="1:30" hidden="1" x14ac:dyDescent="0.25">
      <c r="A1238">
        <v>208</v>
      </c>
      <c r="B1238" t="s">
        <v>279</v>
      </c>
      <c r="C1238">
        <v>8</v>
      </c>
      <c r="D1238">
        <v>124</v>
      </c>
      <c r="E1238">
        <v>2972</v>
      </c>
      <c r="F1238" t="s">
        <v>77</v>
      </c>
      <c r="G1238" t="s">
        <v>746</v>
      </c>
      <c r="H1238">
        <v>3</v>
      </c>
      <c r="I1238">
        <v>69.430000000000007</v>
      </c>
      <c r="J1238" t="s">
        <v>839</v>
      </c>
      <c r="K1238" t="s">
        <v>812</v>
      </c>
      <c r="M1238" t="s">
        <v>1085</v>
      </c>
      <c r="P1238" t="s">
        <v>924</v>
      </c>
      <c r="Q1238" t="s">
        <v>28</v>
      </c>
      <c r="R1238" t="s">
        <v>81</v>
      </c>
      <c r="W1238">
        <v>2</v>
      </c>
      <c r="X1238" s="24">
        <v>46032</v>
      </c>
      <c r="Z1238" t="s">
        <v>38</v>
      </c>
      <c r="AB1238" t="s">
        <v>921</v>
      </c>
      <c r="AC1238" t="s">
        <v>1005</v>
      </c>
      <c r="AD1238" t="s">
        <v>39</v>
      </c>
    </row>
    <row r="1239" spans="1:30" hidden="1" x14ac:dyDescent="0.25">
      <c r="A1239">
        <v>209</v>
      </c>
      <c r="B1239" t="s">
        <v>308</v>
      </c>
      <c r="C1239">
        <v>8</v>
      </c>
      <c r="D1239">
        <v>150</v>
      </c>
      <c r="E1239">
        <v>2523</v>
      </c>
      <c r="F1239" t="s">
        <v>77</v>
      </c>
      <c r="G1239" t="s">
        <v>746</v>
      </c>
      <c r="H1239">
        <v>2</v>
      </c>
      <c r="I1239">
        <v>47.53</v>
      </c>
      <c r="J1239" t="s">
        <v>839</v>
      </c>
      <c r="K1239" t="s">
        <v>812</v>
      </c>
      <c r="M1239" t="s">
        <v>1085</v>
      </c>
      <c r="P1239" t="s">
        <v>924</v>
      </c>
      <c r="Q1239" t="s">
        <v>28</v>
      </c>
      <c r="R1239" t="s">
        <v>81</v>
      </c>
      <c r="W1239">
        <v>2</v>
      </c>
      <c r="X1239" s="24">
        <v>46032</v>
      </c>
      <c r="Z1239" t="s">
        <v>38</v>
      </c>
      <c r="AB1239" t="s">
        <v>921</v>
      </c>
      <c r="AC1239" t="s">
        <v>1005</v>
      </c>
      <c r="AD1239" t="s">
        <v>39</v>
      </c>
    </row>
    <row r="1240" spans="1:30" hidden="1" x14ac:dyDescent="0.25">
      <c r="A1240">
        <v>210</v>
      </c>
      <c r="B1240" t="s">
        <v>310</v>
      </c>
      <c r="C1240">
        <v>8</v>
      </c>
      <c r="D1240">
        <v>124</v>
      </c>
      <c r="E1240">
        <v>2523</v>
      </c>
      <c r="F1240" t="s">
        <v>77</v>
      </c>
      <c r="G1240" t="s">
        <v>746</v>
      </c>
      <c r="H1240">
        <v>2</v>
      </c>
      <c r="I1240">
        <v>39.29</v>
      </c>
      <c r="J1240" t="s">
        <v>839</v>
      </c>
      <c r="K1240" t="s">
        <v>812</v>
      </c>
      <c r="M1240" t="s">
        <v>1085</v>
      </c>
      <c r="P1240" t="s">
        <v>924</v>
      </c>
      <c r="Q1240" t="s">
        <v>28</v>
      </c>
      <c r="R1240" t="s">
        <v>81</v>
      </c>
      <c r="W1240">
        <v>2</v>
      </c>
      <c r="X1240" s="24">
        <v>46032</v>
      </c>
      <c r="Z1240" t="s">
        <v>38</v>
      </c>
      <c r="AB1240" t="s">
        <v>921</v>
      </c>
      <c r="AC1240" t="s">
        <v>1005</v>
      </c>
      <c r="AD1240" t="s">
        <v>39</v>
      </c>
    </row>
    <row r="1241" spans="1:30" hidden="1" x14ac:dyDescent="0.25">
      <c r="A1241">
        <v>211</v>
      </c>
      <c r="B1241" t="s">
        <v>312</v>
      </c>
      <c r="C1241">
        <v>8</v>
      </c>
      <c r="D1241">
        <v>150</v>
      </c>
      <c r="E1241">
        <v>2523</v>
      </c>
      <c r="F1241" t="s">
        <v>77</v>
      </c>
      <c r="G1241" t="s">
        <v>746</v>
      </c>
      <c r="H1241">
        <v>4</v>
      </c>
      <c r="I1241">
        <v>95.07</v>
      </c>
      <c r="J1241" t="s">
        <v>839</v>
      </c>
      <c r="K1241" t="s">
        <v>812</v>
      </c>
      <c r="M1241" t="s">
        <v>1085</v>
      </c>
      <c r="P1241" t="s">
        <v>924</v>
      </c>
      <c r="Q1241" t="s">
        <v>28</v>
      </c>
      <c r="R1241" t="s">
        <v>81</v>
      </c>
      <c r="W1241">
        <v>2</v>
      </c>
      <c r="X1241" s="24">
        <v>46032</v>
      </c>
      <c r="Z1241" t="s">
        <v>38</v>
      </c>
      <c r="AB1241" t="s">
        <v>921</v>
      </c>
      <c r="AC1241" t="s">
        <v>1005</v>
      </c>
      <c r="AD1241" t="s">
        <v>39</v>
      </c>
    </row>
    <row r="1242" spans="1:30" hidden="1" x14ac:dyDescent="0.25">
      <c r="A1242">
        <v>212</v>
      </c>
      <c r="B1242" t="s">
        <v>280</v>
      </c>
      <c r="C1242">
        <v>8</v>
      </c>
      <c r="D1242">
        <v>124</v>
      </c>
      <c r="E1242">
        <v>601</v>
      </c>
      <c r="F1242" t="s">
        <v>77</v>
      </c>
      <c r="G1242" t="s">
        <v>746</v>
      </c>
      <c r="H1242">
        <v>3</v>
      </c>
      <c r="I1242">
        <v>14.04</v>
      </c>
      <c r="J1242" t="s">
        <v>839</v>
      </c>
      <c r="K1242" t="s">
        <v>812</v>
      </c>
      <c r="M1242" t="s">
        <v>1085</v>
      </c>
      <c r="P1242" t="s">
        <v>924</v>
      </c>
      <c r="Q1242" t="s">
        <v>28</v>
      </c>
      <c r="R1242" t="s">
        <v>81</v>
      </c>
      <c r="W1242">
        <v>2</v>
      </c>
      <c r="X1242" s="24">
        <v>46032</v>
      </c>
      <c r="Z1242" t="s">
        <v>38</v>
      </c>
      <c r="AB1242" t="s">
        <v>921</v>
      </c>
      <c r="AC1242" t="s">
        <v>1005</v>
      </c>
      <c r="AD1242" t="s">
        <v>39</v>
      </c>
    </row>
    <row r="1243" spans="1:30" hidden="1" x14ac:dyDescent="0.25">
      <c r="A1243">
        <v>213</v>
      </c>
      <c r="B1243" t="s">
        <v>282</v>
      </c>
      <c r="C1243">
        <v>8</v>
      </c>
      <c r="D1243">
        <v>150</v>
      </c>
      <c r="E1243">
        <v>1381</v>
      </c>
      <c r="F1243" t="s">
        <v>77</v>
      </c>
      <c r="G1243" t="s">
        <v>746</v>
      </c>
      <c r="H1243">
        <v>3</v>
      </c>
      <c r="I1243">
        <v>39.03</v>
      </c>
      <c r="J1243" t="s">
        <v>839</v>
      </c>
      <c r="K1243" t="s">
        <v>812</v>
      </c>
      <c r="M1243" t="s">
        <v>1085</v>
      </c>
      <c r="P1243" t="s">
        <v>924</v>
      </c>
      <c r="Q1243" t="s">
        <v>28</v>
      </c>
      <c r="R1243" t="s">
        <v>81</v>
      </c>
      <c r="W1243">
        <v>2</v>
      </c>
      <c r="X1243" s="24">
        <v>46032</v>
      </c>
      <c r="Z1243" t="s">
        <v>38</v>
      </c>
      <c r="AB1243" t="s">
        <v>921</v>
      </c>
      <c r="AC1243" t="s">
        <v>1005</v>
      </c>
      <c r="AD1243" t="s">
        <v>39</v>
      </c>
    </row>
    <row r="1244" spans="1:30" hidden="1" x14ac:dyDescent="0.25">
      <c r="A1244">
        <v>214</v>
      </c>
      <c r="B1244" t="s">
        <v>269</v>
      </c>
      <c r="C1244">
        <v>8</v>
      </c>
      <c r="D1244">
        <v>124</v>
      </c>
      <c r="E1244">
        <v>792</v>
      </c>
      <c r="F1244" t="s">
        <v>77</v>
      </c>
      <c r="G1244" t="s">
        <v>746</v>
      </c>
      <c r="H1244">
        <v>3</v>
      </c>
      <c r="I1244">
        <v>18.5</v>
      </c>
      <c r="J1244" t="s">
        <v>839</v>
      </c>
      <c r="K1244" t="s">
        <v>812</v>
      </c>
      <c r="M1244" t="s">
        <v>1085</v>
      </c>
      <c r="P1244" t="s">
        <v>924</v>
      </c>
      <c r="Q1244" t="s">
        <v>28</v>
      </c>
      <c r="R1244" t="s">
        <v>81</v>
      </c>
      <c r="W1244">
        <v>2</v>
      </c>
      <c r="X1244" s="24">
        <v>46032</v>
      </c>
      <c r="Z1244" t="s">
        <v>38</v>
      </c>
      <c r="AB1244" t="s">
        <v>921</v>
      </c>
      <c r="AC1244" t="s">
        <v>1005</v>
      </c>
      <c r="AD1244" t="s">
        <v>39</v>
      </c>
    </row>
    <row r="1245" spans="1:30" hidden="1" x14ac:dyDescent="0.25">
      <c r="A1245">
        <v>215</v>
      </c>
      <c r="B1245" t="s">
        <v>313</v>
      </c>
      <c r="C1245">
        <v>8</v>
      </c>
      <c r="D1245">
        <v>158</v>
      </c>
      <c r="E1245">
        <v>228</v>
      </c>
      <c r="F1245" t="s">
        <v>77</v>
      </c>
      <c r="G1245" t="s">
        <v>746</v>
      </c>
      <c r="H1245">
        <v>18</v>
      </c>
      <c r="I1245">
        <v>40.5</v>
      </c>
      <c r="J1245" t="s">
        <v>839</v>
      </c>
      <c r="K1245" t="s">
        <v>812</v>
      </c>
      <c r="M1245" t="s">
        <v>1085</v>
      </c>
      <c r="P1245" t="s">
        <v>924</v>
      </c>
      <c r="Q1245" t="s">
        <v>26</v>
      </c>
      <c r="R1245" t="s">
        <v>81</v>
      </c>
      <c r="W1245">
        <v>2</v>
      </c>
      <c r="X1245" s="24">
        <v>46032</v>
      </c>
      <c r="Z1245" t="s">
        <v>38</v>
      </c>
      <c r="AB1245" t="s">
        <v>921</v>
      </c>
      <c r="AC1245" t="s">
        <v>1007</v>
      </c>
      <c r="AD1245" t="s">
        <v>39</v>
      </c>
    </row>
    <row r="1246" spans="1:30" hidden="1" x14ac:dyDescent="0.25">
      <c r="A1246">
        <v>216</v>
      </c>
      <c r="B1246" t="s">
        <v>317</v>
      </c>
      <c r="C1246">
        <v>8</v>
      </c>
      <c r="D1246">
        <v>206</v>
      </c>
      <c r="E1246">
        <v>465</v>
      </c>
      <c r="F1246" t="s">
        <v>77</v>
      </c>
      <c r="G1246" t="s">
        <v>746</v>
      </c>
      <c r="H1246">
        <v>1</v>
      </c>
      <c r="I1246">
        <v>6.01</v>
      </c>
      <c r="J1246" t="s">
        <v>839</v>
      </c>
      <c r="K1246" t="s">
        <v>812</v>
      </c>
      <c r="M1246" t="s">
        <v>1085</v>
      </c>
      <c r="P1246" t="s">
        <v>924</v>
      </c>
      <c r="Q1246" t="s">
        <v>26</v>
      </c>
      <c r="R1246" t="s">
        <v>81</v>
      </c>
      <c r="W1246">
        <v>2</v>
      </c>
      <c r="X1246" s="24">
        <v>46032</v>
      </c>
      <c r="Z1246" t="s">
        <v>38</v>
      </c>
      <c r="AB1246" t="s">
        <v>921</v>
      </c>
      <c r="AC1246" t="s">
        <v>1007</v>
      </c>
      <c r="AD1246" t="s">
        <v>39</v>
      </c>
    </row>
    <row r="1247" spans="1:30" hidden="1" x14ac:dyDescent="0.25">
      <c r="A1247">
        <v>217</v>
      </c>
      <c r="B1247" t="s">
        <v>319</v>
      </c>
      <c r="C1247">
        <v>8</v>
      </c>
      <c r="D1247">
        <v>196</v>
      </c>
      <c r="E1247">
        <v>340</v>
      </c>
      <c r="F1247" t="s">
        <v>77</v>
      </c>
      <c r="G1247" t="s">
        <v>746</v>
      </c>
      <c r="H1247">
        <v>2</v>
      </c>
      <c r="I1247">
        <v>8.36</v>
      </c>
      <c r="J1247" t="s">
        <v>839</v>
      </c>
      <c r="K1247" t="s">
        <v>812</v>
      </c>
      <c r="M1247" t="s">
        <v>1085</v>
      </c>
      <c r="P1247" t="s">
        <v>924</v>
      </c>
      <c r="Q1247" t="s">
        <v>26</v>
      </c>
      <c r="R1247" t="s">
        <v>81</v>
      </c>
      <c r="W1247">
        <v>2</v>
      </c>
      <c r="X1247" s="24">
        <v>46032</v>
      </c>
      <c r="Z1247" t="s">
        <v>38</v>
      </c>
      <c r="AB1247" t="s">
        <v>921</v>
      </c>
      <c r="AC1247" t="s">
        <v>1007</v>
      </c>
      <c r="AD1247" t="s">
        <v>39</v>
      </c>
    </row>
    <row r="1248" spans="1:30" hidden="1" x14ac:dyDescent="0.25">
      <c r="A1248">
        <v>218</v>
      </c>
      <c r="B1248" t="s">
        <v>321</v>
      </c>
      <c r="C1248">
        <v>8</v>
      </c>
      <c r="D1248">
        <v>148</v>
      </c>
      <c r="E1248">
        <v>324</v>
      </c>
      <c r="F1248" t="s">
        <v>77</v>
      </c>
      <c r="G1248" t="s">
        <v>746</v>
      </c>
      <c r="H1248">
        <v>2</v>
      </c>
      <c r="I1248">
        <v>6.02</v>
      </c>
      <c r="J1248" t="s">
        <v>839</v>
      </c>
      <c r="K1248" t="s">
        <v>812</v>
      </c>
      <c r="M1248" t="s">
        <v>1085</v>
      </c>
      <c r="P1248" t="s">
        <v>924</v>
      </c>
      <c r="Q1248" t="s">
        <v>26</v>
      </c>
      <c r="R1248" t="s">
        <v>81</v>
      </c>
      <c r="W1248">
        <v>2</v>
      </c>
      <c r="X1248" s="24">
        <v>46032</v>
      </c>
      <c r="Z1248" t="s">
        <v>38</v>
      </c>
      <c r="AB1248" t="s">
        <v>921</v>
      </c>
      <c r="AC1248" t="s">
        <v>1007</v>
      </c>
      <c r="AD1248" t="s">
        <v>39</v>
      </c>
    </row>
    <row r="1249" spans="1:30" hidden="1" x14ac:dyDescent="0.25">
      <c r="A1249">
        <v>219</v>
      </c>
      <c r="B1249" t="s">
        <v>323</v>
      </c>
      <c r="C1249">
        <v>8</v>
      </c>
      <c r="D1249">
        <v>160</v>
      </c>
      <c r="E1249">
        <v>340</v>
      </c>
      <c r="F1249" t="s">
        <v>77</v>
      </c>
      <c r="G1249" t="s">
        <v>746</v>
      </c>
      <c r="H1249">
        <v>2</v>
      </c>
      <c r="I1249">
        <v>6.83</v>
      </c>
      <c r="J1249" t="s">
        <v>839</v>
      </c>
      <c r="K1249" t="s">
        <v>812</v>
      </c>
      <c r="M1249" t="s">
        <v>1085</v>
      </c>
      <c r="P1249" t="s">
        <v>924</v>
      </c>
      <c r="Q1249" t="s">
        <v>26</v>
      </c>
      <c r="R1249" t="s">
        <v>81</v>
      </c>
      <c r="W1249">
        <v>2</v>
      </c>
      <c r="X1249" s="24">
        <v>46032</v>
      </c>
      <c r="Z1249" t="s">
        <v>38</v>
      </c>
      <c r="AB1249" t="s">
        <v>921</v>
      </c>
      <c r="AC1249" t="s">
        <v>1007</v>
      </c>
      <c r="AD1249" t="s">
        <v>39</v>
      </c>
    </row>
    <row r="1250" spans="1:30" hidden="1" x14ac:dyDescent="0.25">
      <c r="A1250">
        <v>220</v>
      </c>
      <c r="B1250" t="s">
        <v>325</v>
      </c>
      <c r="C1250">
        <v>8</v>
      </c>
      <c r="D1250">
        <v>148</v>
      </c>
      <c r="E1250">
        <v>441</v>
      </c>
      <c r="F1250" t="s">
        <v>77</v>
      </c>
      <c r="G1250" t="s">
        <v>746</v>
      </c>
      <c r="H1250">
        <v>1</v>
      </c>
      <c r="I1250">
        <v>4.0999999999999996</v>
      </c>
      <c r="J1250" t="s">
        <v>839</v>
      </c>
      <c r="K1250" t="s">
        <v>812</v>
      </c>
      <c r="M1250" t="s">
        <v>1085</v>
      </c>
      <c r="P1250" t="s">
        <v>924</v>
      </c>
      <c r="Q1250" t="s">
        <v>26</v>
      </c>
      <c r="R1250" t="s">
        <v>81</v>
      </c>
      <c r="W1250">
        <v>2</v>
      </c>
      <c r="X1250" s="24">
        <v>46032</v>
      </c>
      <c r="Z1250" t="s">
        <v>38</v>
      </c>
      <c r="AB1250" t="s">
        <v>921</v>
      </c>
      <c r="AC1250" t="s">
        <v>1007</v>
      </c>
      <c r="AD1250" t="s">
        <v>39</v>
      </c>
    </row>
    <row r="1251" spans="1:30" hidden="1" x14ac:dyDescent="0.25">
      <c r="A1251">
        <v>221</v>
      </c>
      <c r="B1251" t="s">
        <v>326</v>
      </c>
      <c r="C1251">
        <v>8</v>
      </c>
      <c r="D1251">
        <v>148</v>
      </c>
      <c r="E1251">
        <v>324</v>
      </c>
      <c r="F1251" t="s">
        <v>77</v>
      </c>
      <c r="G1251" t="s">
        <v>746</v>
      </c>
      <c r="H1251">
        <v>2</v>
      </c>
      <c r="I1251">
        <v>6.02</v>
      </c>
      <c r="J1251" t="s">
        <v>839</v>
      </c>
      <c r="K1251" t="s">
        <v>812</v>
      </c>
      <c r="M1251" t="s">
        <v>1085</v>
      </c>
      <c r="P1251" t="s">
        <v>924</v>
      </c>
      <c r="Q1251" t="s">
        <v>26</v>
      </c>
      <c r="R1251" t="s">
        <v>81</v>
      </c>
      <c r="W1251">
        <v>2</v>
      </c>
      <c r="X1251" s="24">
        <v>46032</v>
      </c>
      <c r="Z1251" t="s">
        <v>38</v>
      </c>
      <c r="AB1251" t="s">
        <v>921</v>
      </c>
      <c r="AC1251" t="s">
        <v>1007</v>
      </c>
      <c r="AD1251" t="s">
        <v>39</v>
      </c>
    </row>
    <row r="1252" spans="1:30" hidden="1" x14ac:dyDescent="0.25">
      <c r="A1252">
        <v>222</v>
      </c>
      <c r="B1252" t="s">
        <v>327</v>
      </c>
      <c r="C1252">
        <v>8</v>
      </c>
      <c r="D1252">
        <v>148</v>
      </c>
      <c r="E1252">
        <v>441</v>
      </c>
      <c r="F1252" t="s">
        <v>77</v>
      </c>
      <c r="G1252" t="s">
        <v>746</v>
      </c>
      <c r="H1252">
        <v>2</v>
      </c>
      <c r="I1252">
        <v>8.19</v>
      </c>
      <c r="J1252" t="s">
        <v>839</v>
      </c>
      <c r="K1252" t="s">
        <v>812</v>
      </c>
      <c r="M1252" t="s">
        <v>1085</v>
      </c>
      <c r="P1252" t="s">
        <v>924</v>
      </c>
      <c r="Q1252" t="s">
        <v>26</v>
      </c>
      <c r="R1252" t="s">
        <v>81</v>
      </c>
      <c r="W1252">
        <v>2</v>
      </c>
      <c r="X1252" s="24">
        <v>46032</v>
      </c>
      <c r="Z1252" t="s">
        <v>38</v>
      </c>
      <c r="AB1252" t="s">
        <v>921</v>
      </c>
      <c r="AC1252" t="s">
        <v>1007</v>
      </c>
      <c r="AD1252" t="s">
        <v>39</v>
      </c>
    </row>
    <row r="1253" spans="1:30" hidden="1" x14ac:dyDescent="0.25">
      <c r="A1253">
        <v>223</v>
      </c>
      <c r="B1253" t="s">
        <v>328</v>
      </c>
      <c r="C1253">
        <v>8</v>
      </c>
      <c r="D1253">
        <v>148</v>
      </c>
      <c r="E1253">
        <v>324</v>
      </c>
      <c r="F1253" t="s">
        <v>77</v>
      </c>
      <c r="G1253" t="s">
        <v>746</v>
      </c>
      <c r="H1253">
        <v>4</v>
      </c>
      <c r="I1253">
        <v>12.03</v>
      </c>
      <c r="J1253" t="s">
        <v>839</v>
      </c>
      <c r="K1253" t="s">
        <v>812</v>
      </c>
      <c r="M1253" t="s">
        <v>1085</v>
      </c>
      <c r="P1253" t="s">
        <v>924</v>
      </c>
      <c r="Q1253" t="s">
        <v>26</v>
      </c>
      <c r="R1253" t="s">
        <v>81</v>
      </c>
      <c r="W1253">
        <v>2</v>
      </c>
      <c r="X1253" s="24">
        <v>46032</v>
      </c>
      <c r="Z1253" t="s">
        <v>38</v>
      </c>
      <c r="AB1253" t="s">
        <v>921</v>
      </c>
      <c r="AC1253" t="s">
        <v>1007</v>
      </c>
      <c r="AD1253" t="s">
        <v>39</v>
      </c>
    </row>
    <row r="1254" spans="1:30" hidden="1" x14ac:dyDescent="0.25">
      <c r="A1254">
        <v>224</v>
      </c>
      <c r="B1254" t="s">
        <v>296</v>
      </c>
      <c r="C1254">
        <v>8</v>
      </c>
      <c r="D1254">
        <v>329</v>
      </c>
      <c r="E1254">
        <v>7565</v>
      </c>
      <c r="F1254" t="s">
        <v>77</v>
      </c>
      <c r="G1254" t="s">
        <v>746</v>
      </c>
      <c r="H1254">
        <v>2</v>
      </c>
      <c r="I1254">
        <v>309.73</v>
      </c>
      <c r="J1254" t="s">
        <v>839</v>
      </c>
      <c r="K1254" t="s">
        <v>812</v>
      </c>
      <c r="M1254" t="s">
        <v>1085</v>
      </c>
      <c r="O1254" t="s">
        <v>228</v>
      </c>
      <c r="P1254" t="s">
        <v>924</v>
      </c>
      <c r="Q1254" t="s">
        <v>28</v>
      </c>
      <c r="R1254" t="s">
        <v>81</v>
      </c>
      <c r="W1254">
        <v>2</v>
      </c>
      <c r="X1254" s="24">
        <v>46032</v>
      </c>
      <c r="Z1254" t="s">
        <v>38</v>
      </c>
      <c r="AB1254" t="s">
        <v>921</v>
      </c>
      <c r="AC1254" t="s">
        <v>1007</v>
      </c>
      <c r="AD1254" t="s">
        <v>39</v>
      </c>
    </row>
    <row r="1255" spans="1:30" hidden="1" x14ac:dyDescent="0.25">
      <c r="A1255">
        <v>225</v>
      </c>
      <c r="B1255" t="s">
        <v>329</v>
      </c>
      <c r="C1255">
        <v>8</v>
      </c>
      <c r="D1255">
        <v>206</v>
      </c>
      <c r="E1255">
        <v>465</v>
      </c>
      <c r="F1255" t="s">
        <v>77</v>
      </c>
      <c r="G1255" t="s">
        <v>746</v>
      </c>
      <c r="H1255">
        <v>1</v>
      </c>
      <c r="I1255">
        <v>6.01</v>
      </c>
      <c r="J1255" t="s">
        <v>839</v>
      </c>
      <c r="K1255" t="s">
        <v>812</v>
      </c>
      <c r="M1255" t="s">
        <v>1085</v>
      </c>
      <c r="P1255" t="s">
        <v>924</v>
      </c>
      <c r="Q1255" t="s">
        <v>26</v>
      </c>
      <c r="R1255" t="s">
        <v>81</v>
      </c>
      <c r="W1255">
        <v>2</v>
      </c>
      <c r="X1255" s="24">
        <v>46032</v>
      </c>
      <c r="Z1255" t="s">
        <v>38</v>
      </c>
      <c r="AB1255" t="s">
        <v>921</v>
      </c>
      <c r="AC1255" t="s">
        <v>1007</v>
      </c>
      <c r="AD1255" t="s">
        <v>39</v>
      </c>
    </row>
    <row r="1256" spans="1:30" hidden="1" x14ac:dyDescent="0.25">
      <c r="A1256">
        <v>226</v>
      </c>
      <c r="B1256" t="s">
        <v>330</v>
      </c>
      <c r="C1256">
        <v>8</v>
      </c>
      <c r="D1256">
        <v>196</v>
      </c>
      <c r="E1256">
        <v>340</v>
      </c>
      <c r="F1256" t="s">
        <v>77</v>
      </c>
      <c r="G1256" t="s">
        <v>746</v>
      </c>
      <c r="H1256">
        <v>2</v>
      </c>
      <c r="I1256">
        <v>8.36</v>
      </c>
      <c r="J1256" t="s">
        <v>839</v>
      </c>
      <c r="K1256" t="s">
        <v>812</v>
      </c>
      <c r="M1256" t="s">
        <v>1085</v>
      </c>
      <c r="P1256" t="s">
        <v>924</v>
      </c>
      <c r="Q1256" t="s">
        <v>26</v>
      </c>
      <c r="R1256" t="s">
        <v>81</v>
      </c>
      <c r="W1256">
        <v>2</v>
      </c>
      <c r="X1256" s="24">
        <v>46032</v>
      </c>
      <c r="Z1256" t="s">
        <v>38</v>
      </c>
      <c r="AB1256" t="s">
        <v>921</v>
      </c>
      <c r="AC1256" t="s">
        <v>1007</v>
      </c>
      <c r="AD1256" t="s">
        <v>39</v>
      </c>
    </row>
    <row r="1257" spans="1:30" hidden="1" x14ac:dyDescent="0.25">
      <c r="A1257">
        <v>227</v>
      </c>
      <c r="B1257" t="s">
        <v>331</v>
      </c>
      <c r="C1257">
        <v>8</v>
      </c>
      <c r="D1257">
        <v>148</v>
      </c>
      <c r="E1257">
        <v>441</v>
      </c>
      <c r="F1257" t="s">
        <v>77</v>
      </c>
      <c r="G1257" t="s">
        <v>746</v>
      </c>
      <c r="H1257">
        <v>1</v>
      </c>
      <c r="I1257">
        <v>4.0999999999999996</v>
      </c>
      <c r="J1257" t="s">
        <v>839</v>
      </c>
      <c r="K1257" t="s">
        <v>812</v>
      </c>
      <c r="M1257" t="s">
        <v>1085</v>
      </c>
      <c r="P1257" t="s">
        <v>924</v>
      </c>
      <c r="Q1257" t="s">
        <v>26</v>
      </c>
      <c r="R1257" t="s">
        <v>81</v>
      </c>
      <c r="W1257">
        <v>2</v>
      </c>
      <c r="X1257" s="24">
        <v>46032</v>
      </c>
      <c r="Z1257" t="s">
        <v>38</v>
      </c>
      <c r="AB1257" t="s">
        <v>921</v>
      </c>
      <c r="AC1257" t="s">
        <v>1007</v>
      </c>
      <c r="AD1257" t="s">
        <v>39</v>
      </c>
    </row>
    <row r="1258" spans="1:30" hidden="1" x14ac:dyDescent="0.25">
      <c r="A1258">
        <v>228</v>
      </c>
      <c r="B1258" t="s">
        <v>332</v>
      </c>
      <c r="C1258">
        <v>8</v>
      </c>
      <c r="D1258">
        <v>148</v>
      </c>
      <c r="E1258">
        <v>324</v>
      </c>
      <c r="F1258" t="s">
        <v>77</v>
      </c>
      <c r="G1258" t="s">
        <v>746</v>
      </c>
      <c r="H1258">
        <v>2</v>
      </c>
      <c r="I1258">
        <v>6.02</v>
      </c>
      <c r="J1258" t="s">
        <v>839</v>
      </c>
      <c r="K1258" t="s">
        <v>812</v>
      </c>
      <c r="M1258" t="s">
        <v>1085</v>
      </c>
      <c r="P1258" t="s">
        <v>924</v>
      </c>
      <c r="Q1258" t="s">
        <v>26</v>
      </c>
      <c r="R1258" t="s">
        <v>81</v>
      </c>
      <c r="W1258">
        <v>2</v>
      </c>
      <c r="X1258" s="24">
        <v>46032</v>
      </c>
      <c r="Z1258" t="s">
        <v>38</v>
      </c>
      <c r="AB1258" t="s">
        <v>921</v>
      </c>
      <c r="AC1258" t="s">
        <v>1007</v>
      </c>
      <c r="AD1258" t="s">
        <v>39</v>
      </c>
    </row>
    <row r="1259" spans="1:30" hidden="1" x14ac:dyDescent="0.25">
      <c r="A1259">
        <v>229</v>
      </c>
      <c r="B1259" t="s">
        <v>333</v>
      </c>
      <c r="C1259">
        <v>8</v>
      </c>
      <c r="D1259">
        <v>156</v>
      </c>
      <c r="E1259">
        <v>465</v>
      </c>
      <c r="F1259" t="s">
        <v>77</v>
      </c>
      <c r="G1259" t="s">
        <v>746</v>
      </c>
      <c r="H1259">
        <v>1</v>
      </c>
      <c r="I1259">
        <v>4.55</v>
      </c>
      <c r="J1259" t="s">
        <v>839</v>
      </c>
      <c r="K1259" t="s">
        <v>812</v>
      </c>
      <c r="M1259" t="s">
        <v>1085</v>
      </c>
      <c r="P1259" t="s">
        <v>924</v>
      </c>
      <c r="Q1259" t="s">
        <v>26</v>
      </c>
      <c r="R1259" t="s">
        <v>81</v>
      </c>
      <c r="W1259">
        <v>2</v>
      </c>
      <c r="X1259" s="24">
        <v>46032</v>
      </c>
      <c r="Z1259" t="s">
        <v>38</v>
      </c>
      <c r="AB1259" t="s">
        <v>921</v>
      </c>
      <c r="AC1259" t="s">
        <v>1007</v>
      </c>
      <c r="AD1259" t="s">
        <v>39</v>
      </c>
    </row>
    <row r="1260" spans="1:30" hidden="1" x14ac:dyDescent="0.25">
      <c r="A1260">
        <v>230</v>
      </c>
      <c r="B1260" t="s">
        <v>334</v>
      </c>
      <c r="C1260">
        <v>8</v>
      </c>
      <c r="D1260">
        <v>160</v>
      </c>
      <c r="E1260">
        <v>340</v>
      </c>
      <c r="F1260" t="s">
        <v>77</v>
      </c>
      <c r="G1260" t="s">
        <v>746</v>
      </c>
      <c r="H1260">
        <v>2</v>
      </c>
      <c r="I1260">
        <v>6.83</v>
      </c>
      <c r="J1260" t="s">
        <v>839</v>
      </c>
      <c r="K1260" t="s">
        <v>812</v>
      </c>
      <c r="M1260" t="s">
        <v>1085</v>
      </c>
      <c r="P1260" t="s">
        <v>924</v>
      </c>
      <c r="Q1260" t="s">
        <v>26</v>
      </c>
      <c r="R1260" t="s">
        <v>81</v>
      </c>
      <c r="W1260">
        <v>2</v>
      </c>
      <c r="X1260" s="24">
        <v>46032</v>
      </c>
      <c r="Z1260" t="s">
        <v>38</v>
      </c>
      <c r="AB1260" t="s">
        <v>921</v>
      </c>
      <c r="AC1260" t="s">
        <v>1007</v>
      </c>
      <c r="AD1260" t="s">
        <v>39</v>
      </c>
    </row>
    <row r="1261" spans="1:30" hidden="1" x14ac:dyDescent="0.25">
      <c r="A1261">
        <v>231</v>
      </c>
      <c r="B1261" t="s">
        <v>335</v>
      </c>
      <c r="C1261">
        <v>8</v>
      </c>
      <c r="D1261">
        <v>148</v>
      </c>
      <c r="E1261">
        <v>441</v>
      </c>
      <c r="F1261" t="s">
        <v>77</v>
      </c>
      <c r="G1261" t="s">
        <v>746</v>
      </c>
      <c r="H1261">
        <v>1</v>
      </c>
      <c r="I1261">
        <v>4.0999999999999996</v>
      </c>
      <c r="J1261" t="s">
        <v>839</v>
      </c>
      <c r="K1261" t="s">
        <v>812</v>
      </c>
      <c r="M1261" t="s">
        <v>1085</v>
      </c>
      <c r="P1261" t="s">
        <v>924</v>
      </c>
      <c r="Q1261" t="s">
        <v>26</v>
      </c>
      <c r="R1261" t="s">
        <v>81</v>
      </c>
      <c r="W1261">
        <v>2</v>
      </c>
      <c r="X1261" s="24">
        <v>46032</v>
      </c>
      <c r="Z1261" t="s">
        <v>38</v>
      </c>
      <c r="AB1261" t="s">
        <v>921</v>
      </c>
      <c r="AC1261" t="s">
        <v>1007</v>
      </c>
      <c r="AD1261" t="s">
        <v>39</v>
      </c>
    </row>
    <row r="1262" spans="1:30" hidden="1" x14ac:dyDescent="0.25">
      <c r="A1262">
        <v>232</v>
      </c>
      <c r="B1262" t="s">
        <v>336</v>
      </c>
      <c r="C1262">
        <v>8</v>
      </c>
      <c r="D1262">
        <v>148</v>
      </c>
      <c r="E1262">
        <v>324</v>
      </c>
      <c r="F1262" t="s">
        <v>77</v>
      </c>
      <c r="G1262" t="s">
        <v>746</v>
      </c>
      <c r="H1262">
        <v>2</v>
      </c>
      <c r="I1262">
        <v>6.02</v>
      </c>
      <c r="J1262" t="s">
        <v>839</v>
      </c>
      <c r="K1262" t="s">
        <v>812</v>
      </c>
      <c r="M1262" t="s">
        <v>1085</v>
      </c>
      <c r="P1262" t="s">
        <v>924</v>
      </c>
      <c r="Q1262" t="s">
        <v>26</v>
      </c>
      <c r="R1262" t="s">
        <v>81</v>
      </c>
      <c r="W1262">
        <v>2</v>
      </c>
      <c r="X1262" s="24">
        <v>46032</v>
      </c>
      <c r="Z1262" t="s">
        <v>38</v>
      </c>
      <c r="AB1262" t="s">
        <v>921</v>
      </c>
      <c r="AC1262" t="s">
        <v>1007</v>
      </c>
      <c r="AD1262" t="s">
        <v>39</v>
      </c>
    </row>
    <row r="1263" spans="1:30" hidden="1" x14ac:dyDescent="0.25">
      <c r="A1263">
        <v>233</v>
      </c>
      <c r="B1263" t="s">
        <v>337</v>
      </c>
      <c r="C1263">
        <v>8</v>
      </c>
      <c r="D1263">
        <v>148</v>
      </c>
      <c r="E1263">
        <v>441</v>
      </c>
      <c r="F1263" t="s">
        <v>77</v>
      </c>
      <c r="G1263" t="s">
        <v>746</v>
      </c>
      <c r="H1263">
        <v>2</v>
      </c>
      <c r="I1263">
        <v>8.19</v>
      </c>
      <c r="J1263" t="s">
        <v>839</v>
      </c>
      <c r="K1263" t="s">
        <v>812</v>
      </c>
      <c r="M1263" t="s">
        <v>1085</v>
      </c>
      <c r="P1263" t="s">
        <v>924</v>
      </c>
      <c r="Q1263" t="s">
        <v>26</v>
      </c>
      <c r="R1263" t="s">
        <v>81</v>
      </c>
      <c r="W1263">
        <v>2</v>
      </c>
      <c r="X1263" s="24">
        <v>46032</v>
      </c>
      <c r="Z1263" t="s">
        <v>38</v>
      </c>
      <c r="AB1263" t="s">
        <v>921</v>
      </c>
      <c r="AC1263" t="s">
        <v>1007</v>
      </c>
      <c r="AD1263" t="s">
        <v>39</v>
      </c>
    </row>
    <row r="1264" spans="1:30" hidden="1" x14ac:dyDescent="0.25">
      <c r="A1264">
        <v>234</v>
      </c>
      <c r="B1264" t="s">
        <v>338</v>
      </c>
      <c r="C1264">
        <v>8</v>
      </c>
      <c r="D1264">
        <v>148</v>
      </c>
      <c r="E1264">
        <v>324</v>
      </c>
      <c r="F1264" t="s">
        <v>77</v>
      </c>
      <c r="G1264" t="s">
        <v>746</v>
      </c>
      <c r="H1264">
        <v>4</v>
      </c>
      <c r="I1264">
        <v>12.03</v>
      </c>
      <c r="J1264" t="s">
        <v>839</v>
      </c>
      <c r="K1264" t="s">
        <v>812</v>
      </c>
      <c r="M1264" t="s">
        <v>1085</v>
      </c>
      <c r="P1264" t="s">
        <v>924</v>
      </c>
      <c r="Q1264" t="s">
        <v>26</v>
      </c>
      <c r="R1264" t="s">
        <v>81</v>
      </c>
      <c r="W1264">
        <v>2</v>
      </c>
      <c r="X1264" s="24">
        <v>46032</v>
      </c>
      <c r="Z1264" t="s">
        <v>38</v>
      </c>
      <c r="AB1264" t="s">
        <v>921</v>
      </c>
      <c r="AC1264" t="s">
        <v>1007</v>
      </c>
      <c r="AD1264" t="s">
        <v>39</v>
      </c>
    </row>
    <row r="1265" spans="1:30" hidden="1" x14ac:dyDescent="0.25">
      <c r="A1265">
        <v>235</v>
      </c>
      <c r="B1265" t="s">
        <v>298</v>
      </c>
      <c r="C1265">
        <v>8</v>
      </c>
      <c r="D1265">
        <v>329</v>
      </c>
      <c r="E1265">
        <v>7566</v>
      </c>
      <c r="F1265" t="s">
        <v>77</v>
      </c>
      <c r="G1265" t="s">
        <v>746</v>
      </c>
      <c r="H1265">
        <v>3</v>
      </c>
      <c r="I1265">
        <v>464.63</v>
      </c>
      <c r="J1265" t="s">
        <v>839</v>
      </c>
      <c r="K1265" t="s">
        <v>812</v>
      </c>
      <c r="M1265" t="s">
        <v>1085</v>
      </c>
      <c r="O1265" t="s">
        <v>228</v>
      </c>
      <c r="P1265" t="s">
        <v>924</v>
      </c>
      <c r="Q1265" t="s">
        <v>28</v>
      </c>
      <c r="R1265" t="s">
        <v>81</v>
      </c>
      <c r="W1265">
        <v>2</v>
      </c>
      <c r="X1265" s="24">
        <v>46032</v>
      </c>
      <c r="Z1265" t="s">
        <v>38</v>
      </c>
      <c r="AB1265" t="s">
        <v>921</v>
      </c>
      <c r="AC1265" t="s">
        <v>1007</v>
      </c>
      <c r="AD1265" t="s">
        <v>39</v>
      </c>
    </row>
    <row r="1266" spans="1:30" hidden="1" x14ac:dyDescent="0.25">
      <c r="A1266">
        <v>236</v>
      </c>
      <c r="B1266" t="s">
        <v>339</v>
      </c>
      <c r="C1266">
        <v>8</v>
      </c>
      <c r="D1266">
        <v>142</v>
      </c>
      <c r="E1266">
        <v>1799</v>
      </c>
      <c r="F1266" t="s">
        <v>77</v>
      </c>
      <c r="G1266" t="s">
        <v>746</v>
      </c>
      <c r="H1266">
        <v>1</v>
      </c>
      <c r="I1266">
        <v>16.04</v>
      </c>
      <c r="J1266" t="s">
        <v>839</v>
      </c>
      <c r="K1266" t="s">
        <v>812</v>
      </c>
      <c r="M1266" t="s">
        <v>1085</v>
      </c>
      <c r="P1266" t="s">
        <v>924</v>
      </c>
      <c r="R1266" t="s">
        <v>81</v>
      </c>
      <c r="U1266" t="s">
        <v>81</v>
      </c>
      <c r="W1266">
        <v>2</v>
      </c>
      <c r="X1266" s="24">
        <v>46032</v>
      </c>
      <c r="Z1266" t="s">
        <v>38</v>
      </c>
      <c r="AB1266" t="s">
        <v>921</v>
      </c>
      <c r="AC1266" t="s">
        <v>1007</v>
      </c>
      <c r="AD1266" t="s">
        <v>39</v>
      </c>
    </row>
    <row r="1267" spans="1:30" hidden="1" x14ac:dyDescent="0.25">
      <c r="A1267">
        <v>237</v>
      </c>
      <c r="B1267" t="s">
        <v>341</v>
      </c>
      <c r="C1267">
        <v>8</v>
      </c>
      <c r="D1267">
        <v>74</v>
      </c>
      <c r="E1267">
        <v>172</v>
      </c>
      <c r="F1267" t="s">
        <v>77</v>
      </c>
      <c r="G1267" t="s">
        <v>746</v>
      </c>
      <c r="H1267">
        <v>2</v>
      </c>
      <c r="I1267">
        <v>1.07</v>
      </c>
      <c r="J1267" t="s">
        <v>839</v>
      </c>
      <c r="K1267" t="s">
        <v>812</v>
      </c>
      <c r="M1267" t="s">
        <v>1085</v>
      </c>
      <c r="P1267" t="s">
        <v>924</v>
      </c>
      <c r="Q1267" t="s">
        <v>26</v>
      </c>
      <c r="R1267" t="s">
        <v>81</v>
      </c>
      <c r="W1267">
        <v>2</v>
      </c>
      <c r="X1267" s="24">
        <v>46032</v>
      </c>
      <c r="Z1267" t="s">
        <v>38</v>
      </c>
      <c r="AB1267" t="s">
        <v>921</v>
      </c>
      <c r="AC1267" t="s">
        <v>1007</v>
      </c>
      <c r="AD1267" t="s">
        <v>39</v>
      </c>
    </row>
    <row r="1268" spans="1:30" hidden="1" x14ac:dyDescent="0.25">
      <c r="A1268">
        <v>238</v>
      </c>
      <c r="B1268" t="s">
        <v>343</v>
      </c>
      <c r="C1268">
        <v>8</v>
      </c>
      <c r="D1268">
        <v>90</v>
      </c>
      <c r="E1268">
        <v>150</v>
      </c>
      <c r="F1268" t="s">
        <v>77</v>
      </c>
      <c r="G1268" t="s">
        <v>746</v>
      </c>
      <c r="H1268">
        <v>6</v>
      </c>
      <c r="I1268">
        <v>3.71</v>
      </c>
      <c r="J1268" t="s">
        <v>839</v>
      </c>
      <c r="K1268" t="s">
        <v>812</v>
      </c>
      <c r="M1268" t="s">
        <v>1085</v>
      </c>
      <c r="P1268" t="s">
        <v>924</v>
      </c>
      <c r="Q1268" t="s">
        <v>26</v>
      </c>
      <c r="R1268" t="s">
        <v>81</v>
      </c>
      <c r="W1268">
        <v>2</v>
      </c>
      <c r="X1268" s="24">
        <v>46032</v>
      </c>
      <c r="Z1268" t="s">
        <v>38</v>
      </c>
      <c r="AB1268" t="s">
        <v>921</v>
      </c>
      <c r="AC1268" t="s">
        <v>1007</v>
      </c>
      <c r="AD1268" t="s">
        <v>39</v>
      </c>
    </row>
    <row r="1269" spans="1:30" hidden="1" x14ac:dyDescent="0.25">
      <c r="A1269">
        <v>239</v>
      </c>
      <c r="B1269" t="s">
        <v>344</v>
      </c>
      <c r="C1269">
        <v>8</v>
      </c>
      <c r="D1269">
        <v>142</v>
      </c>
      <c r="E1269">
        <v>1799</v>
      </c>
      <c r="F1269" t="s">
        <v>77</v>
      </c>
      <c r="G1269" t="s">
        <v>746</v>
      </c>
      <c r="H1269">
        <v>2</v>
      </c>
      <c r="I1269">
        <v>32.090000000000003</v>
      </c>
      <c r="J1269" t="s">
        <v>839</v>
      </c>
      <c r="K1269" t="s">
        <v>812</v>
      </c>
      <c r="M1269" t="s">
        <v>1085</v>
      </c>
      <c r="P1269" t="s">
        <v>924</v>
      </c>
      <c r="R1269" t="s">
        <v>81</v>
      </c>
      <c r="U1269" t="s">
        <v>81</v>
      </c>
      <c r="W1269">
        <v>2</v>
      </c>
      <c r="X1269" s="24">
        <v>46032</v>
      </c>
      <c r="Z1269" t="s">
        <v>38</v>
      </c>
      <c r="AB1269" t="s">
        <v>921</v>
      </c>
      <c r="AC1269" t="s">
        <v>1007</v>
      </c>
      <c r="AD1269" t="s">
        <v>39</v>
      </c>
    </row>
    <row r="1270" spans="1:30" hidden="1" x14ac:dyDescent="0.25">
      <c r="A1270">
        <v>240</v>
      </c>
      <c r="B1270" t="s">
        <v>229</v>
      </c>
      <c r="C1270">
        <v>8</v>
      </c>
      <c r="D1270">
        <v>90</v>
      </c>
      <c r="E1270">
        <v>150</v>
      </c>
      <c r="F1270" t="s">
        <v>77</v>
      </c>
      <c r="G1270" t="s">
        <v>746</v>
      </c>
      <c r="H1270">
        <v>9</v>
      </c>
      <c r="I1270">
        <v>5.57</v>
      </c>
      <c r="J1270" t="s">
        <v>839</v>
      </c>
      <c r="K1270" t="s">
        <v>812</v>
      </c>
      <c r="M1270" t="s">
        <v>1085</v>
      </c>
      <c r="P1270" t="s">
        <v>924</v>
      </c>
      <c r="Q1270" t="s">
        <v>26</v>
      </c>
      <c r="R1270" t="s">
        <v>81</v>
      </c>
      <c r="W1270">
        <v>2</v>
      </c>
      <c r="X1270" s="24">
        <v>46032</v>
      </c>
      <c r="Z1270" t="s">
        <v>38</v>
      </c>
      <c r="AB1270" t="s">
        <v>921</v>
      </c>
      <c r="AC1270" t="s">
        <v>1007</v>
      </c>
      <c r="AD1270" t="s">
        <v>39</v>
      </c>
    </row>
    <row r="1271" spans="1:30" hidden="1" x14ac:dyDescent="0.25">
      <c r="A1271">
        <v>241</v>
      </c>
      <c r="B1271" t="s">
        <v>345</v>
      </c>
      <c r="C1271">
        <v>8</v>
      </c>
      <c r="D1271">
        <v>142</v>
      </c>
      <c r="E1271">
        <v>1799</v>
      </c>
      <c r="F1271" t="s">
        <v>77</v>
      </c>
      <c r="G1271" t="s">
        <v>746</v>
      </c>
      <c r="H1271">
        <v>1</v>
      </c>
      <c r="I1271">
        <v>16.04</v>
      </c>
      <c r="J1271" t="s">
        <v>839</v>
      </c>
      <c r="K1271" t="s">
        <v>812</v>
      </c>
      <c r="M1271" t="s">
        <v>1085</v>
      </c>
      <c r="P1271" t="s">
        <v>924</v>
      </c>
      <c r="R1271" t="s">
        <v>81</v>
      </c>
      <c r="U1271" t="s">
        <v>81</v>
      </c>
      <c r="W1271">
        <v>2</v>
      </c>
      <c r="X1271" s="24">
        <v>46032</v>
      </c>
      <c r="Z1271" t="s">
        <v>38</v>
      </c>
      <c r="AB1271" t="s">
        <v>921</v>
      </c>
      <c r="AC1271" t="s">
        <v>1007</v>
      </c>
      <c r="AD1271" t="s">
        <v>39</v>
      </c>
    </row>
    <row r="1272" spans="1:30" hidden="1" x14ac:dyDescent="0.25">
      <c r="A1272">
        <v>242</v>
      </c>
      <c r="B1272" t="s">
        <v>346</v>
      </c>
      <c r="C1272">
        <v>8</v>
      </c>
      <c r="D1272">
        <v>74</v>
      </c>
      <c r="E1272">
        <v>172</v>
      </c>
      <c r="F1272" t="s">
        <v>77</v>
      </c>
      <c r="G1272" t="s">
        <v>746</v>
      </c>
      <c r="H1272">
        <v>3</v>
      </c>
      <c r="I1272">
        <v>1.6</v>
      </c>
      <c r="J1272" t="s">
        <v>839</v>
      </c>
      <c r="K1272" t="s">
        <v>812</v>
      </c>
      <c r="M1272" t="s">
        <v>1085</v>
      </c>
      <c r="P1272" t="s">
        <v>924</v>
      </c>
      <c r="Q1272" t="s">
        <v>26</v>
      </c>
      <c r="R1272" t="s">
        <v>81</v>
      </c>
      <c r="W1272">
        <v>2</v>
      </c>
      <c r="X1272" s="24">
        <v>46032</v>
      </c>
      <c r="Z1272" t="s">
        <v>38</v>
      </c>
      <c r="AB1272" t="s">
        <v>921</v>
      </c>
      <c r="AC1272" t="s">
        <v>1007</v>
      </c>
      <c r="AD1272" t="s">
        <v>39</v>
      </c>
    </row>
    <row r="1273" spans="1:30" hidden="1" x14ac:dyDescent="0.25">
      <c r="A1273">
        <v>243</v>
      </c>
      <c r="B1273" t="s">
        <v>347</v>
      </c>
      <c r="C1273">
        <v>8</v>
      </c>
      <c r="D1273">
        <v>90</v>
      </c>
      <c r="E1273">
        <v>150</v>
      </c>
      <c r="F1273" t="s">
        <v>77</v>
      </c>
      <c r="G1273" t="s">
        <v>746</v>
      </c>
      <c r="H1273">
        <v>5</v>
      </c>
      <c r="I1273">
        <v>3.09</v>
      </c>
      <c r="J1273" t="s">
        <v>839</v>
      </c>
      <c r="K1273" t="s">
        <v>812</v>
      </c>
      <c r="M1273" t="s">
        <v>1085</v>
      </c>
      <c r="P1273" t="s">
        <v>924</v>
      </c>
      <c r="Q1273" t="s">
        <v>26</v>
      </c>
      <c r="R1273" t="s">
        <v>81</v>
      </c>
      <c r="W1273">
        <v>2</v>
      </c>
      <c r="X1273" s="24">
        <v>46032</v>
      </c>
      <c r="Z1273" t="s">
        <v>38</v>
      </c>
      <c r="AB1273" t="s">
        <v>921</v>
      </c>
      <c r="AC1273" t="s">
        <v>1007</v>
      </c>
      <c r="AD1273" t="s">
        <v>39</v>
      </c>
    </row>
    <row r="1274" spans="1:30" hidden="1" x14ac:dyDescent="0.25">
      <c r="A1274">
        <v>244</v>
      </c>
      <c r="B1274" t="s">
        <v>348</v>
      </c>
      <c r="C1274">
        <v>8</v>
      </c>
      <c r="D1274">
        <v>158</v>
      </c>
      <c r="E1274">
        <v>228</v>
      </c>
      <c r="F1274" t="s">
        <v>77</v>
      </c>
      <c r="G1274" t="s">
        <v>746</v>
      </c>
      <c r="H1274">
        <v>27</v>
      </c>
      <c r="I1274">
        <v>59.73</v>
      </c>
      <c r="J1274" t="s">
        <v>839</v>
      </c>
      <c r="K1274" t="s">
        <v>812</v>
      </c>
      <c r="M1274" t="s">
        <v>1085</v>
      </c>
      <c r="P1274" t="s">
        <v>924</v>
      </c>
      <c r="Q1274" t="s">
        <v>26</v>
      </c>
      <c r="R1274" t="s">
        <v>81</v>
      </c>
      <c r="W1274">
        <v>2</v>
      </c>
      <c r="X1274" s="24">
        <v>46032</v>
      </c>
      <c r="Z1274" t="s">
        <v>38</v>
      </c>
      <c r="AB1274" t="s">
        <v>921</v>
      </c>
      <c r="AC1274" t="s">
        <v>1007</v>
      </c>
      <c r="AD1274" t="s">
        <v>39</v>
      </c>
    </row>
    <row r="1275" spans="1:30" hidden="1" x14ac:dyDescent="0.25">
      <c r="A1275">
        <v>245</v>
      </c>
      <c r="B1275" t="s">
        <v>306</v>
      </c>
      <c r="C1275">
        <v>8</v>
      </c>
      <c r="D1275">
        <v>124</v>
      </c>
      <c r="E1275">
        <v>1882</v>
      </c>
      <c r="F1275" t="s">
        <v>77</v>
      </c>
      <c r="G1275" t="s">
        <v>746</v>
      </c>
      <c r="H1275">
        <v>4</v>
      </c>
      <c r="I1275">
        <v>58.62</v>
      </c>
      <c r="J1275" t="s">
        <v>839</v>
      </c>
      <c r="K1275" t="s">
        <v>812</v>
      </c>
      <c r="M1275" t="s">
        <v>1085</v>
      </c>
      <c r="P1275" t="s">
        <v>924</v>
      </c>
      <c r="Q1275" t="s">
        <v>28</v>
      </c>
      <c r="R1275" t="s">
        <v>81</v>
      </c>
      <c r="W1275">
        <v>2</v>
      </c>
      <c r="X1275" s="24">
        <v>46032</v>
      </c>
      <c r="Z1275" t="s">
        <v>38</v>
      </c>
      <c r="AB1275" t="s">
        <v>921</v>
      </c>
      <c r="AC1275" t="s">
        <v>1007</v>
      </c>
      <c r="AD1275" t="s">
        <v>39</v>
      </c>
    </row>
    <row r="1276" spans="1:30" hidden="1" x14ac:dyDescent="0.25">
      <c r="A1276">
        <v>246</v>
      </c>
      <c r="B1276" t="s">
        <v>308</v>
      </c>
      <c r="C1276">
        <v>8</v>
      </c>
      <c r="D1276">
        <v>150</v>
      </c>
      <c r="E1276">
        <v>2523</v>
      </c>
      <c r="F1276" t="s">
        <v>77</v>
      </c>
      <c r="G1276" t="s">
        <v>746</v>
      </c>
      <c r="H1276">
        <v>2</v>
      </c>
      <c r="I1276">
        <v>47.53</v>
      </c>
      <c r="J1276" t="s">
        <v>839</v>
      </c>
      <c r="K1276" t="s">
        <v>812</v>
      </c>
      <c r="M1276" t="s">
        <v>1085</v>
      </c>
      <c r="P1276" t="s">
        <v>924</v>
      </c>
      <c r="Q1276" t="s">
        <v>28</v>
      </c>
      <c r="R1276" t="s">
        <v>81</v>
      </c>
      <c r="W1276">
        <v>2</v>
      </c>
      <c r="X1276" s="24">
        <v>46032</v>
      </c>
      <c r="Z1276" t="s">
        <v>38</v>
      </c>
      <c r="AB1276" t="s">
        <v>921</v>
      </c>
      <c r="AC1276" t="s">
        <v>1007</v>
      </c>
      <c r="AD1276" t="s">
        <v>39</v>
      </c>
    </row>
    <row r="1277" spans="1:30" hidden="1" x14ac:dyDescent="0.25">
      <c r="A1277">
        <v>247</v>
      </c>
      <c r="B1277" t="s">
        <v>310</v>
      </c>
      <c r="C1277">
        <v>8</v>
      </c>
      <c r="D1277">
        <v>124</v>
      </c>
      <c r="E1277">
        <v>2523</v>
      </c>
      <c r="F1277" t="s">
        <v>77</v>
      </c>
      <c r="G1277" t="s">
        <v>746</v>
      </c>
      <c r="H1277">
        <v>2</v>
      </c>
      <c r="I1277">
        <v>39.29</v>
      </c>
      <c r="J1277" t="s">
        <v>839</v>
      </c>
      <c r="K1277" t="s">
        <v>812</v>
      </c>
      <c r="M1277" t="s">
        <v>1085</v>
      </c>
      <c r="P1277" t="s">
        <v>924</v>
      </c>
      <c r="Q1277" t="s">
        <v>28</v>
      </c>
      <c r="R1277" t="s">
        <v>81</v>
      </c>
      <c r="W1277">
        <v>2</v>
      </c>
      <c r="X1277" s="24">
        <v>46032</v>
      </c>
      <c r="Z1277" t="s">
        <v>38</v>
      </c>
      <c r="AB1277" t="s">
        <v>921</v>
      </c>
      <c r="AC1277" t="s">
        <v>1007</v>
      </c>
      <c r="AD1277" t="s">
        <v>39</v>
      </c>
    </row>
    <row r="1278" spans="1:30" hidden="1" x14ac:dyDescent="0.25">
      <c r="A1278">
        <v>248</v>
      </c>
      <c r="B1278" t="s">
        <v>349</v>
      </c>
      <c r="C1278">
        <v>8</v>
      </c>
      <c r="D1278">
        <v>124</v>
      </c>
      <c r="E1278">
        <v>2523</v>
      </c>
      <c r="F1278" t="s">
        <v>77</v>
      </c>
      <c r="G1278" t="s">
        <v>746</v>
      </c>
      <c r="H1278">
        <v>4</v>
      </c>
      <c r="I1278">
        <v>78.59</v>
      </c>
      <c r="J1278" t="s">
        <v>839</v>
      </c>
      <c r="K1278" t="s">
        <v>812</v>
      </c>
      <c r="M1278" t="s">
        <v>1085</v>
      </c>
      <c r="P1278" t="s">
        <v>924</v>
      </c>
      <c r="Q1278" t="s">
        <v>28</v>
      </c>
      <c r="R1278" t="s">
        <v>81</v>
      </c>
      <c r="W1278">
        <v>2</v>
      </c>
      <c r="X1278" s="24">
        <v>46032</v>
      </c>
      <c r="Z1278" t="s">
        <v>38</v>
      </c>
      <c r="AB1278" t="s">
        <v>921</v>
      </c>
      <c r="AC1278" t="s">
        <v>1007</v>
      </c>
      <c r="AD1278" t="s">
        <v>39</v>
      </c>
    </row>
    <row r="1279" spans="1:30" hidden="1" x14ac:dyDescent="0.25">
      <c r="A1279">
        <v>249</v>
      </c>
      <c r="B1279" t="s">
        <v>350</v>
      </c>
      <c r="C1279">
        <v>8</v>
      </c>
      <c r="D1279">
        <v>150</v>
      </c>
      <c r="E1279">
        <v>601</v>
      </c>
      <c r="F1279" t="s">
        <v>77</v>
      </c>
      <c r="G1279" t="s">
        <v>746</v>
      </c>
      <c r="H1279">
        <v>4</v>
      </c>
      <c r="I1279">
        <v>22.65</v>
      </c>
      <c r="J1279" t="s">
        <v>839</v>
      </c>
      <c r="K1279" t="s">
        <v>812</v>
      </c>
      <c r="M1279" t="s">
        <v>1085</v>
      </c>
      <c r="P1279" t="s">
        <v>924</v>
      </c>
      <c r="Q1279" t="s">
        <v>28</v>
      </c>
      <c r="R1279" t="s">
        <v>81</v>
      </c>
      <c r="W1279">
        <v>2</v>
      </c>
      <c r="X1279" s="24">
        <v>46032</v>
      </c>
      <c r="Z1279" t="s">
        <v>38</v>
      </c>
      <c r="AB1279" t="s">
        <v>921</v>
      </c>
      <c r="AC1279" t="s">
        <v>1007</v>
      </c>
      <c r="AD1279" t="s">
        <v>39</v>
      </c>
    </row>
    <row r="1280" spans="1:30" hidden="1" x14ac:dyDescent="0.25">
      <c r="A1280">
        <v>250</v>
      </c>
      <c r="B1280" t="s">
        <v>267</v>
      </c>
      <c r="C1280">
        <v>8</v>
      </c>
      <c r="D1280">
        <v>124</v>
      </c>
      <c r="E1280">
        <v>6824</v>
      </c>
      <c r="F1280" t="s">
        <v>77</v>
      </c>
      <c r="G1280" t="s">
        <v>746</v>
      </c>
      <c r="H1280">
        <v>1</v>
      </c>
      <c r="I1280">
        <v>53.14</v>
      </c>
      <c r="J1280" t="s">
        <v>839</v>
      </c>
      <c r="K1280" t="s">
        <v>812</v>
      </c>
      <c r="M1280" t="s">
        <v>1085</v>
      </c>
      <c r="P1280" t="s">
        <v>924</v>
      </c>
      <c r="Q1280" t="s">
        <v>28</v>
      </c>
      <c r="R1280" t="s">
        <v>81</v>
      </c>
      <c r="W1280">
        <v>2</v>
      </c>
      <c r="X1280" s="24">
        <v>46032</v>
      </c>
      <c r="Z1280" t="s">
        <v>38</v>
      </c>
      <c r="AB1280" t="s">
        <v>921</v>
      </c>
      <c r="AC1280" t="s">
        <v>1007</v>
      </c>
      <c r="AD1280" t="s">
        <v>39</v>
      </c>
    </row>
    <row r="1281" spans="1:30" hidden="1" x14ac:dyDescent="0.25">
      <c r="A1281">
        <v>251</v>
      </c>
      <c r="B1281" t="s">
        <v>235</v>
      </c>
      <c r="C1281">
        <v>8</v>
      </c>
      <c r="D1281">
        <v>150</v>
      </c>
      <c r="E1281">
        <v>792</v>
      </c>
      <c r="F1281" t="s">
        <v>77</v>
      </c>
      <c r="G1281" t="s">
        <v>746</v>
      </c>
      <c r="H1281">
        <v>2</v>
      </c>
      <c r="I1281">
        <v>14.92</v>
      </c>
      <c r="J1281" t="s">
        <v>839</v>
      </c>
      <c r="K1281" t="s">
        <v>812</v>
      </c>
      <c r="M1281" t="s">
        <v>1085</v>
      </c>
      <c r="P1281" t="s">
        <v>924</v>
      </c>
      <c r="Q1281" t="s">
        <v>28</v>
      </c>
      <c r="R1281" t="s">
        <v>81</v>
      </c>
      <c r="W1281">
        <v>2</v>
      </c>
      <c r="X1281" s="24">
        <v>46032</v>
      </c>
      <c r="Z1281" t="s">
        <v>38</v>
      </c>
      <c r="AB1281" t="s">
        <v>921</v>
      </c>
      <c r="AC1281" t="s">
        <v>1007</v>
      </c>
      <c r="AD1281" t="s">
        <v>39</v>
      </c>
    </row>
    <row r="1282" spans="1:30" hidden="1" x14ac:dyDescent="0.25">
      <c r="A1282">
        <v>252</v>
      </c>
      <c r="B1282" t="s">
        <v>352</v>
      </c>
      <c r="C1282">
        <v>8</v>
      </c>
      <c r="D1282">
        <v>142</v>
      </c>
      <c r="E1282">
        <v>1799</v>
      </c>
      <c r="F1282" t="s">
        <v>77</v>
      </c>
      <c r="G1282" t="s">
        <v>746</v>
      </c>
      <c r="H1282">
        <v>2</v>
      </c>
      <c r="I1282">
        <v>32.090000000000003</v>
      </c>
      <c r="J1282" t="s">
        <v>839</v>
      </c>
      <c r="K1282" t="s">
        <v>812</v>
      </c>
      <c r="M1282" t="s">
        <v>1085</v>
      </c>
      <c r="P1282" t="s">
        <v>924</v>
      </c>
      <c r="R1282" t="s">
        <v>81</v>
      </c>
      <c r="U1282" t="s">
        <v>81</v>
      </c>
      <c r="W1282">
        <v>2</v>
      </c>
      <c r="X1282" s="24">
        <v>46032</v>
      </c>
      <c r="Z1282" t="s">
        <v>38</v>
      </c>
      <c r="AB1282" t="s">
        <v>921</v>
      </c>
      <c r="AC1282" t="s">
        <v>1007</v>
      </c>
      <c r="AD1282" t="s">
        <v>39</v>
      </c>
    </row>
    <row r="1283" spans="1:30" hidden="1" x14ac:dyDescent="0.25">
      <c r="A1283">
        <v>253</v>
      </c>
      <c r="B1283" t="s">
        <v>341</v>
      </c>
      <c r="C1283">
        <v>8</v>
      </c>
      <c r="D1283">
        <v>74</v>
      </c>
      <c r="E1283">
        <v>172</v>
      </c>
      <c r="F1283" t="s">
        <v>77</v>
      </c>
      <c r="G1283" t="s">
        <v>746</v>
      </c>
      <c r="H1283">
        <v>1</v>
      </c>
      <c r="I1283">
        <v>0.53</v>
      </c>
      <c r="J1283" t="s">
        <v>839</v>
      </c>
      <c r="K1283" t="s">
        <v>812</v>
      </c>
      <c r="M1283" t="s">
        <v>1085</v>
      </c>
      <c r="P1283" t="s">
        <v>924</v>
      </c>
      <c r="Q1283" t="s">
        <v>26</v>
      </c>
      <c r="S1283" t="s">
        <v>81</v>
      </c>
      <c r="W1283">
        <v>2</v>
      </c>
      <c r="X1283" s="24">
        <v>46032</v>
      </c>
      <c r="Z1283" t="s">
        <v>38</v>
      </c>
      <c r="AB1283" t="s">
        <v>921</v>
      </c>
      <c r="AC1283" t="s">
        <v>1009</v>
      </c>
      <c r="AD1283" t="s">
        <v>355</v>
      </c>
    </row>
    <row r="1284" spans="1:30" hidden="1" x14ac:dyDescent="0.25">
      <c r="A1284">
        <v>254</v>
      </c>
      <c r="B1284" t="s">
        <v>357</v>
      </c>
      <c r="C1284">
        <v>8</v>
      </c>
      <c r="D1284">
        <v>74</v>
      </c>
      <c r="E1284">
        <v>172</v>
      </c>
      <c r="F1284" t="s">
        <v>77</v>
      </c>
      <c r="G1284" t="s">
        <v>746</v>
      </c>
      <c r="H1284">
        <v>6</v>
      </c>
      <c r="I1284">
        <v>3.2</v>
      </c>
      <c r="J1284" t="s">
        <v>839</v>
      </c>
      <c r="K1284" t="s">
        <v>812</v>
      </c>
      <c r="M1284" t="s">
        <v>1085</v>
      </c>
      <c r="P1284" t="s">
        <v>924</v>
      </c>
      <c r="Q1284" t="s">
        <v>26</v>
      </c>
      <c r="S1284" t="s">
        <v>81</v>
      </c>
      <c r="W1284">
        <v>2</v>
      </c>
      <c r="X1284" s="24">
        <v>46032</v>
      </c>
      <c r="Z1284" t="s">
        <v>38</v>
      </c>
      <c r="AB1284" t="s">
        <v>921</v>
      </c>
      <c r="AC1284" t="s">
        <v>1009</v>
      </c>
      <c r="AD1284" t="s">
        <v>355</v>
      </c>
    </row>
    <row r="1285" spans="1:30" hidden="1" x14ac:dyDescent="0.25">
      <c r="A1285">
        <v>255</v>
      </c>
      <c r="B1285" t="s">
        <v>347</v>
      </c>
      <c r="C1285">
        <v>8</v>
      </c>
      <c r="D1285">
        <v>90</v>
      </c>
      <c r="E1285">
        <v>150</v>
      </c>
      <c r="F1285" t="s">
        <v>77</v>
      </c>
      <c r="G1285" t="s">
        <v>746</v>
      </c>
      <c r="H1285">
        <v>1</v>
      </c>
      <c r="I1285">
        <v>0.62</v>
      </c>
      <c r="J1285" t="s">
        <v>839</v>
      </c>
      <c r="K1285" t="s">
        <v>812</v>
      </c>
      <c r="M1285" t="s">
        <v>1085</v>
      </c>
      <c r="P1285" t="s">
        <v>924</v>
      </c>
      <c r="Q1285" t="s">
        <v>26</v>
      </c>
      <c r="S1285" t="s">
        <v>81</v>
      </c>
      <c r="W1285">
        <v>2</v>
      </c>
      <c r="X1285" s="24">
        <v>46032</v>
      </c>
      <c r="Z1285" t="s">
        <v>38</v>
      </c>
      <c r="AB1285" t="s">
        <v>921</v>
      </c>
      <c r="AC1285" t="s">
        <v>1009</v>
      </c>
      <c r="AD1285" t="s">
        <v>355</v>
      </c>
    </row>
    <row r="1286" spans="1:30" hidden="1" x14ac:dyDescent="0.25">
      <c r="A1286">
        <v>256</v>
      </c>
      <c r="B1286" t="s">
        <v>348</v>
      </c>
      <c r="C1286">
        <v>8</v>
      </c>
      <c r="D1286">
        <v>158</v>
      </c>
      <c r="E1286">
        <v>228</v>
      </c>
      <c r="F1286" t="s">
        <v>77</v>
      </c>
      <c r="G1286" t="s">
        <v>746</v>
      </c>
      <c r="H1286">
        <v>3</v>
      </c>
      <c r="I1286">
        <v>6.64</v>
      </c>
      <c r="J1286" t="s">
        <v>839</v>
      </c>
      <c r="K1286" t="s">
        <v>812</v>
      </c>
      <c r="M1286" t="s">
        <v>1085</v>
      </c>
      <c r="P1286" t="s">
        <v>924</v>
      </c>
      <c r="Q1286" t="s">
        <v>26</v>
      </c>
      <c r="S1286" t="s">
        <v>81</v>
      </c>
      <c r="W1286">
        <v>2</v>
      </c>
      <c r="X1286" s="24">
        <v>46032</v>
      </c>
      <c r="Z1286" t="s">
        <v>38</v>
      </c>
      <c r="AB1286" t="s">
        <v>921</v>
      </c>
      <c r="AC1286" t="s">
        <v>1009</v>
      </c>
      <c r="AD1286" t="s">
        <v>355</v>
      </c>
    </row>
    <row r="1287" spans="1:30" hidden="1" x14ac:dyDescent="0.25">
      <c r="A1287">
        <v>257</v>
      </c>
      <c r="B1287" t="s">
        <v>358</v>
      </c>
      <c r="C1287">
        <v>10</v>
      </c>
      <c r="D1287">
        <v>350</v>
      </c>
      <c r="E1287">
        <v>12000</v>
      </c>
      <c r="F1287" t="s">
        <v>77</v>
      </c>
      <c r="G1287" t="s">
        <v>746</v>
      </c>
      <c r="H1287">
        <v>1</v>
      </c>
      <c r="I1287">
        <v>329.7</v>
      </c>
      <c r="J1287" t="s">
        <v>839</v>
      </c>
      <c r="K1287" t="s">
        <v>812</v>
      </c>
      <c r="M1287" t="s">
        <v>1085</v>
      </c>
      <c r="P1287" t="s">
        <v>924</v>
      </c>
      <c r="Q1287" t="s">
        <v>28</v>
      </c>
      <c r="R1287" t="s">
        <v>81</v>
      </c>
      <c r="V1287" t="s">
        <v>81</v>
      </c>
      <c r="W1287">
        <v>2</v>
      </c>
      <c r="X1287" s="24">
        <v>46032</v>
      </c>
      <c r="Z1287" t="s">
        <v>38</v>
      </c>
      <c r="AB1287" t="s">
        <v>921</v>
      </c>
      <c r="AC1287" t="s">
        <v>1011</v>
      </c>
      <c r="AD1287" t="s">
        <v>39</v>
      </c>
    </row>
    <row r="1288" spans="1:30" hidden="1" x14ac:dyDescent="0.25">
      <c r="A1288">
        <v>258</v>
      </c>
      <c r="B1288" t="s">
        <v>363</v>
      </c>
      <c r="C1288">
        <v>10</v>
      </c>
      <c r="D1288">
        <v>350</v>
      </c>
      <c r="E1288">
        <v>12000</v>
      </c>
      <c r="F1288" t="s">
        <v>77</v>
      </c>
      <c r="G1288" t="s">
        <v>746</v>
      </c>
      <c r="H1288">
        <v>1</v>
      </c>
      <c r="I1288">
        <v>329.7</v>
      </c>
      <c r="J1288" t="s">
        <v>839</v>
      </c>
      <c r="K1288" t="s">
        <v>812</v>
      </c>
      <c r="M1288" t="s">
        <v>1085</v>
      </c>
      <c r="P1288" t="s">
        <v>924</v>
      </c>
      <c r="Q1288" t="s">
        <v>28</v>
      </c>
      <c r="R1288" t="s">
        <v>81</v>
      </c>
      <c r="V1288" t="s">
        <v>81</v>
      </c>
      <c r="W1288">
        <v>2</v>
      </c>
      <c r="X1288" s="24">
        <v>46032</v>
      </c>
      <c r="Z1288" t="s">
        <v>38</v>
      </c>
      <c r="AB1288" t="s">
        <v>921</v>
      </c>
      <c r="AC1288" t="s">
        <v>1011</v>
      </c>
      <c r="AD1288" t="s">
        <v>39</v>
      </c>
    </row>
    <row r="1289" spans="1:30" hidden="1" x14ac:dyDescent="0.25">
      <c r="A1289">
        <v>259</v>
      </c>
      <c r="B1289" t="s">
        <v>364</v>
      </c>
      <c r="C1289">
        <v>10</v>
      </c>
      <c r="D1289">
        <v>380</v>
      </c>
      <c r="E1289">
        <v>12000</v>
      </c>
      <c r="F1289" t="s">
        <v>77</v>
      </c>
      <c r="G1289" t="s">
        <v>746</v>
      </c>
      <c r="H1289">
        <v>2</v>
      </c>
      <c r="I1289">
        <v>715.91</v>
      </c>
      <c r="J1289" t="s">
        <v>839</v>
      </c>
      <c r="K1289" t="s">
        <v>812</v>
      </c>
      <c r="M1289" t="s">
        <v>1085</v>
      </c>
      <c r="P1289" t="s">
        <v>924</v>
      </c>
      <c r="Q1289" t="s">
        <v>28</v>
      </c>
      <c r="R1289" t="s">
        <v>81</v>
      </c>
      <c r="W1289">
        <v>2</v>
      </c>
      <c r="X1289" s="24">
        <v>46032</v>
      </c>
      <c r="Z1289" t="s">
        <v>38</v>
      </c>
      <c r="AB1289" t="s">
        <v>921</v>
      </c>
      <c r="AC1289" t="s">
        <v>1011</v>
      </c>
      <c r="AD1289" t="s">
        <v>39</v>
      </c>
    </row>
    <row r="1290" spans="1:30" hidden="1" x14ac:dyDescent="0.25">
      <c r="A1290">
        <v>260</v>
      </c>
      <c r="B1290" t="s">
        <v>366</v>
      </c>
      <c r="C1290">
        <v>10</v>
      </c>
      <c r="D1290">
        <v>380</v>
      </c>
      <c r="E1290">
        <v>12000</v>
      </c>
      <c r="F1290" t="s">
        <v>77</v>
      </c>
      <c r="G1290" t="s">
        <v>746</v>
      </c>
      <c r="H1290">
        <v>2</v>
      </c>
      <c r="I1290">
        <v>715.91</v>
      </c>
      <c r="J1290" t="s">
        <v>839</v>
      </c>
      <c r="K1290" t="s">
        <v>812</v>
      </c>
      <c r="M1290" t="s">
        <v>1085</v>
      </c>
      <c r="P1290" t="s">
        <v>924</v>
      </c>
      <c r="Q1290" t="s">
        <v>28</v>
      </c>
      <c r="R1290" t="s">
        <v>81</v>
      </c>
      <c r="W1290">
        <v>2</v>
      </c>
      <c r="X1290" s="24">
        <v>46032</v>
      </c>
      <c r="Z1290" t="s">
        <v>38</v>
      </c>
      <c r="AB1290" t="s">
        <v>921</v>
      </c>
      <c r="AC1290" t="s">
        <v>1013</v>
      </c>
      <c r="AD1290" t="s">
        <v>39</v>
      </c>
    </row>
    <row r="1291" spans="1:30" hidden="1" x14ac:dyDescent="0.25">
      <c r="A1291">
        <v>261</v>
      </c>
      <c r="B1291" t="s">
        <v>369</v>
      </c>
      <c r="C1291">
        <v>10</v>
      </c>
      <c r="D1291">
        <v>350</v>
      </c>
      <c r="E1291">
        <v>12000</v>
      </c>
      <c r="F1291" t="s">
        <v>77</v>
      </c>
      <c r="G1291" t="s">
        <v>746</v>
      </c>
      <c r="H1291">
        <v>1</v>
      </c>
      <c r="I1291">
        <v>329.7</v>
      </c>
      <c r="J1291" t="s">
        <v>839</v>
      </c>
      <c r="K1291" t="s">
        <v>812</v>
      </c>
      <c r="M1291" t="s">
        <v>1085</v>
      </c>
      <c r="P1291" t="s">
        <v>924</v>
      </c>
      <c r="Q1291" t="s">
        <v>28</v>
      </c>
      <c r="R1291" t="s">
        <v>81</v>
      </c>
      <c r="V1291" t="s">
        <v>81</v>
      </c>
      <c r="W1291">
        <v>2</v>
      </c>
      <c r="X1291" s="24">
        <v>46032</v>
      </c>
      <c r="Z1291" t="s">
        <v>38</v>
      </c>
      <c r="AB1291" t="s">
        <v>921</v>
      </c>
      <c r="AC1291" t="s">
        <v>1013</v>
      </c>
      <c r="AD1291" t="s">
        <v>39</v>
      </c>
    </row>
    <row r="1292" spans="1:30" hidden="1" x14ac:dyDescent="0.25">
      <c r="A1292">
        <v>262</v>
      </c>
      <c r="B1292" t="s">
        <v>370</v>
      </c>
      <c r="C1292">
        <v>10</v>
      </c>
      <c r="D1292">
        <v>350</v>
      </c>
      <c r="E1292">
        <v>12000</v>
      </c>
      <c r="F1292" t="s">
        <v>77</v>
      </c>
      <c r="G1292" t="s">
        <v>746</v>
      </c>
      <c r="H1292">
        <v>1</v>
      </c>
      <c r="I1292">
        <v>329.7</v>
      </c>
      <c r="J1292" t="s">
        <v>839</v>
      </c>
      <c r="K1292" t="s">
        <v>812</v>
      </c>
      <c r="M1292" t="s">
        <v>1085</v>
      </c>
      <c r="P1292" t="s">
        <v>924</v>
      </c>
      <c r="Q1292" t="s">
        <v>28</v>
      </c>
      <c r="R1292" t="s">
        <v>81</v>
      </c>
      <c r="V1292" t="s">
        <v>81</v>
      </c>
      <c r="W1292">
        <v>2</v>
      </c>
      <c r="X1292" s="24">
        <v>46032</v>
      </c>
      <c r="Z1292" t="s">
        <v>38</v>
      </c>
      <c r="AB1292" t="s">
        <v>921</v>
      </c>
      <c r="AC1292" t="s">
        <v>1013</v>
      </c>
      <c r="AD1292" t="s">
        <v>39</v>
      </c>
    </row>
    <row r="1293" spans="1:30" hidden="1" x14ac:dyDescent="0.25">
      <c r="A1293">
        <v>263</v>
      </c>
      <c r="B1293" t="s">
        <v>371</v>
      </c>
      <c r="C1293">
        <v>10</v>
      </c>
      <c r="D1293">
        <v>350</v>
      </c>
      <c r="E1293">
        <v>12000</v>
      </c>
      <c r="F1293" t="s">
        <v>77</v>
      </c>
      <c r="G1293" t="s">
        <v>746</v>
      </c>
      <c r="H1293">
        <v>2</v>
      </c>
      <c r="I1293">
        <v>659.41</v>
      </c>
      <c r="J1293" t="s">
        <v>839</v>
      </c>
      <c r="K1293" t="s">
        <v>812</v>
      </c>
      <c r="M1293" t="s">
        <v>1085</v>
      </c>
      <c r="P1293" t="s">
        <v>924</v>
      </c>
      <c r="Q1293" t="s">
        <v>28</v>
      </c>
      <c r="R1293" t="s">
        <v>81</v>
      </c>
      <c r="V1293" t="s">
        <v>81</v>
      </c>
      <c r="W1293">
        <v>2</v>
      </c>
      <c r="X1293" s="24">
        <v>46032</v>
      </c>
      <c r="Z1293" t="s">
        <v>38</v>
      </c>
      <c r="AB1293" t="s">
        <v>921</v>
      </c>
      <c r="AC1293" t="s">
        <v>1015</v>
      </c>
      <c r="AD1293" t="s">
        <v>39</v>
      </c>
    </row>
    <row r="1294" spans="1:30" hidden="1" x14ac:dyDescent="0.25">
      <c r="A1294">
        <v>264</v>
      </c>
      <c r="B1294" t="s">
        <v>366</v>
      </c>
      <c r="C1294">
        <v>10</v>
      </c>
      <c r="D1294">
        <v>380</v>
      </c>
      <c r="E1294">
        <v>12000</v>
      </c>
      <c r="F1294" t="s">
        <v>77</v>
      </c>
      <c r="G1294" t="s">
        <v>746</v>
      </c>
      <c r="H1294">
        <v>2</v>
      </c>
      <c r="I1294">
        <v>715.91</v>
      </c>
      <c r="J1294" t="s">
        <v>839</v>
      </c>
      <c r="K1294" t="s">
        <v>812</v>
      </c>
      <c r="M1294" t="s">
        <v>1085</v>
      </c>
      <c r="P1294" t="s">
        <v>924</v>
      </c>
      <c r="Q1294" t="s">
        <v>28</v>
      </c>
      <c r="R1294" t="s">
        <v>81</v>
      </c>
      <c r="W1294">
        <v>2</v>
      </c>
      <c r="X1294" s="24">
        <v>46032</v>
      </c>
      <c r="Z1294" t="s">
        <v>38</v>
      </c>
      <c r="AB1294" t="s">
        <v>921</v>
      </c>
      <c r="AC1294" t="s">
        <v>1015</v>
      </c>
      <c r="AD1294" t="s">
        <v>39</v>
      </c>
    </row>
    <row r="1295" spans="1:30" hidden="1" x14ac:dyDescent="0.25">
      <c r="A1295">
        <v>265</v>
      </c>
      <c r="B1295" t="s">
        <v>374</v>
      </c>
      <c r="C1295">
        <v>10</v>
      </c>
      <c r="D1295">
        <v>380</v>
      </c>
      <c r="E1295">
        <v>12000</v>
      </c>
      <c r="F1295" t="s">
        <v>77</v>
      </c>
      <c r="G1295" t="s">
        <v>746</v>
      </c>
      <c r="H1295">
        <v>2</v>
      </c>
      <c r="I1295">
        <v>715.91</v>
      </c>
      <c r="J1295" t="s">
        <v>839</v>
      </c>
      <c r="K1295" t="s">
        <v>812</v>
      </c>
      <c r="M1295" t="s">
        <v>1085</v>
      </c>
      <c r="P1295" t="s">
        <v>924</v>
      </c>
      <c r="Q1295" t="s">
        <v>28</v>
      </c>
      <c r="R1295" t="s">
        <v>81</v>
      </c>
      <c r="W1295">
        <v>2</v>
      </c>
      <c r="X1295" s="24">
        <v>46032</v>
      </c>
      <c r="Z1295" t="s">
        <v>38</v>
      </c>
      <c r="AB1295" t="s">
        <v>921</v>
      </c>
      <c r="AC1295" t="s">
        <v>1017</v>
      </c>
      <c r="AD1295" t="s">
        <v>39</v>
      </c>
    </row>
    <row r="1296" spans="1:30" hidden="1" x14ac:dyDescent="0.25">
      <c r="A1296">
        <v>266</v>
      </c>
      <c r="B1296" t="s">
        <v>377</v>
      </c>
      <c r="C1296">
        <v>10</v>
      </c>
      <c r="D1296">
        <v>230</v>
      </c>
      <c r="E1296">
        <v>12000</v>
      </c>
      <c r="F1296" t="s">
        <v>77</v>
      </c>
      <c r="G1296" t="s">
        <v>746</v>
      </c>
      <c r="H1296">
        <v>3</v>
      </c>
      <c r="I1296">
        <v>649.98</v>
      </c>
      <c r="J1296" t="s">
        <v>839</v>
      </c>
      <c r="K1296" t="s">
        <v>812</v>
      </c>
      <c r="M1296" t="s">
        <v>1085</v>
      </c>
      <c r="P1296" t="s">
        <v>924</v>
      </c>
      <c r="Q1296" t="s">
        <v>28</v>
      </c>
      <c r="R1296" t="s">
        <v>81</v>
      </c>
      <c r="W1296">
        <v>2</v>
      </c>
      <c r="X1296" s="24">
        <v>46032</v>
      </c>
      <c r="Z1296" t="s">
        <v>38</v>
      </c>
      <c r="AB1296" t="s">
        <v>921</v>
      </c>
      <c r="AC1296" t="s">
        <v>1017</v>
      </c>
      <c r="AD1296" t="s">
        <v>39</v>
      </c>
    </row>
    <row r="1297" spans="1:30" hidden="1" x14ac:dyDescent="0.25">
      <c r="A1297">
        <v>267</v>
      </c>
      <c r="B1297" t="s">
        <v>379</v>
      </c>
      <c r="C1297">
        <v>10</v>
      </c>
      <c r="D1297">
        <v>230</v>
      </c>
      <c r="E1297">
        <v>9518</v>
      </c>
      <c r="F1297" t="s">
        <v>77</v>
      </c>
      <c r="G1297" t="s">
        <v>746</v>
      </c>
      <c r="H1297">
        <v>2</v>
      </c>
      <c r="I1297">
        <v>343.69</v>
      </c>
      <c r="J1297" t="s">
        <v>839</v>
      </c>
      <c r="K1297" t="s">
        <v>812</v>
      </c>
      <c r="M1297" t="s">
        <v>1085</v>
      </c>
      <c r="P1297" t="s">
        <v>924</v>
      </c>
      <c r="Q1297" t="s">
        <v>28</v>
      </c>
      <c r="R1297" t="s">
        <v>81</v>
      </c>
      <c r="W1297">
        <v>2</v>
      </c>
      <c r="X1297" s="24">
        <v>46032</v>
      </c>
      <c r="Z1297" t="s">
        <v>38</v>
      </c>
      <c r="AB1297" t="s">
        <v>921</v>
      </c>
      <c r="AC1297" t="s">
        <v>1019</v>
      </c>
      <c r="AD1297" t="s">
        <v>39</v>
      </c>
    </row>
    <row r="1298" spans="1:30" hidden="1" x14ac:dyDescent="0.25">
      <c r="A1298">
        <v>268</v>
      </c>
      <c r="B1298" t="s">
        <v>383</v>
      </c>
      <c r="C1298">
        <v>10</v>
      </c>
      <c r="D1298">
        <v>375</v>
      </c>
      <c r="E1298">
        <v>500</v>
      </c>
      <c r="F1298" t="s">
        <v>77</v>
      </c>
      <c r="G1298" t="s">
        <v>746</v>
      </c>
      <c r="H1298">
        <v>4</v>
      </c>
      <c r="I1298">
        <v>58.88</v>
      </c>
      <c r="J1298" t="s">
        <v>839</v>
      </c>
      <c r="K1298" t="s">
        <v>812</v>
      </c>
      <c r="M1298" t="s">
        <v>1085</v>
      </c>
      <c r="P1298" t="s">
        <v>924</v>
      </c>
      <c r="Q1298" t="s">
        <v>26</v>
      </c>
      <c r="R1298" t="s">
        <v>81</v>
      </c>
      <c r="W1298">
        <v>2</v>
      </c>
      <c r="X1298" s="24">
        <v>46032</v>
      </c>
      <c r="Z1298" t="s">
        <v>38</v>
      </c>
      <c r="AB1298" t="s">
        <v>921</v>
      </c>
      <c r="AC1298" t="s">
        <v>1019</v>
      </c>
      <c r="AD1298" t="s">
        <v>39</v>
      </c>
    </row>
    <row r="1299" spans="1:30" hidden="1" x14ac:dyDescent="0.25">
      <c r="A1299">
        <v>269</v>
      </c>
      <c r="B1299" t="s">
        <v>385</v>
      </c>
      <c r="C1299">
        <v>10</v>
      </c>
      <c r="D1299">
        <v>375</v>
      </c>
      <c r="E1299">
        <v>500</v>
      </c>
      <c r="F1299" t="s">
        <v>77</v>
      </c>
      <c r="G1299" t="s">
        <v>746</v>
      </c>
      <c r="H1299">
        <v>2</v>
      </c>
      <c r="I1299">
        <v>29.44</v>
      </c>
      <c r="J1299" t="s">
        <v>839</v>
      </c>
      <c r="K1299" t="s">
        <v>812</v>
      </c>
      <c r="M1299" t="s">
        <v>1085</v>
      </c>
      <c r="P1299" t="s">
        <v>924</v>
      </c>
      <c r="Q1299" t="s">
        <v>26</v>
      </c>
      <c r="R1299" t="s">
        <v>81</v>
      </c>
      <c r="W1299">
        <v>2</v>
      </c>
      <c r="X1299" s="24">
        <v>46032</v>
      </c>
      <c r="Z1299" t="s">
        <v>38</v>
      </c>
      <c r="AB1299" t="s">
        <v>921</v>
      </c>
      <c r="AC1299" t="s">
        <v>1019</v>
      </c>
      <c r="AD1299" t="s">
        <v>39</v>
      </c>
    </row>
    <row r="1300" spans="1:30" hidden="1" x14ac:dyDescent="0.25">
      <c r="A1300">
        <v>270</v>
      </c>
      <c r="B1300" t="s">
        <v>386</v>
      </c>
      <c r="C1300">
        <v>10</v>
      </c>
      <c r="D1300">
        <v>148</v>
      </c>
      <c r="E1300">
        <v>441</v>
      </c>
      <c r="F1300" t="s">
        <v>77</v>
      </c>
      <c r="G1300" t="s">
        <v>746</v>
      </c>
      <c r="H1300">
        <v>1</v>
      </c>
      <c r="I1300">
        <v>5.0599999999999996</v>
      </c>
      <c r="J1300" t="s">
        <v>839</v>
      </c>
      <c r="K1300" t="s">
        <v>812</v>
      </c>
      <c r="M1300" t="s">
        <v>1085</v>
      </c>
      <c r="P1300" t="s">
        <v>924</v>
      </c>
      <c r="Q1300" t="s">
        <v>26</v>
      </c>
      <c r="R1300" t="s">
        <v>81</v>
      </c>
      <c r="W1300">
        <v>2</v>
      </c>
      <c r="X1300" s="24">
        <v>46032</v>
      </c>
      <c r="Z1300" t="s">
        <v>38</v>
      </c>
      <c r="AB1300" t="s">
        <v>921</v>
      </c>
      <c r="AC1300" t="s">
        <v>1019</v>
      </c>
      <c r="AD1300" t="s">
        <v>39</v>
      </c>
    </row>
    <row r="1301" spans="1:30" hidden="1" x14ac:dyDescent="0.25">
      <c r="A1301">
        <v>271</v>
      </c>
      <c r="B1301" t="s">
        <v>388</v>
      </c>
      <c r="C1301">
        <v>10</v>
      </c>
      <c r="D1301">
        <v>350</v>
      </c>
      <c r="E1301">
        <v>12000</v>
      </c>
      <c r="F1301" t="s">
        <v>77</v>
      </c>
      <c r="G1301" t="s">
        <v>746</v>
      </c>
      <c r="H1301">
        <v>2</v>
      </c>
      <c r="I1301">
        <v>659.41</v>
      </c>
      <c r="J1301" t="s">
        <v>839</v>
      </c>
      <c r="K1301" t="s">
        <v>812</v>
      </c>
      <c r="M1301" t="s">
        <v>1085</v>
      </c>
      <c r="P1301" t="s">
        <v>924</v>
      </c>
      <c r="Q1301" t="s">
        <v>28</v>
      </c>
      <c r="R1301" t="s">
        <v>81</v>
      </c>
      <c r="V1301" t="s">
        <v>81</v>
      </c>
      <c r="W1301">
        <v>2</v>
      </c>
      <c r="X1301" s="24">
        <v>46032</v>
      </c>
      <c r="Z1301" t="s">
        <v>38</v>
      </c>
      <c r="AB1301" t="s">
        <v>921</v>
      </c>
      <c r="AC1301" t="s">
        <v>1019</v>
      </c>
      <c r="AD1301" t="s">
        <v>39</v>
      </c>
    </row>
    <row r="1302" spans="1:30" hidden="1" x14ac:dyDescent="0.25">
      <c r="A1302">
        <v>272</v>
      </c>
      <c r="B1302" t="s">
        <v>377</v>
      </c>
      <c r="C1302">
        <v>10</v>
      </c>
      <c r="D1302">
        <v>230</v>
      </c>
      <c r="E1302">
        <v>12000</v>
      </c>
      <c r="F1302" t="s">
        <v>77</v>
      </c>
      <c r="G1302" t="s">
        <v>746</v>
      </c>
      <c r="H1302">
        <v>1</v>
      </c>
      <c r="I1302">
        <v>216.66</v>
      </c>
      <c r="J1302" t="s">
        <v>839</v>
      </c>
      <c r="K1302" t="s">
        <v>812</v>
      </c>
      <c r="M1302" t="s">
        <v>1085</v>
      </c>
      <c r="P1302" t="s">
        <v>924</v>
      </c>
      <c r="Q1302" t="s">
        <v>28</v>
      </c>
      <c r="R1302" t="s">
        <v>81</v>
      </c>
      <c r="W1302">
        <v>2</v>
      </c>
      <c r="X1302" s="24">
        <v>46032</v>
      </c>
      <c r="Z1302" t="s">
        <v>38</v>
      </c>
      <c r="AB1302" t="s">
        <v>921</v>
      </c>
      <c r="AC1302" t="s">
        <v>1019</v>
      </c>
      <c r="AD1302" t="s">
        <v>39</v>
      </c>
    </row>
    <row r="1303" spans="1:30" hidden="1" x14ac:dyDescent="0.25">
      <c r="A1303">
        <v>273</v>
      </c>
      <c r="B1303" t="s">
        <v>389</v>
      </c>
      <c r="C1303">
        <v>10</v>
      </c>
      <c r="D1303">
        <v>200</v>
      </c>
      <c r="E1303">
        <v>9518</v>
      </c>
      <c r="F1303" t="s">
        <v>77</v>
      </c>
      <c r="G1303" t="s">
        <v>746</v>
      </c>
      <c r="H1303">
        <v>3</v>
      </c>
      <c r="I1303">
        <v>448.3</v>
      </c>
      <c r="J1303" t="s">
        <v>839</v>
      </c>
      <c r="K1303" t="s">
        <v>812</v>
      </c>
      <c r="M1303" t="s">
        <v>1085</v>
      </c>
      <c r="P1303" t="s">
        <v>924</v>
      </c>
      <c r="Q1303" t="s">
        <v>28</v>
      </c>
      <c r="R1303" t="s">
        <v>81</v>
      </c>
      <c r="W1303">
        <v>2</v>
      </c>
      <c r="X1303" s="24">
        <v>46032</v>
      </c>
      <c r="Z1303" t="s">
        <v>38</v>
      </c>
      <c r="AB1303" t="s">
        <v>921</v>
      </c>
      <c r="AC1303" t="s">
        <v>1021</v>
      </c>
      <c r="AD1303" t="s">
        <v>39</v>
      </c>
    </row>
    <row r="1304" spans="1:30" hidden="1" x14ac:dyDescent="0.25">
      <c r="A1304">
        <v>274</v>
      </c>
      <c r="B1304" t="s">
        <v>379</v>
      </c>
      <c r="C1304">
        <v>10</v>
      </c>
      <c r="D1304">
        <v>230</v>
      </c>
      <c r="E1304">
        <v>9518</v>
      </c>
      <c r="F1304" t="s">
        <v>77</v>
      </c>
      <c r="G1304" t="s">
        <v>746</v>
      </c>
      <c r="H1304">
        <v>2</v>
      </c>
      <c r="I1304">
        <v>343.69</v>
      </c>
      <c r="J1304" t="s">
        <v>839</v>
      </c>
      <c r="K1304" t="s">
        <v>812</v>
      </c>
      <c r="M1304" t="s">
        <v>1085</v>
      </c>
      <c r="P1304" t="s">
        <v>924</v>
      </c>
      <c r="Q1304" t="s">
        <v>28</v>
      </c>
      <c r="R1304" t="s">
        <v>81</v>
      </c>
      <c r="W1304">
        <v>2</v>
      </c>
      <c r="X1304" s="24">
        <v>46032</v>
      </c>
      <c r="Z1304" t="s">
        <v>38</v>
      </c>
      <c r="AB1304" t="s">
        <v>921</v>
      </c>
      <c r="AC1304" t="s">
        <v>1021</v>
      </c>
      <c r="AD1304" t="s">
        <v>39</v>
      </c>
    </row>
    <row r="1305" spans="1:30" hidden="1" x14ac:dyDescent="0.25">
      <c r="A1305">
        <v>275</v>
      </c>
      <c r="B1305" t="s">
        <v>393</v>
      </c>
      <c r="C1305">
        <v>10</v>
      </c>
      <c r="D1305">
        <v>240</v>
      </c>
      <c r="E1305">
        <v>375</v>
      </c>
      <c r="F1305" t="s">
        <v>77</v>
      </c>
      <c r="G1305" t="s">
        <v>746</v>
      </c>
      <c r="H1305">
        <v>4</v>
      </c>
      <c r="I1305">
        <v>28.26</v>
      </c>
      <c r="J1305" t="s">
        <v>839</v>
      </c>
      <c r="K1305" t="s">
        <v>812</v>
      </c>
      <c r="M1305" t="s">
        <v>1085</v>
      </c>
      <c r="P1305" t="s">
        <v>924</v>
      </c>
      <c r="Q1305" t="s">
        <v>26</v>
      </c>
      <c r="R1305" t="s">
        <v>81</v>
      </c>
      <c r="W1305">
        <v>2</v>
      </c>
      <c r="X1305" s="24">
        <v>46032</v>
      </c>
      <c r="Z1305" t="s">
        <v>38</v>
      </c>
      <c r="AB1305" t="s">
        <v>921</v>
      </c>
      <c r="AC1305" t="s">
        <v>1021</v>
      </c>
      <c r="AD1305" t="s">
        <v>39</v>
      </c>
    </row>
    <row r="1306" spans="1:30" hidden="1" x14ac:dyDescent="0.25">
      <c r="A1306">
        <v>276</v>
      </c>
      <c r="B1306" t="s">
        <v>395</v>
      </c>
      <c r="C1306">
        <v>10</v>
      </c>
      <c r="D1306">
        <v>240</v>
      </c>
      <c r="E1306">
        <v>375</v>
      </c>
      <c r="F1306" t="s">
        <v>77</v>
      </c>
      <c r="G1306" t="s">
        <v>746</v>
      </c>
      <c r="H1306">
        <v>2</v>
      </c>
      <c r="I1306">
        <v>14.13</v>
      </c>
      <c r="J1306" t="s">
        <v>839</v>
      </c>
      <c r="K1306" t="s">
        <v>812</v>
      </c>
      <c r="M1306" t="s">
        <v>1085</v>
      </c>
      <c r="P1306" t="s">
        <v>924</v>
      </c>
      <c r="Q1306" t="s">
        <v>26</v>
      </c>
      <c r="R1306" t="s">
        <v>81</v>
      </c>
      <c r="W1306">
        <v>2</v>
      </c>
      <c r="X1306" s="24">
        <v>46032</v>
      </c>
      <c r="Z1306" t="s">
        <v>38</v>
      </c>
      <c r="AB1306" t="s">
        <v>921</v>
      </c>
      <c r="AC1306" t="s">
        <v>1021</v>
      </c>
      <c r="AD1306" t="s">
        <v>39</v>
      </c>
    </row>
    <row r="1307" spans="1:30" hidden="1" x14ac:dyDescent="0.25">
      <c r="A1307">
        <v>277</v>
      </c>
      <c r="B1307" t="s">
        <v>396</v>
      </c>
      <c r="C1307">
        <v>10</v>
      </c>
      <c r="D1307">
        <v>86</v>
      </c>
      <c r="E1307">
        <v>338</v>
      </c>
      <c r="F1307" t="s">
        <v>77</v>
      </c>
      <c r="G1307" t="s">
        <v>746</v>
      </c>
      <c r="H1307">
        <v>4</v>
      </c>
      <c r="I1307">
        <v>9.06</v>
      </c>
      <c r="J1307" t="s">
        <v>839</v>
      </c>
      <c r="K1307" t="s">
        <v>812</v>
      </c>
      <c r="M1307" t="s">
        <v>1085</v>
      </c>
      <c r="P1307" t="s">
        <v>924</v>
      </c>
      <c r="Q1307" t="s">
        <v>26</v>
      </c>
      <c r="R1307" t="s">
        <v>81</v>
      </c>
      <c r="W1307">
        <v>2</v>
      </c>
      <c r="X1307" s="24">
        <v>46032</v>
      </c>
      <c r="Z1307" t="s">
        <v>38</v>
      </c>
      <c r="AB1307" t="s">
        <v>921</v>
      </c>
      <c r="AC1307" t="s">
        <v>1021</v>
      </c>
      <c r="AD1307" t="s">
        <v>39</v>
      </c>
    </row>
    <row r="1308" spans="1:30" hidden="1" x14ac:dyDescent="0.25">
      <c r="A1308">
        <v>278</v>
      </c>
      <c r="B1308" t="s">
        <v>386</v>
      </c>
      <c r="C1308">
        <v>10</v>
      </c>
      <c r="D1308">
        <v>148</v>
      </c>
      <c r="E1308">
        <v>441</v>
      </c>
      <c r="F1308" t="s">
        <v>77</v>
      </c>
      <c r="G1308" t="s">
        <v>746</v>
      </c>
      <c r="H1308">
        <v>12</v>
      </c>
      <c r="I1308">
        <v>60.73</v>
      </c>
      <c r="J1308" t="s">
        <v>839</v>
      </c>
      <c r="K1308" t="s">
        <v>812</v>
      </c>
      <c r="M1308" t="s">
        <v>1085</v>
      </c>
      <c r="P1308" t="s">
        <v>924</v>
      </c>
      <c r="Q1308" t="s">
        <v>26</v>
      </c>
      <c r="R1308" t="s">
        <v>81</v>
      </c>
      <c r="W1308">
        <v>2</v>
      </c>
      <c r="X1308" s="24">
        <v>46032</v>
      </c>
      <c r="Z1308" t="s">
        <v>38</v>
      </c>
      <c r="AB1308" t="s">
        <v>921</v>
      </c>
      <c r="AC1308" t="s">
        <v>1021</v>
      </c>
      <c r="AD1308" t="s">
        <v>39</v>
      </c>
    </row>
    <row r="1309" spans="1:30" hidden="1" x14ac:dyDescent="0.25">
      <c r="A1309">
        <v>279</v>
      </c>
      <c r="B1309" t="s">
        <v>398</v>
      </c>
      <c r="C1309">
        <v>10</v>
      </c>
      <c r="D1309">
        <v>200</v>
      </c>
      <c r="E1309">
        <v>250</v>
      </c>
      <c r="F1309" t="s">
        <v>77</v>
      </c>
      <c r="G1309" t="s">
        <v>746</v>
      </c>
      <c r="H1309">
        <v>1</v>
      </c>
      <c r="I1309">
        <v>3.93</v>
      </c>
      <c r="J1309" t="s">
        <v>839</v>
      </c>
      <c r="K1309" t="s">
        <v>812</v>
      </c>
      <c r="M1309" t="s">
        <v>1085</v>
      </c>
      <c r="P1309" t="s">
        <v>924</v>
      </c>
      <c r="Q1309" t="s">
        <v>26</v>
      </c>
      <c r="R1309" t="s">
        <v>81</v>
      </c>
      <c r="W1309">
        <v>2</v>
      </c>
      <c r="X1309" s="24">
        <v>46032</v>
      </c>
      <c r="Z1309" t="s">
        <v>38</v>
      </c>
      <c r="AB1309" t="s">
        <v>921</v>
      </c>
      <c r="AC1309" t="s">
        <v>1021</v>
      </c>
      <c r="AD1309" t="s">
        <v>39</v>
      </c>
    </row>
    <row r="1310" spans="1:30" hidden="1" x14ac:dyDescent="0.25">
      <c r="A1310">
        <v>280</v>
      </c>
      <c r="B1310" t="s">
        <v>400</v>
      </c>
      <c r="C1310">
        <v>10</v>
      </c>
      <c r="D1310">
        <v>148</v>
      </c>
      <c r="E1310">
        <v>441</v>
      </c>
      <c r="F1310" t="s">
        <v>77</v>
      </c>
      <c r="G1310" t="s">
        <v>746</v>
      </c>
      <c r="H1310">
        <v>10</v>
      </c>
      <c r="I1310">
        <v>50.61</v>
      </c>
      <c r="J1310" t="s">
        <v>839</v>
      </c>
      <c r="K1310" t="s">
        <v>812</v>
      </c>
      <c r="M1310" t="s">
        <v>1085</v>
      </c>
      <c r="P1310" t="s">
        <v>924</v>
      </c>
      <c r="Q1310" t="s">
        <v>26</v>
      </c>
      <c r="R1310" t="s">
        <v>81</v>
      </c>
      <c r="W1310">
        <v>2</v>
      </c>
      <c r="X1310" s="24">
        <v>46032</v>
      </c>
      <c r="Z1310" t="s">
        <v>38</v>
      </c>
      <c r="AB1310" t="s">
        <v>921</v>
      </c>
      <c r="AC1310" t="s">
        <v>1021</v>
      </c>
      <c r="AD1310" t="s">
        <v>39</v>
      </c>
    </row>
    <row r="1311" spans="1:30" hidden="1" x14ac:dyDescent="0.25">
      <c r="A1311">
        <v>281</v>
      </c>
      <c r="B1311" t="s">
        <v>401</v>
      </c>
      <c r="C1311">
        <v>10</v>
      </c>
      <c r="D1311">
        <v>80</v>
      </c>
      <c r="E1311">
        <v>120</v>
      </c>
      <c r="F1311" t="s">
        <v>77</v>
      </c>
      <c r="G1311" t="s">
        <v>746</v>
      </c>
      <c r="H1311">
        <v>2</v>
      </c>
      <c r="I1311">
        <v>1.45</v>
      </c>
      <c r="J1311" t="s">
        <v>839</v>
      </c>
      <c r="K1311" t="s">
        <v>812</v>
      </c>
      <c r="M1311" t="s">
        <v>1085</v>
      </c>
      <c r="O1311" t="s">
        <v>228</v>
      </c>
      <c r="P1311" t="s">
        <v>924</v>
      </c>
      <c r="Q1311" t="s">
        <v>26</v>
      </c>
      <c r="R1311" t="s">
        <v>81</v>
      </c>
      <c r="W1311">
        <v>2</v>
      </c>
      <c r="X1311" s="24">
        <v>46032</v>
      </c>
      <c r="Z1311" t="s">
        <v>38</v>
      </c>
      <c r="AB1311" t="s">
        <v>921</v>
      </c>
      <c r="AC1311" t="s">
        <v>1021</v>
      </c>
      <c r="AD1311" t="s">
        <v>39</v>
      </c>
    </row>
    <row r="1312" spans="1:30" hidden="1" x14ac:dyDescent="0.25">
      <c r="A1312">
        <v>282</v>
      </c>
      <c r="B1312" t="s">
        <v>403</v>
      </c>
      <c r="C1312">
        <v>10</v>
      </c>
      <c r="D1312">
        <v>148</v>
      </c>
      <c r="E1312">
        <v>441</v>
      </c>
      <c r="F1312" t="s">
        <v>77</v>
      </c>
      <c r="G1312" t="s">
        <v>746</v>
      </c>
      <c r="H1312">
        <v>21</v>
      </c>
      <c r="I1312">
        <v>106.28</v>
      </c>
      <c r="J1312" t="s">
        <v>839</v>
      </c>
      <c r="K1312" t="s">
        <v>812</v>
      </c>
      <c r="M1312" t="s">
        <v>1085</v>
      </c>
      <c r="P1312" t="s">
        <v>924</v>
      </c>
      <c r="Q1312" t="s">
        <v>26</v>
      </c>
      <c r="R1312" t="s">
        <v>81</v>
      </c>
      <c r="W1312">
        <v>2</v>
      </c>
      <c r="X1312" s="24">
        <v>46032</v>
      </c>
      <c r="Z1312" t="s">
        <v>38</v>
      </c>
      <c r="AB1312" t="s">
        <v>921</v>
      </c>
      <c r="AC1312" t="s">
        <v>1021</v>
      </c>
      <c r="AD1312" t="s">
        <v>39</v>
      </c>
    </row>
    <row r="1313" spans="1:30" hidden="1" x14ac:dyDescent="0.25">
      <c r="A1313">
        <v>283</v>
      </c>
      <c r="B1313" t="s">
        <v>404</v>
      </c>
      <c r="C1313">
        <v>10</v>
      </c>
      <c r="D1313">
        <v>120</v>
      </c>
      <c r="E1313">
        <v>220</v>
      </c>
      <c r="F1313" t="s">
        <v>77</v>
      </c>
      <c r="G1313" t="s">
        <v>746</v>
      </c>
      <c r="H1313">
        <v>1</v>
      </c>
      <c r="I1313">
        <v>2.0099999999999998</v>
      </c>
      <c r="J1313" t="s">
        <v>839</v>
      </c>
      <c r="K1313" t="s">
        <v>812</v>
      </c>
      <c r="M1313" t="s">
        <v>1085</v>
      </c>
      <c r="O1313" t="s">
        <v>228</v>
      </c>
      <c r="P1313" t="s">
        <v>924</v>
      </c>
      <c r="Q1313" t="s">
        <v>26</v>
      </c>
      <c r="R1313" t="s">
        <v>81</v>
      </c>
      <c r="W1313">
        <v>2</v>
      </c>
      <c r="X1313" s="24">
        <v>46032</v>
      </c>
      <c r="Z1313" t="s">
        <v>38</v>
      </c>
      <c r="AB1313" t="s">
        <v>921</v>
      </c>
      <c r="AC1313" t="s">
        <v>1021</v>
      </c>
      <c r="AD1313" t="s">
        <v>39</v>
      </c>
    </row>
    <row r="1314" spans="1:30" hidden="1" x14ac:dyDescent="0.25">
      <c r="A1314">
        <v>284</v>
      </c>
      <c r="B1314" t="s">
        <v>406</v>
      </c>
      <c r="C1314">
        <v>10</v>
      </c>
      <c r="D1314">
        <v>380</v>
      </c>
      <c r="E1314">
        <v>4577</v>
      </c>
      <c r="F1314" t="s">
        <v>77</v>
      </c>
      <c r="G1314" t="s">
        <v>746</v>
      </c>
      <c r="H1314">
        <v>2</v>
      </c>
      <c r="I1314">
        <v>270.14999999999998</v>
      </c>
      <c r="J1314" t="s">
        <v>839</v>
      </c>
      <c r="K1314" t="s">
        <v>812</v>
      </c>
      <c r="M1314" t="s">
        <v>1085</v>
      </c>
      <c r="P1314" t="s">
        <v>924</v>
      </c>
      <c r="Q1314" t="s">
        <v>28</v>
      </c>
      <c r="R1314" t="s">
        <v>81</v>
      </c>
      <c r="W1314">
        <v>2</v>
      </c>
      <c r="X1314" s="24">
        <v>46032</v>
      </c>
      <c r="Z1314" t="s">
        <v>38</v>
      </c>
      <c r="AB1314" t="s">
        <v>921</v>
      </c>
      <c r="AC1314" t="s">
        <v>1021</v>
      </c>
      <c r="AD1314" t="s">
        <v>39</v>
      </c>
    </row>
    <row r="1315" spans="1:30" hidden="1" x14ac:dyDescent="0.25">
      <c r="A1315">
        <v>285</v>
      </c>
      <c r="B1315" t="s">
        <v>408</v>
      </c>
      <c r="C1315">
        <v>10</v>
      </c>
      <c r="D1315">
        <v>86</v>
      </c>
      <c r="E1315">
        <v>338</v>
      </c>
      <c r="F1315" t="s">
        <v>77</v>
      </c>
      <c r="G1315" t="s">
        <v>746</v>
      </c>
      <c r="H1315">
        <v>16</v>
      </c>
      <c r="I1315">
        <v>36.229999999999997</v>
      </c>
      <c r="J1315" t="s">
        <v>839</v>
      </c>
      <c r="K1315" t="s">
        <v>812</v>
      </c>
      <c r="M1315" t="s">
        <v>1085</v>
      </c>
      <c r="P1315" t="s">
        <v>924</v>
      </c>
      <c r="Q1315" t="s">
        <v>26</v>
      </c>
      <c r="R1315" t="s">
        <v>81</v>
      </c>
      <c r="W1315">
        <v>2</v>
      </c>
      <c r="X1315" s="24">
        <v>46032</v>
      </c>
      <c r="Z1315" t="s">
        <v>38</v>
      </c>
      <c r="AB1315" t="s">
        <v>921</v>
      </c>
      <c r="AC1315" t="s">
        <v>1023</v>
      </c>
      <c r="AD1315" t="s">
        <v>39</v>
      </c>
    </row>
    <row r="1316" spans="1:30" hidden="1" x14ac:dyDescent="0.25">
      <c r="A1316">
        <v>286</v>
      </c>
      <c r="B1316" t="s">
        <v>411</v>
      </c>
      <c r="C1316">
        <v>10</v>
      </c>
      <c r="D1316">
        <v>532</v>
      </c>
      <c r="E1316">
        <v>4080</v>
      </c>
      <c r="F1316" t="s">
        <v>77</v>
      </c>
      <c r="G1316" t="s">
        <v>746</v>
      </c>
      <c r="H1316">
        <v>2</v>
      </c>
      <c r="I1316">
        <v>336.54</v>
      </c>
      <c r="J1316" t="s">
        <v>839</v>
      </c>
      <c r="K1316" t="s">
        <v>812</v>
      </c>
      <c r="M1316" t="s">
        <v>1085</v>
      </c>
      <c r="P1316" t="s">
        <v>924</v>
      </c>
      <c r="R1316" t="s">
        <v>81</v>
      </c>
      <c r="U1316" t="s">
        <v>81</v>
      </c>
      <c r="V1316" t="s">
        <v>81</v>
      </c>
      <c r="W1316">
        <v>2</v>
      </c>
      <c r="X1316" s="24">
        <v>46032</v>
      </c>
      <c r="Z1316" t="s">
        <v>38</v>
      </c>
      <c r="AB1316" t="s">
        <v>921</v>
      </c>
      <c r="AC1316" t="s">
        <v>1023</v>
      </c>
      <c r="AD1316" t="s">
        <v>39</v>
      </c>
    </row>
    <row r="1317" spans="1:30" hidden="1" x14ac:dyDescent="0.25">
      <c r="A1317">
        <v>287</v>
      </c>
      <c r="B1317" t="s">
        <v>396</v>
      </c>
      <c r="C1317">
        <v>10</v>
      </c>
      <c r="D1317">
        <v>86</v>
      </c>
      <c r="E1317">
        <v>338</v>
      </c>
      <c r="F1317" t="s">
        <v>77</v>
      </c>
      <c r="G1317" t="s">
        <v>746</v>
      </c>
      <c r="H1317">
        <v>4</v>
      </c>
      <c r="I1317">
        <v>9.06</v>
      </c>
      <c r="J1317" t="s">
        <v>839</v>
      </c>
      <c r="K1317" t="s">
        <v>812</v>
      </c>
      <c r="M1317" t="s">
        <v>1085</v>
      </c>
      <c r="P1317" t="s">
        <v>924</v>
      </c>
      <c r="Q1317" t="s">
        <v>26</v>
      </c>
      <c r="R1317" t="s">
        <v>81</v>
      </c>
      <c r="W1317">
        <v>2</v>
      </c>
      <c r="X1317" s="24">
        <v>46032</v>
      </c>
      <c r="Z1317" t="s">
        <v>38</v>
      </c>
      <c r="AB1317" t="s">
        <v>921</v>
      </c>
      <c r="AC1317" t="s">
        <v>1023</v>
      </c>
      <c r="AD1317" t="s">
        <v>39</v>
      </c>
    </row>
    <row r="1318" spans="1:30" hidden="1" x14ac:dyDescent="0.25">
      <c r="A1318">
        <v>288</v>
      </c>
      <c r="B1318" t="s">
        <v>401</v>
      </c>
      <c r="C1318">
        <v>10</v>
      </c>
      <c r="D1318">
        <v>80</v>
      </c>
      <c r="E1318">
        <v>120</v>
      </c>
      <c r="F1318" t="s">
        <v>77</v>
      </c>
      <c r="G1318" t="s">
        <v>746</v>
      </c>
      <c r="H1318">
        <v>1</v>
      </c>
      <c r="I1318">
        <v>0.72</v>
      </c>
      <c r="J1318" t="s">
        <v>839</v>
      </c>
      <c r="K1318" t="s">
        <v>812</v>
      </c>
      <c r="M1318" t="s">
        <v>1085</v>
      </c>
      <c r="O1318" t="s">
        <v>228</v>
      </c>
      <c r="P1318" t="s">
        <v>924</v>
      </c>
      <c r="Q1318" t="s">
        <v>26</v>
      </c>
      <c r="R1318" t="s">
        <v>81</v>
      </c>
      <c r="W1318">
        <v>2</v>
      </c>
      <c r="X1318" s="24">
        <v>46032</v>
      </c>
      <c r="Z1318" t="s">
        <v>38</v>
      </c>
      <c r="AB1318" t="s">
        <v>921</v>
      </c>
      <c r="AC1318" t="s">
        <v>1023</v>
      </c>
      <c r="AD1318" t="s">
        <v>39</v>
      </c>
    </row>
    <row r="1319" spans="1:30" hidden="1" x14ac:dyDescent="0.25">
      <c r="A1319">
        <v>289</v>
      </c>
      <c r="B1319" t="s">
        <v>413</v>
      </c>
      <c r="C1319">
        <v>10</v>
      </c>
      <c r="D1319">
        <v>100</v>
      </c>
      <c r="E1319">
        <v>100</v>
      </c>
      <c r="F1319" t="s">
        <v>77</v>
      </c>
      <c r="G1319" t="s">
        <v>746</v>
      </c>
      <c r="H1319">
        <v>2</v>
      </c>
      <c r="I1319">
        <v>0.79</v>
      </c>
      <c r="J1319" t="s">
        <v>839</v>
      </c>
      <c r="K1319" t="s">
        <v>812</v>
      </c>
      <c r="M1319" t="s">
        <v>1085</v>
      </c>
      <c r="O1319" t="s">
        <v>228</v>
      </c>
      <c r="P1319" t="s">
        <v>924</v>
      </c>
      <c r="Q1319" t="s">
        <v>27</v>
      </c>
      <c r="R1319" t="s">
        <v>81</v>
      </c>
      <c r="W1319">
        <v>2</v>
      </c>
      <c r="X1319" s="24">
        <v>46032</v>
      </c>
      <c r="Z1319" t="s">
        <v>38</v>
      </c>
      <c r="AB1319" t="s">
        <v>921</v>
      </c>
      <c r="AC1319" t="s">
        <v>1023</v>
      </c>
      <c r="AD1319" t="s">
        <v>39</v>
      </c>
    </row>
    <row r="1320" spans="1:30" hidden="1" x14ac:dyDescent="0.25">
      <c r="A1320">
        <v>290</v>
      </c>
      <c r="B1320" t="s">
        <v>415</v>
      </c>
      <c r="C1320">
        <v>10</v>
      </c>
      <c r="D1320">
        <v>100</v>
      </c>
      <c r="E1320">
        <v>100</v>
      </c>
      <c r="F1320" t="s">
        <v>77</v>
      </c>
      <c r="G1320" t="s">
        <v>746</v>
      </c>
      <c r="H1320">
        <v>4</v>
      </c>
      <c r="I1320">
        <v>1.58</v>
      </c>
      <c r="J1320" t="s">
        <v>839</v>
      </c>
      <c r="K1320" t="s">
        <v>812</v>
      </c>
      <c r="M1320" t="s">
        <v>1085</v>
      </c>
      <c r="O1320" t="s">
        <v>228</v>
      </c>
      <c r="P1320" t="s">
        <v>924</v>
      </c>
      <c r="Q1320" t="s">
        <v>27</v>
      </c>
      <c r="R1320" t="s">
        <v>81</v>
      </c>
      <c r="W1320">
        <v>2</v>
      </c>
      <c r="X1320" s="24">
        <v>46032</v>
      </c>
      <c r="Z1320" t="s">
        <v>38</v>
      </c>
      <c r="AB1320" t="s">
        <v>921</v>
      </c>
      <c r="AC1320" t="s">
        <v>1023</v>
      </c>
      <c r="AD1320" t="s">
        <v>39</v>
      </c>
    </row>
    <row r="1321" spans="1:30" hidden="1" x14ac:dyDescent="0.25">
      <c r="A1321">
        <v>291</v>
      </c>
      <c r="B1321" t="s">
        <v>404</v>
      </c>
      <c r="C1321">
        <v>10</v>
      </c>
      <c r="D1321">
        <v>120</v>
      </c>
      <c r="E1321">
        <v>220</v>
      </c>
      <c r="F1321" t="s">
        <v>77</v>
      </c>
      <c r="G1321" t="s">
        <v>746</v>
      </c>
      <c r="H1321">
        <v>5</v>
      </c>
      <c r="I1321">
        <v>10.06</v>
      </c>
      <c r="J1321" t="s">
        <v>839</v>
      </c>
      <c r="K1321" t="s">
        <v>812</v>
      </c>
      <c r="M1321" t="s">
        <v>1085</v>
      </c>
      <c r="O1321" t="s">
        <v>228</v>
      </c>
      <c r="P1321" t="s">
        <v>924</v>
      </c>
      <c r="Q1321" t="s">
        <v>26</v>
      </c>
      <c r="R1321" t="s">
        <v>81</v>
      </c>
      <c r="W1321">
        <v>2</v>
      </c>
      <c r="X1321" s="24">
        <v>46032</v>
      </c>
      <c r="Z1321" t="s">
        <v>38</v>
      </c>
      <c r="AB1321" t="s">
        <v>921</v>
      </c>
      <c r="AC1321" t="s">
        <v>1023</v>
      </c>
      <c r="AD1321" t="s">
        <v>39</v>
      </c>
    </row>
    <row r="1322" spans="1:30" hidden="1" x14ac:dyDescent="0.25">
      <c r="A1322">
        <v>292</v>
      </c>
      <c r="B1322" t="s">
        <v>416</v>
      </c>
      <c r="C1322">
        <v>10</v>
      </c>
      <c r="D1322">
        <v>100</v>
      </c>
      <c r="E1322">
        <v>100</v>
      </c>
      <c r="F1322" t="s">
        <v>77</v>
      </c>
      <c r="G1322" t="s">
        <v>746</v>
      </c>
      <c r="H1322">
        <v>1</v>
      </c>
      <c r="I1322">
        <v>0.39</v>
      </c>
      <c r="J1322" t="s">
        <v>839</v>
      </c>
      <c r="K1322" t="s">
        <v>812</v>
      </c>
      <c r="M1322" t="s">
        <v>1085</v>
      </c>
      <c r="O1322" t="s">
        <v>228</v>
      </c>
      <c r="P1322" t="s">
        <v>924</v>
      </c>
      <c r="Q1322" t="s">
        <v>27</v>
      </c>
      <c r="R1322" t="s">
        <v>81</v>
      </c>
      <c r="W1322">
        <v>2</v>
      </c>
      <c r="X1322" s="24">
        <v>46032</v>
      </c>
      <c r="Z1322" t="s">
        <v>38</v>
      </c>
      <c r="AB1322" t="s">
        <v>921</v>
      </c>
      <c r="AC1322" t="s">
        <v>1023</v>
      </c>
      <c r="AD1322" t="s">
        <v>39</v>
      </c>
    </row>
    <row r="1323" spans="1:30" hidden="1" x14ac:dyDescent="0.25">
      <c r="A1323">
        <v>293</v>
      </c>
      <c r="B1323" t="s">
        <v>417</v>
      </c>
      <c r="C1323">
        <v>10</v>
      </c>
      <c r="D1323">
        <v>200</v>
      </c>
      <c r="E1323">
        <v>12000</v>
      </c>
      <c r="F1323" t="s">
        <v>77</v>
      </c>
      <c r="G1323" t="s">
        <v>746</v>
      </c>
      <c r="H1323">
        <v>4</v>
      </c>
      <c r="I1323">
        <v>753.62</v>
      </c>
      <c r="J1323" t="s">
        <v>839</v>
      </c>
      <c r="K1323" t="s">
        <v>812</v>
      </c>
      <c r="M1323" t="s">
        <v>1085</v>
      </c>
      <c r="P1323" t="s">
        <v>924</v>
      </c>
      <c r="Q1323" t="s">
        <v>28</v>
      </c>
      <c r="R1323" t="s">
        <v>81</v>
      </c>
      <c r="W1323">
        <v>2</v>
      </c>
      <c r="X1323" s="24">
        <v>46032</v>
      </c>
      <c r="Z1323" t="s">
        <v>38</v>
      </c>
      <c r="AB1323" t="s">
        <v>921</v>
      </c>
      <c r="AC1323" t="s">
        <v>1023</v>
      </c>
      <c r="AD1323" t="s">
        <v>39</v>
      </c>
    </row>
    <row r="1324" spans="1:30" hidden="1" x14ac:dyDescent="0.25">
      <c r="A1324">
        <v>294</v>
      </c>
      <c r="B1324" t="s">
        <v>419</v>
      </c>
      <c r="C1324">
        <v>10</v>
      </c>
      <c r="D1324">
        <v>200</v>
      </c>
      <c r="E1324">
        <v>3586</v>
      </c>
      <c r="F1324" t="s">
        <v>77</v>
      </c>
      <c r="G1324" t="s">
        <v>746</v>
      </c>
      <c r="H1324">
        <v>2</v>
      </c>
      <c r="I1324">
        <v>112.6</v>
      </c>
      <c r="J1324" t="s">
        <v>839</v>
      </c>
      <c r="K1324" t="s">
        <v>812</v>
      </c>
      <c r="M1324" t="s">
        <v>1085</v>
      </c>
      <c r="P1324" t="s">
        <v>924</v>
      </c>
      <c r="Q1324" t="s">
        <v>28</v>
      </c>
      <c r="R1324" t="s">
        <v>81</v>
      </c>
      <c r="W1324">
        <v>2</v>
      </c>
      <c r="X1324" s="24">
        <v>46032</v>
      </c>
      <c r="Z1324" t="s">
        <v>38</v>
      </c>
      <c r="AB1324" t="s">
        <v>921</v>
      </c>
      <c r="AC1324" t="s">
        <v>1023</v>
      </c>
      <c r="AD1324" t="s">
        <v>39</v>
      </c>
    </row>
    <row r="1325" spans="1:30" hidden="1" x14ac:dyDescent="0.25">
      <c r="A1325">
        <v>295</v>
      </c>
      <c r="B1325" t="s">
        <v>421</v>
      </c>
      <c r="C1325">
        <v>10</v>
      </c>
      <c r="D1325">
        <v>230</v>
      </c>
      <c r="E1325">
        <v>3586</v>
      </c>
      <c r="F1325" t="s">
        <v>77</v>
      </c>
      <c r="G1325" t="s">
        <v>746</v>
      </c>
      <c r="H1325">
        <v>1</v>
      </c>
      <c r="I1325">
        <v>64.75</v>
      </c>
      <c r="J1325" t="s">
        <v>839</v>
      </c>
      <c r="K1325" t="s">
        <v>812</v>
      </c>
      <c r="M1325" t="s">
        <v>1085</v>
      </c>
      <c r="P1325" t="s">
        <v>924</v>
      </c>
      <c r="Q1325" t="s">
        <v>28</v>
      </c>
      <c r="R1325" t="s">
        <v>81</v>
      </c>
      <c r="W1325">
        <v>2</v>
      </c>
      <c r="X1325" s="24">
        <v>46032</v>
      </c>
      <c r="Z1325" t="s">
        <v>38</v>
      </c>
      <c r="AB1325" t="s">
        <v>921</v>
      </c>
      <c r="AC1325" t="s">
        <v>1023</v>
      </c>
      <c r="AD1325" t="s">
        <v>39</v>
      </c>
    </row>
    <row r="1326" spans="1:30" hidden="1" x14ac:dyDescent="0.25">
      <c r="A1326">
        <v>296</v>
      </c>
      <c r="B1326" t="s">
        <v>423</v>
      </c>
      <c r="C1326">
        <v>10</v>
      </c>
      <c r="D1326">
        <v>100</v>
      </c>
      <c r="E1326">
        <v>100</v>
      </c>
      <c r="F1326" t="s">
        <v>77</v>
      </c>
      <c r="G1326" t="s">
        <v>746</v>
      </c>
      <c r="H1326">
        <v>4</v>
      </c>
      <c r="I1326">
        <v>1.58</v>
      </c>
      <c r="J1326" t="s">
        <v>839</v>
      </c>
      <c r="K1326" t="s">
        <v>812</v>
      </c>
      <c r="M1326" t="s">
        <v>1085</v>
      </c>
      <c r="O1326" t="s">
        <v>228</v>
      </c>
      <c r="P1326" t="s">
        <v>924</v>
      </c>
      <c r="Q1326" t="s">
        <v>27</v>
      </c>
      <c r="R1326" t="s">
        <v>81</v>
      </c>
      <c r="W1326">
        <v>2</v>
      </c>
      <c r="X1326" s="24">
        <v>46032</v>
      </c>
      <c r="Z1326" t="s">
        <v>38</v>
      </c>
      <c r="AB1326" t="s">
        <v>921</v>
      </c>
      <c r="AC1326" t="s">
        <v>1023</v>
      </c>
      <c r="AD1326" t="s">
        <v>39</v>
      </c>
    </row>
    <row r="1327" spans="1:30" hidden="1" x14ac:dyDescent="0.25">
      <c r="A1327">
        <v>297</v>
      </c>
      <c r="B1327" t="s">
        <v>389</v>
      </c>
      <c r="C1327">
        <v>10</v>
      </c>
      <c r="D1327">
        <v>200</v>
      </c>
      <c r="E1327">
        <v>9518</v>
      </c>
      <c r="F1327" t="s">
        <v>77</v>
      </c>
      <c r="G1327" t="s">
        <v>746</v>
      </c>
      <c r="H1327">
        <v>1</v>
      </c>
      <c r="I1327">
        <v>149.43</v>
      </c>
      <c r="J1327" t="s">
        <v>839</v>
      </c>
      <c r="K1327" t="s">
        <v>812</v>
      </c>
      <c r="M1327" t="s">
        <v>1085</v>
      </c>
      <c r="P1327" t="s">
        <v>924</v>
      </c>
      <c r="Q1327" t="s">
        <v>28</v>
      </c>
      <c r="R1327" t="s">
        <v>81</v>
      </c>
      <c r="W1327">
        <v>2</v>
      </c>
      <c r="X1327" s="24">
        <v>46032</v>
      </c>
      <c r="Z1327" t="s">
        <v>38</v>
      </c>
      <c r="AB1327" t="s">
        <v>921</v>
      </c>
      <c r="AC1327" t="s">
        <v>1025</v>
      </c>
      <c r="AD1327" t="s">
        <v>39</v>
      </c>
    </row>
    <row r="1328" spans="1:30" hidden="1" x14ac:dyDescent="0.25">
      <c r="A1328">
        <v>298</v>
      </c>
      <c r="B1328" t="s">
        <v>426</v>
      </c>
      <c r="C1328">
        <v>10</v>
      </c>
      <c r="D1328">
        <v>532</v>
      </c>
      <c r="E1328">
        <v>4080</v>
      </c>
      <c r="F1328" t="s">
        <v>77</v>
      </c>
      <c r="G1328" t="s">
        <v>746</v>
      </c>
      <c r="H1328">
        <v>2</v>
      </c>
      <c r="I1328">
        <v>336.54</v>
      </c>
      <c r="J1328" t="s">
        <v>839</v>
      </c>
      <c r="K1328" t="s">
        <v>812</v>
      </c>
      <c r="M1328" t="s">
        <v>1085</v>
      </c>
      <c r="P1328" t="s">
        <v>924</v>
      </c>
      <c r="R1328" t="s">
        <v>81</v>
      </c>
      <c r="U1328" t="s">
        <v>81</v>
      </c>
      <c r="V1328" t="s">
        <v>81</v>
      </c>
      <c r="W1328">
        <v>2</v>
      </c>
      <c r="X1328" s="24">
        <v>46032</v>
      </c>
      <c r="Z1328" t="s">
        <v>38</v>
      </c>
      <c r="AB1328" t="s">
        <v>921</v>
      </c>
      <c r="AC1328" t="s">
        <v>1025</v>
      </c>
      <c r="AD1328" t="s">
        <v>39</v>
      </c>
    </row>
    <row r="1329" spans="1:30" hidden="1" x14ac:dyDescent="0.25">
      <c r="A1329">
        <v>299</v>
      </c>
      <c r="B1329" t="s">
        <v>427</v>
      </c>
      <c r="C1329">
        <v>10</v>
      </c>
      <c r="D1329">
        <v>280</v>
      </c>
      <c r="E1329">
        <v>349</v>
      </c>
      <c r="F1329" t="s">
        <v>77</v>
      </c>
      <c r="G1329" t="s">
        <v>746</v>
      </c>
      <c r="H1329">
        <v>8</v>
      </c>
      <c r="I1329">
        <v>42.42</v>
      </c>
      <c r="J1329" t="s">
        <v>839</v>
      </c>
      <c r="K1329" t="s">
        <v>812</v>
      </c>
      <c r="M1329" t="s">
        <v>1085</v>
      </c>
      <c r="P1329" t="s">
        <v>924</v>
      </c>
      <c r="Q1329" t="s">
        <v>26</v>
      </c>
      <c r="R1329" t="s">
        <v>81</v>
      </c>
      <c r="W1329">
        <v>2</v>
      </c>
      <c r="X1329" s="24">
        <v>46032</v>
      </c>
      <c r="Z1329" t="s">
        <v>38</v>
      </c>
      <c r="AB1329" t="s">
        <v>921</v>
      </c>
      <c r="AC1329" t="s">
        <v>1025</v>
      </c>
      <c r="AD1329" t="s">
        <v>39</v>
      </c>
    </row>
    <row r="1330" spans="1:30" hidden="1" x14ac:dyDescent="0.25">
      <c r="A1330">
        <v>300</v>
      </c>
      <c r="B1330" t="s">
        <v>429</v>
      </c>
      <c r="C1330">
        <v>10</v>
      </c>
      <c r="D1330">
        <v>80</v>
      </c>
      <c r="E1330">
        <v>120</v>
      </c>
      <c r="F1330" t="s">
        <v>77</v>
      </c>
      <c r="G1330" t="s">
        <v>746</v>
      </c>
      <c r="H1330">
        <v>1</v>
      </c>
      <c r="I1330">
        <v>0.72</v>
      </c>
      <c r="J1330" t="s">
        <v>839</v>
      </c>
      <c r="K1330" t="s">
        <v>812</v>
      </c>
      <c r="M1330" t="s">
        <v>1085</v>
      </c>
      <c r="O1330" t="s">
        <v>228</v>
      </c>
      <c r="P1330" t="s">
        <v>924</v>
      </c>
      <c r="Q1330" t="s">
        <v>26</v>
      </c>
      <c r="R1330" t="s">
        <v>81</v>
      </c>
      <c r="W1330">
        <v>2</v>
      </c>
      <c r="X1330" s="24">
        <v>46032</v>
      </c>
      <c r="Z1330" t="s">
        <v>38</v>
      </c>
      <c r="AB1330" t="s">
        <v>921</v>
      </c>
      <c r="AC1330" t="s">
        <v>1025</v>
      </c>
      <c r="AD1330" t="s">
        <v>39</v>
      </c>
    </row>
    <row r="1331" spans="1:30" hidden="1" x14ac:dyDescent="0.25">
      <c r="A1331">
        <v>301</v>
      </c>
      <c r="B1331" t="s">
        <v>430</v>
      </c>
      <c r="C1331">
        <v>10</v>
      </c>
      <c r="D1331">
        <v>120</v>
      </c>
      <c r="E1331">
        <v>250</v>
      </c>
      <c r="F1331" t="s">
        <v>77</v>
      </c>
      <c r="G1331" t="s">
        <v>746</v>
      </c>
      <c r="H1331">
        <v>1</v>
      </c>
      <c r="I1331">
        <v>2.36</v>
      </c>
      <c r="J1331" t="s">
        <v>839</v>
      </c>
      <c r="K1331" t="s">
        <v>812</v>
      </c>
      <c r="M1331" t="s">
        <v>1085</v>
      </c>
      <c r="P1331" t="s">
        <v>924</v>
      </c>
      <c r="Q1331" t="s">
        <v>26</v>
      </c>
      <c r="R1331" t="s">
        <v>81</v>
      </c>
      <c r="W1331">
        <v>2</v>
      </c>
      <c r="X1331" s="24">
        <v>46032</v>
      </c>
      <c r="Z1331" t="s">
        <v>38</v>
      </c>
      <c r="AB1331" t="s">
        <v>921</v>
      </c>
      <c r="AC1331" t="s">
        <v>1025</v>
      </c>
      <c r="AD1331" t="s">
        <v>39</v>
      </c>
    </row>
    <row r="1332" spans="1:30" hidden="1" x14ac:dyDescent="0.25">
      <c r="A1332">
        <v>302</v>
      </c>
      <c r="B1332" t="s">
        <v>432</v>
      </c>
      <c r="C1332">
        <v>10</v>
      </c>
      <c r="D1332">
        <v>105</v>
      </c>
      <c r="E1332">
        <v>195</v>
      </c>
      <c r="F1332" t="s">
        <v>77</v>
      </c>
      <c r="G1332" t="s">
        <v>746</v>
      </c>
      <c r="H1332">
        <v>1</v>
      </c>
      <c r="I1332">
        <v>1.02</v>
      </c>
      <c r="J1332" t="s">
        <v>839</v>
      </c>
      <c r="K1332" t="s">
        <v>812</v>
      </c>
      <c r="M1332" t="s">
        <v>1085</v>
      </c>
      <c r="P1332" t="s">
        <v>924</v>
      </c>
      <c r="Q1332" t="s">
        <v>26</v>
      </c>
      <c r="R1332" t="s">
        <v>81</v>
      </c>
      <c r="W1332">
        <v>2</v>
      </c>
      <c r="X1332" s="24">
        <v>46032</v>
      </c>
      <c r="Z1332" t="s">
        <v>38</v>
      </c>
      <c r="AB1332" t="s">
        <v>921</v>
      </c>
      <c r="AC1332" t="s">
        <v>1025</v>
      </c>
      <c r="AD1332" t="s">
        <v>39</v>
      </c>
    </row>
    <row r="1333" spans="1:30" hidden="1" x14ac:dyDescent="0.25">
      <c r="A1333">
        <v>303</v>
      </c>
      <c r="B1333" t="s">
        <v>434</v>
      </c>
      <c r="C1333">
        <v>10</v>
      </c>
      <c r="D1333">
        <v>148</v>
      </c>
      <c r="E1333">
        <v>324</v>
      </c>
      <c r="F1333" t="s">
        <v>77</v>
      </c>
      <c r="G1333" t="s">
        <v>746</v>
      </c>
      <c r="H1333">
        <v>2</v>
      </c>
      <c r="I1333">
        <v>7.4</v>
      </c>
      <c r="J1333" t="s">
        <v>839</v>
      </c>
      <c r="K1333" t="s">
        <v>812</v>
      </c>
      <c r="M1333" t="s">
        <v>1085</v>
      </c>
      <c r="P1333" t="s">
        <v>924</v>
      </c>
      <c r="Q1333" t="s">
        <v>26</v>
      </c>
      <c r="R1333" t="s">
        <v>81</v>
      </c>
      <c r="W1333">
        <v>2</v>
      </c>
      <c r="X1333" s="24">
        <v>46032</v>
      </c>
      <c r="Z1333" t="s">
        <v>38</v>
      </c>
      <c r="AB1333" t="s">
        <v>921</v>
      </c>
      <c r="AC1333" t="s">
        <v>1025</v>
      </c>
      <c r="AD1333" t="s">
        <v>39</v>
      </c>
    </row>
    <row r="1334" spans="1:30" hidden="1" x14ac:dyDescent="0.25">
      <c r="A1334">
        <v>304</v>
      </c>
      <c r="B1334" t="s">
        <v>436</v>
      </c>
      <c r="C1334">
        <v>10</v>
      </c>
      <c r="D1334">
        <v>148</v>
      </c>
      <c r="E1334">
        <v>441</v>
      </c>
      <c r="F1334" t="s">
        <v>77</v>
      </c>
      <c r="G1334" t="s">
        <v>746</v>
      </c>
      <c r="H1334">
        <v>9</v>
      </c>
      <c r="I1334">
        <v>45.55</v>
      </c>
      <c r="J1334" t="s">
        <v>839</v>
      </c>
      <c r="K1334" t="s">
        <v>812</v>
      </c>
      <c r="M1334" t="s">
        <v>1085</v>
      </c>
      <c r="P1334" t="s">
        <v>924</v>
      </c>
      <c r="Q1334" t="s">
        <v>26</v>
      </c>
      <c r="R1334" t="s">
        <v>81</v>
      </c>
      <c r="W1334">
        <v>2</v>
      </c>
      <c r="X1334" s="24">
        <v>46032</v>
      </c>
      <c r="Z1334" t="s">
        <v>38</v>
      </c>
      <c r="AB1334" t="s">
        <v>921</v>
      </c>
      <c r="AC1334" t="s">
        <v>1025</v>
      </c>
      <c r="AD1334" t="s">
        <v>39</v>
      </c>
    </row>
    <row r="1335" spans="1:30" hidden="1" x14ac:dyDescent="0.25">
      <c r="A1335">
        <v>305</v>
      </c>
      <c r="B1335" t="s">
        <v>437</v>
      </c>
      <c r="C1335">
        <v>10</v>
      </c>
      <c r="D1335">
        <v>148</v>
      </c>
      <c r="E1335">
        <v>441</v>
      </c>
      <c r="F1335" t="s">
        <v>77</v>
      </c>
      <c r="G1335" t="s">
        <v>746</v>
      </c>
      <c r="H1335">
        <v>13</v>
      </c>
      <c r="I1335">
        <v>65.790000000000006</v>
      </c>
      <c r="J1335" t="s">
        <v>839</v>
      </c>
      <c r="K1335" t="s">
        <v>812</v>
      </c>
      <c r="M1335" t="s">
        <v>1085</v>
      </c>
      <c r="P1335" t="s">
        <v>924</v>
      </c>
      <c r="Q1335" t="s">
        <v>26</v>
      </c>
      <c r="R1335" t="s">
        <v>81</v>
      </c>
      <c r="W1335">
        <v>2</v>
      </c>
      <c r="X1335" s="24">
        <v>46032</v>
      </c>
      <c r="Z1335" t="s">
        <v>38</v>
      </c>
      <c r="AB1335" t="s">
        <v>921</v>
      </c>
      <c r="AC1335" t="s">
        <v>1025</v>
      </c>
      <c r="AD1335" t="s">
        <v>39</v>
      </c>
    </row>
    <row r="1336" spans="1:30" hidden="1" x14ac:dyDescent="0.25">
      <c r="A1336">
        <v>306</v>
      </c>
      <c r="B1336" t="s">
        <v>400</v>
      </c>
      <c r="C1336">
        <v>10</v>
      </c>
      <c r="D1336">
        <v>148</v>
      </c>
      <c r="E1336">
        <v>441</v>
      </c>
      <c r="F1336" t="s">
        <v>77</v>
      </c>
      <c r="G1336" t="s">
        <v>746</v>
      </c>
      <c r="H1336">
        <v>2</v>
      </c>
      <c r="I1336">
        <v>10.119999999999999</v>
      </c>
      <c r="J1336" t="s">
        <v>839</v>
      </c>
      <c r="K1336" t="s">
        <v>812</v>
      </c>
      <c r="M1336" t="s">
        <v>1085</v>
      </c>
      <c r="P1336" t="s">
        <v>924</v>
      </c>
      <c r="Q1336" t="s">
        <v>26</v>
      </c>
      <c r="R1336" t="s">
        <v>81</v>
      </c>
      <c r="W1336">
        <v>2</v>
      </c>
      <c r="X1336" s="24">
        <v>46032</v>
      </c>
      <c r="Z1336" t="s">
        <v>38</v>
      </c>
      <c r="AB1336" t="s">
        <v>921</v>
      </c>
      <c r="AC1336" t="s">
        <v>1025</v>
      </c>
      <c r="AD1336" t="s">
        <v>39</v>
      </c>
    </row>
    <row r="1337" spans="1:30" hidden="1" x14ac:dyDescent="0.25">
      <c r="A1337">
        <v>307</v>
      </c>
      <c r="B1337" t="s">
        <v>401</v>
      </c>
      <c r="C1337">
        <v>10</v>
      </c>
      <c r="D1337">
        <v>80</v>
      </c>
      <c r="E1337">
        <v>120</v>
      </c>
      <c r="F1337" t="s">
        <v>77</v>
      </c>
      <c r="G1337" t="s">
        <v>746</v>
      </c>
      <c r="H1337">
        <v>5</v>
      </c>
      <c r="I1337">
        <v>3.62</v>
      </c>
      <c r="J1337" t="s">
        <v>839</v>
      </c>
      <c r="K1337" t="s">
        <v>812</v>
      </c>
      <c r="M1337" t="s">
        <v>1085</v>
      </c>
      <c r="O1337" t="s">
        <v>228</v>
      </c>
      <c r="P1337" t="s">
        <v>924</v>
      </c>
      <c r="Q1337" t="s">
        <v>26</v>
      </c>
      <c r="R1337" t="s">
        <v>81</v>
      </c>
      <c r="W1337">
        <v>2</v>
      </c>
      <c r="X1337" s="24">
        <v>46032</v>
      </c>
      <c r="Z1337" t="s">
        <v>38</v>
      </c>
      <c r="AB1337" t="s">
        <v>921</v>
      </c>
      <c r="AC1337" t="s">
        <v>1025</v>
      </c>
      <c r="AD1337" t="s">
        <v>39</v>
      </c>
    </row>
    <row r="1338" spans="1:30" hidden="1" x14ac:dyDescent="0.25">
      <c r="A1338">
        <v>308</v>
      </c>
      <c r="B1338" t="s">
        <v>438</v>
      </c>
      <c r="C1338">
        <v>10</v>
      </c>
      <c r="D1338">
        <v>120</v>
      </c>
      <c r="E1338">
        <v>220</v>
      </c>
      <c r="F1338" t="s">
        <v>77</v>
      </c>
      <c r="G1338" t="s">
        <v>746</v>
      </c>
      <c r="H1338">
        <v>6</v>
      </c>
      <c r="I1338">
        <v>12.08</v>
      </c>
      <c r="J1338" t="s">
        <v>839</v>
      </c>
      <c r="K1338" t="s">
        <v>812</v>
      </c>
      <c r="M1338" t="s">
        <v>1085</v>
      </c>
      <c r="O1338" t="s">
        <v>228</v>
      </c>
      <c r="P1338" t="s">
        <v>924</v>
      </c>
      <c r="Q1338" t="s">
        <v>26</v>
      </c>
      <c r="R1338" t="s">
        <v>81</v>
      </c>
      <c r="W1338">
        <v>2</v>
      </c>
      <c r="X1338" s="24">
        <v>46032</v>
      </c>
      <c r="Z1338" t="s">
        <v>38</v>
      </c>
      <c r="AB1338" t="s">
        <v>921</v>
      </c>
      <c r="AC1338" t="s">
        <v>1025</v>
      </c>
      <c r="AD1338" t="s">
        <v>39</v>
      </c>
    </row>
    <row r="1339" spans="1:30" hidden="1" x14ac:dyDescent="0.25">
      <c r="A1339">
        <v>309</v>
      </c>
      <c r="B1339" t="s">
        <v>439</v>
      </c>
      <c r="C1339">
        <v>10</v>
      </c>
      <c r="D1339">
        <v>350</v>
      </c>
      <c r="E1339">
        <v>4580</v>
      </c>
      <c r="F1339" t="s">
        <v>77</v>
      </c>
      <c r="G1339" t="s">
        <v>746</v>
      </c>
      <c r="H1339">
        <v>1</v>
      </c>
      <c r="I1339">
        <v>125.84</v>
      </c>
      <c r="J1339" t="s">
        <v>839</v>
      </c>
      <c r="K1339" t="s">
        <v>812</v>
      </c>
      <c r="M1339" t="s">
        <v>1085</v>
      </c>
      <c r="P1339" t="s">
        <v>924</v>
      </c>
      <c r="Q1339" t="s">
        <v>28</v>
      </c>
      <c r="R1339" t="s">
        <v>81</v>
      </c>
      <c r="V1339" t="s">
        <v>81</v>
      </c>
      <c r="W1339">
        <v>2</v>
      </c>
      <c r="X1339" s="24">
        <v>46032</v>
      </c>
      <c r="Z1339" t="s">
        <v>38</v>
      </c>
      <c r="AB1339" t="s">
        <v>921</v>
      </c>
      <c r="AC1339" t="s">
        <v>1025</v>
      </c>
      <c r="AD1339" t="s">
        <v>39</v>
      </c>
    </row>
    <row r="1340" spans="1:30" hidden="1" x14ac:dyDescent="0.25">
      <c r="A1340">
        <v>310</v>
      </c>
      <c r="B1340" t="s">
        <v>441</v>
      </c>
      <c r="C1340">
        <v>10</v>
      </c>
      <c r="D1340">
        <v>380</v>
      </c>
      <c r="E1340">
        <v>4577</v>
      </c>
      <c r="F1340" t="s">
        <v>77</v>
      </c>
      <c r="G1340" t="s">
        <v>746</v>
      </c>
      <c r="H1340">
        <v>2</v>
      </c>
      <c r="I1340">
        <v>270.14999999999998</v>
      </c>
      <c r="J1340" t="s">
        <v>839</v>
      </c>
      <c r="K1340" t="s">
        <v>812</v>
      </c>
      <c r="M1340" t="s">
        <v>1085</v>
      </c>
      <c r="P1340" t="s">
        <v>924</v>
      </c>
      <c r="Q1340" t="s">
        <v>28</v>
      </c>
      <c r="R1340" t="s">
        <v>81</v>
      </c>
      <c r="W1340">
        <v>2</v>
      </c>
      <c r="X1340" s="24">
        <v>46032</v>
      </c>
      <c r="Z1340" t="s">
        <v>38</v>
      </c>
      <c r="AB1340" t="s">
        <v>921</v>
      </c>
      <c r="AC1340" t="s">
        <v>1025</v>
      </c>
      <c r="AD1340" t="s">
        <v>39</v>
      </c>
    </row>
    <row r="1341" spans="1:30" hidden="1" x14ac:dyDescent="0.25">
      <c r="A1341">
        <v>311</v>
      </c>
      <c r="B1341" t="s">
        <v>404</v>
      </c>
      <c r="C1341">
        <v>10</v>
      </c>
      <c r="D1341">
        <v>120</v>
      </c>
      <c r="E1341">
        <v>220</v>
      </c>
      <c r="F1341" t="s">
        <v>77</v>
      </c>
      <c r="G1341" t="s">
        <v>746</v>
      </c>
      <c r="H1341">
        <v>5</v>
      </c>
      <c r="I1341">
        <v>10.06</v>
      </c>
      <c r="J1341" t="s">
        <v>839</v>
      </c>
      <c r="K1341" t="s">
        <v>812</v>
      </c>
      <c r="M1341" t="s">
        <v>1085</v>
      </c>
      <c r="O1341" t="s">
        <v>228</v>
      </c>
      <c r="P1341" t="s">
        <v>924</v>
      </c>
      <c r="Q1341" t="s">
        <v>26</v>
      </c>
      <c r="R1341" t="s">
        <v>81</v>
      </c>
      <c r="W1341">
        <v>2</v>
      </c>
      <c r="X1341" s="24">
        <v>46032</v>
      </c>
      <c r="Z1341" t="s">
        <v>38</v>
      </c>
      <c r="AB1341" t="s">
        <v>921</v>
      </c>
      <c r="AC1341" t="s">
        <v>1025</v>
      </c>
      <c r="AD1341" t="s">
        <v>39</v>
      </c>
    </row>
    <row r="1342" spans="1:30" hidden="1" x14ac:dyDescent="0.25">
      <c r="A1342">
        <v>312</v>
      </c>
      <c r="B1342" t="s">
        <v>442</v>
      </c>
      <c r="C1342">
        <v>10</v>
      </c>
      <c r="D1342">
        <v>350</v>
      </c>
      <c r="E1342">
        <v>4580</v>
      </c>
      <c r="F1342" t="s">
        <v>77</v>
      </c>
      <c r="G1342" t="s">
        <v>746</v>
      </c>
      <c r="H1342">
        <v>1</v>
      </c>
      <c r="I1342">
        <v>125.84</v>
      </c>
      <c r="J1342" t="s">
        <v>839</v>
      </c>
      <c r="K1342" t="s">
        <v>812</v>
      </c>
      <c r="M1342" t="s">
        <v>1085</v>
      </c>
      <c r="P1342" t="s">
        <v>924</v>
      </c>
      <c r="Q1342" t="s">
        <v>28</v>
      </c>
      <c r="R1342" t="s">
        <v>81</v>
      </c>
      <c r="V1342" t="s">
        <v>81</v>
      </c>
      <c r="W1342">
        <v>2</v>
      </c>
      <c r="X1342" s="24">
        <v>46032</v>
      </c>
      <c r="Z1342" t="s">
        <v>38</v>
      </c>
      <c r="AB1342" t="s">
        <v>921</v>
      </c>
      <c r="AC1342" t="s">
        <v>1025</v>
      </c>
      <c r="AD1342" t="s">
        <v>39</v>
      </c>
    </row>
    <row r="1343" spans="1:30" hidden="1" x14ac:dyDescent="0.25">
      <c r="A1343">
        <v>313</v>
      </c>
      <c r="B1343" t="s">
        <v>416</v>
      </c>
      <c r="C1343">
        <v>10</v>
      </c>
      <c r="D1343">
        <v>100</v>
      </c>
      <c r="E1343">
        <v>100</v>
      </c>
      <c r="F1343" t="s">
        <v>77</v>
      </c>
      <c r="G1343" t="s">
        <v>746</v>
      </c>
      <c r="H1343">
        <v>1</v>
      </c>
      <c r="I1343">
        <v>0.39</v>
      </c>
      <c r="J1343" t="s">
        <v>839</v>
      </c>
      <c r="K1343" t="s">
        <v>812</v>
      </c>
      <c r="M1343" t="s">
        <v>1085</v>
      </c>
      <c r="O1343" t="s">
        <v>228</v>
      </c>
      <c r="P1343" t="s">
        <v>924</v>
      </c>
      <c r="Q1343" t="s">
        <v>27</v>
      </c>
      <c r="R1343" t="s">
        <v>81</v>
      </c>
      <c r="W1343">
        <v>2</v>
      </c>
      <c r="X1343" s="24">
        <v>46032</v>
      </c>
      <c r="Z1343" t="s">
        <v>38</v>
      </c>
      <c r="AB1343" t="s">
        <v>921</v>
      </c>
      <c r="AC1343" t="s">
        <v>1025</v>
      </c>
      <c r="AD1343" t="s">
        <v>39</v>
      </c>
    </row>
    <row r="1344" spans="1:30" hidden="1" x14ac:dyDescent="0.25">
      <c r="A1344">
        <v>314</v>
      </c>
      <c r="B1344" t="s">
        <v>421</v>
      </c>
      <c r="C1344">
        <v>10</v>
      </c>
      <c r="D1344">
        <v>230</v>
      </c>
      <c r="E1344">
        <v>3586</v>
      </c>
      <c r="F1344" t="s">
        <v>77</v>
      </c>
      <c r="G1344" t="s">
        <v>746</v>
      </c>
      <c r="H1344">
        <v>2</v>
      </c>
      <c r="I1344">
        <v>129.49</v>
      </c>
      <c r="J1344" t="s">
        <v>839</v>
      </c>
      <c r="K1344" t="s">
        <v>812</v>
      </c>
      <c r="M1344" t="s">
        <v>1085</v>
      </c>
      <c r="P1344" t="s">
        <v>924</v>
      </c>
      <c r="Q1344" t="s">
        <v>28</v>
      </c>
      <c r="R1344" t="s">
        <v>81</v>
      </c>
      <c r="W1344">
        <v>2</v>
      </c>
      <c r="X1344" s="24">
        <v>46032</v>
      </c>
      <c r="Z1344" t="s">
        <v>38</v>
      </c>
      <c r="AB1344" t="s">
        <v>921</v>
      </c>
      <c r="AC1344" t="s">
        <v>1025</v>
      </c>
      <c r="AD1344" t="s">
        <v>39</v>
      </c>
    </row>
    <row r="1345" spans="1:30" hidden="1" x14ac:dyDescent="0.25">
      <c r="A1345">
        <v>315</v>
      </c>
      <c r="B1345" t="s">
        <v>429</v>
      </c>
      <c r="C1345">
        <v>10</v>
      </c>
      <c r="D1345">
        <v>80</v>
      </c>
      <c r="E1345">
        <v>120</v>
      </c>
      <c r="F1345" t="s">
        <v>77</v>
      </c>
      <c r="G1345" t="s">
        <v>746</v>
      </c>
      <c r="H1345">
        <v>1</v>
      </c>
      <c r="I1345">
        <v>0.72</v>
      </c>
      <c r="J1345" t="s">
        <v>839</v>
      </c>
      <c r="K1345" t="s">
        <v>812</v>
      </c>
      <c r="M1345" t="s">
        <v>1085</v>
      </c>
      <c r="O1345" t="s">
        <v>228</v>
      </c>
      <c r="P1345" t="s">
        <v>924</v>
      </c>
      <c r="Q1345" t="s">
        <v>26</v>
      </c>
      <c r="R1345" t="s">
        <v>81</v>
      </c>
      <c r="W1345">
        <v>2</v>
      </c>
      <c r="X1345" s="24">
        <v>46032</v>
      </c>
      <c r="Z1345" t="s">
        <v>38</v>
      </c>
      <c r="AB1345" t="s">
        <v>921</v>
      </c>
      <c r="AC1345" t="s">
        <v>1027</v>
      </c>
      <c r="AD1345" t="s">
        <v>39</v>
      </c>
    </row>
    <row r="1346" spans="1:30" hidden="1" x14ac:dyDescent="0.25">
      <c r="A1346">
        <v>316</v>
      </c>
      <c r="B1346" t="s">
        <v>445</v>
      </c>
      <c r="C1346">
        <v>10</v>
      </c>
      <c r="D1346">
        <v>148</v>
      </c>
      <c r="E1346">
        <v>324</v>
      </c>
      <c r="F1346" t="s">
        <v>77</v>
      </c>
      <c r="G1346" t="s">
        <v>746</v>
      </c>
      <c r="H1346">
        <v>26</v>
      </c>
      <c r="I1346">
        <v>96.24</v>
      </c>
      <c r="J1346" t="s">
        <v>839</v>
      </c>
      <c r="K1346" t="s">
        <v>812</v>
      </c>
      <c r="M1346" t="s">
        <v>1085</v>
      </c>
      <c r="P1346" t="s">
        <v>924</v>
      </c>
      <c r="Q1346" t="s">
        <v>26</v>
      </c>
      <c r="R1346" t="s">
        <v>81</v>
      </c>
      <c r="W1346">
        <v>2</v>
      </c>
      <c r="X1346" s="24">
        <v>46032</v>
      </c>
      <c r="Z1346" t="s">
        <v>38</v>
      </c>
      <c r="AB1346" t="s">
        <v>921</v>
      </c>
      <c r="AC1346" t="s">
        <v>1027</v>
      </c>
      <c r="AD1346" t="s">
        <v>39</v>
      </c>
    </row>
    <row r="1347" spans="1:30" hidden="1" x14ac:dyDescent="0.25">
      <c r="A1347">
        <v>317</v>
      </c>
      <c r="B1347" t="s">
        <v>446</v>
      </c>
      <c r="C1347">
        <v>10</v>
      </c>
      <c r="D1347">
        <v>148</v>
      </c>
      <c r="E1347">
        <v>441</v>
      </c>
      <c r="F1347" t="s">
        <v>77</v>
      </c>
      <c r="G1347" t="s">
        <v>746</v>
      </c>
      <c r="H1347">
        <v>8</v>
      </c>
      <c r="I1347">
        <v>40.49</v>
      </c>
      <c r="J1347" t="s">
        <v>839</v>
      </c>
      <c r="K1347" t="s">
        <v>812</v>
      </c>
      <c r="M1347" t="s">
        <v>1085</v>
      </c>
      <c r="P1347" t="s">
        <v>924</v>
      </c>
      <c r="Q1347" t="s">
        <v>26</v>
      </c>
      <c r="R1347" t="s">
        <v>81</v>
      </c>
      <c r="W1347">
        <v>2</v>
      </c>
      <c r="X1347" s="24">
        <v>46032</v>
      </c>
      <c r="Z1347" t="s">
        <v>38</v>
      </c>
      <c r="AB1347" t="s">
        <v>921</v>
      </c>
      <c r="AC1347" t="s">
        <v>1027</v>
      </c>
      <c r="AD1347" t="s">
        <v>39</v>
      </c>
    </row>
    <row r="1348" spans="1:30" hidden="1" x14ac:dyDescent="0.25">
      <c r="A1348">
        <v>318</v>
      </c>
      <c r="B1348" t="s">
        <v>434</v>
      </c>
      <c r="C1348">
        <v>10</v>
      </c>
      <c r="D1348">
        <v>148</v>
      </c>
      <c r="E1348">
        <v>324</v>
      </c>
      <c r="F1348" t="s">
        <v>77</v>
      </c>
      <c r="G1348" t="s">
        <v>746</v>
      </c>
      <c r="H1348">
        <v>26</v>
      </c>
      <c r="I1348">
        <v>96.24</v>
      </c>
      <c r="J1348" t="s">
        <v>839</v>
      </c>
      <c r="K1348" t="s">
        <v>812</v>
      </c>
      <c r="M1348" t="s">
        <v>1085</v>
      </c>
      <c r="P1348" t="s">
        <v>924</v>
      </c>
      <c r="Q1348" t="s">
        <v>26</v>
      </c>
      <c r="R1348" t="s">
        <v>81</v>
      </c>
      <c r="W1348">
        <v>2</v>
      </c>
      <c r="X1348" s="24">
        <v>46032</v>
      </c>
      <c r="Z1348" t="s">
        <v>38</v>
      </c>
      <c r="AB1348" t="s">
        <v>921</v>
      </c>
      <c r="AC1348" t="s">
        <v>1027</v>
      </c>
      <c r="AD1348" t="s">
        <v>39</v>
      </c>
    </row>
    <row r="1349" spans="1:30" hidden="1" x14ac:dyDescent="0.25">
      <c r="A1349">
        <v>319</v>
      </c>
      <c r="B1349" t="s">
        <v>436</v>
      </c>
      <c r="C1349">
        <v>10</v>
      </c>
      <c r="D1349">
        <v>148</v>
      </c>
      <c r="E1349">
        <v>441</v>
      </c>
      <c r="F1349" t="s">
        <v>77</v>
      </c>
      <c r="G1349" t="s">
        <v>746</v>
      </c>
      <c r="H1349">
        <v>12</v>
      </c>
      <c r="I1349">
        <v>60.73</v>
      </c>
      <c r="J1349" t="s">
        <v>839</v>
      </c>
      <c r="K1349" t="s">
        <v>812</v>
      </c>
      <c r="M1349" t="s">
        <v>1085</v>
      </c>
      <c r="P1349" t="s">
        <v>924</v>
      </c>
      <c r="Q1349" t="s">
        <v>26</v>
      </c>
      <c r="R1349" t="s">
        <v>81</v>
      </c>
      <c r="W1349">
        <v>2</v>
      </c>
      <c r="X1349" s="24">
        <v>46032</v>
      </c>
      <c r="Z1349" t="s">
        <v>38</v>
      </c>
      <c r="AB1349" t="s">
        <v>921</v>
      </c>
      <c r="AC1349" t="s">
        <v>1027</v>
      </c>
      <c r="AD1349" t="s">
        <v>39</v>
      </c>
    </row>
    <row r="1350" spans="1:30" hidden="1" x14ac:dyDescent="0.25">
      <c r="A1350">
        <v>320</v>
      </c>
      <c r="B1350" t="s">
        <v>438</v>
      </c>
      <c r="C1350">
        <v>10</v>
      </c>
      <c r="D1350">
        <v>120</v>
      </c>
      <c r="E1350">
        <v>220</v>
      </c>
      <c r="F1350" t="s">
        <v>77</v>
      </c>
      <c r="G1350" t="s">
        <v>746</v>
      </c>
      <c r="H1350">
        <v>2</v>
      </c>
      <c r="I1350">
        <v>4.03</v>
      </c>
      <c r="J1350" t="s">
        <v>839</v>
      </c>
      <c r="K1350" t="s">
        <v>812</v>
      </c>
      <c r="M1350" t="s">
        <v>1085</v>
      </c>
      <c r="O1350" t="s">
        <v>228</v>
      </c>
      <c r="P1350" t="s">
        <v>924</v>
      </c>
      <c r="Q1350" t="s">
        <v>26</v>
      </c>
      <c r="R1350" t="s">
        <v>81</v>
      </c>
      <c r="W1350">
        <v>2</v>
      </c>
      <c r="X1350" s="24">
        <v>46032</v>
      </c>
      <c r="Z1350" t="s">
        <v>38</v>
      </c>
      <c r="AB1350" t="s">
        <v>921</v>
      </c>
      <c r="AC1350" t="s">
        <v>1027</v>
      </c>
      <c r="AD1350" t="s">
        <v>39</v>
      </c>
    </row>
    <row r="1351" spans="1:30" hidden="1" x14ac:dyDescent="0.25">
      <c r="A1351">
        <v>321</v>
      </c>
      <c r="B1351" t="s">
        <v>447</v>
      </c>
      <c r="C1351">
        <v>10</v>
      </c>
      <c r="D1351">
        <v>148</v>
      </c>
      <c r="E1351">
        <v>324</v>
      </c>
      <c r="F1351" t="s">
        <v>77</v>
      </c>
      <c r="G1351" t="s">
        <v>746</v>
      </c>
      <c r="H1351">
        <v>2</v>
      </c>
      <c r="I1351">
        <v>7.4</v>
      </c>
      <c r="J1351" t="s">
        <v>839</v>
      </c>
      <c r="K1351" t="s">
        <v>812</v>
      </c>
      <c r="M1351" t="s">
        <v>1085</v>
      </c>
      <c r="P1351" t="s">
        <v>924</v>
      </c>
      <c r="Q1351" t="s">
        <v>26</v>
      </c>
      <c r="R1351" t="s">
        <v>81</v>
      </c>
      <c r="W1351">
        <v>2</v>
      </c>
      <c r="X1351" s="24">
        <v>46032</v>
      </c>
      <c r="Z1351" t="s">
        <v>38</v>
      </c>
      <c r="AB1351" t="s">
        <v>921</v>
      </c>
      <c r="AC1351" t="s">
        <v>1027</v>
      </c>
      <c r="AD1351" t="s">
        <v>39</v>
      </c>
    </row>
    <row r="1352" spans="1:30" hidden="1" x14ac:dyDescent="0.25">
      <c r="A1352">
        <v>322</v>
      </c>
      <c r="B1352" t="s">
        <v>448</v>
      </c>
      <c r="C1352">
        <v>10</v>
      </c>
      <c r="D1352">
        <v>380</v>
      </c>
      <c r="E1352">
        <v>4577</v>
      </c>
      <c r="F1352" t="s">
        <v>77</v>
      </c>
      <c r="G1352" t="s">
        <v>746</v>
      </c>
      <c r="H1352">
        <v>2</v>
      </c>
      <c r="I1352">
        <v>270.14999999999998</v>
      </c>
      <c r="J1352" t="s">
        <v>839</v>
      </c>
      <c r="K1352" t="s">
        <v>812</v>
      </c>
      <c r="M1352" t="s">
        <v>1085</v>
      </c>
      <c r="P1352" t="s">
        <v>924</v>
      </c>
      <c r="Q1352" t="s">
        <v>28</v>
      </c>
      <c r="R1352" t="s">
        <v>81</v>
      </c>
      <c r="W1352">
        <v>2</v>
      </c>
      <c r="X1352" s="24">
        <v>46032</v>
      </c>
      <c r="Z1352" t="s">
        <v>38</v>
      </c>
      <c r="AB1352" t="s">
        <v>921</v>
      </c>
      <c r="AC1352" t="s">
        <v>1027</v>
      </c>
      <c r="AD1352" t="s">
        <v>39</v>
      </c>
    </row>
    <row r="1353" spans="1:30" hidden="1" x14ac:dyDescent="0.25">
      <c r="A1353">
        <v>323</v>
      </c>
      <c r="B1353" t="s">
        <v>439</v>
      </c>
      <c r="C1353">
        <v>10</v>
      </c>
      <c r="D1353">
        <v>350</v>
      </c>
      <c r="E1353">
        <v>4580</v>
      </c>
      <c r="F1353" t="s">
        <v>77</v>
      </c>
      <c r="G1353" t="s">
        <v>746</v>
      </c>
      <c r="H1353">
        <v>1</v>
      </c>
      <c r="I1353">
        <v>125.84</v>
      </c>
      <c r="J1353" t="s">
        <v>839</v>
      </c>
      <c r="K1353" t="s">
        <v>812</v>
      </c>
      <c r="M1353" t="s">
        <v>1085</v>
      </c>
      <c r="P1353" t="s">
        <v>924</v>
      </c>
      <c r="Q1353" t="s">
        <v>28</v>
      </c>
      <c r="R1353" t="s">
        <v>81</v>
      </c>
      <c r="V1353" t="s">
        <v>81</v>
      </c>
      <c r="W1353">
        <v>2</v>
      </c>
      <c r="X1353" s="24">
        <v>46032</v>
      </c>
      <c r="Z1353" t="s">
        <v>38</v>
      </c>
      <c r="AB1353" t="s">
        <v>921</v>
      </c>
      <c r="AC1353" t="s">
        <v>1027</v>
      </c>
      <c r="AD1353" t="s">
        <v>39</v>
      </c>
    </row>
    <row r="1354" spans="1:30" hidden="1" x14ac:dyDescent="0.25">
      <c r="A1354">
        <v>324</v>
      </c>
      <c r="B1354" t="s">
        <v>449</v>
      </c>
      <c r="C1354">
        <v>10</v>
      </c>
      <c r="D1354">
        <v>350</v>
      </c>
      <c r="E1354">
        <v>4480</v>
      </c>
      <c r="F1354" t="s">
        <v>77</v>
      </c>
      <c r="G1354" t="s">
        <v>746</v>
      </c>
      <c r="H1354">
        <v>2</v>
      </c>
      <c r="I1354">
        <v>246.18</v>
      </c>
      <c r="J1354" t="s">
        <v>839</v>
      </c>
      <c r="K1354" t="s">
        <v>812</v>
      </c>
      <c r="M1354" t="s">
        <v>1085</v>
      </c>
      <c r="P1354" t="s">
        <v>924</v>
      </c>
      <c r="Q1354" t="s">
        <v>28</v>
      </c>
      <c r="R1354" t="s">
        <v>81</v>
      </c>
      <c r="V1354" t="s">
        <v>81</v>
      </c>
      <c r="W1354">
        <v>2</v>
      </c>
      <c r="X1354" s="24">
        <v>46032</v>
      </c>
      <c r="Z1354" t="s">
        <v>38</v>
      </c>
      <c r="AB1354" t="s">
        <v>921</v>
      </c>
      <c r="AC1354" t="s">
        <v>1027</v>
      </c>
      <c r="AD1354" t="s">
        <v>39</v>
      </c>
    </row>
    <row r="1355" spans="1:30" hidden="1" x14ac:dyDescent="0.25">
      <c r="A1355">
        <v>325</v>
      </c>
      <c r="B1355" t="s">
        <v>441</v>
      </c>
      <c r="C1355">
        <v>10</v>
      </c>
      <c r="D1355">
        <v>380</v>
      </c>
      <c r="E1355">
        <v>4577</v>
      </c>
      <c r="F1355" t="s">
        <v>77</v>
      </c>
      <c r="G1355" t="s">
        <v>746</v>
      </c>
      <c r="H1355">
        <v>2</v>
      </c>
      <c r="I1355">
        <v>270.14999999999998</v>
      </c>
      <c r="J1355" t="s">
        <v>839</v>
      </c>
      <c r="K1355" t="s">
        <v>812</v>
      </c>
      <c r="M1355" t="s">
        <v>1085</v>
      </c>
      <c r="P1355" t="s">
        <v>924</v>
      </c>
      <c r="Q1355" t="s">
        <v>28</v>
      </c>
      <c r="R1355" t="s">
        <v>81</v>
      </c>
      <c r="W1355">
        <v>2</v>
      </c>
      <c r="X1355" s="24">
        <v>46032</v>
      </c>
      <c r="Z1355" t="s">
        <v>38</v>
      </c>
      <c r="AB1355" t="s">
        <v>921</v>
      </c>
      <c r="AC1355" t="s">
        <v>1027</v>
      </c>
      <c r="AD1355" t="s">
        <v>39</v>
      </c>
    </row>
    <row r="1356" spans="1:30" hidden="1" x14ac:dyDescent="0.25">
      <c r="A1356">
        <v>326</v>
      </c>
      <c r="B1356" t="s">
        <v>451</v>
      </c>
      <c r="C1356">
        <v>10</v>
      </c>
      <c r="D1356">
        <v>127</v>
      </c>
      <c r="E1356">
        <v>220</v>
      </c>
      <c r="F1356" t="s">
        <v>77</v>
      </c>
      <c r="G1356" t="s">
        <v>746</v>
      </c>
      <c r="H1356">
        <v>1</v>
      </c>
      <c r="I1356">
        <v>2.13</v>
      </c>
      <c r="J1356" t="s">
        <v>839</v>
      </c>
      <c r="K1356" t="s">
        <v>812</v>
      </c>
      <c r="M1356" t="s">
        <v>1085</v>
      </c>
      <c r="O1356" t="s">
        <v>228</v>
      </c>
      <c r="P1356" t="s">
        <v>924</v>
      </c>
      <c r="Q1356" t="s">
        <v>26</v>
      </c>
      <c r="R1356" t="s">
        <v>81</v>
      </c>
      <c r="W1356">
        <v>2</v>
      </c>
      <c r="X1356" s="24">
        <v>46032</v>
      </c>
      <c r="Z1356" t="s">
        <v>38</v>
      </c>
      <c r="AB1356" t="s">
        <v>921</v>
      </c>
      <c r="AC1356" t="s">
        <v>1027</v>
      </c>
      <c r="AD1356" t="s">
        <v>39</v>
      </c>
    </row>
    <row r="1357" spans="1:30" hidden="1" x14ac:dyDescent="0.25">
      <c r="A1357">
        <v>327</v>
      </c>
      <c r="B1357" t="s">
        <v>453</v>
      </c>
      <c r="C1357">
        <v>10</v>
      </c>
      <c r="D1357">
        <v>350</v>
      </c>
      <c r="E1357">
        <v>4480</v>
      </c>
      <c r="F1357" t="s">
        <v>77</v>
      </c>
      <c r="G1357" t="s">
        <v>746</v>
      </c>
      <c r="H1357">
        <v>1</v>
      </c>
      <c r="I1357">
        <v>123.09</v>
      </c>
      <c r="J1357" t="s">
        <v>839</v>
      </c>
      <c r="K1357" t="s">
        <v>812</v>
      </c>
      <c r="M1357" t="s">
        <v>1085</v>
      </c>
      <c r="P1357" t="s">
        <v>924</v>
      </c>
      <c r="Q1357" t="s">
        <v>28</v>
      </c>
      <c r="R1357" t="s">
        <v>81</v>
      </c>
      <c r="V1357" t="s">
        <v>81</v>
      </c>
      <c r="W1357">
        <v>2</v>
      </c>
      <c r="X1357" s="24">
        <v>46032</v>
      </c>
      <c r="Z1357" t="s">
        <v>38</v>
      </c>
      <c r="AB1357" t="s">
        <v>921</v>
      </c>
      <c r="AC1357" t="s">
        <v>1027</v>
      </c>
      <c r="AD1357" t="s">
        <v>39</v>
      </c>
    </row>
    <row r="1358" spans="1:30" hidden="1" x14ac:dyDescent="0.25">
      <c r="A1358">
        <v>328</v>
      </c>
      <c r="B1358" t="s">
        <v>426</v>
      </c>
      <c r="C1358">
        <v>10</v>
      </c>
      <c r="D1358">
        <v>532</v>
      </c>
      <c r="E1358">
        <v>4080</v>
      </c>
      <c r="F1358" t="s">
        <v>77</v>
      </c>
      <c r="G1358" t="s">
        <v>746</v>
      </c>
      <c r="H1358">
        <v>2</v>
      </c>
      <c r="I1358">
        <v>336.54</v>
      </c>
      <c r="J1358" t="s">
        <v>839</v>
      </c>
      <c r="K1358" t="s">
        <v>812</v>
      </c>
      <c r="M1358" t="s">
        <v>1085</v>
      </c>
      <c r="P1358" t="s">
        <v>924</v>
      </c>
      <c r="R1358" t="s">
        <v>81</v>
      </c>
      <c r="U1358" t="s">
        <v>81</v>
      </c>
      <c r="V1358" t="s">
        <v>81</v>
      </c>
      <c r="W1358">
        <v>2</v>
      </c>
      <c r="X1358" s="24">
        <v>46032</v>
      </c>
      <c r="Z1358" t="s">
        <v>38</v>
      </c>
      <c r="AB1358" t="s">
        <v>921</v>
      </c>
      <c r="AC1358" t="s">
        <v>1029</v>
      </c>
      <c r="AD1358" t="s">
        <v>39</v>
      </c>
    </row>
    <row r="1359" spans="1:30" hidden="1" x14ac:dyDescent="0.25">
      <c r="A1359">
        <v>329</v>
      </c>
      <c r="B1359" t="s">
        <v>456</v>
      </c>
      <c r="C1359">
        <v>10</v>
      </c>
      <c r="D1359">
        <v>70</v>
      </c>
      <c r="E1359">
        <v>120</v>
      </c>
      <c r="F1359" t="s">
        <v>77</v>
      </c>
      <c r="G1359" t="s">
        <v>746</v>
      </c>
      <c r="H1359">
        <v>4</v>
      </c>
      <c r="I1359">
        <v>2.52</v>
      </c>
      <c r="J1359" t="s">
        <v>839</v>
      </c>
      <c r="K1359" t="s">
        <v>812</v>
      </c>
      <c r="M1359" t="s">
        <v>1085</v>
      </c>
      <c r="O1359" t="s">
        <v>228</v>
      </c>
      <c r="P1359" t="s">
        <v>924</v>
      </c>
      <c r="Q1359" t="s">
        <v>26</v>
      </c>
      <c r="R1359" t="s">
        <v>81</v>
      </c>
      <c r="W1359">
        <v>2</v>
      </c>
      <c r="X1359" s="24">
        <v>46032</v>
      </c>
      <c r="Z1359" t="s">
        <v>38</v>
      </c>
      <c r="AB1359" t="s">
        <v>921</v>
      </c>
      <c r="AC1359" t="s">
        <v>1029</v>
      </c>
      <c r="AD1359" t="s">
        <v>39</v>
      </c>
    </row>
    <row r="1360" spans="1:30" hidden="1" x14ac:dyDescent="0.25">
      <c r="A1360">
        <v>330</v>
      </c>
      <c r="B1360" t="s">
        <v>429</v>
      </c>
      <c r="C1360">
        <v>10</v>
      </c>
      <c r="D1360">
        <v>80</v>
      </c>
      <c r="E1360">
        <v>120</v>
      </c>
      <c r="F1360" t="s">
        <v>77</v>
      </c>
      <c r="G1360" t="s">
        <v>746</v>
      </c>
      <c r="H1360">
        <v>4</v>
      </c>
      <c r="I1360">
        <v>2.9</v>
      </c>
      <c r="J1360" t="s">
        <v>839</v>
      </c>
      <c r="K1360" t="s">
        <v>812</v>
      </c>
      <c r="M1360" t="s">
        <v>1085</v>
      </c>
      <c r="O1360" t="s">
        <v>228</v>
      </c>
      <c r="P1360" t="s">
        <v>924</v>
      </c>
      <c r="Q1360" t="s">
        <v>26</v>
      </c>
      <c r="R1360" t="s">
        <v>81</v>
      </c>
      <c r="W1360">
        <v>2</v>
      </c>
      <c r="X1360" s="24">
        <v>46032</v>
      </c>
      <c r="Z1360" t="s">
        <v>38</v>
      </c>
      <c r="AB1360" t="s">
        <v>921</v>
      </c>
      <c r="AC1360" t="s">
        <v>1029</v>
      </c>
      <c r="AD1360" t="s">
        <v>39</v>
      </c>
    </row>
    <row r="1361" spans="1:30" hidden="1" x14ac:dyDescent="0.25">
      <c r="A1361">
        <v>331</v>
      </c>
      <c r="B1361" t="s">
        <v>458</v>
      </c>
      <c r="C1361">
        <v>10</v>
      </c>
      <c r="D1361">
        <v>120</v>
      </c>
      <c r="E1361">
        <v>220</v>
      </c>
      <c r="F1361" t="s">
        <v>77</v>
      </c>
      <c r="G1361" t="s">
        <v>746</v>
      </c>
      <c r="H1361">
        <v>9</v>
      </c>
      <c r="I1361">
        <v>18.11</v>
      </c>
      <c r="J1361" t="s">
        <v>839</v>
      </c>
      <c r="K1361" t="s">
        <v>812</v>
      </c>
      <c r="M1361" t="s">
        <v>1085</v>
      </c>
      <c r="O1361" t="s">
        <v>228</v>
      </c>
      <c r="P1361" t="s">
        <v>924</v>
      </c>
      <c r="Q1361" t="s">
        <v>26</v>
      </c>
      <c r="R1361" t="s">
        <v>81</v>
      </c>
      <c r="W1361">
        <v>2</v>
      </c>
      <c r="X1361" s="24">
        <v>46032</v>
      </c>
      <c r="Z1361" t="s">
        <v>38</v>
      </c>
      <c r="AB1361" t="s">
        <v>921</v>
      </c>
      <c r="AC1361" t="s">
        <v>1029</v>
      </c>
      <c r="AD1361" t="s">
        <v>39</v>
      </c>
    </row>
    <row r="1362" spans="1:30" hidden="1" x14ac:dyDescent="0.25">
      <c r="A1362">
        <v>332</v>
      </c>
      <c r="B1362" t="s">
        <v>459</v>
      </c>
      <c r="C1362">
        <v>10</v>
      </c>
      <c r="D1362">
        <v>80</v>
      </c>
      <c r="E1362">
        <v>120</v>
      </c>
      <c r="F1362" t="s">
        <v>77</v>
      </c>
      <c r="G1362" t="s">
        <v>746</v>
      </c>
      <c r="H1362">
        <v>1</v>
      </c>
      <c r="I1362">
        <v>0.72</v>
      </c>
      <c r="J1362" t="s">
        <v>839</v>
      </c>
      <c r="K1362" t="s">
        <v>812</v>
      </c>
      <c r="M1362" t="s">
        <v>1085</v>
      </c>
      <c r="O1362" t="s">
        <v>228</v>
      </c>
      <c r="P1362" t="s">
        <v>924</v>
      </c>
      <c r="Q1362" t="s">
        <v>26</v>
      </c>
      <c r="R1362" t="s">
        <v>81</v>
      </c>
      <c r="W1362">
        <v>2</v>
      </c>
      <c r="X1362" s="24">
        <v>46032</v>
      </c>
      <c r="Z1362" t="s">
        <v>38</v>
      </c>
      <c r="AB1362" t="s">
        <v>921</v>
      </c>
      <c r="AC1362" t="s">
        <v>1029</v>
      </c>
      <c r="AD1362" t="s">
        <v>39</v>
      </c>
    </row>
    <row r="1363" spans="1:30" hidden="1" x14ac:dyDescent="0.25">
      <c r="A1363">
        <v>333</v>
      </c>
      <c r="B1363" t="s">
        <v>446</v>
      </c>
      <c r="C1363">
        <v>10</v>
      </c>
      <c r="D1363">
        <v>148</v>
      </c>
      <c r="E1363">
        <v>441</v>
      </c>
      <c r="F1363" t="s">
        <v>77</v>
      </c>
      <c r="G1363" t="s">
        <v>746</v>
      </c>
      <c r="H1363">
        <v>4</v>
      </c>
      <c r="I1363">
        <v>20.239999999999998</v>
      </c>
      <c r="J1363" t="s">
        <v>839</v>
      </c>
      <c r="K1363" t="s">
        <v>812</v>
      </c>
      <c r="M1363" t="s">
        <v>1085</v>
      </c>
      <c r="P1363" t="s">
        <v>924</v>
      </c>
      <c r="Q1363" t="s">
        <v>26</v>
      </c>
      <c r="R1363" t="s">
        <v>81</v>
      </c>
      <c r="W1363">
        <v>2</v>
      </c>
      <c r="X1363" s="24">
        <v>46032</v>
      </c>
      <c r="Z1363" t="s">
        <v>38</v>
      </c>
      <c r="AB1363" t="s">
        <v>921</v>
      </c>
      <c r="AC1363" t="s">
        <v>1029</v>
      </c>
      <c r="AD1363" t="s">
        <v>39</v>
      </c>
    </row>
    <row r="1364" spans="1:30" hidden="1" x14ac:dyDescent="0.25">
      <c r="A1364">
        <v>334</v>
      </c>
      <c r="B1364" t="s">
        <v>460</v>
      </c>
      <c r="C1364">
        <v>10</v>
      </c>
      <c r="D1364">
        <v>148</v>
      </c>
      <c r="E1364">
        <v>324</v>
      </c>
      <c r="F1364" t="s">
        <v>77</v>
      </c>
      <c r="G1364" t="s">
        <v>746</v>
      </c>
      <c r="H1364">
        <v>40</v>
      </c>
      <c r="I1364">
        <v>148.06</v>
      </c>
      <c r="J1364" t="s">
        <v>839</v>
      </c>
      <c r="K1364" t="s">
        <v>812</v>
      </c>
      <c r="M1364" t="s">
        <v>1085</v>
      </c>
      <c r="P1364" t="s">
        <v>924</v>
      </c>
      <c r="Q1364" t="s">
        <v>26</v>
      </c>
      <c r="R1364" t="s">
        <v>81</v>
      </c>
      <c r="W1364">
        <v>2</v>
      </c>
      <c r="X1364" s="24">
        <v>46032</v>
      </c>
      <c r="Z1364" t="s">
        <v>38</v>
      </c>
      <c r="AB1364" t="s">
        <v>921</v>
      </c>
      <c r="AC1364" t="s">
        <v>1029</v>
      </c>
      <c r="AD1364" t="s">
        <v>39</v>
      </c>
    </row>
    <row r="1365" spans="1:30" hidden="1" x14ac:dyDescent="0.25">
      <c r="A1365">
        <v>335</v>
      </c>
      <c r="B1365" t="s">
        <v>461</v>
      </c>
      <c r="C1365">
        <v>10</v>
      </c>
      <c r="D1365">
        <v>148</v>
      </c>
      <c r="E1365">
        <v>324</v>
      </c>
      <c r="F1365" t="s">
        <v>77</v>
      </c>
      <c r="G1365" t="s">
        <v>746</v>
      </c>
      <c r="H1365">
        <v>26</v>
      </c>
      <c r="I1365">
        <v>96.24</v>
      </c>
      <c r="J1365" t="s">
        <v>839</v>
      </c>
      <c r="K1365" t="s">
        <v>812</v>
      </c>
      <c r="M1365" t="s">
        <v>1085</v>
      </c>
      <c r="P1365" t="s">
        <v>924</v>
      </c>
      <c r="Q1365" t="s">
        <v>26</v>
      </c>
      <c r="R1365" t="s">
        <v>81</v>
      </c>
      <c r="W1365">
        <v>2</v>
      </c>
      <c r="X1365" s="24">
        <v>46032</v>
      </c>
      <c r="Z1365" t="s">
        <v>38</v>
      </c>
      <c r="AB1365" t="s">
        <v>921</v>
      </c>
      <c r="AC1365" t="s">
        <v>1029</v>
      </c>
      <c r="AD1365" t="s">
        <v>39</v>
      </c>
    </row>
    <row r="1366" spans="1:30" hidden="1" x14ac:dyDescent="0.25">
      <c r="A1366">
        <v>336</v>
      </c>
      <c r="B1366" t="s">
        <v>462</v>
      </c>
      <c r="C1366">
        <v>10</v>
      </c>
      <c r="D1366">
        <v>148</v>
      </c>
      <c r="E1366">
        <v>324</v>
      </c>
      <c r="F1366" t="s">
        <v>77</v>
      </c>
      <c r="G1366" t="s">
        <v>746</v>
      </c>
      <c r="H1366">
        <v>28</v>
      </c>
      <c r="I1366">
        <v>103.64</v>
      </c>
      <c r="J1366" t="s">
        <v>839</v>
      </c>
      <c r="K1366" t="s">
        <v>812</v>
      </c>
      <c r="M1366" t="s">
        <v>1085</v>
      </c>
      <c r="P1366" t="s">
        <v>924</v>
      </c>
      <c r="Q1366" t="s">
        <v>26</v>
      </c>
      <c r="R1366" t="s">
        <v>81</v>
      </c>
      <c r="W1366">
        <v>2</v>
      </c>
      <c r="X1366" s="24">
        <v>46032</v>
      </c>
      <c r="Z1366" t="s">
        <v>38</v>
      </c>
      <c r="AB1366" t="s">
        <v>921</v>
      </c>
      <c r="AC1366" t="s">
        <v>1029</v>
      </c>
      <c r="AD1366" t="s">
        <v>39</v>
      </c>
    </row>
    <row r="1367" spans="1:30" hidden="1" x14ac:dyDescent="0.25">
      <c r="A1367">
        <v>337</v>
      </c>
      <c r="B1367" t="s">
        <v>438</v>
      </c>
      <c r="C1367">
        <v>10</v>
      </c>
      <c r="D1367">
        <v>120</v>
      </c>
      <c r="E1367">
        <v>220</v>
      </c>
      <c r="F1367" t="s">
        <v>77</v>
      </c>
      <c r="G1367" t="s">
        <v>746</v>
      </c>
      <c r="H1367">
        <v>3</v>
      </c>
      <c r="I1367">
        <v>6.04</v>
      </c>
      <c r="J1367" t="s">
        <v>839</v>
      </c>
      <c r="K1367" t="s">
        <v>812</v>
      </c>
      <c r="M1367" t="s">
        <v>1085</v>
      </c>
      <c r="O1367" t="s">
        <v>228</v>
      </c>
      <c r="P1367" t="s">
        <v>924</v>
      </c>
      <c r="Q1367" t="s">
        <v>26</v>
      </c>
      <c r="R1367" t="s">
        <v>81</v>
      </c>
      <c r="W1367">
        <v>2</v>
      </c>
      <c r="X1367" s="24">
        <v>46032</v>
      </c>
      <c r="Z1367" t="s">
        <v>38</v>
      </c>
      <c r="AB1367" t="s">
        <v>921</v>
      </c>
      <c r="AC1367" t="s">
        <v>1029</v>
      </c>
      <c r="AD1367" t="s">
        <v>39</v>
      </c>
    </row>
    <row r="1368" spans="1:30" hidden="1" x14ac:dyDescent="0.25">
      <c r="A1368">
        <v>338</v>
      </c>
      <c r="B1368" t="s">
        <v>447</v>
      </c>
      <c r="C1368">
        <v>10</v>
      </c>
      <c r="D1368">
        <v>148</v>
      </c>
      <c r="E1368">
        <v>324</v>
      </c>
      <c r="F1368" t="s">
        <v>77</v>
      </c>
      <c r="G1368" t="s">
        <v>746</v>
      </c>
      <c r="H1368">
        <v>40</v>
      </c>
      <c r="I1368">
        <v>148.06</v>
      </c>
      <c r="J1368" t="s">
        <v>839</v>
      </c>
      <c r="K1368" t="s">
        <v>812</v>
      </c>
      <c r="M1368" t="s">
        <v>1085</v>
      </c>
      <c r="P1368" t="s">
        <v>924</v>
      </c>
      <c r="Q1368" t="s">
        <v>26</v>
      </c>
      <c r="R1368" t="s">
        <v>81</v>
      </c>
      <c r="W1368">
        <v>2</v>
      </c>
      <c r="X1368" s="24">
        <v>46032</v>
      </c>
      <c r="Z1368" t="s">
        <v>38</v>
      </c>
      <c r="AB1368" t="s">
        <v>921</v>
      </c>
      <c r="AC1368" t="s">
        <v>1029</v>
      </c>
      <c r="AD1368" t="s">
        <v>39</v>
      </c>
    </row>
    <row r="1369" spans="1:30" hidden="1" x14ac:dyDescent="0.25">
      <c r="A1369">
        <v>339</v>
      </c>
      <c r="B1369" t="s">
        <v>463</v>
      </c>
      <c r="C1369">
        <v>10</v>
      </c>
      <c r="D1369">
        <v>350</v>
      </c>
      <c r="E1369">
        <v>4580</v>
      </c>
      <c r="F1369" t="s">
        <v>77</v>
      </c>
      <c r="G1369" t="s">
        <v>746</v>
      </c>
      <c r="H1369">
        <v>1</v>
      </c>
      <c r="I1369">
        <v>125.84</v>
      </c>
      <c r="J1369" t="s">
        <v>839</v>
      </c>
      <c r="K1369" t="s">
        <v>812</v>
      </c>
      <c r="M1369" t="s">
        <v>1085</v>
      </c>
      <c r="P1369" t="s">
        <v>924</v>
      </c>
      <c r="Q1369" t="s">
        <v>28</v>
      </c>
      <c r="R1369" t="s">
        <v>81</v>
      </c>
      <c r="V1369" t="s">
        <v>81</v>
      </c>
      <c r="W1369">
        <v>2</v>
      </c>
      <c r="X1369" s="24">
        <v>46032</v>
      </c>
      <c r="Z1369" t="s">
        <v>38</v>
      </c>
      <c r="AB1369" t="s">
        <v>921</v>
      </c>
      <c r="AC1369" t="s">
        <v>1029</v>
      </c>
      <c r="AD1369" t="s">
        <v>39</v>
      </c>
    </row>
    <row r="1370" spans="1:30" hidden="1" x14ac:dyDescent="0.25">
      <c r="A1370">
        <v>340</v>
      </c>
      <c r="B1370" t="s">
        <v>464</v>
      </c>
      <c r="C1370">
        <v>10</v>
      </c>
      <c r="D1370">
        <v>350</v>
      </c>
      <c r="E1370">
        <v>4480</v>
      </c>
      <c r="F1370" t="s">
        <v>77</v>
      </c>
      <c r="G1370" t="s">
        <v>746</v>
      </c>
      <c r="H1370">
        <v>1</v>
      </c>
      <c r="I1370">
        <v>123.09</v>
      </c>
      <c r="J1370" t="s">
        <v>839</v>
      </c>
      <c r="K1370" t="s">
        <v>812</v>
      </c>
      <c r="M1370" t="s">
        <v>1085</v>
      </c>
      <c r="P1370" t="s">
        <v>924</v>
      </c>
      <c r="Q1370" t="s">
        <v>28</v>
      </c>
      <c r="R1370" t="s">
        <v>81</v>
      </c>
      <c r="V1370" t="s">
        <v>81</v>
      </c>
      <c r="W1370">
        <v>2</v>
      </c>
      <c r="X1370" s="24">
        <v>46032</v>
      </c>
      <c r="Z1370" t="s">
        <v>38</v>
      </c>
      <c r="AB1370" t="s">
        <v>921</v>
      </c>
      <c r="AC1370" t="s">
        <v>1029</v>
      </c>
      <c r="AD1370" t="s">
        <v>39</v>
      </c>
    </row>
    <row r="1371" spans="1:30" hidden="1" x14ac:dyDescent="0.25">
      <c r="A1371">
        <v>341</v>
      </c>
      <c r="B1371" t="s">
        <v>419</v>
      </c>
      <c r="C1371">
        <v>10</v>
      </c>
      <c r="D1371">
        <v>200</v>
      </c>
      <c r="E1371">
        <v>3586</v>
      </c>
      <c r="F1371" t="s">
        <v>77</v>
      </c>
      <c r="G1371" t="s">
        <v>746</v>
      </c>
      <c r="H1371">
        <v>2</v>
      </c>
      <c r="I1371">
        <v>112.6</v>
      </c>
      <c r="J1371" t="s">
        <v>839</v>
      </c>
      <c r="K1371" t="s">
        <v>812</v>
      </c>
      <c r="M1371" t="s">
        <v>1085</v>
      </c>
      <c r="P1371" t="s">
        <v>924</v>
      </c>
      <c r="Q1371" t="s">
        <v>28</v>
      </c>
      <c r="R1371" t="s">
        <v>81</v>
      </c>
      <c r="W1371">
        <v>2</v>
      </c>
      <c r="X1371" s="24">
        <v>46032</v>
      </c>
      <c r="Z1371" t="s">
        <v>38</v>
      </c>
      <c r="AB1371" t="s">
        <v>921</v>
      </c>
      <c r="AC1371" t="s">
        <v>1029</v>
      </c>
      <c r="AD1371" t="s">
        <v>39</v>
      </c>
    </row>
    <row r="1372" spans="1:30" hidden="1" x14ac:dyDescent="0.25">
      <c r="A1372">
        <v>342</v>
      </c>
      <c r="B1372" t="s">
        <v>421</v>
      </c>
      <c r="C1372">
        <v>10</v>
      </c>
      <c r="D1372">
        <v>230</v>
      </c>
      <c r="E1372">
        <v>3586</v>
      </c>
      <c r="F1372" t="s">
        <v>77</v>
      </c>
      <c r="G1372" t="s">
        <v>746</v>
      </c>
      <c r="H1372">
        <v>1</v>
      </c>
      <c r="I1372">
        <v>64.75</v>
      </c>
      <c r="J1372" t="s">
        <v>839</v>
      </c>
      <c r="K1372" t="s">
        <v>812</v>
      </c>
      <c r="M1372" t="s">
        <v>1085</v>
      </c>
      <c r="P1372" t="s">
        <v>924</v>
      </c>
      <c r="Q1372" t="s">
        <v>28</v>
      </c>
      <c r="R1372" t="s">
        <v>81</v>
      </c>
      <c r="W1372">
        <v>2</v>
      </c>
      <c r="X1372" s="24">
        <v>46032</v>
      </c>
      <c r="Z1372" t="s">
        <v>38</v>
      </c>
      <c r="AB1372" t="s">
        <v>921</v>
      </c>
      <c r="AC1372" t="s">
        <v>1029</v>
      </c>
      <c r="AD1372" t="s">
        <v>39</v>
      </c>
    </row>
    <row r="1373" spans="1:30" hidden="1" x14ac:dyDescent="0.25">
      <c r="A1373">
        <v>343</v>
      </c>
      <c r="B1373" t="s">
        <v>456</v>
      </c>
      <c r="C1373">
        <v>10</v>
      </c>
      <c r="D1373">
        <v>70</v>
      </c>
      <c r="E1373">
        <v>120</v>
      </c>
      <c r="F1373" t="s">
        <v>77</v>
      </c>
      <c r="G1373" t="s">
        <v>746</v>
      </c>
      <c r="H1373">
        <v>2</v>
      </c>
      <c r="I1373">
        <v>1.26</v>
      </c>
      <c r="J1373" t="s">
        <v>839</v>
      </c>
      <c r="K1373" t="s">
        <v>812</v>
      </c>
      <c r="M1373" t="s">
        <v>1085</v>
      </c>
      <c r="O1373" t="s">
        <v>228</v>
      </c>
      <c r="P1373" t="s">
        <v>924</v>
      </c>
      <c r="Q1373" t="s">
        <v>26</v>
      </c>
      <c r="S1373" t="s">
        <v>81</v>
      </c>
      <c r="W1373">
        <v>2</v>
      </c>
      <c r="X1373" s="24">
        <v>46032</v>
      </c>
      <c r="Z1373" t="s">
        <v>38</v>
      </c>
      <c r="AB1373" t="s">
        <v>921</v>
      </c>
      <c r="AC1373" t="s">
        <v>1032</v>
      </c>
      <c r="AD1373" t="s">
        <v>1033</v>
      </c>
    </row>
    <row r="1374" spans="1:30" hidden="1" x14ac:dyDescent="0.25">
      <c r="A1374">
        <v>344</v>
      </c>
      <c r="B1374" t="s">
        <v>459</v>
      </c>
      <c r="C1374">
        <v>10</v>
      </c>
      <c r="D1374">
        <v>80</v>
      </c>
      <c r="E1374">
        <v>120</v>
      </c>
      <c r="F1374" t="s">
        <v>77</v>
      </c>
      <c r="G1374" t="s">
        <v>746</v>
      </c>
      <c r="H1374">
        <v>3</v>
      </c>
      <c r="I1374">
        <v>2.17</v>
      </c>
      <c r="J1374" t="s">
        <v>839</v>
      </c>
      <c r="K1374" t="s">
        <v>812</v>
      </c>
      <c r="M1374" t="s">
        <v>1085</v>
      </c>
      <c r="O1374" t="s">
        <v>228</v>
      </c>
      <c r="P1374" t="s">
        <v>924</v>
      </c>
      <c r="Q1374" t="s">
        <v>26</v>
      </c>
      <c r="S1374" t="s">
        <v>81</v>
      </c>
      <c r="W1374">
        <v>2</v>
      </c>
      <c r="X1374" s="24">
        <v>46032</v>
      </c>
      <c r="Z1374" t="s">
        <v>38</v>
      </c>
      <c r="AB1374" t="s">
        <v>921</v>
      </c>
      <c r="AC1374" t="s">
        <v>1032</v>
      </c>
      <c r="AD1374" t="s">
        <v>1033</v>
      </c>
    </row>
    <row r="1375" spans="1:30" hidden="1" x14ac:dyDescent="0.25">
      <c r="A1375">
        <v>345</v>
      </c>
      <c r="B1375" t="s">
        <v>467</v>
      </c>
      <c r="C1375">
        <v>10</v>
      </c>
      <c r="D1375">
        <v>120</v>
      </c>
      <c r="E1375">
        <v>220</v>
      </c>
      <c r="F1375" t="s">
        <v>77</v>
      </c>
      <c r="G1375" t="s">
        <v>746</v>
      </c>
      <c r="H1375">
        <v>7</v>
      </c>
      <c r="I1375">
        <v>14.09</v>
      </c>
      <c r="J1375" t="s">
        <v>839</v>
      </c>
      <c r="K1375" t="s">
        <v>812</v>
      </c>
      <c r="M1375" t="s">
        <v>1085</v>
      </c>
      <c r="O1375" t="s">
        <v>228</v>
      </c>
      <c r="P1375" t="s">
        <v>924</v>
      </c>
      <c r="Q1375" t="s">
        <v>26</v>
      </c>
      <c r="S1375" t="s">
        <v>81</v>
      </c>
      <c r="W1375">
        <v>2</v>
      </c>
      <c r="X1375" s="24">
        <v>46032</v>
      </c>
      <c r="Z1375" t="s">
        <v>38</v>
      </c>
      <c r="AB1375" t="s">
        <v>921</v>
      </c>
      <c r="AC1375" t="s">
        <v>1032</v>
      </c>
      <c r="AD1375" t="s">
        <v>1033</v>
      </c>
    </row>
    <row r="1376" spans="1:30" hidden="1" x14ac:dyDescent="0.25">
      <c r="A1376">
        <v>346</v>
      </c>
      <c r="B1376" t="s">
        <v>460</v>
      </c>
      <c r="C1376">
        <v>10</v>
      </c>
      <c r="D1376">
        <v>148</v>
      </c>
      <c r="E1376">
        <v>324</v>
      </c>
      <c r="F1376" t="s">
        <v>77</v>
      </c>
      <c r="G1376" t="s">
        <v>746</v>
      </c>
      <c r="H1376">
        <v>2</v>
      </c>
      <c r="I1376">
        <v>7.4</v>
      </c>
      <c r="J1376" t="s">
        <v>839</v>
      </c>
      <c r="K1376" t="s">
        <v>812</v>
      </c>
      <c r="M1376" t="s">
        <v>1085</v>
      </c>
      <c r="P1376" t="s">
        <v>924</v>
      </c>
      <c r="Q1376" t="s">
        <v>26</v>
      </c>
      <c r="S1376" t="s">
        <v>81</v>
      </c>
      <c r="W1376">
        <v>2</v>
      </c>
      <c r="X1376" s="24">
        <v>46032</v>
      </c>
      <c r="Z1376" t="s">
        <v>38</v>
      </c>
      <c r="AB1376" t="s">
        <v>921</v>
      </c>
      <c r="AC1376" t="s">
        <v>1032</v>
      </c>
      <c r="AD1376" t="s">
        <v>1033</v>
      </c>
    </row>
    <row r="1377" spans="1:30" hidden="1" x14ac:dyDescent="0.25">
      <c r="A1377">
        <v>347</v>
      </c>
      <c r="B1377" t="s">
        <v>468</v>
      </c>
      <c r="C1377">
        <v>10</v>
      </c>
      <c r="D1377">
        <v>160</v>
      </c>
      <c r="E1377">
        <v>160</v>
      </c>
      <c r="F1377" t="s">
        <v>77</v>
      </c>
      <c r="G1377" t="s">
        <v>746</v>
      </c>
      <c r="H1377">
        <v>2</v>
      </c>
      <c r="I1377">
        <v>1.92</v>
      </c>
      <c r="J1377" t="s">
        <v>839</v>
      </c>
      <c r="K1377" t="s">
        <v>812</v>
      </c>
      <c r="M1377" t="s">
        <v>1085</v>
      </c>
      <c r="O1377" t="s">
        <v>228</v>
      </c>
      <c r="P1377" t="s">
        <v>924</v>
      </c>
      <c r="Q1377" t="s">
        <v>27</v>
      </c>
      <c r="S1377" t="s">
        <v>81</v>
      </c>
      <c r="W1377">
        <v>2</v>
      </c>
      <c r="X1377" s="24">
        <v>46032</v>
      </c>
      <c r="Z1377" t="s">
        <v>38</v>
      </c>
      <c r="AB1377" t="s">
        <v>921</v>
      </c>
      <c r="AC1377" t="s">
        <v>1032</v>
      </c>
      <c r="AD1377" t="s">
        <v>1033</v>
      </c>
    </row>
    <row r="1378" spans="1:30" hidden="1" x14ac:dyDescent="0.25">
      <c r="A1378">
        <v>348</v>
      </c>
      <c r="B1378" t="s">
        <v>470</v>
      </c>
      <c r="C1378">
        <v>10</v>
      </c>
      <c r="D1378">
        <v>160</v>
      </c>
      <c r="E1378">
        <v>160</v>
      </c>
      <c r="F1378" t="s">
        <v>77</v>
      </c>
      <c r="G1378" t="s">
        <v>746</v>
      </c>
      <c r="H1378">
        <v>4</v>
      </c>
      <c r="I1378">
        <v>3.85</v>
      </c>
      <c r="J1378" t="s">
        <v>839</v>
      </c>
      <c r="K1378" t="s">
        <v>812</v>
      </c>
      <c r="M1378" t="s">
        <v>1085</v>
      </c>
      <c r="O1378" t="s">
        <v>228</v>
      </c>
      <c r="P1378" t="s">
        <v>924</v>
      </c>
      <c r="Q1378" t="s">
        <v>27</v>
      </c>
      <c r="S1378" t="s">
        <v>81</v>
      </c>
      <c r="W1378">
        <v>2</v>
      </c>
      <c r="X1378" s="24">
        <v>46032</v>
      </c>
      <c r="Z1378" t="s">
        <v>38</v>
      </c>
      <c r="AB1378" t="s">
        <v>921</v>
      </c>
      <c r="AC1378" t="s">
        <v>1032</v>
      </c>
      <c r="AD1378" t="s">
        <v>1033</v>
      </c>
    </row>
    <row r="1379" spans="1:30" hidden="1" x14ac:dyDescent="0.25">
      <c r="A1379">
        <v>349</v>
      </c>
      <c r="B1379" t="s">
        <v>471</v>
      </c>
      <c r="C1379">
        <v>10</v>
      </c>
      <c r="D1379">
        <v>160</v>
      </c>
      <c r="E1379">
        <v>160</v>
      </c>
      <c r="F1379" t="s">
        <v>77</v>
      </c>
      <c r="G1379" t="s">
        <v>746</v>
      </c>
      <c r="H1379">
        <v>2</v>
      </c>
      <c r="I1379">
        <v>1.92</v>
      </c>
      <c r="J1379" t="s">
        <v>839</v>
      </c>
      <c r="K1379" t="s">
        <v>812</v>
      </c>
      <c r="M1379" t="s">
        <v>1085</v>
      </c>
      <c r="O1379" t="s">
        <v>228</v>
      </c>
      <c r="P1379" t="s">
        <v>924</v>
      </c>
      <c r="Q1379" t="s">
        <v>27</v>
      </c>
      <c r="S1379" t="s">
        <v>81</v>
      </c>
      <c r="W1379">
        <v>2</v>
      </c>
      <c r="X1379" s="24">
        <v>46032</v>
      </c>
      <c r="Z1379" t="s">
        <v>38</v>
      </c>
      <c r="AB1379" t="s">
        <v>921</v>
      </c>
      <c r="AC1379" t="s">
        <v>1032</v>
      </c>
      <c r="AD1379" t="s">
        <v>1033</v>
      </c>
    </row>
    <row r="1380" spans="1:30" hidden="1" x14ac:dyDescent="0.25">
      <c r="A1380">
        <v>350</v>
      </c>
      <c r="B1380" t="s">
        <v>472</v>
      </c>
      <c r="C1380">
        <v>10</v>
      </c>
      <c r="D1380">
        <v>160</v>
      </c>
      <c r="E1380">
        <v>160</v>
      </c>
      <c r="F1380" t="s">
        <v>77</v>
      </c>
      <c r="G1380" t="s">
        <v>746</v>
      </c>
      <c r="H1380">
        <v>4</v>
      </c>
      <c r="I1380">
        <v>3.85</v>
      </c>
      <c r="J1380" t="s">
        <v>839</v>
      </c>
      <c r="K1380" t="s">
        <v>812</v>
      </c>
      <c r="M1380" t="s">
        <v>1085</v>
      </c>
      <c r="O1380" t="s">
        <v>228</v>
      </c>
      <c r="P1380" t="s">
        <v>924</v>
      </c>
      <c r="Q1380" t="s">
        <v>27</v>
      </c>
      <c r="S1380" t="s">
        <v>81</v>
      </c>
      <c r="W1380">
        <v>2</v>
      </c>
      <c r="X1380" s="24">
        <v>46032</v>
      </c>
      <c r="Z1380" t="s">
        <v>38</v>
      </c>
      <c r="AB1380" t="s">
        <v>921</v>
      </c>
      <c r="AC1380" t="s">
        <v>1032</v>
      </c>
      <c r="AD1380" t="s">
        <v>1033</v>
      </c>
    </row>
    <row r="1381" spans="1:30" hidden="1" x14ac:dyDescent="0.25">
      <c r="A1381">
        <v>351</v>
      </c>
      <c r="B1381" t="s">
        <v>473</v>
      </c>
      <c r="C1381">
        <v>12</v>
      </c>
      <c r="D1381">
        <v>220</v>
      </c>
      <c r="E1381">
        <v>12000</v>
      </c>
      <c r="F1381" t="s">
        <v>77</v>
      </c>
      <c r="G1381" t="s">
        <v>746</v>
      </c>
      <c r="H1381">
        <v>2</v>
      </c>
      <c r="I1381">
        <v>497.38</v>
      </c>
      <c r="J1381" t="s">
        <v>839</v>
      </c>
      <c r="K1381" t="s">
        <v>812</v>
      </c>
      <c r="M1381" t="s">
        <v>1085</v>
      </c>
      <c r="P1381" t="s">
        <v>924</v>
      </c>
      <c r="Q1381" t="s">
        <v>28</v>
      </c>
      <c r="R1381" t="s">
        <v>81</v>
      </c>
      <c r="U1381" t="s">
        <v>81</v>
      </c>
      <c r="W1381">
        <v>2</v>
      </c>
      <c r="X1381" s="24">
        <v>46032</v>
      </c>
      <c r="Z1381" t="s">
        <v>38</v>
      </c>
      <c r="AB1381" t="s">
        <v>921</v>
      </c>
      <c r="AC1381" t="s">
        <v>1035</v>
      </c>
      <c r="AD1381" t="s">
        <v>39</v>
      </c>
    </row>
    <row r="1382" spans="1:30" hidden="1" x14ac:dyDescent="0.25">
      <c r="A1382">
        <v>352</v>
      </c>
      <c r="B1382" t="s">
        <v>478</v>
      </c>
      <c r="C1382">
        <v>12</v>
      </c>
      <c r="D1382">
        <v>220</v>
      </c>
      <c r="E1382">
        <v>12000</v>
      </c>
      <c r="F1382" t="s">
        <v>77</v>
      </c>
      <c r="G1382" t="s">
        <v>746</v>
      </c>
      <c r="H1382">
        <v>2</v>
      </c>
      <c r="I1382">
        <v>497.38</v>
      </c>
      <c r="J1382" t="s">
        <v>839</v>
      </c>
      <c r="K1382" t="s">
        <v>812</v>
      </c>
      <c r="M1382" t="s">
        <v>1085</v>
      </c>
      <c r="P1382" t="s">
        <v>924</v>
      </c>
      <c r="Q1382" t="s">
        <v>28</v>
      </c>
      <c r="R1382" t="s">
        <v>81</v>
      </c>
      <c r="U1382" t="s">
        <v>81</v>
      </c>
      <c r="W1382">
        <v>2</v>
      </c>
      <c r="X1382" s="24">
        <v>46032</v>
      </c>
      <c r="Z1382" t="s">
        <v>38</v>
      </c>
      <c r="AB1382" t="s">
        <v>921</v>
      </c>
      <c r="AC1382" t="s">
        <v>1035</v>
      </c>
      <c r="AD1382" t="s">
        <v>39</v>
      </c>
    </row>
    <row r="1383" spans="1:30" hidden="1" x14ac:dyDescent="0.25">
      <c r="A1383">
        <v>353</v>
      </c>
      <c r="B1383" t="s">
        <v>479</v>
      </c>
      <c r="C1383">
        <v>12</v>
      </c>
      <c r="D1383">
        <v>220</v>
      </c>
      <c r="E1383">
        <v>12000</v>
      </c>
      <c r="F1383" t="s">
        <v>77</v>
      </c>
      <c r="G1383" t="s">
        <v>746</v>
      </c>
      <c r="H1383">
        <v>2</v>
      </c>
      <c r="I1383">
        <v>497.38</v>
      </c>
      <c r="J1383" t="s">
        <v>839</v>
      </c>
      <c r="K1383" t="s">
        <v>812</v>
      </c>
      <c r="M1383" t="s">
        <v>1085</v>
      </c>
      <c r="P1383" t="s">
        <v>924</v>
      </c>
      <c r="Q1383" t="s">
        <v>28</v>
      </c>
      <c r="R1383" t="s">
        <v>81</v>
      </c>
      <c r="U1383" t="s">
        <v>81</v>
      </c>
      <c r="W1383">
        <v>2</v>
      </c>
      <c r="X1383" s="24">
        <v>46032</v>
      </c>
      <c r="Z1383" t="s">
        <v>38</v>
      </c>
      <c r="AB1383" t="s">
        <v>921</v>
      </c>
      <c r="AC1383" t="s">
        <v>1035</v>
      </c>
      <c r="AD1383" t="s">
        <v>39</v>
      </c>
    </row>
    <row r="1384" spans="1:30" hidden="1" x14ac:dyDescent="0.25">
      <c r="A1384">
        <v>354</v>
      </c>
      <c r="B1384" t="s">
        <v>480</v>
      </c>
      <c r="C1384">
        <v>12</v>
      </c>
      <c r="D1384">
        <v>220</v>
      </c>
      <c r="E1384">
        <v>11989</v>
      </c>
      <c r="F1384" t="s">
        <v>77</v>
      </c>
      <c r="G1384" t="s">
        <v>746</v>
      </c>
      <c r="H1384">
        <v>2</v>
      </c>
      <c r="I1384">
        <v>496.92</v>
      </c>
      <c r="J1384" t="s">
        <v>839</v>
      </c>
      <c r="K1384" t="s">
        <v>812</v>
      </c>
      <c r="M1384" t="s">
        <v>1085</v>
      </c>
      <c r="P1384" t="s">
        <v>924</v>
      </c>
      <c r="Q1384" t="s">
        <v>28</v>
      </c>
      <c r="R1384" t="s">
        <v>81</v>
      </c>
      <c r="U1384" t="s">
        <v>81</v>
      </c>
      <c r="W1384">
        <v>2</v>
      </c>
      <c r="X1384" s="24">
        <v>46032</v>
      </c>
      <c r="Z1384" t="s">
        <v>38</v>
      </c>
      <c r="AB1384" t="s">
        <v>921</v>
      </c>
      <c r="AC1384" t="s">
        <v>1037</v>
      </c>
      <c r="AD1384" t="s">
        <v>39</v>
      </c>
    </row>
    <row r="1385" spans="1:30" hidden="1" x14ac:dyDescent="0.25">
      <c r="A1385">
        <v>355</v>
      </c>
      <c r="B1385" t="s">
        <v>484</v>
      </c>
      <c r="C1385">
        <v>12</v>
      </c>
      <c r="D1385">
        <v>220</v>
      </c>
      <c r="E1385">
        <v>12000</v>
      </c>
      <c r="F1385" t="s">
        <v>77</v>
      </c>
      <c r="G1385" t="s">
        <v>746</v>
      </c>
      <c r="H1385">
        <v>2</v>
      </c>
      <c r="I1385">
        <v>497.39</v>
      </c>
      <c r="J1385" t="s">
        <v>839</v>
      </c>
      <c r="K1385" t="s">
        <v>812</v>
      </c>
      <c r="M1385" t="s">
        <v>1085</v>
      </c>
      <c r="P1385" t="s">
        <v>924</v>
      </c>
      <c r="Q1385" t="s">
        <v>28</v>
      </c>
      <c r="R1385" t="s">
        <v>81</v>
      </c>
      <c r="U1385" t="s">
        <v>81</v>
      </c>
      <c r="W1385">
        <v>2</v>
      </c>
      <c r="X1385" s="24">
        <v>46032</v>
      </c>
      <c r="Z1385" t="s">
        <v>38</v>
      </c>
      <c r="AB1385" t="s">
        <v>921</v>
      </c>
      <c r="AC1385" t="s">
        <v>1037</v>
      </c>
      <c r="AD1385" t="s">
        <v>39</v>
      </c>
    </row>
    <row r="1386" spans="1:30" hidden="1" x14ac:dyDescent="0.25">
      <c r="A1386">
        <v>356</v>
      </c>
      <c r="B1386" t="s">
        <v>485</v>
      </c>
      <c r="C1386">
        <v>12</v>
      </c>
      <c r="D1386">
        <v>220</v>
      </c>
      <c r="E1386">
        <v>11989</v>
      </c>
      <c r="F1386" t="s">
        <v>77</v>
      </c>
      <c r="G1386" t="s">
        <v>746</v>
      </c>
      <c r="H1386">
        <v>2</v>
      </c>
      <c r="I1386">
        <v>496.92</v>
      </c>
      <c r="J1386" t="s">
        <v>839</v>
      </c>
      <c r="K1386" t="s">
        <v>812</v>
      </c>
      <c r="M1386" t="s">
        <v>1085</v>
      </c>
      <c r="P1386" t="s">
        <v>924</v>
      </c>
      <c r="Q1386" t="s">
        <v>28</v>
      </c>
      <c r="R1386" t="s">
        <v>81</v>
      </c>
      <c r="U1386" t="s">
        <v>81</v>
      </c>
      <c r="W1386">
        <v>2</v>
      </c>
      <c r="X1386" s="24">
        <v>46032</v>
      </c>
      <c r="Z1386" t="s">
        <v>38</v>
      </c>
      <c r="AB1386" t="s">
        <v>921</v>
      </c>
      <c r="AC1386" t="s">
        <v>1037</v>
      </c>
      <c r="AD1386" t="s">
        <v>39</v>
      </c>
    </row>
    <row r="1387" spans="1:30" hidden="1" x14ac:dyDescent="0.25">
      <c r="A1387">
        <v>357</v>
      </c>
      <c r="B1387" t="s">
        <v>486</v>
      </c>
      <c r="C1387">
        <v>12</v>
      </c>
      <c r="D1387">
        <v>220</v>
      </c>
      <c r="E1387">
        <v>7562</v>
      </c>
      <c r="F1387" t="s">
        <v>77</v>
      </c>
      <c r="G1387" t="s">
        <v>746</v>
      </c>
      <c r="H1387">
        <v>2</v>
      </c>
      <c r="I1387">
        <v>313.44</v>
      </c>
      <c r="J1387" t="s">
        <v>839</v>
      </c>
      <c r="K1387" t="s">
        <v>812</v>
      </c>
      <c r="M1387" t="s">
        <v>1085</v>
      </c>
      <c r="P1387" t="s">
        <v>924</v>
      </c>
      <c r="Q1387" t="s">
        <v>28</v>
      </c>
      <c r="R1387" t="s">
        <v>81</v>
      </c>
      <c r="U1387" t="s">
        <v>81</v>
      </c>
      <c r="W1387">
        <v>2</v>
      </c>
      <c r="X1387" s="24">
        <v>46032</v>
      </c>
      <c r="Z1387" t="s">
        <v>38</v>
      </c>
      <c r="AB1387" t="s">
        <v>921</v>
      </c>
      <c r="AC1387" t="s">
        <v>1039</v>
      </c>
      <c r="AD1387" t="s">
        <v>39</v>
      </c>
    </row>
    <row r="1388" spans="1:30" hidden="1" x14ac:dyDescent="0.25">
      <c r="A1388">
        <v>358</v>
      </c>
      <c r="B1388" t="s">
        <v>490</v>
      </c>
      <c r="C1388">
        <v>12</v>
      </c>
      <c r="D1388">
        <v>220</v>
      </c>
      <c r="E1388">
        <v>7565</v>
      </c>
      <c r="F1388" t="s">
        <v>77</v>
      </c>
      <c r="G1388" t="s">
        <v>746</v>
      </c>
      <c r="H1388">
        <v>2</v>
      </c>
      <c r="I1388">
        <v>313.56</v>
      </c>
      <c r="J1388" t="s">
        <v>839</v>
      </c>
      <c r="K1388" t="s">
        <v>812</v>
      </c>
      <c r="M1388" t="s">
        <v>1085</v>
      </c>
      <c r="P1388" t="s">
        <v>924</v>
      </c>
      <c r="Q1388" t="s">
        <v>28</v>
      </c>
      <c r="R1388" t="s">
        <v>81</v>
      </c>
      <c r="U1388" t="s">
        <v>81</v>
      </c>
      <c r="W1388">
        <v>2</v>
      </c>
      <c r="X1388" s="24">
        <v>46032</v>
      </c>
      <c r="Z1388" t="s">
        <v>38</v>
      </c>
      <c r="AB1388" t="s">
        <v>921</v>
      </c>
      <c r="AC1388" t="s">
        <v>1039</v>
      </c>
      <c r="AD1388" t="s">
        <v>39</v>
      </c>
    </row>
    <row r="1389" spans="1:30" hidden="1" x14ac:dyDescent="0.25">
      <c r="A1389">
        <v>359</v>
      </c>
      <c r="B1389" t="s">
        <v>492</v>
      </c>
      <c r="C1389">
        <v>12</v>
      </c>
      <c r="D1389">
        <v>220</v>
      </c>
      <c r="E1389">
        <v>7561</v>
      </c>
      <c r="F1389" t="s">
        <v>77</v>
      </c>
      <c r="G1389" t="s">
        <v>746</v>
      </c>
      <c r="H1389">
        <v>2</v>
      </c>
      <c r="I1389">
        <v>313.39</v>
      </c>
      <c r="J1389" t="s">
        <v>839</v>
      </c>
      <c r="K1389" t="s">
        <v>812</v>
      </c>
      <c r="M1389" t="s">
        <v>1085</v>
      </c>
      <c r="P1389" t="s">
        <v>924</v>
      </c>
      <c r="Q1389" t="s">
        <v>28</v>
      </c>
      <c r="R1389" t="s">
        <v>81</v>
      </c>
      <c r="U1389" t="s">
        <v>81</v>
      </c>
      <c r="W1389">
        <v>2</v>
      </c>
      <c r="X1389" s="24">
        <v>46032</v>
      </c>
      <c r="Z1389" t="s">
        <v>38</v>
      </c>
      <c r="AB1389" t="s">
        <v>921</v>
      </c>
      <c r="AC1389" t="s">
        <v>1039</v>
      </c>
      <c r="AD1389" t="s">
        <v>39</v>
      </c>
    </row>
    <row r="1390" spans="1:30" hidden="1" x14ac:dyDescent="0.25">
      <c r="A1390">
        <v>360</v>
      </c>
      <c r="B1390" t="s">
        <v>494</v>
      </c>
      <c r="C1390">
        <v>12</v>
      </c>
      <c r="D1390">
        <v>220</v>
      </c>
      <c r="E1390">
        <v>11993</v>
      </c>
      <c r="F1390" t="s">
        <v>77</v>
      </c>
      <c r="G1390" t="s">
        <v>746</v>
      </c>
      <c r="H1390">
        <v>2</v>
      </c>
      <c r="I1390">
        <v>497.09</v>
      </c>
      <c r="J1390" t="s">
        <v>839</v>
      </c>
      <c r="K1390" t="s">
        <v>812</v>
      </c>
      <c r="M1390" t="s">
        <v>1085</v>
      </c>
      <c r="P1390" t="s">
        <v>924</v>
      </c>
      <c r="Q1390" t="s">
        <v>28</v>
      </c>
      <c r="R1390" t="s">
        <v>81</v>
      </c>
      <c r="U1390" t="s">
        <v>81</v>
      </c>
      <c r="W1390">
        <v>2</v>
      </c>
      <c r="X1390" s="24">
        <v>46032</v>
      </c>
      <c r="Z1390" t="s">
        <v>38</v>
      </c>
      <c r="AB1390" t="s">
        <v>921</v>
      </c>
      <c r="AC1390" t="s">
        <v>1041</v>
      </c>
      <c r="AD1390" t="s">
        <v>39</v>
      </c>
    </row>
    <row r="1391" spans="1:30" hidden="1" x14ac:dyDescent="0.25">
      <c r="A1391">
        <v>361</v>
      </c>
      <c r="B1391" t="s">
        <v>498</v>
      </c>
      <c r="C1391">
        <v>12</v>
      </c>
      <c r="D1391">
        <v>220</v>
      </c>
      <c r="E1391">
        <v>11991</v>
      </c>
      <c r="F1391" t="s">
        <v>77</v>
      </c>
      <c r="G1391" t="s">
        <v>746</v>
      </c>
      <c r="H1391">
        <v>2</v>
      </c>
      <c r="I1391">
        <v>497</v>
      </c>
      <c r="J1391" t="s">
        <v>839</v>
      </c>
      <c r="K1391" t="s">
        <v>812</v>
      </c>
      <c r="M1391" t="s">
        <v>1085</v>
      </c>
      <c r="P1391" t="s">
        <v>924</v>
      </c>
      <c r="Q1391" t="s">
        <v>28</v>
      </c>
      <c r="R1391" t="s">
        <v>81</v>
      </c>
      <c r="U1391" t="s">
        <v>81</v>
      </c>
      <c r="W1391">
        <v>2</v>
      </c>
      <c r="X1391" s="24">
        <v>46032</v>
      </c>
      <c r="Z1391" t="s">
        <v>38</v>
      </c>
      <c r="AB1391" t="s">
        <v>921</v>
      </c>
      <c r="AC1391" t="s">
        <v>1041</v>
      </c>
      <c r="AD1391" t="s">
        <v>39</v>
      </c>
    </row>
    <row r="1392" spans="1:30" hidden="1" x14ac:dyDescent="0.25">
      <c r="A1392">
        <v>362</v>
      </c>
      <c r="B1392" t="s">
        <v>500</v>
      </c>
      <c r="C1392">
        <v>12</v>
      </c>
      <c r="D1392">
        <v>220</v>
      </c>
      <c r="E1392">
        <v>11993</v>
      </c>
      <c r="F1392" t="s">
        <v>77</v>
      </c>
      <c r="G1392" t="s">
        <v>746</v>
      </c>
      <c r="H1392">
        <v>2</v>
      </c>
      <c r="I1392">
        <v>497.09</v>
      </c>
      <c r="J1392" t="s">
        <v>839</v>
      </c>
      <c r="K1392" t="s">
        <v>812</v>
      </c>
      <c r="M1392" t="s">
        <v>1085</v>
      </c>
      <c r="P1392" t="s">
        <v>924</v>
      </c>
      <c r="Q1392" t="s">
        <v>28</v>
      </c>
      <c r="R1392" t="s">
        <v>81</v>
      </c>
      <c r="U1392" t="s">
        <v>81</v>
      </c>
      <c r="W1392">
        <v>2</v>
      </c>
      <c r="X1392" s="24">
        <v>46032</v>
      </c>
      <c r="Z1392" t="s">
        <v>38</v>
      </c>
      <c r="AB1392" t="s">
        <v>921</v>
      </c>
      <c r="AC1392" t="s">
        <v>1041</v>
      </c>
      <c r="AD1392" t="s">
        <v>39</v>
      </c>
    </row>
    <row r="1393" spans="1:30" hidden="1" x14ac:dyDescent="0.25">
      <c r="A1393">
        <v>363</v>
      </c>
      <c r="B1393" t="s">
        <v>501</v>
      </c>
      <c r="C1393">
        <v>12</v>
      </c>
      <c r="D1393">
        <v>220</v>
      </c>
      <c r="E1393">
        <v>11991</v>
      </c>
      <c r="F1393" t="s">
        <v>77</v>
      </c>
      <c r="G1393" t="s">
        <v>746</v>
      </c>
      <c r="H1393">
        <v>2</v>
      </c>
      <c r="I1393">
        <v>497</v>
      </c>
      <c r="J1393" t="s">
        <v>839</v>
      </c>
      <c r="K1393" t="s">
        <v>812</v>
      </c>
      <c r="M1393" t="s">
        <v>1085</v>
      </c>
      <c r="P1393" t="s">
        <v>924</v>
      </c>
      <c r="Q1393" t="s">
        <v>28</v>
      </c>
      <c r="R1393" t="s">
        <v>81</v>
      </c>
      <c r="U1393" t="s">
        <v>81</v>
      </c>
      <c r="W1393">
        <v>2</v>
      </c>
      <c r="X1393" s="24">
        <v>46032</v>
      </c>
      <c r="Z1393" t="s">
        <v>38</v>
      </c>
      <c r="AB1393" t="s">
        <v>921</v>
      </c>
      <c r="AC1393" t="s">
        <v>1043</v>
      </c>
      <c r="AD1393" t="s">
        <v>39</v>
      </c>
    </row>
    <row r="1394" spans="1:30" hidden="1" x14ac:dyDescent="0.25">
      <c r="A1394">
        <v>364</v>
      </c>
      <c r="B1394" t="s">
        <v>504</v>
      </c>
      <c r="C1394">
        <v>12</v>
      </c>
      <c r="D1394">
        <v>220</v>
      </c>
      <c r="E1394">
        <v>11991</v>
      </c>
      <c r="F1394" t="s">
        <v>77</v>
      </c>
      <c r="G1394" t="s">
        <v>746</v>
      </c>
      <c r="H1394">
        <v>2</v>
      </c>
      <c r="I1394">
        <v>497</v>
      </c>
      <c r="J1394" t="s">
        <v>839</v>
      </c>
      <c r="K1394" t="s">
        <v>812</v>
      </c>
      <c r="M1394" t="s">
        <v>1085</v>
      </c>
      <c r="P1394" t="s">
        <v>924</v>
      </c>
      <c r="Q1394" t="s">
        <v>28</v>
      </c>
      <c r="R1394" t="s">
        <v>81</v>
      </c>
      <c r="U1394" t="s">
        <v>81</v>
      </c>
      <c r="W1394">
        <v>2</v>
      </c>
      <c r="X1394" s="24">
        <v>46032</v>
      </c>
      <c r="Z1394" t="s">
        <v>38</v>
      </c>
      <c r="AB1394" t="s">
        <v>921</v>
      </c>
      <c r="AC1394" t="s">
        <v>1043</v>
      </c>
      <c r="AD1394" t="s">
        <v>39</v>
      </c>
    </row>
    <row r="1395" spans="1:30" hidden="1" x14ac:dyDescent="0.25">
      <c r="A1395">
        <v>365</v>
      </c>
      <c r="B1395" t="s">
        <v>505</v>
      </c>
      <c r="C1395">
        <v>12</v>
      </c>
      <c r="D1395">
        <v>220</v>
      </c>
      <c r="E1395">
        <v>11991</v>
      </c>
      <c r="F1395" t="s">
        <v>77</v>
      </c>
      <c r="G1395" t="s">
        <v>746</v>
      </c>
      <c r="H1395">
        <v>2</v>
      </c>
      <c r="I1395">
        <v>497</v>
      </c>
      <c r="J1395" t="s">
        <v>839</v>
      </c>
      <c r="K1395" t="s">
        <v>812</v>
      </c>
      <c r="M1395" t="s">
        <v>1085</v>
      </c>
      <c r="P1395" t="s">
        <v>924</v>
      </c>
      <c r="Q1395" t="s">
        <v>28</v>
      </c>
      <c r="R1395" t="s">
        <v>81</v>
      </c>
      <c r="U1395" t="s">
        <v>81</v>
      </c>
      <c r="W1395">
        <v>2</v>
      </c>
      <c r="X1395" s="24">
        <v>46032</v>
      </c>
      <c r="Z1395" t="s">
        <v>38</v>
      </c>
      <c r="AB1395" t="s">
        <v>921</v>
      </c>
      <c r="AC1395" t="s">
        <v>1043</v>
      </c>
      <c r="AD1395" t="s">
        <v>39</v>
      </c>
    </row>
    <row r="1396" spans="1:30" hidden="1" x14ac:dyDescent="0.25">
      <c r="A1396">
        <v>366</v>
      </c>
      <c r="B1396" t="s">
        <v>506</v>
      </c>
      <c r="C1396">
        <v>12</v>
      </c>
      <c r="D1396">
        <v>220</v>
      </c>
      <c r="E1396">
        <v>7564</v>
      </c>
      <c r="F1396" t="s">
        <v>77</v>
      </c>
      <c r="G1396" t="s">
        <v>746</v>
      </c>
      <c r="H1396">
        <v>2</v>
      </c>
      <c r="I1396">
        <v>313.51</v>
      </c>
      <c r="J1396" t="s">
        <v>839</v>
      </c>
      <c r="K1396" t="s">
        <v>812</v>
      </c>
      <c r="M1396" t="s">
        <v>1085</v>
      </c>
      <c r="P1396" t="s">
        <v>924</v>
      </c>
      <c r="Q1396" t="s">
        <v>28</v>
      </c>
      <c r="S1396" t="s">
        <v>81</v>
      </c>
      <c r="U1396" t="s">
        <v>81</v>
      </c>
      <c r="W1396">
        <v>2</v>
      </c>
      <c r="X1396" s="24">
        <v>46032</v>
      </c>
      <c r="Z1396" t="s">
        <v>38</v>
      </c>
      <c r="AB1396" t="s">
        <v>921</v>
      </c>
      <c r="AC1396" t="s">
        <v>1045</v>
      </c>
      <c r="AD1396" t="s">
        <v>1046</v>
      </c>
    </row>
    <row r="1397" spans="1:30" hidden="1" x14ac:dyDescent="0.25">
      <c r="A1397">
        <v>367</v>
      </c>
      <c r="B1397" t="s">
        <v>510</v>
      </c>
      <c r="C1397">
        <v>16</v>
      </c>
      <c r="D1397">
        <v>50</v>
      </c>
      <c r="E1397">
        <v>120</v>
      </c>
      <c r="F1397" t="s">
        <v>77</v>
      </c>
      <c r="G1397" t="s">
        <v>746</v>
      </c>
      <c r="H1397">
        <v>16</v>
      </c>
      <c r="I1397">
        <v>11.15</v>
      </c>
      <c r="J1397" t="s">
        <v>839</v>
      </c>
      <c r="K1397" t="s">
        <v>812</v>
      </c>
      <c r="M1397" t="s">
        <v>1085</v>
      </c>
      <c r="O1397" t="s">
        <v>228</v>
      </c>
      <c r="P1397" t="s">
        <v>924</v>
      </c>
      <c r="Q1397" t="s">
        <v>27</v>
      </c>
      <c r="R1397" t="s">
        <v>81</v>
      </c>
      <c r="W1397">
        <v>2</v>
      </c>
      <c r="X1397" s="24">
        <v>46032</v>
      </c>
      <c r="Z1397" t="s">
        <v>38</v>
      </c>
      <c r="AB1397" t="s">
        <v>921</v>
      </c>
      <c r="AC1397" t="s">
        <v>1048</v>
      </c>
      <c r="AD1397" t="s">
        <v>39</v>
      </c>
    </row>
    <row r="1398" spans="1:30" hidden="1" x14ac:dyDescent="0.25">
      <c r="A1398">
        <v>368</v>
      </c>
      <c r="B1398" t="s">
        <v>515</v>
      </c>
      <c r="C1398">
        <v>16</v>
      </c>
      <c r="D1398">
        <v>220</v>
      </c>
      <c r="E1398">
        <v>280</v>
      </c>
      <c r="F1398" t="s">
        <v>77</v>
      </c>
      <c r="G1398" t="s">
        <v>746</v>
      </c>
      <c r="H1398">
        <v>4</v>
      </c>
      <c r="I1398">
        <v>30.85</v>
      </c>
      <c r="J1398" t="s">
        <v>839</v>
      </c>
      <c r="K1398" t="s">
        <v>812</v>
      </c>
      <c r="M1398" t="s">
        <v>1085</v>
      </c>
      <c r="P1398" t="s">
        <v>924</v>
      </c>
      <c r="Q1398" t="s">
        <v>26</v>
      </c>
      <c r="R1398" t="s">
        <v>81</v>
      </c>
      <c r="W1398">
        <v>2</v>
      </c>
      <c r="X1398" s="24">
        <v>46032</v>
      </c>
      <c r="Z1398" t="s">
        <v>38</v>
      </c>
      <c r="AB1398" t="s">
        <v>921</v>
      </c>
      <c r="AC1398" t="s">
        <v>1048</v>
      </c>
      <c r="AD1398" t="s">
        <v>39</v>
      </c>
    </row>
    <row r="1399" spans="1:30" hidden="1" x14ac:dyDescent="0.25">
      <c r="A1399">
        <v>369</v>
      </c>
      <c r="B1399" t="s">
        <v>517</v>
      </c>
      <c r="C1399">
        <v>16</v>
      </c>
      <c r="D1399">
        <v>200</v>
      </c>
      <c r="E1399">
        <v>300</v>
      </c>
      <c r="F1399" t="s">
        <v>77</v>
      </c>
      <c r="G1399" t="s">
        <v>746</v>
      </c>
      <c r="H1399">
        <v>2</v>
      </c>
      <c r="I1399">
        <v>9.73</v>
      </c>
      <c r="J1399" t="s">
        <v>839</v>
      </c>
      <c r="K1399" t="s">
        <v>812</v>
      </c>
      <c r="M1399" t="s">
        <v>1085</v>
      </c>
      <c r="P1399" t="s">
        <v>924</v>
      </c>
      <c r="Q1399" t="s">
        <v>26</v>
      </c>
      <c r="R1399" t="s">
        <v>81</v>
      </c>
      <c r="W1399">
        <v>2</v>
      </c>
      <c r="X1399" s="24">
        <v>46032</v>
      </c>
      <c r="Z1399" t="s">
        <v>38</v>
      </c>
      <c r="AB1399" t="s">
        <v>921</v>
      </c>
      <c r="AC1399" t="s">
        <v>1048</v>
      </c>
      <c r="AD1399" t="s">
        <v>39</v>
      </c>
    </row>
    <row r="1400" spans="1:30" hidden="1" x14ac:dyDescent="0.25">
      <c r="A1400">
        <v>370</v>
      </c>
      <c r="B1400" t="s">
        <v>519</v>
      </c>
      <c r="C1400">
        <v>16</v>
      </c>
      <c r="D1400">
        <v>200</v>
      </c>
      <c r="E1400">
        <v>300</v>
      </c>
      <c r="F1400" t="s">
        <v>77</v>
      </c>
      <c r="G1400" t="s">
        <v>746</v>
      </c>
      <c r="H1400">
        <v>2</v>
      </c>
      <c r="I1400">
        <v>9.73</v>
      </c>
      <c r="J1400" t="s">
        <v>839</v>
      </c>
      <c r="K1400" t="s">
        <v>812</v>
      </c>
      <c r="M1400" t="s">
        <v>1085</v>
      </c>
      <c r="P1400" t="s">
        <v>924</v>
      </c>
      <c r="Q1400" t="s">
        <v>26</v>
      </c>
      <c r="R1400" t="s">
        <v>81</v>
      </c>
      <c r="W1400">
        <v>2</v>
      </c>
      <c r="X1400" s="24">
        <v>46032</v>
      </c>
      <c r="Z1400" t="s">
        <v>38</v>
      </c>
      <c r="AB1400" t="s">
        <v>921</v>
      </c>
      <c r="AC1400" t="s">
        <v>1048</v>
      </c>
      <c r="AD1400" t="s">
        <v>39</v>
      </c>
    </row>
    <row r="1401" spans="1:30" hidden="1" x14ac:dyDescent="0.25">
      <c r="A1401">
        <v>371</v>
      </c>
      <c r="B1401" t="s">
        <v>520</v>
      </c>
      <c r="C1401">
        <v>16</v>
      </c>
      <c r="D1401">
        <v>275</v>
      </c>
      <c r="E1401">
        <v>12000</v>
      </c>
      <c r="F1401" t="s">
        <v>77</v>
      </c>
      <c r="G1401" t="s">
        <v>746</v>
      </c>
      <c r="H1401">
        <v>1</v>
      </c>
      <c r="I1401">
        <v>414.49</v>
      </c>
      <c r="J1401" t="s">
        <v>839</v>
      </c>
      <c r="K1401" t="s">
        <v>812</v>
      </c>
      <c r="M1401" t="s">
        <v>1085</v>
      </c>
      <c r="P1401" t="s">
        <v>924</v>
      </c>
      <c r="Q1401" t="s">
        <v>28</v>
      </c>
      <c r="R1401" t="s">
        <v>81</v>
      </c>
      <c r="U1401" t="s">
        <v>81</v>
      </c>
      <c r="W1401">
        <v>2</v>
      </c>
      <c r="X1401" s="24">
        <v>46032</v>
      </c>
      <c r="Z1401" t="s">
        <v>38</v>
      </c>
      <c r="AB1401" t="s">
        <v>921</v>
      </c>
      <c r="AC1401" t="s">
        <v>1048</v>
      </c>
      <c r="AD1401" t="s">
        <v>39</v>
      </c>
    </row>
    <row r="1402" spans="1:30" hidden="1" x14ac:dyDescent="0.25">
      <c r="A1402">
        <v>372</v>
      </c>
      <c r="B1402" t="s">
        <v>522</v>
      </c>
      <c r="C1402">
        <v>16</v>
      </c>
      <c r="D1402">
        <v>275</v>
      </c>
      <c r="E1402">
        <v>12000</v>
      </c>
      <c r="F1402" t="s">
        <v>77</v>
      </c>
      <c r="G1402" t="s">
        <v>746</v>
      </c>
      <c r="H1402">
        <v>1</v>
      </c>
      <c r="I1402">
        <v>414.48</v>
      </c>
      <c r="J1402" t="s">
        <v>839</v>
      </c>
      <c r="K1402" t="s">
        <v>812</v>
      </c>
      <c r="M1402" t="s">
        <v>1085</v>
      </c>
      <c r="P1402" t="s">
        <v>924</v>
      </c>
      <c r="Q1402" t="s">
        <v>28</v>
      </c>
      <c r="R1402" t="s">
        <v>81</v>
      </c>
      <c r="U1402" t="s">
        <v>81</v>
      </c>
      <c r="W1402">
        <v>2</v>
      </c>
      <c r="X1402" s="24">
        <v>46032</v>
      </c>
      <c r="Z1402" t="s">
        <v>38</v>
      </c>
      <c r="AB1402" t="s">
        <v>921</v>
      </c>
      <c r="AC1402" t="s">
        <v>1048</v>
      </c>
      <c r="AD1402" t="s">
        <v>39</v>
      </c>
    </row>
    <row r="1403" spans="1:30" hidden="1" x14ac:dyDescent="0.25">
      <c r="A1403">
        <v>373</v>
      </c>
      <c r="B1403" t="s">
        <v>523</v>
      </c>
      <c r="C1403">
        <v>16</v>
      </c>
      <c r="D1403">
        <v>275</v>
      </c>
      <c r="E1403">
        <v>11976</v>
      </c>
      <c r="F1403" t="s">
        <v>77</v>
      </c>
      <c r="G1403" t="s">
        <v>746</v>
      </c>
      <c r="H1403">
        <v>1</v>
      </c>
      <c r="I1403">
        <v>413.65</v>
      </c>
      <c r="J1403" t="s">
        <v>839</v>
      </c>
      <c r="K1403" t="s">
        <v>812</v>
      </c>
      <c r="M1403" t="s">
        <v>1085</v>
      </c>
      <c r="P1403" t="s">
        <v>924</v>
      </c>
      <c r="Q1403" t="s">
        <v>28</v>
      </c>
      <c r="R1403" t="s">
        <v>81</v>
      </c>
      <c r="U1403" t="s">
        <v>81</v>
      </c>
      <c r="W1403">
        <v>2</v>
      </c>
      <c r="X1403" s="24">
        <v>46032</v>
      </c>
      <c r="Z1403" t="s">
        <v>38</v>
      </c>
      <c r="AB1403" t="s">
        <v>921</v>
      </c>
      <c r="AC1403" t="s">
        <v>1048</v>
      </c>
      <c r="AD1403" t="s">
        <v>39</v>
      </c>
    </row>
    <row r="1404" spans="1:30" hidden="1" x14ac:dyDescent="0.25">
      <c r="A1404">
        <v>374</v>
      </c>
      <c r="B1404" t="s">
        <v>525</v>
      </c>
      <c r="C1404">
        <v>16</v>
      </c>
      <c r="D1404">
        <v>200</v>
      </c>
      <c r="E1404">
        <v>300</v>
      </c>
      <c r="F1404" t="s">
        <v>77</v>
      </c>
      <c r="G1404" t="s">
        <v>746</v>
      </c>
      <c r="H1404">
        <v>2</v>
      </c>
      <c r="I1404">
        <v>9.73</v>
      </c>
      <c r="J1404" t="s">
        <v>839</v>
      </c>
      <c r="K1404" t="s">
        <v>812</v>
      </c>
      <c r="M1404" t="s">
        <v>1085</v>
      </c>
      <c r="P1404" t="s">
        <v>924</v>
      </c>
      <c r="Q1404" t="s">
        <v>26</v>
      </c>
      <c r="R1404" t="s">
        <v>81</v>
      </c>
      <c r="W1404">
        <v>2</v>
      </c>
      <c r="X1404" s="24">
        <v>46032</v>
      </c>
      <c r="Z1404" t="s">
        <v>38</v>
      </c>
      <c r="AB1404" t="s">
        <v>921</v>
      </c>
      <c r="AC1404" t="s">
        <v>1048</v>
      </c>
      <c r="AD1404" t="s">
        <v>39</v>
      </c>
    </row>
    <row r="1405" spans="1:30" hidden="1" x14ac:dyDescent="0.25">
      <c r="A1405">
        <v>375</v>
      </c>
      <c r="B1405" t="s">
        <v>526</v>
      </c>
      <c r="C1405">
        <v>16</v>
      </c>
      <c r="D1405">
        <v>200</v>
      </c>
      <c r="E1405">
        <v>300</v>
      </c>
      <c r="F1405" t="s">
        <v>77</v>
      </c>
      <c r="G1405" t="s">
        <v>746</v>
      </c>
      <c r="H1405">
        <v>2</v>
      </c>
      <c r="I1405">
        <v>9.73</v>
      </c>
      <c r="J1405" t="s">
        <v>839</v>
      </c>
      <c r="K1405" t="s">
        <v>812</v>
      </c>
      <c r="M1405" t="s">
        <v>1085</v>
      </c>
      <c r="P1405" t="s">
        <v>924</v>
      </c>
      <c r="Q1405" t="s">
        <v>26</v>
      </c>
      <c r="R1405" t="s">
        <v>81</v>
      </c>
      <c r="W1405">
        <v>2</v>
      </c>
      <c r="X1405" s="24">
        <v>46032</v>
      </c>
      <c r="Z1405" t="s">
        <v>38</v>
      </c>
      <c r="AB1405" t="s">
        <v>921</v>
      </c>
      <c r="AC1405" t="s">
        <v>1048</v>
      </c>
      <c r="AD1405" t="s">
        <v>39</v>
      </c>
    </row>
    <row r="1406" spans="1:30" hidden="1" x14ac:dyDescent="0.25">
      <c r="A1406">
        <v>376</v>
      </c>
      <c r="B1406" t="s">
        <v>527</v>
      </c>
      <c r="C1406">
        <v>16</v>
      </c>
      <c r="D1406">
        <v>275</v>
      </c>
      <c r="E1406">
        <v>12000</v>
      </c>
      <c r="F1406" t="s">
        <v>77</v>
      </c>
      <c r="G1406" t="s">
        <v>746</v>
      </c>
      <c r="H1406">
        <v>1</v>
      </c>
      <c r="I1406">
        <v>414.48</v>
      </c>
      <c r="J1406" t="s">
        <v>839</v>
      </c>
      <c r="K1406" t="s">
        <v>812</v>
      </c>
      <c r="M1406" t="s">
        <v>1085</v>
      </c>
      <c r="P1406" t="s">
        <v>924</v>
      </c>
      <c r="Q1406" t="s">
        <v>28</v>
      </c>
      <c r="R1406" t="s">
        <v>81</v>
      </c>
      <c r="U1406" t="s">
        <v>81</v>
      </c>
      <c r="W1406">
        <v>2</v>
      </c>
      <c r="X1406" s="24">
        <v>46032</v>
      </c>
      <c r="Z1406" t="s">
        <v>38</v>
      </c>
      <c r="AB1406" t="s">
        <v>921</v>
      </c>
      <c r="AC1406" t="s">
        <v>1048</v>
      </c>
      <c r="AD1406" t="s">
        <v>39</v>
      </c>
    </row>
    <row r="1407" spans="1:30" hidden="1" x14ac:dyDescent="0.25">
      <c r="A1407">
        <v>377</v>
      </c>
      <c r="B1407" t="s">
        <v>528</v>
      </c>
      <c r="C1407">
        <v>16</v>
      </c>
      <c r="D1407">
        <v>275</v>
      </c>
      <c r="E1407">
        <v>7587</v>
      </c>
      <c r="F1407" t="s">
        <v>77</v>
      </c>
      <c r="G1407" t="s">
        <v>746</v>
      </c>
      <c r="H1407">
        <v>1</v>
      </c>
      <c r="I1407">
        <v>262.06</v>
      </c>
      <c r="J1407" t="s">
        <v>839</v>
      </c>
      <c r="K1407" t="s">
        <v>812</v>
      </c>
      <c r="M1407" t="s">
        <v>1085</v>
      </c>
      <c r="P1407" t="s">
        <v>924</v>
      </c>
      <c r="Q1407" t="s">
        <v>28</v>
      </c>
      <c r="R1407" t="s">
        <v>81</v>
      </c>
      <c r="U1407" t="s">
        <v>81</v>
      </c>
      <c r="W1407">
        <v>2</v>
      </c>
      <c r="X1407" s="24">
        <v>46032</v>
      </c>
      <c r="Z1407" t="s">
        <v>38</v>
      </c>
      <c r="AB1407" t="s">
        <v>921</v>
      </c>
      <c r="AC1407" t="s">
        <v>1048</v>
      </c>
      <c r="AD1407" t="s">
        <v>39</v>
      </c>
    </row>
    <row r="1408" spans="1:30" hidden="1" x14ac:dyDescent="0.25">
      <c r="A1408">
        <v>378</v>
      </c>
      <c r="B1408" t="s">
        <v>530</v>
      </c>
      <c r="C1408">
        <v>16</v>
      </c>
      <c r="D1408">
        <v>275</v>
      </c>
      <c r="E1408">
        <v>12000</v>
      </c>
      <c r="F1408" t="s">
        <v>77</v>
      </c>
      <c r="G1408" t="s">
        <v>746</v>
      </c>
      <c r="H1408">
        <v>1</v>
      </c>
      <c r="I1408">
        <v>414.48</v>
      </c>
      <c r="J1408" t="s">
        <v>839</v>
      </c>
      <c r="K1408" t="s">
        <v>812</v>
      </c>
      <c r="M1408" t="s">
        <v>1085</v>
      </c>
      <c r="P1408" t="s">
        <v>924</v>
      </c>
      <c r="Q1408" t="s">
        <v>28</v>
      </c>
      <c r="R1408" t="s">
        <v>81</v>
      </c>
      <c r="U1408" t="s">
        <v>81</v>
      </c>
      <c r="W1408">
        <v>2</v>
      </c>
      <c r="X1408" s="24">
        <v>46032</v>
      </c>
      <c r="Z1408" t="s">
        <v>38</v>
      </c>
      <c r="AB1408" t="s">
        <v>921</v>
      </c>
      <c r="AC1408" t="s">
        <v>1048</v>
      </c>
      <c r="AD1408" t="s">
        <v>39</v>
      </c>
    </row>
    <row r="1409" spans="1:30" hidden="1" x14ac:dyDescent="0.25">
      <c r="A1409">
        <v>379</v>
      </c>
      <c r="B1409" t="s">
        <v>531</v>
      </c>
      <c r="C1409">
        <v>16</v>
      </c>
      <c r="D1409">
        <v>275</v>
      </c>
      <c r="E1409">
        <v>7583</v>
      </c>
      <c r="F1409" t="s">
        <v>77</v>
      </c>
      <c r="G1409" t="s">
        <v>746</v>
      </c>
      <c r="H1409">
        <v>1</v>
      </c>
      <c r="I1409">
        <v>261.92</v>
      </c>
      <c r="J1409" t="s">
        <v>839</v>
      </c>
      <c r="K1409" t="s">
        <v>812</v>
      </c>
      <c r="M1409" t="s">
        <v>1085</v>
      </c>
      <c r="P1409" t="s">
        <v>924</v>
      </c>
      <c r="Q1409" t="s">
        <v>28</v>
      </c>
      <c r="R1409" t="s">
        <v>81</v>
      </c>
      <c r="U1409" t="s">
        <v>81</v>
      </c>
      <c r="W1409">
        <v>2</v>
      </c>
      <c r="X1409" s="24">
        <v>46032</v>
      </c>
      <c r="Z1409" t="s">
        <v>38</v>
      </c>
      <c r="AB1409" t="s">
        <v>921</v>
      </c>
      <c r="AC1409" t="s">
        <v>1048</v>
      </c>
      <c r="AD1409" t="s">
        <v>39</v>
      </c>
    </row>
    <row r="1410" spans="1:30" hidden="1" x14ac:dyDescent="0.25">
      <c r="A1410">
        <v>380</v>
      </c>
      <c r="B1410" t="s">
        <v>535</v>
      </c>
      <c r="C1410">
        <v>16</v>
      </c>
      <c r="D1410">
        <v>220</v>
      </c>
      <c r="E1410">
        <v>280</v>
      </c>
      <c r="F1410" t="s">
        <v>77</v>
      </c>
      <c r="G1410" t="s">
        <v>746</v>
      </c>
      <c r="H1410">
        <v>4</v>
      </c>
      <c r="I1410">
        <v>30.85</v>
      </c>
      <c r="J1410" t="s">
        <v>839</v>
      </c>
      <c r="K1410" t="s">
        <v>812</v>
      </c>
      <c r="M1410" t="s">
        <v>1085</v>
      </c>
      <c r="P1410" t="s">
        <v>924</v>
      </c>
      <c r="Q1410" t="s">
        <v>26</v>
      </c>
      <c r="R1410" t="s">
        <v>81</v>
      </c>
      <c r="W1410">
        <v>2</v>
      </c>
      <c r="X1410" s="24">
        <v>46032</v>
      </c>
      <c r="Z1410" t="s">
        <v>38</v>
      </c>
      <c r="AB1410" t="s">
        <v>921</v>
      </c>
      <c r="AC1410" t="s">
        <v>1048</v>
      </c>
      <c r="AD1410" t="s">
        <v>39</v>
      </c>
    </row>
    <row r="1411" spans="1:30" hidden="1" x14ac:dyDescent="0.25">
      <c r="A1411">
        <v>381</v>
      </c>
      <c r="B1411" t="s">
        <v>536</v>
      </c>
      <c r="C1411">
        <v>16</v>
      </c>
      <c r="D1411">
        <v>170</v>
      </c>
      <c r="E1411">
        <v>170</v>
      </c>
      <c r="F1411" t="s">
        <v>77</v>
      </c>
      <c r="G1411" t="s">
        <v>746</v>
      </c>
      <c r="H1411">
        <v>6</v>
      </c>
      <c r="I1411">
        <v>21.63</v>
      </c>
      <c r="J1411" t="s">
        <v>839</v>
      </c>
      <c r="K1411" t="s">
        <v>812</v>
      </c>
      <c r="M1411" t="s">
        <v>1085</v>
      </c>
      <c r="P1411" t="s">
        <v>924</v>
      </c>
      <c r="Q1411" t="s">
        <v>26</v>
      </c>
      <c r="R1411" t="s">
        <v>81</v>
      </c>
      <c r="W1411">
        <v>2</v>
      </c>
      <c r="X1411" s="24">
        <v>46032</v>
      </c>
      <c r="Z1411" t="s">
        <v>38</v>
      </c>
      <c r="AB1411" t="s">
        <v>921</v>
      </c>
      <c r="AC1411" t="s">
        <v>1048</v>
      </c>
      <c r="AD1411" t="s">
        <v>39</v>
      </c>
    </row>
    <row r="1412" spans="1:30" hidden="1" x14ac:dyDescent="0.25">
      <c r="A1412">
        <v>382</v>
      </c>
      <c r="B1412" t="s">
        <v>538</v>
      </c>
      <c r="C1412">
        <v>16</v>
      </c>
      <c r="D1412">
        <v>170</v>
      </c>
      <c r="E1412">
        <v>170</v>
      </c>
      <c r="F1412" t="s">
        <v>77</v>
      </c>
      <c r="G1412" t="s">
        <v>746</v>
      </c>
      <c r="H1412">
        <v>4</v>
      </c>
      <c r="I1412">
        <v>14.42</v>
      </c>
      <c r="J1412" t="s">
        <v>839</v>
      </c>
      <c r="K1412" t="s">
        <v>812</v>
      </c>
      <c r="M1412" t="s">
        <v>1085</v>
      </c>
      <c r="P1412" t="s">
        <v>924</v>
      </c>
      <c r="Q1412" t="s">
        <v>26</v>
      </c>
      <c r="R1412" t="s">
        <v>81</v>
      </c>
      <c r="W1412">
        <v>2</v>
      </c>
      <c r="X1412" s="24">
        <v>46032</v>
      </c>
      <c r="Z1412" t="s">
        <v>38</v>
      </c>
      <c r="AB1412" t="s">
        <v>921</v>
      </c>
      <c r="AC1412" t="s">
        <v>1048</v>
      </c>
      <c r="AD1412" t="s">
        <v>39</v>
      </c>
    </row>
    <row r="1413" spans="1:30" hidden="1" x14ac:dyDescent="0.25">
      <c r="A1413">
        <v>383</v>
      </c>
      <c r="B1413" t="s">
        <v>539</v>
      </c>
      <c r="C1413">
        <v>16</v>
      </c>
      <c r="D1413">
        <v>170</v>
      </c>
      <c r="E1413">
        <v>170</v>
      </c>
      <c r="F1413" t="s">
        <v>77</v>
      </c>
      <c r="G1413" t="s">
        <v>746</v>
      </c>
      <c r="H1413">
        <v>4</v>
      </c>
      <c r="I1413">
        <v>14.42</v>
      </c>
      <c r="J1413" t="s">
        <v>839</v>
      </c>
      <c r="K1413" t="s">
        <v>812</v>
      </c>
      <c r="M1413" t="s">
        <v>1085</v>
      </c>
      <c r="P1413" t="s">
        <v>924</v>
      </c>
      <c r="Q1413" t="s">
        <v>26</v>
      </c>
      <c r="R1413" t="s">
        <v>81</v>
      </c>
      <c r="W1413">
        <v>2</v>
      </c>
      <c r="X1413" s="24">
        <v>46032</v>
      </c>
      <c r="Z1413" t="s">
        <v>38</v>
      </c>
      <c r="AB1413" t="s">
        <v>921</v>
      </c>
      <c r="AC1413" t="s">
        <v>1048</v>
      </c>
      <c r="AD1413" t="s">
        <v>39</v>
      </c>
    </row>
    <row r="1414" spans="1:30" hidden="1" x14ac:dyDescent="0.25">
      <c r="A1414">
        <v>384</v>
      </c>
      <c r="B1414" t="s">
        <v>540</v>
      </c>
      <c r="C1414">
        <v>16</v>
      </c>
      <c r="D1414">
        <v>170</v>
      </c>
      <c r="E1414">
        <v>170</v>
      </c>
      <c r="F1414" t="s">
        <v>77</v>
      </c>
      <c r="G1414" t="s">
        <v>746</v>
      </c>
      <c r="H1414">
        <v>4</v>
      </c>
      <c r="I1414">
        <v>14.42</v>
      </c>
      <c r="J1414" t="s">
        <v>839</v>
      </c>
      <c r="K1414" t="s">
        <v>812</v>
      </c>
      <c r="M1414" t="s">
        <v>1085</v>
      </c>
      <c r="P1414" t="s">
        <v>924</v>
      </c>
      <c r="Q1414" t="s">
        <v>26</v>
      </c>
      <c r="R1414" t="s">
        <v>81</v>
      </c>
      <c r="W1414">
        <v>2</v>
      </c>
      <c r="X1414" s="24">
        <v>46032</v>
      </c>
      <c r="Z1414" t="s">
        <v>38</v>
      </c>
      <c r="AB1414" t="s">
        <v>921</v>
      </c>
      <c r="AC1414" t="s">
        <v>1048</v>
      </c>
      <c r="AD1414" t="s">
        <v>39</v>
      </c>
    </row>
    <row r="1415" spans="1:30" hidden="1" x14ac:dyDescent="0.25">
      <c r="A1415">
        <v>385</v>
      </c>
      <c r="B1415" t="s">
        <v>541</v>
      </c>
      <c r="C1415">
        <v>16</v>
      </c>
      <c r="D1415">
        <v>170</v>
      </c>
      <c r="E1415">
        <v>170</v>
      </c>
      <c r="F1415" t="s">
        <v>77</v>
      </c>
      <c r="G1415" t="s">
        <v>746</v>
      </c>
      <c r="H1415">
        <v>4</v>
      </c>
      <c r="I1415">
        <v>14.42</v>
      </c>
      <c r="J1415" t="s">
        <v>839</v>
      </c>
      <c r="K1415" t="s">
        <v>812</v>
      </c>
      <c r="M1415" t="s">
        <v>1085</v>
      </c>
      <c r="P1415" t="s">
        <v>924</v>
      </c>
      <c r="Q1415" t="s">
        <v>26</v>
      </c>
      <c r="R1415" t="s">
        <v>81</v>
      </c>
      <c r="W1415">
        <v>2</v>
      </c>
      <c r="X1415" s="24">
        <v>46032</v>
      </c>
      <c r="Z1415" t="s">
        <v>38</v>
      </c>
      <c r="AB1415" t="s">
        <v>921</v>
      </c>
      <c r="AC1415" t="s">
        <v>1048</v>
      </c>
      <c r="AD1415" t="s">
        <v>39</v>
      </c>
    </row>
    <row r="1416" spans="1:30" hidden="1" x14ac:dyDescent="0.25">
      <c r="A1416">
        <v>386</v>
      </c>
      <c r="B1416" t="s">
        <v>542</v>
      </c>
      <c r="C1416">
        <v>16</v>
      </c>
      <c r="D1416">
        <v>170</v>
      </c>
      <c r="E1416">
        <v>170</v>
      </c>
      <c r="F1416" t="s">
        <v>77</v>
      </c>
      <c r="G1416" t="s">
        <v>746</v>
      </c>
      <c r="H1416">
        <v>4</v>
      </c>
      <c r="I1416">
        <v>14.42</v>
      </c>
      <c r="J1416" t="s">
        <v>839</v>
      </c>
      <c r="K1416" t="s">
        <v>812</v>
      </c>
      <c r="M1416" t="s">
        <v>1085</v>
      </c>
      <c r="P1416" t="s">
        <v>924</v>
      </c>
      <c r="Q1416" t="s">
        <v>26</v>
      </c>
      <c r="R1416" t="s">
        <v>81</v>
      </c>
      <c r="W1416">
        <v>2</v>
      </c>
      <c r="X1416" s="24">
        <v>46032</v>
      </c>
      <c r="Z1416" t="s">
        <v>38</v>
      </c>
      <c r="AB1416" t="s">
        <v>921</v>
      </c>
      <c r="AC1416" t="s">
        <v>1048</v>
      </c>
      <c r="AD1416" t="s">
        <v>39</v>
      </c>
    </row>
    <row r="1417" spans="1:30" hidden="1" x14ac:dyDescent="0.25">
      <c r="A1417">
        <v>387</v>
      </c>
      <c r="B1417" t="s">
        <v>543</v>
      </c>
      <c r="C1417">
        <v>16</v>
      </c>
      <c r="D1417">
        <v>170</v>
      </c>
      <c r="E1417">
        <v>170</v>
      </c>
      <c r="F1417" t="s">
        <v>77</v>
      </c>
      <c r="G1417" t="s">
        <v>746</v>
      </c>
      <c r="H1417">
        <v>4</v>
      </c>
      <c r="I1417">
        <v>14.42</v>
      </c>
      <c r="J1417" t="s">
        <v>839</v>
      </c>
      <c r="K1417" t="s">
        <v>812</v>
      </c>
      <c r="M1417" t="s">
        <v>1085</v>
      </c>
      <c r="P1417" t="s">
        <v>924</v>
      </c>
      <c r="Q1417" t="s">
        <v>26</v>
      </c>
      <c r="R1417" t="s">
        <v>81</v>
      </c>
      <c r="W1417">
        <v>2</v>
      </c>
      <c r="X1417" s="24">
        <v>46032</v>
      </c>
      <c r="Z1417" t="s">
        <v>38</v>
      </c>
      <c r="AB1417" t="s">
        <v>921</v>
      </c>
      <c r="AC1417" t="s">
        <v>1048</v>
      </c>
      <c r="AD1417" t="s">
        <v>39</v>
      </c>
    </row>
    <row r="1418" spans="1:30" hidden="1" x14ac:dyDescent="0.25">
      <c r="A1418">
        <v>388</v>
      </c>
      <c r="B1418" t="s">
        <v>544</v>
      </c>
      <c r="C1418">
        <v>16</v>
      </c>
      <c r="D1418">
        <v>170</v>
      </c>
      <c r="E1418">
        <v>170</v>
      </c>
      <c r="F1418" t="s">
        <v>77</v>
      </c>
      <c r="G1418" t="s">
        <v>746</v>
      </c>
      <c r="H1418">
        <v>4</v>
      </c>
      <c r="I1418">
        <v>14.42</v>
      </c>
      <c r="J1418" t="s">
        <v>839</v>
      </c>
      <c r="K1418" t="s">
        <v>812</v>
      </c>
      <c r="M1418" t="s">
        <v>1085</v>
      </c>
      <c r="P1418" t="s">
        <v>924</v>
      </c>
      <c r="Q1418" t="s">
        <v>26</v>
      </c>
      <c r="R1418" t="s">
        <v>81</v>
      </c>
      <c r="W1418">
        <v>2</v>
      </c>
      <c r="X1418" s="24">
        <v>46032</v>
      </c>
      <c r="Z1418" t="s">
        <v>38</v>
      </c>
      <c r="AB1418" t="s">
        <v>921</v>
      </c>
      <c r="AC1418" t="s">
        <v>1048</v>
      </c>
      <c r="AD1418" t="s">
        <v>39</v>
      </c>
    </row>
    <row r="1419" spans="1:30" hidden="1" x14ac:dyDescent="0.25">
      <c r="A1419">
        <v>389</v>
      </c>
      <c r="B1419" t="s">
        <v>545</v>
      </c>
      <c r="C1419">
        <v>16</v>
      </c>
      <c r="D1419">
        <v>170</v>
      </c>
      <c r="E1419">
        <v>170</v>
      </c>
      <c r="F1419" t="s">
        <v>77</v>
      </c>
      <c r="G1419" t="s">
        <v>746</v>
      </c>
      <c r="H1419">
        <v>4</v>
      </c>
      <c r="I1419">
        <v>14.42</v>
      </c>
      <c r="J1419" t="s">
        <v>839</v>
      </c>
      <c r="K1419" t="s">
        <v>812</v>
      </c>
      <c r="M1419" t="s">
        <v>1085</v>
      </c>
      <c r="P1419" t="s">
        <v>924</v>
      </c>
      <c r="Q1419" t="s">
        <v>26</v>
      </c>
      <c r="R1419" t="s">
        <v>81</v>
      </c>
      <c r="W1419">
        <v>2</v>
      </c>
      <c r="X1419" s="24">
        <v>46032</v>
      </c>
      <c r="Z1419" t="s">
        <v>38</v>
      </c>
      <c r="AB1419" t="s">
        <v>921</v>
      </c>
      <c r="AC1419" t="s">
        <v>1048</v>
      </c>
      <c r="AD1419" t="s">
        <v>39</v>
      </c>
    </row>
    <row r="1420" spans="1:30" hidden="1" x14ac:dyDescent="0.25">
      <c r="A1420">
        <v>390</v>
      </c>
      <c r="B1420" t="s">
        <v>546</v>
      </c>
      <c r="C1420">
        <v>16</v>
      </c>
      <c r="D1420">
        <v>170</v>
      </c>
      <c r="E1420">
        <v>170</v>
      </c>
      <c r="F1420" t="s">
        <v>77</v>
      </c>
      <c r="G1420" t="s">
        <v>746</v>
      </c>
      <c r="H1420">
        <v>6</v>
      </c>
      <c r="I1420">
        <v>21.63</v>
      </c>
      <c r="J1420" t="s">
        <v>839</v>
      </c>
      <c r="K1420" t="s">
        <v>812</v>
      </c>
      <c r="M1420" t="s">
        <v>1085</v>
      </c>
      <c r="P1420" t="s">
        <v>924</v>
      </c>
      <c r="Q1420" t="s">
        <v>26</v>
      </c>
      <c r="R1420" t="s">
        <v>81</v>
      </c>
      <c r="W1420">
        <v>2</v>
      </c>
      <c r="X1420" s="24">
        <v>46032</v>
      </c>
      <c r="Z1420" t="s">
        <v>38</v>
      </c>
      <c r="AB1420" t="s">
        <v>921</v>
      </c>
      <c r="AC1420" t="s">
        <v>1048</v>
      </c>
      <c r="AD1420" t="s">
        <v>39</v>
      </c>
    </row>
    <row r="1421" spans="1:30" hidden="1" x14ac:dyDescent="0.25">
      <c r="A1421">
        <v>391</v>
      </c>
      <c r="B1421" t="s">
        <v>533</v>
      </c>
      <c r="C1421">
        <v>16</v>
      </c>
      <c r="D1421">
        <v>240</v>
      </c>
      <c r="E1421">
        <v>240</v>
      </c>
      <c r="F1421" t="s">
        <v>77</v>
      </c>
      <c r="G1421" t="s">
        <v>746</v>
      </c>
      <c r="H1421">
        <v>2</v>
      </c>
      <c r="I1421">
        <v>8.0299999999999994</v>
      </c>
      <c r="J1421" t="s">
        <v>839</v>
      </c>
      <c r="K1421" t="s">
        <v>812</v>
      </c>
      <c r="M1421" t="s">
        <v>1085</v>
      </c>
      <c r="O1421" t="s">
        <v>228</v>
      </c>
      <c r="P1421" t="s">
        <v>924</v>
      </c>
      <c r="Q1421" t="s">
        <v>27</v>
      </c>
      <c r="R1421" t="s">
        <v>81</v>
      </c>
      <c r="W1421">
        <v>2</v>
      </c>
      <c r="X1421" s="24">
        <v>46032</v>
      </c>
      <c r="Z1421" t="s">
        <v>38</v>
      </c>
      <c r="AB1421" t="s">
        <v>921</v>
      </c>
      <c r="AC1421" t="s">
        <v>1048</v>
      </c>
      <c r="AD1421" t="s">
        <v>39</v>
      </c>
    </row>
    <row r="1422" spans="1:30" hidden="1" x14ac:dyDescent="0.25">
      <c r="A1422">
        <v>392</v>
      </c>
      <c r="B1422" t="s">
        <v>547</v>
      </c>
      <c r="C1422">
        <v>16</v>
      </c>
      <c r="D1422">
        <v>275</v>
      </c>
      <c r="E1422">
        <v>11976</v>
      </c>
      <c r="F1422" t="s">
        <v>77</v>
      </c>
      <c r="G1422" t="s">
        <v>746</v>
      </c>
      <c r="H1422">
        <v>1</v>
      </c>
      <c r="I1422">
        <v>413.65</v>
      </c>
      <c r="J1422" t="s">
        <v>839</v>
      </c>
      <c r="K1422" t="s">
        <v>812</v>
      </c>
      <c r="M1422" t="s">
        <v>1085</v>
      </c>
      <c r="P1422" t="s">
        <v>924</v>
      </c>
      <c r="Q1422" t="s">
        <v>28</v>
      </c>
      <c r="R1422" t="s">
        <v>81</v>
      </c>
      <c r="U1422" t="s">
        <v>81</v>
      </c>
      <c r="W1422">
        <v>2</v>
      </c>
      <c r="X1422" s="24">
        <v>46032</v>
      </c>
      <c r="Z1422" t="s">
        <v>38</v>
      </c>
      <c r="AB1422" t="s">
        <v>921</v>
      </c>
      <c r="AC1422" t="s">
        <v>1050</v>
      </c>
      <c r="AD1422" t="s">
        <v>39</v>
      </c>
    </row>
    <row r="1423" spans="1:30" hidden="1" x14ac:dyDescent="0.25">
      <c r="A1423">
        <v>393</v>
      </c>
      <c r="B1423" t="s">
        <v>550</v>
      </c>
      <c r="C1423">
        <v>16</v>
      </c>
      <c r="D1423">
        <v>275</v>
      </c>
      <c r="E1423">
        <v>11978</v>
      </c>
      <c r="F1423" t="s">
        <v>77</v>
      </c>
      <c r="G1423" t="s">
        <v>746</v>
      </c>
      <c r="H1423">
        <v>1</v>
      </c>
      <c r="I1423">
        <v>413.72</v>
      </c>
      <c r="J1423" t="s">
        <v>839</v>
      </c>
      <c r="K1423" t="s">
        <v>812</v>
      </c>
      <c r="M1423" t="s">
        <v>1085</v>
      </c>
      <c r="P1423" t="s">
        <v>924</v>
      </c>
      <c r="Q1423" t="s">
        <v>28</v>
      </c>
      <c r="R1423" t="s">
        <v>81</v>
      </c>
      <c r="U1423" t="s">
        <v>81</v>
      </c>
      <c r="W1423">
        <v>2</v>
      </c>
      <c r="X1423" s="24">
        <v>46032</v>
      </c>
      <c r="Z1423" t="s">
        <v>38</v>
      </c>
      <c r="AB1423" t="s">
        <v>921</v>
      </c>
      <c r="AC1423" t="s">
        <v>1050</v>
      </c>
      <c r="AD1423" t="s">
        <v>39</v>
      </c>
    </row>
    <row r="1424" spans="1:30" hidden="1" x14ac:dyDescent="0.25">
      <c r="A1424">
        <v>394</v>
      </c>
      <c r="B1424" t="s">
        <v>552</v>
      </c>
      <c r="C1424">
        <v>16</v>
      </c>
      <c r="D1424">
        <v>275</v>
      </c>
      <c r="E1424">
        <v>12007</v>
      </c>
      <c r="F1424" t="s">
        <v>77</v>
      </c>
      <c r="G1424" t="s">
        <v>746</v>
      </c>
      <c r="H1424">
        <v>1</v>
      </c>
      <c r="I1424">
        <v>414.72</v>
      </c>
      <c r="J1424" t="s">
        <v>839</v>
      </c>
      <c r="K1424" t="s">
        <v>812</v>
      </c>
      <c r="M1424" t="s">
        <v>1085</v>
      </c>
      <c r="P1424" t="s">
        <v>924</v>
      </c>
      <c r="Q1424" t="s">
        <v>28</v>
      </c>
      <c r="R1424" t="s">
        <v>81</v>
      </c>
      <c r="U1424" t="s">
        <v>81</v>
      </c>
      <c r="W1424">
        <v>2</v>
      </c>
      <c r="X1424" s="24">
        <v>46032</v>
      </c>
      <c r="Z1424" t="s">
        <v>38</v>
      </c>
      <c r="AB1424" t="s">
        <v>921</v>
      </c>
      <c r="AC1424" t="s">
        <v>1050</v>
      </c>
      <c r="AD1424" t="s">
        <v>39</v>
      </c>
    </row>
    <row r="1425" spans="1:30" hidden="1" x14ac:dyDescent="0.25">
      <c r="A1425">
        <v>395</v>
      </c>
      <c r="B1425" t="s">
        <v>554</v>
      </c>
      <c r="C1425">
        <v>16</v>
      </c>
      <c r="D1425">
        <v>275</v>
      </c>
      <c r="E1425">
        <v>12005</v>
      </c>
      <c r="F1425" t="s">
        <v>77</v>
      </c>
      <c r="G1425" t="s">
        <v>746</v>
      </c>
      <c r="H1425">
        <v>1</v>
      </c>
      <c r="I1425">
        <v>414.65</v>
      </c>
      <c r="J1425" t="s">
        <v>839</v>
      </c>
      <c r="K1425" t="s">
        <v>812</v>
      </c>
      <c r="M1425" t="s">
        <v>1085</v>
      </c>
      <c r="P1425" t="s">
        <v>924</v>
      </c>
      <c r="Q1425" t="s">
        <v>28</v>
      </c>
      <c r="R1425" t="s">
        <v>81</v>
      </c>
      <c r="U1425" t="s">
        <v>81</v>
      </c>
      <c r="W1425">
        <v>2</v>
      </c>
      <c r="X1425" s="24">
        <v>46032</v>
      </c>
      <c r="Z1425" t="s">
        <v>38</v>
      </c>
      <c r="AB1425" t="s">
        <v>921</v>
      </c>
      <c r="AC1425" t="s">
        <v>1050</v>
      </c>
      <c r="AD1425" t="s">
        <v>39</v>
      </c>
    </row>
    <row r="1426" spans="1:30" hidden="1" x14ac:dyDescent="0.25">
      <c r="A1426">
        <v>396</v>
      </c>
      <c r="B1426" t="s">
        <v>556</v>
      </c>
      <c r="C1426">
        <v>16</v>
      </c>
      <c r="D1426">
        <v>275</v>
      </c>
      <c r="E1426">
        <v>11978</v>
      </c>
      <c r="F1426" t="s">
        <v>77</v>
      </c>
      <c r="G1426" t="s">
        <v>746</v>
      </c>
      <c r="H1426">
        <v>1</v>
      </c>
      <c r="I1426">
        <v>413.72</v>
      </c>
      <c r="J1426" t="s">
        <v>839</v>
      </c>
      <c r="K1426" t="s">
        <v>812</v>
      </c>
      <c r="M1426" t="s">
        <v>1085</v>
      </c>
      <c r="P1426" t="s">
        <v>924</v>
      </c>
      <c r="Q1426" t="s">
        <v>28</v>
      </c>
      <c r="R1426" t="s">
        <v>81</v>
      </c>
      <c r="U1426" t="s">
        <v>81</v>
      </c>
      <c r="W1426">
        <v>2</v>
      </c>
      <c r="X1426" s="24">
        <v>46032</v>
      </c>
      <c r="Z1426" t="s">
        <v>38</v>
      </c>
      <c r="AB1426" t="s">
        <v>921</v>
      </c>
      <c r="AC1426" t="s">
        <v>1050</v>
      </c>
      <c r="AD1426" t="s">
        <v>39</v>
      </c>
    </row>
    <row r="1427" spans="1:30" hidden="1" x14ac:dyDescent="0.25">
      <c r="A1427">
        <v>397</v>
      </c>
      <c r="B1427" t="s">
        <v>557</v>
      </c>
      <c r="C1427">
        <v>16</v>
      </c>
      <c r="D1427">
        <v>275</v>
      </c>
      <c r="E1427">
        <v>12007</v>
      </c>
      <c r="F1427" t="s">
        <v>77</v>
      </c>
      <c r="G1427" t="s">
        <v>746</v>
      </c>
      <c r="H1427">
        <v>1</v>
      </c>
      <c r="I1427">
        <v>414.72</v>
      </c>
      <c r="J1427" t="s">
        <v>839</v>
      </c>
      <c r="K1427" t="s">
        <v>812</v>
      </c>
      <c r="M1427" t="s">
        <v>1085</v>
      </c>
      <c r="P1427" t="s">
        <v>924</v>
      </c>
      <c r="Q1427" t="s">
        <v>28</v>
      </c>
      <c r="R1427" t="s">
        <v>81</v>
      </c>
      <c r="U1427" t="s">
        <v>81</v>
      </c>
      <c r="W1427">
        <v>2</v>
      </c>
      <c r="X1427" s="24">
        <v>46032</v>
      </c>
      <c r="Z1427" t="s">
        <v>38</v>
      </c>
      <c r="AB1427" t="s">
        <v>921</v>
      </c>
      <c r="AC1427" t="s">
        <v>1050</v>
      </c>
      <c r="AD1427" t="s">
        <v>39</v>
      </c>
    </row>
    <row r="1428" spans="1:30" hidden="1" x14ac:dyDescent="0.25">
      <c r="A1428">
        <v>398</v>
      </c>
      <c r="B1428" t="s">
        <v>558</v>
      </c>
      <c r="C1428">
        <v>16</v>
      </c>
      <c r="D1428">
        <v>275</v>
      </c>
      <c r="E1428">
        <v>12005</v>
      </c>
      <c r="F1428" t="s">
        <v>77</v>
      </c>
      <c r="G1428" t="s">
        <v>746</v>
      </c>
      <c r="H1428">
        <v>1</v>
      </c>
      <c r="I1428">
        <v>414.65</v>
      </c>
      <c r="J1428" t="s">
        <v>839</v>
      </c>
      <c r="K1428" t="s">
        <v>812</v>
      </c>
      <c r="M1428" t="s">
        <v>1085</v>
      </c>
      <c r="P1428" t="s">
        <v>924</v>
      </c>
      <c r="Q1428" t="s">
        <v>28</v>
      </c>
      <c r="R1428" t="s">
        <v>81</v>
      </c>
      <c r="U1428" t="s">
        <v>81</v>
      </c>
      <c r="W1428">
        <v>2</v>
      </c>
      <c r="X1428" s="24">
        <v>46032</v>
      </c>
      <c r="Z1428" t="s">
        <v>38</v>
      </c>
      <c r="AB1428" t="s">
        <v>921</v>
      </c>
      <c r="AC1428" t="s">
        <v>1050</v>
      </c>
      <c r="AD1428" t="s">
        <v>39</v>
      </c>
    </row>
    <row r="1429" spans="1:30" hidden="1" x14ac:dyDescent="0.25">
      <c r="A1429">
        <v>399</v>
      </c>
      <c r="B1429" t="s">
        <v>559</v>
      </c>
      <c r="C1429">
        <v>16</v>
      </c>
      <c r="D1429">
        <v>275</v>
      </c>
      <c r="E1429">
        <v>7588</v>
      </c>
      <c r="F1429" t="s">
        <v>77</v>
      </c>
      <c r="G1429" t="s">
        <v>746</v>
      </c>
      <c r="H1429">
        <v>1</v>
      </c>
      <c r="I1429">
        <v>262.08999999999997</v>
      </c>
      <c r="J1429" t="s">
        <v>839</v>
      </c>
      <c r="K1429" t="s">
        <v>812</v>
      </c>
      <c r="M1429" t="s">
        <v>1085</v>
      </c>
      <c r="P1429" t="s">
        <v>924</v>
      </c>
      <c r="Q1429" t="s">
        <v>28</v>
      </c>
      <c r="S1429" t="s">
        <v>81</v>
      </c>
      <c r="U1429" t="s">
        <v>81</v>
      </c>
      <c r="W1429">
        <v>2</v>
      </c>
      <c r="X1429" s="24">
        <v>46032</v>
      </c>
      <c r="Z1429" t="s">
        <v>38</v>
      </c>
      <c r="AB1429" t="s">
        <v>921</v>
      </c>
      <c r="AC1429" t="s">
        <v>1053</v>
      </c>
      <c r="AD1429" t="s">
        <v>1054</v>
      </c>
    </row>
    <row r="1430" spans="1:30" hidden="1" x14ac:dyDescent="0.25">
      <c r="A1430">
        <v>400</v>
      </c>
      <c r="B1430" t="s">
        <v>563</v>
      </c>
      <c r="C1430">
        <v>16</v>
      </c>
      <c r="D1430">
        <v>275</v>
      </c>
      <c r="E1430">
        <v>7583</v>
      </c>
      <c r="F1430" t="s">
        <v>77</v>
      </c>
      <c r="G1430" t="s">
        <v>746</v>
      </c>
      <c r="H1430">
        <v>1</v>
      </c>
      <c r="I1430">
        <v>261.92</v>
      </c>
      <c r="J1430" t="s">
        <v>839</v>
      </c>
      <c r="K1430" t="s">
        <v>812</v>
      </c>
      <c r="M1430" t="s">
        <v>1085</v>
      </c>
      <c r="P1430" t="s">
        <v>924</v>
      </c>
      <c r="Q1430" t="s">
        <v>28</v>
      </c>
      <c r="S1430" t="s">
        <v>81</v>
      </c>
      <c r="U1430" t="s">
        <v>81</v>
      </c>
      <c r="W1430">
        <v>2</v>
      </c>
      <c r="X1430" s="24">
        <v>46032</v>
      </c>
      <c r="Z1430" t="s">
        <v>38</v>
      </c>
      <c r="AB1430" t="s">
        <v>921</v>
      </c>
      <c r="AC1430" t="s">
        <v>1053</v>
      </c>
      <c r="AD1430" t="s">
        <v>1054</v>
      </c>
    </row>
    <row r="1431" spans="1:30" hidden="1" x14ac:dyDescent="0.25">
      <c r="A1431">
        <v>401</v>
      </c>
      <c r="B1431" t="s">
        <v>564</v>
      </c>
      <c r="C1431">
        <v>16</v>
      </c>
      <c r="D1431">
        <v>240</v>
      </c>
      <c r="E1431">
        <v>240</v>
      </c>
      <c r="F1431" t="s">
        <v>77</v>
      </c>
      <c r="G1431" t="s">
        <v>746</v>
      </c>
      <c r="H1431">
        <v>2</v>
      </c>
      <c r="I1431">
        <v>8.0299999999999994</v>
      </c>
      <c r="J1431" t="s">
        <v>839</v>
      </c>
      <c r="K1431" t="s">
        <v>812</v>
      </c>
      <c r="M1431" t="s">
        <v>1085</v>
      </c>
      <c r="O1431" t="s">
        <v>228</v>
      </c>
      <c r="P1431" t="s">
        <v>924</v>
      </c>
      <c r="Q1431" t="s">
        <v>27</v>
      </c>
      <c r="S1431" t="s">
        <v>81</v>
      </c>
      <c r="W1431">
        <v>2</v>
      </c>
      <c r="X1431" s="24">
        <v>46032</v>
      </c>
      <c r="Z1431" t="s">
        <v>38</v>
      </c>
      <c r="AB1431" t="s">
        <v>921</v>
      </c>
      <c r="AC1431" t="s">
        <v>1053</v>
      </c>
      <c r="AD1431" t="s">
        <v>1054</v>
      </c>
    </row>
    <row r="1432" spans="1:30" hidden="1" x14ac:dyDescent="0.25">
      <c r="A1432">
        <v>402</v>
      </c>
      <c r="B1432" t="s">
        <v>565</v>
      </c>
      <c r="C1432">
        <v>16</v>
      </c>
      <c r="D1432">
        <v>240</v>
      </c>
      <c r="E1432">
        <v>240</v>
      </c>
      <c r="F1432" t="s">
        <v>77</v>
      </c>
      <c r="G1432" t="s">
        <v>746</v>
      </c>
      <c r="H1432">
        <v>4</v>
      </c>
      <c r="I1432">
        <v>16.05</v>
      </c>
      <c r="J1432" t="s">
        <v>839</v>
      </c>
      <c r="K1432" t="s">
        <v>812</v>
      </c>
      <c r="M1432" t="s">
        <v>1085</v>
      </c>
      <c r="O1432" t="s">
        <v>228</v>
      </c>
      <c r="P1432" t="s">
        <v>924</v>
      </c>
      <c r="Q1432" t="s">
        <v>27</v>
      </c>
      <c r="S1432" t="s">
        <v>81</v>
      </c>
      <c r="W1432">
        <v>2</v>
      </c>
      <c r="X1432" s="24">
        <v>46032</v>
      </c>
      <c r="Z1432" t="s">
        <v>38</v>
      </c>
      <c r="AB1432" t="s">
        <v>921</v>
      </c>
      <c r="AC1432" t="s">
        <v>1053</v>
      </c>
      <c r="AD1432" t="s">
        <v>1054</v>
      </c>
    </row>
    <row r="1433" spans="1:30" hidden="1" x14ac:dyDescent="0.25">
      <c r="A1433">
        <v>403</v>
      </c>
      <c r="B1433" t="s">
        <v>566</v>
      </c>
      <c r="C1433">
        <v>20</v>
      </c>
      <c r="D1433">
        <v>240</v>
      </c>
      <c r="E1433">
        <v>250</v>
      </c>
      <c r="F1433" t="s">
        <v>77</v>
      </c>
      <c r="G1433" t="s">
        <v>746</v>
      </c>
      <c r="H1433">
        <v>8</v>
      </c>
      <c r="I1433">
        <v>53.41</v>
      </c>
      <c r="J1433" t="s">
        <v>839</v>
      </c>
      <c r="K1433" t="s">
        <v>812</v>
      </c>
      <c r="M1433" t="s">
        <v>1085</v>
      </c>
      <c r="O1433" t="s">
        <v>228</v>
      </c>
      <c r="P1433" t="s">
        <v>924</v>
      </c>
      <c r="Q1433" t="s">
        <v>27</v>
      </c>
      <c r="R1433" t="s">
        <v>81</v>
      </c>
      <c r="W1433">
        <v>2</v>
      </c>
      <c r="X1433" s="24">
        <v>46032</v>
      </c>
      <c r="Z1433" t="s">
        <v>38</v>
      </c>
      <c r="AB1433" t="s">
        <v>921</v>
      </c>
      <c r="AC1433" t="s">
        <v>1056</v>
      </c>
      <c r="AD1433" t="s">
        <v>39</v>
      </c>
    </row>
    <row r="1434" spans="1:30" hidden="1" x14ac:dyDescent="0.25">
      <c r="A1434">
        <v>404</v>
      </c>
      <c r="B1434" t="s">
        <v>571</v>
      </c>
      <c r="C1434">
        <v>20</v>
      </c>
      <c r="D1434">
        <v>400</v>
      </c>
      <c r="E1434">
        <v>780</v>
      </c>
      <c r="F1434" t="s">
        <v>77</v>
      </c>
      <c r="G1434" t="s">
        <v>746</v>
      </c>
      <c r="H1434">
        <v>7</v>
      </c>
      <c r="I1434">
        <v>340.24</v>
      </c>
      <c r="J1434" t="s">
        <v>839</v>
      </c>
      <c r="K1434" t="s">
        <v>812</v>
      </c>
      <c r="M1434" t="s">
        <v>1085</v>
      </c>
      <c r="O1434" t="s">
        <v>228</v>
      </c>
      <c r="P1434" t="s">
        <v>924</v>
      </c>
      <c r="Q1434" t="s">
        <v>27</v>
      </c>
      <c r="R1434" t="s">
        <v>81</v>
      </c>
      <c r="W1434">
        <v>2</v>
      </c>
      <c r="X1434" s="24">
        <v>46032</v>
      </c>
      <c r="Z1434" t="s">
        <v>38</v>
      </c>
      <c r="AB1434" t="s">
        <v>921</v>
      </c>
      <c r="AC1434" t="s">
        <v>1056</v>
      </c>
      <c r="AD1434" t="s">
        <v>39</v>
      </c>
    </row>
    <row r="1435" spans="1:30" hidden="1" x14ac:dyDescent="0.25">
      <c r="A1435">
        <v>405</v>
      </c>
      <c r="B1435" t="s">
        <v>573</v>
      </c>
      <c r="C1435">
        <v>20</v>
      </c>
      <c r="D1435">
        <v>400</v>
      </c>
      <c r="E1435">
        <v>780</v>
      </c>
      <c r="F1435" t="s">
        <v>77</v>
      </c>
      <c r="G1435" t="s">
        <v>746</v>
      </c>
      <c r="H1435">
        <v>4</v>
      </c>
      <c r="I1435">
        <v>194.42</v>
      </c>
      <c r="J1435" t="s">
        <v>839</v>
      </c>
      <c r="K1435" t="s">
        <v>812</v>
      </c>
      <c r="M1435" t="s">
        <v>1085</v>
      </c>
      <c r="O1435" t="s">
        <v>228</v>
      </c>
      <c r="P1435" t="s">
        <v>924</v>
      </c>
      <c r="Q1435" t="s">
        <v>27</v>
      </c>
      <c r="R1435" t="s">
        <v>81</v>
      </c>
      <c r="W1435">
        <v>2</v>
      </c>
      <c r="X1435" s="24">
        <v>46032</v>
      </c>
      <c r="Z1435" t="s">
        <v>38</v>
      </c>
      <c r="AB1435" t="s">
        <v>921</v>
      </c>
      <c r="AC1435" t="s">
        <v>1056</v>
      </c>
      <c r="AD1435" t="s">
        <v>39</v>
      </c>
    </row>
    <row r="1436" spans="1:30" hidden="1" x14ac:dyDescent="0.25">
      <c r="A1436">
        <v>406</v>
      </c>
      <c r="B1436" t="s">
        <v>574</v>
      </c>
      <c r="C1436">
        <v>20</v>
      </c>
      <c r="D1436">
        <v>400</v>
      </c>
      <c r="E1436">
        <v>780</v>
      </c>
      <c r="F1436" t="s">
        <v>77</v>
      </c>
      <c r="G1436" t="s">
        <v>746</v>
      </c>
      <c r="H1436">
        <v>4</v>
      </c>
      <c r="I1436">
        <v>194.42</v>
      </c>
      <c r="J1436" t="s">
        <v>839</v>
      </c>
      <c r="K1436" t="s">
        <v>812</v>
      </c>
      <c r="M1436" t="s">
        <v>1085</v>
      </c>
      <c r="O1436" t="s">
        <v>228</v>
      </c>
      <c r="P1436" t="s">
        <v>924</v>
      </c>
      <c r="Q1436" t="s">
        <v>27</v>
      </c>
      <c r="R1436" t="s">
        <v>81</v>
      </c>
      <c r="W1436">
        <v>2</v>
      </c>
      <c r="X1436" s="24">
        <v>46032</v>
      </c>
      <c r="Z1436" t="s">
        <v>38</v>
      </c>
      <c r="AB1436" t="s">
        <v>921</v>
      </c>
      <c r="AC1436" t="s">
        <v>1056</v>
      </c>
      <c r="AD1436" t="s">
        <v>39</v>
      </c>
    </row>
    <row r="1437" spans="1:30" hidden="1" x14ac:dyDescent="0.25">
      <c r="A1437">
        <v>407</v>
      </c>
      <c r="B1437" t="s">
        <v>575</v>
      </c>
      <c r="C1437">
        <v>20</v>
      </c>
      <c r="D1437">
        <v>326</v>
      </c>
      <c r="E1437">
        <v>525</v>
      </c>
      <c r="F1437" t="s">
        <v>77</v>
      </c>
      <c r="G1437" t="s">
        <v>746</v>
      </c>
      <c r="H1437">
        <v>4</v>
      </c>
      <c r="I1437">
        <v>94.66</v>
      </c>
      <c r="J1437" t="s">
        <v>839</v>
      </c>
      <c r="K1437" t="s">
        <v>812</v>
      </c>
      <c r="M1437" t="s">
        <v>1085</v>
      </c>
      <c r="O1437" t="s">
        <v>228</v>
      </c>
      <c r="P1437" t="s">
        <v>924</v>
      </c>
      <c r="Q1437" t="s">
        <v>27</v>
      </c>
      <c r="R1437" t="s">
        <v>81</v>
      </c>
      <c r="W1437">
        <v>2</v>
      </c>
      <c r="X1437" s="24">
        <v>46032</v>
      </c>
      <c r="Z1437" t="s">
        <v>38</v>
      </c>
      <c r="AB1437" t="s">
        <v>921</v>
      </c>
      <c r="AC1437" t="s">
        <v>1056</v>
      </c>
      <c r="AD1437" t="s">
        <v>39</v>
      </c>
    </row>
    <row r="1438" spans="1:30" hidden="1" x14ac:dyDescent="0.25">
      <c r="A1438">
        <v>408</v>
      </c>
      <c r="B1438" t="s">
        <v>577</v>
      </c>
      <c r="C1438">
        <v>20</v>
      </c>
      <c r="D1438">
        <v>175</v>
      </c>
      <c r="E1438">
        <v>180</v>
      </c>
      <c r="F1438" t="s">
        <v>77</v>
      </c>
      <c r="G1438" t="s">
        <v>746</v>
      </c>
      <c r="H1438">
        <v>6</v>
      </c>
      <c r="I1438">
        <v>27.45</v>
      </c>
      <c r="J1438" t="s">
        <v>839</v>
      </c>
      <c r="K1438" t="s">
        <v>812</v>
      </c>
      <c r="M1438" t="s">
        <v>1085</v>
      </c>
      <c r="O1438" t="s">
        <v>228</v>
      </c>
      <c r="P1438" t="s">
        <v>924</v>
      </c>
      <c r="Q1438" t="s">
        <v>27</v>
      </c>
      <c r="R1438" t="s">
        <v>81</v>
      </c>
      <c r="W1438">
        <v>2</v>
      </c>
      <c r="X1438" s="24">
        <v>46032</v>
      </c>
      <c r="Z1438" t="s">
        <v>38</v>
      </c>
      <c r="AB1438" t="s">
        <v>921</v>
      </c>
      <c r="AC1438" t="s">
        <v>1056</v>
      </c>
      <c r="AD1438" t="s">
        <v>39</v>
      </c>
    </row>
    <row r="1439" spans="1:30" hidden="1" x14ac:dyDescent="0.25">
      <c r="A1439">
        <v>409</v>
      </c>
      <c r="B1439" t="s">
        <v>579</v>
      </c>
      <c r="C1439">
        <v>20</v>
      </c>
      <c r="D1439">
        <v>180</v>
      </c>
      <c r="E1439">
        <v>300</v>
      </c>
      <c r="F1439" t="s">
        <v>77</v>
      </c>
      <c r="G1439" t="s">
        <v>746</v>
      </c>
      <c r="H1439">
        <v>1</v>
      </c>
      <c r="I1439">
        <v>8.48</v>
      </c>
      <c r="J1439" t="s">
        <v>839</v>
      </c>
      <c r="K1439" t="s">
        <v>812</v>
      </c>
      <c r="M1439" t="s">
        <v>1085</v>
      </c>
      <c r="P1439" t="s">
        <v>924</v>
      </c>
      <c r="Q1439" t="s">
        <v>26</v>
      </c>
      <c r="R1439" t="s">
        <v>81</v>
      </c>
      <c r="W1439">
        <v>2</v>
      </c>
      <c r="X1439" s="24">
        <v>46032</v>
      </c>
      <c r="Z1439" t="s">
        <v>38</v>
      </c>
      <c r="AB1439" t="s">
        <v>921</v>
      </c>
      <c r="AC1439" t="s">
        <v>1056</v>
      </c>
      <c r="AD1439" t="s">
        <v>39</v>
      </c>
    </row>
    <row r="1440" spans="1:30" hidden="1" x14ac:dyDescent="0.25">
      <c r="A1440">
        <v>410</v>
      </c>
      <c r="B1440" t="s">
        <v>581</v>
      </c>
      <c r="C1440">
        <v>20</v>
      </c>
      <c r="D1440">
        <v>326</v>
      </c>
      <c r="E1440">
        <v>525</v>
      </c>
      <c r="F1440" t="s">
        <v>77</v>
      </c>
      <c r="G1440" t="s">
        <v>746</v>
      </c>
      <c r="H1440">
        <v>4</v>
      </c>
      <c r="I1440">
        <v>107.48</v>
      </c>
      <c r="J1440" t="s">
        <v>839</v>
      </c>
      <c r="K1440" t="s">
        <v>812</v>
      </c>
      <c r="M1440" t="s">
        <v>1085</v>
      </c>
      <c r="P1440" t="s">
        <v>924</v>
      </c>
      <c r="Q1440" t="s">
        <v>26</v>
      </c>
      <c r="R1440" t="s">
        <v>81</v>
      </c>
      <c r="W1440">
        <v>2</v>
      </c>
      <c r="X1440" s="24">
        <v>46032</v>
      </c>
      <c r="Z1440" t="s">
        <v>38</v>
      </c>
      <c r="AB1440" t="s">
        <v>921</v>
      </c>
      <c r="AC1440" t="s">
        <v>1056</v>
      </c>
      <c r="AD1440" t="s">
        <v>39</v>
      </c>
    </row>
    <row r="1441" spans="1:30" hidden="1" x14ac:dyDescent="0.25">
      <c r="A1441">
        <v>411</v>
      </c>
      <c r="B1441" t="s">
        <v>582</v>
      </c>
      <c r="C1441">
        <v>20</v>
      </c>
      <c r="D1441">
        <v>200</v>
      </c>
      <c r="E1441">
        <v>200</v>
      </c>
      <c r="F1441" t="s">
        <v>77</v>
      </c>
      <c r="G1441" t="s">
        <v>746</v>
      </c>
      <c r="H1441">
        <v>2</v>
      </c>
      <c r="I1441">
        <v>12.56</v>
      </c>
      <c r="J1441" t="s">
        <v>839</v>
      </c>
      <c r="K1441" t="s">
        <v>812</v>
      </c>
      <c r="M1441" t="s">
        <v>1085</v>
      </c>
      <c r="P1441" t="s">
        <v>924</v>
      </c>
      <c r="Q1441" t="s">
        <v>26</v>
      </c>
      <c r="R1441" t="s">
        <v>81</v>
      </c>
      <c r="W1441">
        <v>2</v>
      </c>
      <c r="X1441" s="24">
        <v>46032</v>
      </c>
      <c r="Z1441" t="s">
        <v>38</v>
      </c>
      <c r="AB1441" t="s">
        <v>921</v>
      </c>
      <c r="AC1441" t="s">
        <v>1056</v>
      </c>
      <c r="AD1441" t="s">
        <v>39</v>
      </c>
    </row>
    <row r="1442" spans="1:30" hidden="1" x14ac:dyDescent="0.25">
      <c r="A1442">
        <v>412</v>
      </c>
      <c r="B1442" t="s">
        <v>584</v>
      </c>
      <c r="C1442">
        <v>20</v>
      </c>
      <c r="D1442">
        <v>400</v>
      </c>
      <c r="E1442">
        <v>780</v>
      </c>
      <c r="F1442" t="s">
        <v>77</v>
      </c>
      <c r="G1442" t="s">
        <v>746</v>
      </c>
      <c r="H1442">
        <v>2</v>
      </c>
      <c r="I1442">
        <v>97.21</v>
      </c>
      <c r="J1442" t="s">
        <v>839</v>
      </c>
      <c r="K1442" t="s">
        <v>812</v>
      </c>
      <c r="M1442" t="s">
        <v>1085</v>
      </c>
      <c r="O1442" t="s">
        <v>228</v>
      </c>
      <c r="P1442" t="s">
        <v>924</v>
      </c>
      <c r="Q1442" t="s">
        <v>27</v>
      </c>
      <c r="R1442" t="s">
        <v>81</v>
      </c>
      <c r="W1442">
        <v>2</v>
      </c>
      <c r="X1442" s="24">
        <v>46032</v>
      </c>
      <c r="Z1442" t="s">
        <v>38</v>
      </c>
      <c r="AB1442" t="s">
        <v>921</v>
      </c>
      <c r="AC1442" t="s">
        <v>1056</v>
      </c>
      <c r="AD1442" t="s">
        <v>39</v>
      </c>
    </row>
    <row r="1443" spans="1:30" hidden="1" x14ac:dyDescent="0.25">
      <c r="A1443">
        <v>413</v>
      </c>
      <c r="B1443" t="s">
        <v>585</v>
      </c>
      <c r="C1443">
        <v>20</v>
      </c>
      <c r="D1443">
        <v>175</v>
      </c>
      <c r="E1443">
        <v>180</v>
      </c>
      <c r="F1443" t="s">
        <v>77</v>
      </c>
      <c r="G1443" t="s">
        <v>746</v>
      </c>
      <c r="H1443">
        <v>4</v>
      </c>
      <c r="I1443">
        <v>18.3</v>
      </c>
      <c r="J1443" t="s">
        <v>839</v>
      </c>
      <c r="K1443" t="s">
        <v>812</v>
      </c>
      <c r="M1443" t="s">
        <v>1085</v>
      </c>
      <c r="O1443" t="s">
        <v>228</v>
      </c>
      <c r="P1443" t="s">
        <v>924</v>
      </c>
      <c r="Q1443" t="s">
        <v>27</v>
      </c>
      <c r="R1443" t="s">
        <v>81</v>
      </c>
      <c r="W1443">
        <v>2</v>
      </c>
      <c r="X1443" s="24">
        <v>46032</v>
      </c>
      <c r="Z1443" t="s">
        <v>38</v>
      </c>
      <c r="AB1443" t="s">
        <v>921</v>
      </c>
      <c r="AC1443" t="s">
        <v>1056</v>
      </c>
      <c r="AD1443" t="s">
        <v>39</v>
      </c>
    </row>
    <row r="1444" spans="1:30" hidden="1" x14ac:dyDescent="0.25">
      <c r="A1444">
        <v>414</v>
      </c>
      <c r="B1444" t="s">
        <v>586</v>
      </c>
      <c r="C1444">
        <v>20</v>
      </c>
      <c r="D1444">
        <v>180</v>
      </c>
      <c r="E1444">
        <v>300</v>
      </c>
      <c r="F1444" t="s">
        <v>77</v>
      </c>
      <c r="G1444" t="s">
        <v>746</v>
      </c>
      <c r="H1444">
        <v>1</v>
      </c>
      <c r="I1444">
        <v>8.48</v>
      </c>
      <c r="J1444" t="s">
        <v>839</v>
      </c>
      <c r="K1444" t="s">
        <v>812</v>
      </c>
      <c r="M1444" t="s">
        <v>1085</v>
      </c>
      <c r="P1444" t="s">
        <v>924</v>
      </c>
      <c r="Q1444" t="s">
        <v>26</v>
      </c>
      <c r="R1444" t="s">
        <v>81</v>
      </c>
      <c r="W1444">
        <v>2</v>
      </c>
      <c r="X1444" s="24">
        <v>46032</v>
      </c>
      <c r="Z1444" t="s">
        <v>38</v>
      </c>
      <c r="AB1444" t="s">
        <v>921</v>
      </c>
      <c r="AC1444" t="s">
        <v>1056</v>
      </c>
      <c r="AD1444" t="s">
        <v>39</v>
      </c>
    </row>
    <row r="1445" spans="1:30" hidden="1" x14ac:dyDescent="0.25">
      <c r="A1445">
        <v>415</v>
      </c>
      <c r="B1445" t="s">
        <v>1058</v>
      </c>
      <c r="C1445">
        <v>20</v>
      </c>
      <c r="D1445">
        <v>326</v>
      </c>
      <c r="E1445">
        <v>500</v>
      </c>
      <c r="F1445" t="s">
        <v>77</v>
      </c>
      <c r="G1445" t="s">
        <v>746</v>
      </c>
      <c r="H1445">
        <v>2</v>
      </c>
      <c r="I1445">
        <v>42.39</v>
      </c>
      <c r="J1445" t="s">
        <v>839</v>
      </c>
      <c r="K1445" t="s">
        <v>812</v>
      </c>
      <c r="M1445" t="s">
        <v>1085</v>
      </c>
      <c r="O1445" t="s">
        <v>228</v>
      </c>
      <c r="P1445" t="s">
        <v>924</v>
      </c>
      <c r="Q1445" t="s">
        <v>26</v>
      </c>
      <c r="R1445" t="s">
        <v>81</v>
      </c>
      <c r="W1445">
        <v>2</v>
      </c>
      <c r="X1445" s="24">
        <v>46032</v>
      </c>
      <c r="Z1445" t="s">
        <v>38</v>
      </c>
      <c r="AB1445" t="s">
        <v>921</v>
      </c>
      <c r="AC1445" t="s">
        <v>1056</v>
      </c>
      <c r="AD1445" t="s">
        <v>39</v>
      </c>
    </row>
    <row r="1446" spans="1:30" hidden="1" x14ac:dyDescent="0.25">
      <c r="A1446">
        <v>416</v>
      </c>
      <c r="B1446" t="s">
        <v>589</v>
      </c>
      <c r="C1446">
        <v>20</v>
      </c>
      <c r="D1446">
        <v>326</v>
      </c>
      <c r="E1446">
        <v>500</v>
      </c>
      <c r="F1446" t="s">
        <v>77</v>
      </c>
      <c r="G1446" t="s">
        <v>746</v>
      </c>
      <c r="H1446">
        <v>2</v>
      </c>
      <c r="I1446">
        <v>51.18</v>
      </c>
      <c r="J1446" t="s">
        <v>839</v>
      </c>
      <c r="K1446" t="s">
        <v>812</v>
      </c>
      <c r="M1446" t="s">
        <v>1085</v>
      </c>
      <c r="P1446" t="s">
        <v>924</v>
      </c>
      <c r="Q1446" t="s">
        <v>26</v>
      </c>
      <c r="R1446" t="s">
        <v>81</v>
      </c>
      <c r="W1446">
        <v>2</v>
      </c>
      <c r="X1446" s="24">
        <v>46032</v>
      </c>
      <c r="Z1446" t="s">
        <v>38</v>
      </c>
      <c r="AB1446" t="s">
        <v>921</v>
      </c>
      <c r="AC1446" t="s">
        <v>1056</v>
      </c>
      <c r="AD1446" t="s">
        <v>39</v>
      </c>
    </row>
    <row r="1447" spans="1:30" hidden="1" x14ac:dyDescent="0.25">
      <c r="A1447">
        <v>417</v>
      </c>
      <c r="B1447" t="s">
        <v>590</v>
      </c>
      <c r="C1447">
        <v>20</v>
      </c>
      <c r="D1447">
        <v>200</v>
      </c>
      <c r="E1447">
        <v>200</v>
      </c>
      <c r="F1447" t="s">
        <v>77</v>
      </c>
      <c r="G1447" t="s">
        <v>746</v>
      </c>
      <c r="H1447">
        <v>2</v>
      </c>
      <c r="I1447">
        <v>12.56</v>
      </c>
      <c r="J1447" t="s">
        <v>839</v>
      </c>
      <c r="K1447" t="s">
        <v>812</v>
      </c>
      <c r="M1447" t="s">
        <v>1085</v>
      </c>
      <c r="P1447" t="s">
        <v>924</v>
      </c>
      <c r="Q1447" t="s">
        <v>26</v>
      </c>
      <c r="R1447" t="s">
        <v>81</v>
      </c>
      <c r="W1447">
        <v>2</v>
      </c>
      <c r="X1447" s="24">
        <v>46032</v>
      </c>
      <c r="Z1447" t="s">
        <v>38</v>
      </c>
      <c r="AB1447" t="s">
        <v>921</v>
      </c>
      <c r="AC1447" t="s">
        <v>1056</v>
      </c>
      <c r="AD1447" t="s">
        <v>39</v>
      </c>
    </row>
    <row r="1448" spans="1:30" hidden="1" x14ac:dyDescent="0.25">
      <c r="A1448">
        <v>418</v>
      </c>
      <c r="B1448" t="s">
        <v>591</v>
      </c>
      <c r="C1448">
        <v>20</v>
      </c>
      <c r="D1448">
        <v>326</v>
      </c>
      <c r="E1448">
        <v>550</v>
      </c>
      <c r="F1448" t="s">
        <v>77</v>
      </c>
      <c r="G1448" t="s">
        <v>746</v>
      </c>
      <c r="H1448">
        <v>4</v>
      </c>
      <c r="I1448">
        <v>99.78</v>
      </c>
      <c r="J1448" t="s">
        <v>839</v>
      </c>
      <c r="K1448" t="s">
        <v>812</v>
      </c>
      <c r="M1448" t="s">
        <v>1085</v>
      </c>
      <c r="O1448" t="s">
        <v>228</v>
      </c>
      <c r="P1448" t="s">
        <v>924</v>
      </c>
      <c r="Q1448" t="s">
        <v>27</v>
      </c>
      <c r="R1448" t="s">
        <v>81</v>
      </c>
      <c r="W1448">
        <v>2</v>
      </c>
      <c r="X1448" s="24">
        <v>46032</v>
      </c>
      <c r="Z1448" t="s">
        <v>38</v>
      </c>
      <c r="AB1448" t="s">
        <v>921</v>
      </c>
      <c r="AC1448" t="s">
        <v>1056</v>
      </c>
      <c r="AD1448" t="s">
        <v>39</v>
      </c>
    </row>
    <row r="1449" spans="1:30" hidden="1" x14ac:dyDescent="0.25">
      <c r="A1449">
        <v>419</v>
      </c>
      <c r="B1449" t="s">
        <v>593</v>
      </c>
      <c r="C1449">
        <v>20</v>
      </c>
      <c r="D1449">
        <v>326</v>
      </c>
      <c r="E1449">
        <v>550</v>
      </c>
      <c r="F1449" t="s">
        <v>77</v>
      </c>
      <c r="G1449" t="s">
        <v>746</v>
      </c>
      <c r="H1449">
        <v>4</v>
      </c>
      <c r="I1449">
        <v>112.6</v>
      </c>
      <c r="J1449" t="s">
        <v>839</v>
      </c>
      <c r="K1449" t="s">
        <v>812</v>
      </c>
      <c r="M1449" t="s">
        <v>1085</v>
      </c>
      <c r="P1449" t="s">
        <v>924</v>
      </c>
      <c r="Q1449" t="s">
        <v>26</v>
      </c>
      <c r="R1449" t="s">
        <v>81</v>
      </c>
      <c r="W1449">
        <v>2</v>
      </c>
      <c r="X1449" s="24">
        <v>46032</v>
      </c>
      <c r="Z1449" t="s">
        <v>38</v>
      </c>
      <c r="AB1449" t="s">
        <v>921</v>
      </c>
      <c r="AC1449" t="s">
        <v>1056</v>
      </c>
      <c r="AD1449" t="s">
        <v>39</v>
      </c>
    </row>
    <row r="1450" spans="1:30" hidden="1" x14ac:dyDescent="0.25">
      <c r="A1450">
        <v>420</v>
      </c>
      <c r="B1450" t="s">
        <v>594</v>
      </c>
      <c r="C1450">
        <v>20</v>
      </c>
      <c r="D1450">
        <v>400</v>
      </c>
      <c r="E1450">
        <v>780</v>
      </c>
      <c r="F1450" t="s">
        <v>77</v>
      </c>
      <c r="G1450" t="s">
        <v>746</v>
      </c>
      <c r="H1450">
        <v>4</v>
      </c>
      <c r="I1450">
        <v>194.42</v>
      </c>
      <c r="J1450" t="s">
        <v>839</v>
      </c>
      <c r="K1450" t="s">
        <v>812</v>
      </c>
      <c r="M1450" t="s">
        <v>1085</v>
      </c>
      <c r="O1450" t="s">
        <v>228</v>
      </c>
      <c r="P1450" t="s">
        <v>924</v>
      </c>
      <c r="Q1450" t="s">
        <v>27</v>
      </c>
      <c r="R1450" t="s">
        <v>81</v>
      </c>
      <c r="W1450">
        <v>2</v>
      </c>
      <c r="X1450" s="24">
        <v>46032</v>
      </c>
      <c r="Z1450" t="s">
        <v>38</v>
      </c>
      <c r="AB1450" t="s">
        <v>921</v>
      </c>
      <c r="AC1450" t="s">
        <v>1056</v>
      </c>
      <c r="AD1450" t="s">
        <v>39</v>
      </c>
    </row>
    <row r="1451" spans="1:30" hidden="1" x14ac:dyDescent="0.25">
      <c r="A1451">
        <v>421</v>
      </c>
      <c r="B1451" t="s">
        <v>595</v>
      </c>
      <c r="C1451">
        <v>20</v>
      </c>
      <c r="D1451">
        <v>326</v>
      </c>
      <c r="E1451">
        <v>525</v>
      </c>
      <c r="F1451" t="s">
        <v>77</v>
      </c>
      <c r="G1451" t="s">
        <v>746</v>
      </c>
      <c r="H1451">
        <v>4</v>
      </c>
      <c r="I1451">
        <v>94.66</v>
      </c>
      <c r="J1451" t="s">
        <v>839</v>
      </c>
      <c r="K1451" t="s">
        <v>812</v>
      </c>
      <c r="M1451" t="s">
        <v>1085</v>
      </c>
      <c r="O1451" t="s">
        <v>228</v>
      </c>
      <c r="P1451" t="s">
        <v>924</v>
      </c>
      <c r="Q1451" t="s">
        <v>27</v>
      </c>
      <c r="R1451" t="s">
        <v>81</v>
      </c>
      <c r="W1451">
        <v>2</v>
      </c>
      <c r="X1451" s="24">
        <v>46032</v>
      </c>
      <c r="Z1451" t="s">
        <v>38</v>
      </c>
      <c r="AB1451" t="s">
        <v>921</v>
      </c>
      <c r="AC1451" t="s">
        <v>1056</v>
      </c>
      <c r="AD1451" t="s">
        <v>39</v>
      </c>
    </row>
    <row r="1452" spans="1:30" hidden="1" x14ac:dyDescent="0.25">
      <c r="A1452">
        <v>422</v>
      </c>
      <c r="B1452" t="s">
        <v>596</v>
      </c>
      <c r="C1452">
        <v>20</v>
      </c>
      <c r="D1452">
        <v>175</v>
      </c>
      <c r="E1452">
        <v>180</v>
      </c>
      <c r="F1452" t="s">
        <v>77</v>
      </c>
      <c r="G1452" t="s">
        <v>746</v>
      </c>
      <c r="H1452">
        <v>8</v>
      </c>
      <c r="I1452">
        <v>36.6</v>
      </c>
      <c r="J1452" t="s">
        <v>839</v>
      </c>
      <c r="K1452" t="s">
        <v>812</v>
      </c>
      <c r="M1452" t="s">
        <v>1085</v>
      </c>
      <c r="O1452" t="s">
        <v>228</v>
      </c>
      <c r="P1452" t="s">
        <v>924</v>
      </c>
      <c r="Q1452" t="s">
        <v>27</v>
      </c>
      <c r="R1452" t="s">
        <v>81</v>
      </c>
      <c r="W1452">
        <v>2</v>
      </c>
      <c r="X1452" s="24">
        <v>46032</v>
      </c>
      <c r="Z1452" t="s">
        <v>38</v>
      </c>
      <c r="AB1452" t="s">
        <v>921</v>
      </c>
      <c r="AC1452" t="s">
        <v>1056</v>
      </c>
      <c r="AD1452" t="s">
        <v>39</v>
      </c>
    </row>
    <row r="1453" spans="1:30" hidden="1" x14ac:dyDescent="0.25">
      <c r="A1453">
        <v>423</v>
      </c>
      <c r="B1453" t="s">
        <v>597</v>
      </c>
      <c r="C1453">
        <v>20</v>
      </c>
      <c r="D1453">
        <v>180</v>
      </c>
      <c r="E1453">
        <v>300</v>
      </c>
      <c r="F1453" t="s">
        <v>77</v>
      </c>
      <c r="G1453" t="s">
        <v>746</v>
      </c>
      <c r="H1453">
        <v>1</v>
      </c>
      <c r="I1453">
        <v>8.48</v>
      </c>
      <c r="J1453" t="s">
        <v>839</v>
      </c>
      <c r="K1453" t="s">
        <v>812</v>
      </c>
      <c r="M1453" t="s">
        <v>1085</v>
      </c>
      <c r="P1453" t="s">
        <v>924</v>
      </c>
      <c r="Q1453" t="s">
        <v>26</v>
      </c>
      <c r="R1453" t="s">
        <v>81</v>
      </c>
      <c r="W1453">
        <v>2</v>
      </c>
      <c r="X1453" s="24">
        <v>46032</v>
      </c>
      <c r="Z1453" t="s">
        <v>38</v>
      </c>
      <c r="AB1453" t="s">
        <v>921</v>
      </c>
      <c r="AC1453" t="s">
        <v>1056</v>
      </c>
      <c r="AD1453" t="s">
        <v>39</v>
      </c>
    </row>
    <row r="1454" spans="1:30" hidden="1" x14ac:dyDescent="0.25">
      <c r="A1454">
        <v>424</v>
      </c>
      <c r="B1454" t="s">
        <v>598</v>
      </c>
      <c r="C1454">
        <v>20</v>
      </c>
      <c r="D1454">
        <v>326</v>
      </c>
      <c r="E1454">
        <v>525</v>
      </c>
      <c r="F1454" t="s">
        <v>77</v>
      </c>
      <c r="G1454" t="s">
        <v>746</v>
      </c>
      <c r="H1454">
        <v>4</v>
      </c>
      <c r="I1454">
        <v>107.48</v>
      </c>
      <c r="J1454" t="s">
        <v>839</v>
      </c>
      <c r="K1454" t="s">
        <v>812</v>
      </c>
      <c r="M1454" t="s">
        <v>1085</v>
      </c>
      <c r="P1454" t="s">
        <v>924</v>
      </c>
      <c r="Q1454" t="s">
        <v>26</v>
      </c>
      <c r="R1454" t="s">
        <v>81</v>
      </c>
      <c r="W1454">
        <v>2</v>
      </c>
      <c r="X1454" s="24">
        <v>46032</v>
      </c>
      <c r="Z1454" t="s">
        <v>38</v>
      </c>
      <c r="AB1454" t="s">
        <v>921</v>
      </c>
      <c r="AC1454" t="s">
        <v>1056</v>
      </c>
      <c r="AD1454" t="s">
        <v>39</v>
      </c>
    </row>
    <row r="1455" spans="1:30" hidden="1" x14ac:dyDescent="0.25">
      <c r="A1455">
        <v>425</v>
      </c>
      <c r="B1455" t="s">
        <v>599</v>
      </c>
      <c r="C1455">
        <v>20</v>
      </c>
      <c r="D1455">
        <v>200</v>
      </c>
      <c r="E1455">
        <v>200</v>
      </c>
      <c r="F1455" t="s">
        <v>77</v>
      </c>
      <c r="G1455" t="s">
        <v>746</v>
      </c>
      <c r="H1455">
        <v>2</v>
      </c>
      <c r="I1455">
        <v>12.56</v>
      </c>
      <c r="J1455" t="s">
        <v>839</v>
      </c>
      <c r="K1455" t="s">
        <v>812</v>
      </c>
      <c r="M1455" t="s">
        <v>1085</v>
      </c>
      <c r="P1455" t="s">
        <v>924</v>
      </c>
      <c r="Q1455" t="s">
        <v>26</v>
      </c>
      <c r="R1455" t="s">
        <v>81</v>
      </c>
      <c r="W1455">
        <v>2</v>
      </c>
      <c r="X1455" s="24">
        <v>46032</v>
      </c>
      <c r="Z1455" t="s">
        <v>38</v>
      </c>
      <c r="AB1455" t="s">
        <v>921</v>
      </c>
      <c r="AC1455" t="s">
        <v>1056</v>
      </c>
      <c r="AD1455" t="s">
        <v>39</v>
      </c>
    </row>
    <row r="1456" spans="1:30" hidden="1" x14ac:dyDescent="0.25">
      <c r="A1456">
        <v>426</v>
      </c>
      <c r="B1456" t="s">
        <v>600</v>
      </c>
      <c r="C1456">
        <v>20</v>
      </c>
      <c r="D1456">
        <v>400</v>
      </c>
      <c r="E1456">
        <v>780</v>
      </c>
      <c r="F1456" t="s">
        <v>77</v>
      </c>
      <c r="G1456" t="s">
        <v>746</v>
      </c>
      <c r="H1456">
        <v>2</v>
      </c>
      <c r="I1456">
        <v>97.21</v>
      </c>
      <c r="J1456" t="s">
        <v>839</v>
      </c>
      <c r="K1456" t="s">
        <v>812</v>
      </c>
      <c r="M1456" t="s">
        <v>1085</v>
      </c>
      <c r="O1456" t="s">
        <v>228</v>
      </c>
      <c r="P1456" t="s">
        <v>924</v>
      </c>
      <c r="Q1456" t="s">
        <v>27</v>
      </c>
      <c r="R1456" t="s">
        <v>81</v>
      </c>
      <c r="W1456">
        <v>2</v>
      </c>
      <c r="X1456" s="24">
        <v>46032</v>
      </c>
      <c r="Z1456" t="s">
        <v>38</v>
      </c>
      <c r="AB1456" t="s">
        <v>921</v>
      </c>
      <c r="AC1456" t="s">
        <v>1056</v>
      </c>
      <c r="AD1456" t="s">
        <v>39</v>
      </c>
    </row>
    <row r="1457" spans="1:30" hidden="1" x14ac:dyDescent="0.25">
      <c r="A1457">
        <v>427</v>
      </c>
      <c r="B1457" t="s">
        <v>601</v>
      </c>
      <c r="C1457">
        <v>20</v>
      </c>
      <c r="D1457">
        <v>175</v>
      </c>
      <c r="E1457">
        <v>180</v>
      </c>
      <c r="F1457" t="s">
        <v>77</v>
      </c>
      <c r="G1457" t="s">
        <v>746</v>
      </c>
      <c r="H1457">
        <v>4</v>
      </c>
      <c r="I1457">
        <v>18.3</v>
      </c>
      <c r="J1457" t="s">
        <v>839</v>
      </c>
      <c r="K1457" t="s">
        <v>812</v>
      </c>
      <c r="M1457" t="s">
        <v>1085</v>
      </c>
      <c r="O1457" t="s">
        <v>228</v>
      </c>
      <c r="P1457" t="s">
        <v>924</v>
      </c>
      <c r="Q1457" t="s">
        <v>27</v>
      </c>
      <c r="R1457" t="s">
        <v>81</v>
      </c>
      <c r="W1457">
        <v>2</v>
      </c>
      <c r="X1457" s="24">
        <v>46032</v>
      </c>
      <c r="Z1457" t="s">
        <v>38</v>
      </c>
      <c r="AB1457" t="s">
        <v>921</v>
      </c>
      <c r="AC1457" t="s">
        <v>1056</v>
      </c>
      <c r="AD1457" t="s">
        <v>39</v>
      </c>
    </row>
    <row r="1458" spans="1:30" hidden="1" x14ac:dyDescent="0.25">
      <c r="A1458">
        <v>428</v>
      </c>
      <c r="B1458" t="s">
        <v>1059</v>
      </c>
      <c r="C1458">
        <v>20</v>
      </c>
      <c r="D1458">
        <v>326</v>
      </c>
      <c r="E1458">
        <v>500</v>
      </c>
      <c r="F1458" t="s">
        <v>77</v>
      </c>
      <c r="G1458" t="s">
        <v>746</v>
      </c>
      <c r="H1458">
        <v>2</v>
      </c>
      <c r="I1458">
        <v>42.39</v>
      </c>
      <c r="J1458" t="s">
        <v>839</v>
      </c>
      <c r="K1458" t="s">
        <v>812</v>
      </c>
      <c r="M1458" t="s">
        <v>1085</v>
      </c>
      <c r="O1458" t="s">
        <v>228</v>
      </c>
      <c r="P1458" t="s">
        <v>924</v>
      </c>
      <c r="Q1458" t="s">
        <v>26</v>
      </c>
      <c r="R1458" t="s">
        <v>81</v>
      </c>
      <c r="W1458">
        <v>2</v>
      </c>
      <c r="X1458" s="24">
        <v>46032</v>
      </c>
      <c r="Z1458" t="s">
        <v>38</v>
      </c>
      <c r="AB1458" t="s">
        <v>921</v>
      </c>
      <c r="AC1458" t="s">
        <v>1056</v>
      </c>
      <c r="AD1458" t="s">
        <v>39</v>
      </c>
    </row>
    <row r="1459" spans="1:30" hidden="1" x14ac:dyDescent="0.25">
      <c r="A1459">
        <v>429</v>
      </c>
      <c r="B1459" t="s">
        <v>604</v>
      </c>
      <c r="C1459">
        <v>20</v>
      </c>
      <c r="D1459">
        <v>326</v>
      </c>
      <c r="E1459">
        <v>500</v>
      </c>
      <c r="F1459" t="s">
        <v>77</v>
      </c>
      <c r="G1459" t="s">
        <v>746</v>
      </c>
      <c r="H1459">
        <v>2</v>
      </c>
      <c r="I1459">
        <v>51.18</v>
      </c>
      <c r="J1459" t="s">
        <v>839</v>
      </c>
      <c r="K1459" t="s">
        <v>812</v>
      </c>
      <c r="M1459" t="s">
        <v>1085</v>
      </c>
      <c r="P1459" t="s">
        <v>924</v>
      </c>
      <c r="Q1459" t="s">
        <v>26</v>
      </c>
      <c r="R1459" t="s">
        <v>81</v>
      </c>
      <c r="W1459">
        <v>2</v>
      </c>
      <c r="X1459" s="24">
        <v>46032</v>
      </c>
      <c r="Z1459" t="s">
        <v>38</v>
      </c>
      <c r="AB1459" t="s">
        <v>921</v>
      </c>
      <c r="AC1459" t="s">
        <v>1056</v>
      </c>
      <c r="AD1459" t="s">
        <v>39</v>
      </c>
    </row>
    <row r="1460" spans="1:30" hidden="1" x14ac:dyDescent="0.25">
      <c r="A1460">
        <v>430</v>
      </c>
      <c r="B1460" t="s">
        <v>605</v>
      </c>
      <c r="C1460">
        <v>20</v>
      </c>
      <c r="D1460">
        <v>200</v>
      </c>
      <c r="E1460">
        <v>200</v>
      </c>
      <c r="F1460" t="s">
        <v>77</v>
      </c>
      <c r="G1460" t="s">
        <v>746</v>
      </c>
      <c r="H1460">
        <v>2</v>
      </c>
      <c r="I1460">
        <v>12.56</v>
      </c>
      <c r="J1460" t="s">
        <v>839</v>
      </c>
      <c r="K1460" t="s">
        <v>812</v>
      </c>
      <c r="M1460" t="s">
        <v>1085</v>
      </c>
      <c r="P1460" t="s">
        <v>924</v>
      </c>
      <c r="Q1460" t="s">
        <v>26</v>
      </c>
      <c r="R1460" t="s">
        <v>81</v>
      </c>
      <c r="W1460">
        <v>2</v>
      </c>
      <c r="X1460" s="24">
        <v>46032</v>
      </c>
      <c r="Z1460" t="s">
        <v>38</v>
      </c>
      <c r="AB1460" t="s">
        <v>921</v>
      </c>
      <c r="AC1460" t="s">
        <v>1056</v>
      </c>
      <c r="AD1460" t="s">
        <v>39</v>
      </c>
    </row>
    <row r="1461" spans="1:30" hidden="1" x14ac:dyDescent="0.25">
      <c r="A1461">
        <v>431</v>
      </c>
      <c r="B1461" t="s">
        <v>606</v>
      </c>
      <c r="C1461">
        <v>20</v>
      </c>
      <c r="D1461">
        <v>326</v>
      </c>
      <c r="E1461">
        <v>550</v>
      </c>
      <c r="F1461" t="s">
        <v>77</v>
      </c>
      <c r="G1461" t="s">
        <v>746</v>
      </c>
      <c r="H1461">
        <v>4</v>
      </c>
      <c r="I1461">
        <v>99.78</v>
      </c>
      <c r="J1461" t="s">
        <v>839</v>
      </c>
      <c r="K1461" t="s">
        <v>812</v>
      </c>
      <c r="M1461" t="s">
        <v>1085</v>
      </c>
      <c r="O1461" t="s">
        <v>228</v>
      </c>
      <c r="P1461" t="s">
        <v>924</v>
      </c>
      <c r="Q1461" t="s">
        <v>27</v>
      </c>
      <c r="R1461" t="s">
        <v>81</v>
      </c>
      <c r="W1461">
        <v>2</v>
      </c>
      <c r="X1461" s="24">
        <v>46032</v>
      </c>
      <c r="Z1461" t="s">
        <v>38</v>
      </c>
      <c r="AB1461" t="s">
        <v>921</v>
      </c>
      <c r="AC1461" t="s">
        <v>1056</v>
      </c>
      <c r="AD1461" t="s">
        <v>39</v>
      </c>
    </row>
    <row r="1462" spans="1:30" hidden="1" x14ac:dyDescent="0.25">
      <c r="A1462">
        <v>432</v>
      </c>
      <c r="B1462" t="s">
        <v>607</v>
      </c>
      <c r="C1462">
        <v>20</v>
      </c>
      <c r="D1462">
        <v>326</v>
      </c>
      <c r="E1462">
        <v>550</v>
      </c>
      <c r="F1462" t="s">
        <v>77</v>
      </c>
      <c r="G1462" t="s">
        <v>746</v>
      </c>
      <c r="H1462">
        <v>4</v>
      </c>
      <c r="I1462">
        <v>112.6</v>
      </c>
      <c r="J1462" t="s">
        <v>839</v>
      </c>
      <c r="K1462" t="s">
        <v>812</v>
      </c>
      <c r="M1462" t="s">
        <v>1085</v>
      </c>
      <c r="P1462" t="s">
        <v>924</v>
      </c>
      <c r="Q1462" t="s">
        <v>26</v>
      </c>
      <c r="R1462" t="s">
        <v>81</v>
      </c>
      <c r="W1462">
        <v>2</v>
      </c>
      <c r="X1462" s="24">
        <v>46032</v>
      </c>
      <c r="Z1462" t="s">
        <v>38</v>
      </c>
      <c r="AB1462" t="s">
        <v>921</v>
      </c>
      <c r="AC1462" t="s">
        <v>1056</v>
      </c>
      <c r="AD1462" t="s">
        <v>39</v>
      </c>
    </row>
    <row r="1463" spans="1:30" hidden="1" x14ac:dyDescent="0.25">
      <c r="A1463">
        <v>433</v>
      </c>
      <c r="B1463" t="s">
        <v>608</v>
      </c>
      <c r="C1463">
        <v>20</v>
      </c>
      <c r="D1463">
        <v>348</v>
      </c>
      <c r="E1463">
        <v>350</v>
      </c>
      <c r="F1463" t="s">
        <v>77</v>
      </c>
      <c r="G1463" t="s">
        <v>746</v>
      </c>
      <c r="H1463">
        <v>2</v>
      </c>
      <c r="I1463">
        <v>28.83</v>
      </c>
      <c r="J1463" t="s">
        <v>839</v>
      </c>
      <c r="K1463" t="s">
        <v>812</v>
      </c>
      <c r="M1463" t="s">
        <v>1085</v>
      </c>
      <c r="O1463" t="s">
        <v>228</v>
      </c>
      <c r="P1463" t="s">
        <v>924</v>
      </c>
      <c r="Q1463" t="s">
        <v>27</v>
      </c>
      <c r="R1463" t="s">
        <v>81</v>
      </c>
      <c r="W1463">
        <v>2</v>
      </c>
      <c r="X1463" s="24">
        <v>46032</v>
      </c>
      <c r="Z1463" t="s">
        <v>38</v>
      </c>
      <c r="AB1463" t="s">
        <v>921</v>
      </c>
      <c r="AC1463" t="s">
        <v>1056</v>
      </c>
      <c r="AD1463" t="s">
        <v>39</v>
      </c>
    </row>
    <row r="1464" spans="1:30" hidden="1" x14ac:dyDescent="0.25">
      <c r="A1464">
        <v>434</v>
      </c>
      <c r="B1464" t="s">
        <v>610</v>
      </c>
      <c r="C1464">
        <v>20</v>
      </c>
      <c r="D1464">
        <v>240</v>
      </c>
      <c r="E1464">
        <v>250</v>
      </c>
      <c r="F1464" t="s">
        <v>77</v>
      </c>
      <c r="G1464" t="s">
        <v>746</v>
      </c>
      <c r="H1464">
        <v>12</v>
      </c>
      <c r="I1464">
        <v>80.11</v>
      </c>
      <c r="J1464" t="s">
        <v>839</v>
      </c>
      <c r="K1464" t="s">
        <v>812</v>
      </c>
      <c r="M1464" t="s">
        <v>1085</v>
      </c>
      <c r="O1464" t="s">
        <v>228</v>
      </c>
      <c r="P1464" t="s">
        <v>924</v>
      </c>
      <c r="Q1464" t="s">
        <v>27</v>
      </c>
      <c r="R1464" t="s">
        <v>81</v>
      </c>
      <c r="W1464">
        <v>2</v>
      </c>
      <c r="X1464" s="24">
        <v>46032</v>
      </c>
      <c r="Z1464" t="s">
        <v>38</v>
      </c>
      <c r="AB1464" t="s">
        <v>921</v>
      </c>
      <c r="AC1464" t="s">
        <v>1056</v>
      </c>
      <c r="AD1464" t="s">
        <v>39</v>
      </c>
    </row>
    <row r="1465" spans="1:30" hidden="1" x14ac:dyDescent="0.25">
      <c r="A1465">
        <v>435</v>
      </c>
      <c r="B1465" t="s">
        <v>611</v>
      </c>
      <c r="C1465">
        <v>20</v>
      </c>
      <c r="D1465">
        <v>348</v>
      </c>
      <c r="E1465">
        <v>350</v>
      </c>
      <c r="F1465" t="s">
        <v>77</v>
      </c>
      <c r="G1465" t="s">
        <v>746</v>
      </c>
      <c r="H1465">
        <v>4</v>
      </c>
      <c r="I1465">
        <v>57.65</v>
      </c>
      <c r="J1465" t="s">
        <v>839</v>
      </c>
      <c r="K1465" t="s">
        <v>812</v>
      </c>
      <c r="M1465" t="s">
        <v>1085</v>
      </c>
      <c r="O1465" t="s">
        <v>228</v>
      </c>
      <c r="P1465" t="s">
        <v>924</v>
      </c>
      <c r="Q1465" t="s">
        <v>27</v>
      </c>
      <c r="R1465" t="s">
        <v>81</v>
      </c>
      <c r="W1465">
        <v>2</v>
      </c>
      <c r="X1465" s="24">
        <v>46032</v>
      </c>
      <c r="Z1465" t="s">
        <v>38</v>
      </c>
      <c r="AB1465" t="s">
        <v>921</v>
      </c>
      <c r="AC1465" t="s">
        <v>1056</v>
      </c>
      <c r="AD1465" t="s">
        <v>39</v>
      </c>
    </row>
    <row r="1466" spans="1:30" hidden="1" x14ac:dyDescent="0.25">
      <c r="A1466">
        <v>436</v>
      </c>
      <c r="B1466" t="s">
        <v>612</v>
      </c>
      <c r="C1466">
        <v>20</v>
      </c>
      <c r="D1466">
        <v>240</v>
      </c>
      <c r="E1466">
        <v>250</v>
      </c>
      <c r="F1466" t="s">
        <v>77</v>
      </c>
      <c r="G1466" t="s">
        <v>746</v>
      </c>
      <c r="H1466">
        <v>16</v>
      </c>
      <c r="I1466">
        <v>106.81</v>
      </c>
      <c r="J1466" t="s">
        <v>839</v>
      </c>
      <c r="K1466" t="s">
        <v>812</v>
      </c>
      <c r="M1466" t="s">
        <v>1085</v>
      </c>
      <c r="O1466" t="s">
        <v>228</v>
      </c>
      <c r="P1466" t="s">
        <v>924</v>
      </c>
      <c r="Q1466" t="s">
        <v>27</v>
      </c>
      <c r="R1466" t="s">
        <v>81</v>
      </c>
      <c r="W1466">
        <v>2</v>
      </c>
      <c r="X1466" s="24">
        <v>46032</v>
      </c>
      <c r="Z1466" t="s">
        <v>38</v>
      </c>
      <c r="AB1466" t="s">
        <v>921</v>
      </c>
      <c r="AC1466" t="s">
        <v>1056</v>
      </c>
      <c r="AD1466" t="s">
        <v>39</v>
      </c>
    </row>
    <row r="1467" spans="1:30" hidden="1" x14ac:dyDescent="0.25">
      <c r="A1467">
        <v>437</v>
      </c>
      <c r="B1467" t="s">
        <v>613</v>
      </c>
      <c r="C1467">
        <v>20</v>
      </c>
      <c r="D1467">
        <v>348</v>
      </c>
      <c r="E1467">
        <v>350</v>
      </c>
      <c r="F1467" t="s">
        <v>77</v>
      </c>
      <c r="G1467" t="s">
        <v>746</v>
      </c>
      <c r="H1467">
        <v>2</v>
      </c>
      <c r="I1467">
        <v>28.83</v>
      </c>
      <c r="J1467" t="s">
        <v>839</v>
      </c>
      <c r="K1467" t="s">
        <v>812</v>
      </c>
      <c r="M1467" t="s">
        <v>1085</v>
      </c>
      <c r="O1467" t="s">
        <v>228</v>
      </c>
      <c r="P1467" t="s">
        <v>924</v>
      </c>
      <c r="Q1467" t="s">
        <v>27</v>
      </c>
      <c r="R1467" t="s">
        <v>81</v>
      </c>
      <c r="W1467">
        <v>2</v>
      </c>
      <c r="X1467" s="24">
        <v>46032</v>
      </c>
      <c r="Z1467" t="s">
        <v>38</v>
      </c>
      <c r="AB1467" t="s">
        <v>921</v>
      </c>
      <c r="AC1467" t="s">
        <v>1056</v>
      </c>
      <c r="AD1467" t="s">
        <v>39</v>
      </c>
    </row>
    <row r="1468" spans="1:30" hidden="1" x14ac:dyDescent="0.25">
      <c r="A1468">
        <v>438</v>
      </c>
      <c r="B1468" t="s">
        <v>614</v>
      </c>
      <c r="C1468">
        <v>20</v>
      </c>
      <c r="D1468">
        <v>240</v>
      </c>
      <c r="E1468">
        <v>250</v>
      </c>
      <c r="F1468" t="s">
        <v>77</v>
      </c>
      <c r="G1468" t="s">
        <v>746</v>
      </c>
      <c r="H1468">
        <v>12</v>
      </c>
      <c r="I1468">
        <v>80.11</v>
      </c>
      <c r="J1468" t="s">
        <v>839</v>
      </c>
      <c r="K1468" t="s">
        <v>812</v>
      </c>
      <c r="M1468" t="s">
        <v>1085</v>
      </c>
      <c r="O1468" t="s">
        <v>228</v>
      </c>
      <c r="P1468" t="s">
        <v>924</v>
      </c>
      <c r="Q1468" t="s">
        <v>27</v>
      </c>
      <c r="R1468" t="s">
        <v>81</v>
      </c>
      <c r="W1468">
        <v>2</v>
      </c>
      <c r="X1468" s="24">
        <v>46032</v>
      </c>
      <c r="Z1468" t="s">
        <v>38</v>
      </c>
      <c r="AB1468" t="s">
        <v>921</v>
      </c>
      <c r="AC1468" t="s">
        <v>1056</v>
      </c>
      <c r="AD1468" t="s">
        <v>39</v>
      </c>
    </row>
    <row r="1469" spans="1:30" hidden="1" x14ac:dyDescent="0.25">
      <c r="A1469">
        <v>439</v>
      </c>
      <c r="B1469" t="s">
        <v>615</v>
      </c>
      <c r="C1469">
        <v>20</v>
      </c>
      <c r="D1469">
        <v>240</v>
      </c>
      <c r="E1469">
        <v>250</v>
      </c>
      <c r="F1469" t="s">
        <v>77</v>
      </c>
      <c r="G1469" t="s">
        <v>746</v>
      </c>
      <c r="H1469">
        <v>8</v>
      </c>
      <c r="I1469">
        <v>53.41</v>
      </c>
      <c r="J1469" t="s">
        <v>839</v>
      </c>
      <c r="K1469" t="s">
        <v>812</v>
      </c>
      <c r="M1469" t="s">
        <v>1085</v>
      </c>
      <c r="O1469" t="s">
        <v>228</v>
      </c>
      <c r="P1469" t="s">
        <v>924</v>
      </c>
      <c r="Q1469" t="s">
        <v>27</v>
      </c>
      <c r="R1469" t="s">
        <v>81</v>
      </c>
      <c r="W1469">
        <v>2</v>
      </c>
      <c r="X1469" s="24">
        <v>46032</v>
      </c>
      <c r="Z1469" t="s">
        <v>38</v>
      </c>
      <c r="AB1469" t="s">
        <v>921</v>
      </c>
      <c r="AC1469" t="s">
        <v>1056</v>
      </c>
      <c r="AD1469" t="s">
        <v>39</v>
      </c>
    </row>
    <row r="1470" spans="1:30" hidden="1" x14ac:dyDescent="0.25">
      <c r="A1470">
        <v>440</v>
      </c>
      <c r="B1470" t="s">
        <v>616</v>
      </c>
      <c r="C1470">
        <v>20</v>
      </c>
      <c r="D1470">
        <v>140</v>
      </c>
      <c r="E1470">
        <v>200</v>
      </c>
      <c r="F1470" t="s">
        <v>77</v>
      </c>
      <c r="G1470" t="s">
        <v>746</v>
      </c>
      <c r="H1470">
        <v>12</v>
      </c>
      <c r="I1470">
        <v>47.36</v>
      </c>
      <c r="J1470" t="s">
        <v>839</v>
      </c>
      <c r="K1470" t="s">
        <v>812</v>
      </c>
      <c r="M1470" t="s">
        <v>1085</v>
      </c>
      <c r="O1470" t="s">
        <v>228</v>
      </c>
      <c r="P1470" t="s">
        <v>924</v>
      </c>
      <c r="Q1470" t="s">
        <v>27</v>
      </c>
      <c r="R1470" t="s">
        <v>81</v>
      </c>
      <c r="W1470">
        <v>2</v>
      </c>
      <c r="X1470" s="24">
        <v>46032</v>
      </c>
      <c r="Z1470" t="s">
        <v>38</v>
      </c>
      <c r="AB1470" t="s">
        <v>921</v>
      </c>
      <c r="AC1470" t="s">
        <v>1056</v>
      </c>
      <c r="AD1470" t="s">
        <v>39</v>
      </c>
    </row>
    <row r="1471" spans="1:30" hidden="1" x14ac:dyDescent="0.25">
      <c r="A1471">
        <v>441</v>
      </c>
      <c r="B1471" t="s">
        <v>618</v>
      </c>
      <c r="C1471">
        <v>20</v>
      </c>
      <c r="D1471">
        <v>140</v>
      </c>
      <c r="E1471">
        <v>200</v>
      </c>
      <c r="F1471" t="s">
        <v>77</v>
      </c>
      <c r="G1471" t="s">
        <v>746</v>
      </c>
      <c r="H1471">
        <v>8</v>
      </c>
      <c r="I1471">
        <v>31.57</v>
      </c>
      <c r="J1471" t="s">
        <v>839</v>
      </c>
      <c r="K1471" t="s">
        <v>812</v>
      </c>
      <c r="M1471" t="s">
        <v>1085</v>
      </c>
      <c r="O1471" t="s">
        <v>228</v>
      </c>
      <c r="P1471" t="s">
        <v>924</v>
      </c>
      <c r="Q1471" t="s">
        <v>27</v>
      </c>
      <c r="R1471" t="s">
        <v>81</v>
      </c>
      <c r="W1471">
        <v>2</v>
      </c>
      <c r="X1471" s="24">
        <v>46032</v>
      </c>
      <c r="Z1471" t="s">
        <v>38</v>
      </c>
      <c r="AB1471" t="s">
        <v>921</v>
      </c>
      <c r="AC1471" t="s">
        <v>1056</v>
      </c>
      <c r="AD1471" t="s">
        <v>39</v>
      </c>
    </row>
    <row r="1472" spans="1:30" hidden="1" x14ac:dyDescent="0.25">
      <c r="A1472">
        <v>442</v>
      </c>
      <c r="B1472" t="s">
        <v>619</v>
      </c>
      <c r="C1472">
        <v>20</v>
      </c>
      <c r="D1472">
        <v>140</v>
      </c>
      <c r="E1472">
        <v>200</v>
      </c>
      <c r="F1472" t="s">
        <v>77</v>
      </c>
      <c r="G1472" t="s">
        <v>746</v>
      </c>
      <c r="H1472">
        <v>8</v>
      </c>
      <c r="I1472">
        <v>31.57</v>
      </c>
      <c r="J1472" t="s">
        <v>839</v>
      </c>
      <c r="K1472" t="s">
        <v>812</v>
      </c>
      <c r="M1472" t="s">
        <v>1085</v>
      </c>
      <c r="O1472" t="s">
        <v>228</v>
      </c>
      <c r="P1472" t="s">
        <v>924</v>
      </c>
      <c r="Q1472" t="s">
        <v>27</v>
      </c>
      <c r="R1472" t="s">
        <v>81</v>
      </c>
      <c r="W1472">
        <v>2</v>
      </c>
      <c r="X1472" s="24">
        <v>46032</v>
      </c>
      <c r="Z1472" t="s">
        <v>38</v>
      </c>
      <c r="AB1472" t="s">
        <v>921</v>
      </c>
      <c r="AC1472" t="s">
        <v>1056</v>
      </c>
      <c r="AD1472" t="s">
        <v>39</v>
      </c>
    </row>
    <row r="1473" spans="1:30" hidden="1" x14ac:dyDescent="0.25">
      <c r="A1473">
        <v>443</v>
      </c>
      <c r="B1473" t="s">
        <v>620</v>
      </c>
      <c r="C1473">
        <v>20</v>
      </c>
      <c r="D1473">
        <v>140</v>
      </c>
      <c r="E1473">
        <v>200</v>
      </c>
      <c r="F1473" t="s">
        <v>77</v>
      </c>
      <c r="G1473" t="s">
        <v>746</v>
      </c>
      <c r="H1473">
        <v>8</v>
      </c>
      <c r="I1473">
        <v>31.57</v>
      </c>
      <c r="J1473" t="s">
        <v>839</v>
      </c>
      <c r="K1473" t="s">
        <v>812</v>
      </c>
      <c r="M1473" t="s">
        <v>1085</v>
      </c>
      <c r="O1473" t="s">
        <v>228</v>
      </c>
      <c r="P1473" t="s">
        <v>924</v>
      </c>
      <c r="Q1473" t="s">
        <v>27</v>
      </c>
      <c r="R1473" t="s">
        <v>81</v>
      </c>
      <c r="W1473">
        <v>2</v>
      </c>
      <c r="X1473" s="24">
        <v>46032</v>
      </c>
      <c r="Z1473" t="s">
        <v>38</v>
      </c>
      <c r="AB1473" t="s">
        <v>921</v>
      </c>
      <c r="AC1473" t="s">
        <v>1056</v>
      </c>
      <c r="AD1473" t="s">
        <v>39</v>
      </c>
    </row>
    <row r="1474" spans="1:30" hidden="1" x14ac:dyDescent="0.25">
      <c r="A1474">
        <v>444</v>
      </c>
      <c r="B1474" t="s">
        <v>621</v>
      </c>
      <c r="C1474">
        <v>20</v>
      </c>
      <c r="D1474">
        <v>140</v>
      </c>
      <c r="E1474">
        <v>200</v>
      </c>
      <c r="F1474" t="s">
        <v>77</v>
      </c>
      <c r="G1474" t="s">
        <v>746</v>
      </c>
      <c r="H1474">
        <v>8</v>
      </c>
      <c r="I1474">
        <v>31.57</v>
      </c>
      <c r="J1474" t="s">
        <v>839</v>
      </c>
      <c r="K1474" t="s">
        <v>812</v>
      </c>
      <c r="M1474" t="s">
        <v>1085</v>
      </c>
      <c r="O1474" t="s">
        <v>228</v>
      </c>
      <c r="P1474" t="s">
        <v>924</v>
      </c>
      <c r="Q1474" t="s">
        <v>27</v>
      </c>
      <c r="R1474" t="s">
        <v>81</v>
      </c>
      <c r="W1474">
        <v>2</v>
      </c>
      <c r="X1474" s="24">
        <v>46032</v>
      </c>
      <c r="Z1474" t="s">
        <v>38</v>
      </c>
      <c r="AB1474" t="s">
        <v>921</v>
      </c>
      <c r="AC1474" t="s">
        <v>1056</v>
      </c>
      <c r="AD1474" t="s">
        <v>39</v>
      </c>
    </row>
    <row r="1475" spans="1:30" hidden="1" x14ac:dyDescent="0.25">
      <c r="A1475">
        <v>445</v>
      </c>
      <c r="B1475" t="s">
        <v>622</v>
      </c>
      <c r="C1475">
        <v>20</v>
      </c>
      <c r="D1475">
        <v>140</v>
      </c>
      <c r="E1475">
        <v>200</v>
      </c>
      <c r="F1475" t="s">
        <v>77</v>
      </c>
      <c r="G1475" t="s">
        <v>746</v>
      </c>
      <c r="H1475">
        <v>8</v>
      </c>
      <c r="I1475">
        <v>31.57</v>
      </c>
      <c r="J1475" t="s">
        <v>839</v>
      </c>
      <c r="K1475" t="s">
        <v>812</v>
      </c>
      <c r="M1475" t="s">
        <v>1085</v>
      </c>
      <c r="O1475" t="s">
        <v>228</v>
      </c>
      <c r="P1475" t="s">
        <v>924</v>
      </c>
      <c r="Q1475" t="s">
        <v>27</v>
      </c>
      <c r="R1475" t="s">
        <v>81</v>
      </c>
      <c r="W1475">
        <v>2</v>
      </c>
      <c r="X1475" s="24">
        <v>46032</v>
      </c>
      <c r="Z1475" t="s">
        <v>38</v>
      </c>
      <c r="AB1475" t="s">
        <v>921</v>
      </c>
      <c r="AC1475" t="s">
        <v>1056</v>
      </c>
      <c r="AD1475" t="s">
        <v>39</v>
      </c>
    </row>
    <row r="1476" spans="1:30" hidden="1" x14ac:dyDescent="0.25">
      <c r="A1476">
        <v>446</v>
      </c>
      <c r="B1476" t="s">
        <v>623</v>
      </c>
      <c r="C1476">
        <v>20</v>
      </c>
      <c r="D1476">
        <v>140</v>
      </c>
      <c r="E1476">
        <v>200</v>
      </c>
      <c r="F1476" t="s">
        <v>77</v>
      </c>
      <c r="G1476" t="s">
        <v>746</v>
      </c>
      <c r="H1476">
        <v>8</v>
      </c>
      <c r="I1476">
        <v>31.57</v>
      </c>
      <c r="J1476" t="s">
        <v>839</v>
      </c>
      <c r="K1476" t="s">
        <v>812</v>
      </c>
      <c r="M1476" t="s">
        <v>1085</v>
      </c>
      <c r="O1476" t="s">
        <v>228</v>
      </c>
      <c r="P1476" t="s">
        <v>924</v>
      </c>
      <c r="Q1476" t="s">
        <v>27</v>
      </c>
      <c r="R1476" t="s">
        <v>81</v>
      </c>
      <c r="W1476">
        <v>2</v>
      </c>
      <c r="X1476" s="24">
        <v>46032</v>
      </c>
      <c r="Z1476" t="s">
        <v>38</v>
      </c>
      <c r="AB1476" t="s">
        <v>921</v>
      </c>
      <c r="AC1476" t="s">
        <v>1056</v>
      </c>
      <c r="AD1476" t="s">
        <v>39</v>
      </c>
    </row>
    <row r="1477" spans="1:30" hidden="1" x14ac:dyDescent="0.25">
      <c r="A1477">
        <v>447</v>
      </c>
      <c r="B1477" t="s">
        <v>624</v>
      </c>
      <c r="C1477">
        <v>20</v>
      </c>
      <c r="D1477">
        <v>140</v>
      </c>
      <c r="E1477">
        <v>200</v>
      </c>
      <c r="F1477" t="s">
        <v>77</v>
      </c>
      <c r="G1477" t="s">
        <v>746</v>
      </c>
      <c r="H1477">
        <v>8</v>
      </c>
      <c r="I1477">
        <v>31.57</v>
      </c>
      <c r="J1477" t="s">
        <v>839</v>
      </c>
      <c r="K1477" t="s">
        <v>812</v>
      </c>
      <c r="M1477" t="s">
        <v>1085</v>
      </c>
      <c r="O1477" t="s">
        <v>228</v>
      </c>
      <c r="P1477" t="s">
        <v>924</v>
      </c>
      <c r="Q1477" t="s">
        <v>27</v>
      </c>
      <c r="R1477" t="s">
        <v>81</v>
      </c>
      <c r="W1477">
        <v>2</v>
      </c>
      <c r="X1477" s="24">
        <v>46032</v>
      </c>
      <c r="Z1477" t="s">
        <v>38</v>
      </c>
      <c r="AB1477" t="s">
        <v>921</v>
      </c>
      <c r="AC1477" t="s">
        <v>1056</v>
      </c>
      <c r="AD1477" t="s">
        <v>39</v>
      </c>
    </row>
    <row r="1478" spans="1:30" hidden="1" x14ac:dyDescent="0.25">
      <c r="A1478">
        <v>448</v>
      </c>
      <c r="B1478" t="s">
        <v>625</v>
      </c>
      <c r="C1478">
        <v>20</v>
      </c>
      <c r="D1478">
        <v>140</v>
      </c>
      <c r="E1478">
        <v>200</v>
      </c>
      <c r="F1478" t="s">
        <v>77</v>
      </c>
      <c r="G1478" t="s">
        <v>746</v>
      </c>
      <c r="H1478">
        <v>8</v>
      </c>
      <c r="I1478">
        <v>31.57</v>
      </c>
      <c r="J1478" t="s">
        <v>839</v>
      </c>
      <c r="K1478" t="s">
        <v>812</v>
      </c>
      <c r="M1478" t="s">
        <v>1085</v>
      </c>
      <c r="O1478" t="s">
        <v>228</v>
      </c>
      <c r="P1478" t="s">
        <v>924</v>
      </c>
      <c r="Q1478" t="s">
        <v>27</v>
      </c>
      <c r="R1478" t="s">
        <v>81</v>
      </c>
      <c r="W1478">
        <v>2</v>
      </c>
      <c r="X1478" s="24">
        <v>46032</v>
      </c>
      <c r="Z1478" t="s">
        <v>38</v>
      </c>
      <c r="AB1478" t="s">
        <v>921</v>
      </c>
      <c r="AC1478" t="s">
        <v>1056</v>
      </c>
      <c r="AD1478" t="s">
        <v>39</v>
      </c>
    </row>
    <row r="1479" spans="1:30" hidden="1" x14ac:dyDescent="0.25">
      <c r="A1479">
        <v>449</v>
      </c>
      <c r="B1479" t="s">
        <v>626</v>
      </c>
      <c r="C1479">
        <v>20</v>
      </c>
      <c r="D1479">
        <v>140</v>
      </c>
      <c r="E1479">
        <v>200</v>
      </c>
      <c r="F1479" t="s">
        <v>77</v>
      </c>
      <c r="G1479" t="s">
        <v>746</v>
      </c>
      <c r="H1479">
        <v>6</v>
      </c>
      <c r="I1479">
        <v>23.68</v>
      </c>
      <c r="J1479" t="s">
        <v>839</v>
      </c>
      <c r="K1479" t="s">
        <v>812</v>
      </c>
      <c r="M1479" t="s">
        <v>1085</v>
      </c>
      <c r="O1479" t="s">
        <v>228</v>
      </c>
      <c r="P1479" t="s">
        <v>924</v>
      </c>
      <c r="Q1479" t="s">
        <v>27</v>
      </c>
      <c r="R1479" t="s">
        <v>81</v>
      </c>
      <c r="W1479">
        <v>2</v>
      </c>
      <c r="X1479" s="24">
        <v>46032</v>
      </c>
      <c r="Z1479" t="s">
        <v>38</v>
      </c>
      <c r="AB1479" t="s">
        <v>921</v>
      </c>
      <c r="AC1479" t="s">
        <v>1056</v>
      </c>
      <c r="AD1479" t="s">
        <v>39</v>
      </c>
    </row>
    <row r="1480" spans="1:30" hidden="1" x14ac:dyDescent="0.25">
      <c r="A1480">
        <v>450</v>
      </c>
      <c r="B1480" t="s">
        <v>571</v>
      </c>
      <c r="C1480">
        <v>20</v>
      </c>
      <c r="D1480">
        <v>400</v>
      </c>
      <c r="E1480">
        <v>780</v>
      </c>
      <c r="F1480" t="s">
        <v>77</v>
      </c>
      <c r="G1480" t="s">
        <v>746</v>
      </c>
      <c r="H1480">
        <v>1</v>
      </c>
      <c r="I1480">
        <v>48.61</v>
      </c>
      <c r="J1480" t="s">
        <v>839</v>
      </c>
      <c r="K1480" t="s">
        <v>812</v>
      </c>
      <c r="M1480" t="s">
        <v>1085</v>
      </c>
      <c r="O1480" t="s">
        <v>228</v>
      </c>
      <c r="P1480" t="s">
        <v>924</v>
      </c>
      <c r="Q1480" t="s">
        <v>27</v>
      </c>
      <c r="S1480" t="s">
        <v>81</v>
      </c>
      <c r="W1480">
        <v>2</v>
      </c>
      <c r="X1480" s="24">
        <v>46032</v>
      </c>
      <c r="Z1480" t="s">
        <v>38</v>
      </c>
      <c r="AB1480" t="s">
        <v>921</v>
      </c>
      <c r="AC1480" t="s">
        <v>1061</v>
      </c>
      <c r="AD1480" t="s">
        <v>1062</v>
      </c>
    </row>
    <row r="1481" spans="1:30" hidden="1" x14ac:dyDescent="0.25">
      <c r="A1481">
        <v>451</v>
      </c>
      <c r="B1481" t="s">
        <v>577</v>
      </c>
      <c r="C1481">
        <v>20</v>
      </c>
      <c r="D1481">
        <v>175</v>
      </c>
      <c r="E1481">
        <v>180</v>
      </c>
      <c r="F1481" t="s">
        <v>77</v>
      </c>
      <c r="G1481" t="s">
        <v>746</v>
      </c>
      <c r="H1481">
        <v>2</v>
      </c>
      <c r="I1481">
        <v>9.15</v>
      </c>
      <c r="J1481" t="s">
        <v>839</v>
      </c>
      <c r="K1481" t="s">
        <v>812</v>
      </c>
      <c r="M1481" t="s">
        <v>1085</v>
      </c>
      <c r="O1481" t="s">
        <v>228</v>
      </c>
      <c r="P1481" t="s">
        <v>924</v>
      </c>
      <c r="Q1481" t="s">
        <v>27</v>
      </c>
      <c r="S1481" t="s">
        <v>81</v>
      </c>
      <c r="W1481">
        <v>2</v>
      </c>
      <c r="X1481" s="24">
        <v>46032</v>
      </c>
      <c r="Z1481" t="s">
        <v>38</v>
      </c>
      <c r="AB1481" t="s">
        <v>921</v>
      </c>
      <c r="AC1481" t="s">
        <v>1061</v>
      </c>
      <c r="AD1481" t="s">
        <v>1062</v>
      </c>
    </row>
    <row r="1482" spans="1:30" hidden="1" x14ac:dyDescent="0.25">
      <c r="A1482">
        <v>452</v>
      </c>
      <c r="B1482" t="s">
        <v>602</v>
      </c>
      <c r="C1482">
        <v>20</v>
      </c>
      <c r="D1482">
        <v>180</v>
      </c>
      <c r="E1482">
        <v>300</v>
      </c>
      <c r="F1482" t="s">
        <v>77</v>
      </c>
      <c r="G1482" t="s">
        <v>746</v>
      </c>
      <c r="H1482">
        <v>1</v>
      </c>
      <c r="I1482">
        <v>8.48</v>
      </c>
      <c r="J1482" t="s">
        <v>839</v>
      </c>
      <c r="K1482" t="s">
        <v>812</v>
      </c>
      <c r="M1482" t="s">
        <v>1085</v>
      </c>
      <c r="P1482" t="s">
        <v>924</v>
      </c>
      <c r="Q1482" t="s">
        <v>26</v>
      </c>
      <c r="S1482" t="s">
        <v>81</v>
      </c>
      <c r="W1482">
        <v>2</v>
      </c>
      <c r="X1482" s="24">
        <v>46032</v>
      </c>
      <c r="Z1482" t="s">
        <v>38</v>
      </c>
      <c r="AB1482" t="s">
        <v>921</v>
      </c>
      <c r="AC1482" t="s">
        <v>1061</v>
      </c>
      <c r="AD1482" t="s">
        <v>1062</v>
      </c>
    </row>
    <row r="1483" spans="1:30" hidden="1" x14ac:dyDescent="0.25">
      <c r="A1483">
        <v>453</v>
      </c>
      <c r="B1483" t="s">
        <v>626</v>
      </c>
      <c r="C1483">
        <v>20</v>
      </c>
      <c r="D1483">
        <v>140</v>
      </c>
      <c r="E1483">
        <v>200</v>
      </c>
      <c r="F1483" t="s">
        <v>77</v>
      </c>
      <c r="G1483" t="s">
        <v>746</v>
      </c>
      <c r="H1483">
        <v>6</v>
      </c>
      <c r="I1483">
        <v>23.68</v>
      </c>
      <c r="J1483" t="s">
        <v>839</v>
      </c>
      <c r="K1483" t="s">
        <v>812</v>
      </c>
      <c r="M1483" t="s">
        <v>1085</v>
      </c>
      <c r="O1483" t="s">
        <v>228</v>
      </c>
      <c r="P1483" t="s">
        <v>924</v>
      </c>
      <c r="Q1483" t="s">
        <v>27</v>
      </c>
      <c r="S1483" t="s">
        <v>81</v>
      </c>
      <c r="W1483">
        <v>2</v>
      </c>
      <c r="X1483" s="24">
        <v>46032</v>
      </c>
      <c r="Z1483" t="s">
        <v>38</v>
      </c>
      <c r="AB1483" t="s">
        <v>921</v>
      </c>
      <c r="AC1483" t="s">
        <v>1061</v>
      </c>
      <c r="AD1483" t="s">
        <v>1062</v>
      </c>
    </row>
    <row r="1484" spans="1:30" hidden="1" x14ac:dyDescent="0.25">
      <c r="A1484">
        <v>454</v>
      </c>
      <c r="B1484" t="s">
        <v>663</v>
      </c>
      <c r="C1484">
        <v>25</v>
      </c>
      <c r="D1484">
        <v>250</v>
      </c>
      <c r="E1484">
        <v>300</v>
      </c>
      <c r="F1484" t="s">
        <v>77</v>
      </c>
      <c r="G1484" t="s">
        <v>746</v>
      </c>
      <c r="H1484">
        <v>4</v>
      </c>
      <c r="I1484">
        <v>54.6</v>
      </c>
      <c r="J1484" t="s">
        <v>839</v>
      </c>
      <c r="K1484" t="s">
        <v>812</v>
      </c>
      <c r="M1484" t="s">
        <v>1085</v>
      </c>
      <c r="O1484" t="s">
        <v>228</v>
      </c>
      <c r="P1484" t="s">
        <v>924</v>
      </c>
      <c r="Q1484" t="s">
        <v>27</v>
      </c>
      <c r="S1484" t="s">
        <v>81</v>
      </c>
      <c r="W1484">
        <v>2</v>
      </c>
      <c r="X1484" s="24">
        <v>46032</v>
      </c>
      <c r="Z1484" t="s">
        <v>38</v>
      </c>
      <c r="AB1484" t="s">
        <v>921</v>
      </c>
      <c r="AC1484" t="s">
        <v>1065</v>
      </c>
      <c r="AD1484" t="s">
        <v>1066</v>
      </c>
    </row>
    <row r="1485" spans="1:30" hidden="1" x14ac:dyDescent="0.25">
      <c r="A1485">
        <v>455</v>
      </c>
      <c r="B1485" t="s">
        <v>667</v>
      </c>
      <c r="C1485">
        <v>25</v>
      </c>
      <c r="D1485">
        <v>240</v>
      </c>
      <c r="E1485">
        <v>300</v>
      </c>
      <c r="F1485" t="s">
        <v>77</v>
      </c>
      <c r="G1485" t="s">
        <v>746</v>
      </c>
      <c r="H1485">
        <v>3</v>
      </c>
      <c r="I1485">
        <v>38.64</v>
      </c>
      <c r="J1485" t="s">
        <v>839</v>
      </c>
      <c r="K1485" t="s">
        <v>812</v>
      </c>
      <c r="M1485" t="s">
        <v>1085</v>
      </c>
      <c r="O1485" t="s">
        <v>228</v>
      </c>
      <c r="P1485" t="s">
        <v>924</v>
      </c>
      <c r="Q1485" t="s">
        <v>27</v>
      </c>
      <c r="S1485" t="s">
        <v>81</v>
      </c>
      <c r="W1485">
        <v>2</v>
      </c>
      <c r="X1485" s="24">
        <v>46032</v>
      </c>
      <c r="Z1485" t="s">
        <v>38</v>
      </c>
      <c r="AB1485" t="s">
        <v>921</v>
      </c>
      <c r="AC1485" t="s">
        <v>1065</v>
      </c>
      <c r="AD1485" t="s">
        <v>1066</v>
      </c>
    </row>
    <row r="1486" spans="1:30" hidden="1" x14ac:dyDescent="0.25">
      <c r="A1486">
        <v>456</v>
      </c>
      <c r="B1486" t="s">
        <v>1068</v>
      </c>
      <c r="C1486">
        <v>25</v>
      </c>
      <c r="D1486">
        <v>120</v>
      </c>
      <c r="E1486">
        <v>240</v>
      </c>
      <c r="F1486" t="s">
        <v>77</v>
      </c>
      <c r="G1486" t="s">
        <v>746</v>
      </c>
      <c r="H1486">
        <v>6</v>
      </c>
      <c r="I1486">
        <v>31.6</v>
      </c>
      <c r="J1486" t="s">
        <v>839</v>
      </c>
      <c r="K1486" t="s">
        <v>812</v>
      </c>
      <c r="M1486" t="s">
        <v>1085</v>
      </c>
      <c r="O1486" t="s">
        <v>228</v>
      </c>
      <c r="P1486" t="s">
        <v>924</v>
      </c>
      <c r="Q1486" t="s">
        <v>27</v>
      </c>
      <c r="S1486" t="s">
        <v>81</v>
      </c>
      <c r="W1486">
        <v>2</v>
      </c>
      <c r="X1486" s="24">
        <v>46032</v>
      </c>
      <c r="Z1486" t="s">
        <v>38</v>
      </c>
      <c r="AB1486" t="s">
        <v>921</v>
      </c>
      <c r="AC1486" t="s">
        <v>1065</v>
      </c>
      <c r="AD1486" t="s">
        <v>1066</v>
      </c>
    </row>
    <row r="1487" spans="1:30" hidden="1" x14ac:dyDescent="0.25">
      <c r="A1487">
        <v>457</v>
      </c>
      <c r="B1487" t="s">
        <v>652</v>
      </c>
      <c r="C1487">
        <v>25</v>
      </c>
      <c r="D1487">
        <v>443</v>
      </c>
      <c r="E1487">
        <v>525</v>
      </c>
      <c r="F1487" t="s">
        <v>77</v>
      </c>
      <c r="G1487" t="s">
        <v>746</v>
      </c>
      <c r="H1487">
        <v>2</v>
      </c>
      <c r="I1487">
        <v>83.27</v>
      </c>
      <c r="J1487" t="s">
        <v>839</v>
      </c>
      <c r="K1487" t="s">
        <v>812</v>
      </c>
      <c r="M1487" t="s">
        <v>1085</v>
      </c>
      <c r="O1487" t="s">
        <v>228</v>
      </c>
      <c r="P1487" t="s">
        <v>924</v>
      </c>
      <c r="Q1487" t="s">
        <v>27</v>
      </c>
      <c r="S1487" t="s">
        <v>81</v>
      </c>
      <c r="W1487">
        <v>2</v>
      </c>
      <c r="X1487" s="24">
        <v>46032</v>
      </c>
      <c r="Z1487" t="s">
        <v>38</v>
      </c>
      <c r="AB1487" t="s">
        <v>921</v>
      </c>
      <c r="AC1487" t="s">
        <v>1065</v>
      </c>
      <c r="AD1487" t="s">
        <v>1066</v>
      </c>
    </row>
    <row r="1488" spans="1:30" hidden="1" x14ac:dyDescent="0.25">
      <c r="A1488">
        <v>458</v>
      </c>
      <c r="B1488" t="s">
        <v>647</v>
      </c>
      <c r="C1488">
        <v>25</v>
      </c>
      <c r="D1488">
        <v>443</v>
      </c>
      <c r="E1488">
        <v>525</v>
      </c>
      <c r="F1488" t="s">
        <v>77</v>
      </c>
      <c r="G1488" t="s">
        <v>746</v>
      </c>
      <c r="H1488">
        <v>2</v>
      </c>
      <c r="I1488">
        <v>91.29</v>
      </c>
      <c r="J1488" t="s">
        <v>839</v>
      </c>
      <c r="K1488" t="s">
        <v>812</v>
      </c>
      <c r="M1488" t="s">
        <v>1085</v>
      </c>
      <c r="P1488" t="s">
        <v>924</v>
      </c>
      <c r="Q1488" t="s">
        <v>26</v>
      </c>
      <c r="S1488" t="s">
        <v>81</v>
      </c>
      <c r="W1488">
        <v>2</v>
      </c>
      <c r="X1488" s="24">
        <v>46032</v>
      </c>
      <c r="Z1488" t="s">
        <v>38</v>
      </c>
      <c r="AB1488" t="s">
        <v>921</v>
      </c>
      <c r="AC1488" t="s">
        <v>1065</v>
      </c>
      <c r="AD1488" t="s">
        <v>1066</v>
      </c>
    </row>
    <row r="1489" spans="1:30" hidden="1" x14ac:dyDescent="0.25">
      <c r="A1489">
        <v>459</v>
      </c>
      <c r="B1489" t="s">
        <v>650</v>
      </c>
      <c r="C1489">
        <v>25</v>
      </c>
      <c r="D1489">
        <v>200</v>
      </c>
      <c r="E1489">
        <v>200</v>
      </c>
      <c r="F1489" t="s">
        <v>77</v>
      </c>
      <c r="G1489" t="s">
        <v>746</v>
      </c>
      <c r="H1489">
        <v>2</v>
      </c>
      <c r="I1489">
        <v>15.7</v>
      </c>
      <c r="J1489" t="s">
        <v>839</v>
      </c>
      <c r="K1489" t="s">
        <v>812</v>
      </c>
      <c r="M1489" t="s">
        <v>1085</v>
      </c>
      <c r="P1489" t="s">
        <v>924</v>
      </c>
      <c r="Q1489" t="s">
        <v>26</v>
      </c>
      <c r="S1489" t="s">
        <v>81</v>
      </c>
      <c r="W1489">
        <v>2</v>
      </c>
      <c r="X1489" s="24">
        <v>46032</v>
      </c>
      <c r="Z1489" t="s">
        <v>38</v>
      </c>
      <c r="AB1489" t="s">
        <v>921</v>
      </c>
      <c r="AC1489" t="s">
        <v>1065</v>
      </c>
      <c r="AD1489" t="s">
        <v>1066</v>
      </c>
    </row>
    <row r="1490" spans="1:30" hidden="1" x14ac:dyDescent="0.25">
      <c r="A1490">
        <v>460</v>
      </c>
      <c r="B1490" t="s">
        <v>649</v>
      </c>
      <c r="C1490">
        <v>25</v>
      </c>
      <c r="D1490">
        <v>443</v>
      </c>
      <c r="E1490">
        <v>550</v>
      </c>
      <c r="F1490" t="s">
        <v>77</v>
      </c>
      <c r="G1490" t="s">
        <v>746</v>
      </c>
      <c r="H1490">
        <v>2</v>
      </c>
      <c r="I1490">
        <v>87.62</v>
      </c>
      <c r="J1490" t="s">
        <v>839</v>
      </c>
      <c r="K1490" t="s">
        <v>812</v>
      </c>
      <c r="M1490" t="s">
        <v>1085</v>
      </c>
      <c r="O1490" t="s">
        <v>228</v>
      </c>
      <c r="P1490" t="s">
        <v>924</v>
      </c>
      <c r="Q1490" t="s">
        <v>27</v>
      </c>
      <c r="S1490" t="s">
        <v>81</v>
      </c>
      <c r="W1490">
        <v>2</v>
      </c>
      <c r="X1490" s="24">
        <v>46032</v>
      </c>
      <c r="Z1490" t="s">
        <v>38</v>
      </c>
      <c r="AB1490" t="s">
        <v>921</v>
      </c>
      <c r="AC1490" t="s">
        <v>1065</v>
      </c>
      <c r="AD1490" t="s">
        <v>1066</v>
      </c>
    </row>
    <row r="1491" spans="1:30" hidden="1" x14ac:dyDescent="0.25">
      <c r="A1491">
        <v>461</v>
      </c>
      <c r="B1491" t="s">
        <v>642</v>
      </c>
      <c r="C1491">
        <v>25</v>
      </c>
      <c r="D1491">
        <v>443</v>
      </c>
      <c r="E1491">
        <v>550</v>
      </c>
      <c r="F1491" t="s">
        <v>77</v>
      </c>
      <c r="G1491" t="s">
        <v>746</v>
      </c>
      <c r="H1491">
        <v>2</v>
      </c>
      <c r="I1491">
        <v>95.63</v>
      </c>
      <c r="J1491" t="s">
        <v>839</v>
      </c>
      <c r="K1491" t="s">
        <v>812</v>
      </c>
      <c r="M1491" t="s">
        <v>1085</v>
      </c>
      <c r="P1491" t="s">
        <v>924</v>
      </c>
      <c r="Q1491" t="s">
        <v>26</v>
      </c>
      <c r="S1491" t="s">
        <v>81</v>
      </c>
      <c r="W1491">
        <v>2</v>
      </c>
      <c r="X1491" s="24">
        <v>46032</v>
      </c>
      <c r="Z1491" t="s">
        <v>38</v>
      </c>
      <c r="AB1491" t="s">
        <v>921</v>
      </c>
      <c r="AC1491" t="s">
        <v>1065</v>
      </c>
      <c r="AD1491" t="s">
        <v>1066</v>
      </c>
    </row>
    <row r="1492" spans="1:30" hidden="1" x14ac:dyDescent="0.25">
      <c r="A1492">
        <v>462</v>
      </c>
      <c r="B1492" t="s">
        <v>653</v>
      </c>
      <c r="C1492">
        <v>25</v>
      </c>
      <c r="D1492">
        <v>443</v>
      </c>
      <c r="E1492">
        <v>525</v>
      </c>
      <c r="F1492" t="s">
        <v>77</v>
      </c>
      <c r="G1492" t="s">
        <v>746</v>
      </c>
      <c r="H1492">
        <v>2</v>
      </c>
      <c r="I1492">
        <v>83.27</v>
      </c>
      <c r="J1492" t="s">
        <v>839</v>
      </c>
      <c r="K1492" t="s">
        <v>812</v>
      </c>
      <c r="M1492" t="s">
        <v>1085</v>
      </c>
      <c r="O1492" t="s">
        <v>228</v>
      </c>
      <c r="P1492" t="s">
        <v>924</v>
      </c>
      <c r="Q1492" t="s">
        <v>27</v>
      </c>
      <c r="S1492" t="s">
        <v>81</v>
      </c>
      <c r="W1492">
        <v>2</v>
      </c>
      <c r="X1492" s="24">
        <v>46032</v>
      </c>
      <c r="Z1492" t="s">
        <v>38</v>
      </c>
      <c r="AB1492" t="s">
        <v>921</v>
      </c>
      <c r="AC1492" t="s">
        <v>1065</v>
      </c>
      <c r="AD1492" t="s">
        <v>1066</v>
      </c>
    </row>
    <row r="1493" spans="1:30" hidden="1" x14ac:dyDescent="0.25">
      <c r="A1493">
        <v>463</v>
      </c>
      <c r="B1493" t="s">
        <v>639</v>
      </c>
      <c r="C1493">
        <v>25</v>
      </c>
      <c r="D1493">
        <v>443</v>
      </c>
      <c r="E1493">
        <v>525</v>
      </c>
      <c r="F1493" t="s">
        <v>77</v>
      </c>
      <c r="G1493" t="s">
        <v>746</v>
      </c>
      <c r="H1493">
        <v>2</v>
      </c>
      <c r="I1493">
        <v>91.29</v>
      </c>
      <c r="J1493" t="s">
        <v>839</v>
      </c>
      <c r="K1493" t="s">
        <v>812</v>
      </c>
      <c r="M1493" t="s">
        <v>1085</v>
      </c>
      <c r="P1493" t="s">
        <v>924</v>
      </c>
      <c r="Q1493" t="s">
        <v>26</v>
      </c>
      <c r="S1493" t="s">
        <v>81</v>
      </c>
      <c r="W1493">
        <v>2</v>
      </c>
      <c r="X1493" s="24">
        <v>46032</v>
      </c>
      <c r="Z1493" t="s">
        <v>38</v>
      </c>
      <c r="AB1493" t="s">
        <v>921</v>
      </c>
      <c r="AC1493" t="s">
        <v>1065</v>
      </c>
      <c r="AD1493" t="s">
        <v>1066</v>
      </c>
    </row>
    <row r="1494" spans="1:30" hidden="1" x14ac:dyDescent="0.25">
      <c r="A1494">
        <v>464</v>
      </c>
      <c r="B1494" t="s">
        <v>644</v>
      </c>
      <c r="C1494">
        <v>25</v>
      </c>
      <c r="D1494">
        <v>443</v>
      </c>
      <c r="E1494">
        <v>550</v>
      </c>
      <c r="F1494" t="s">
        <v>77</v>
      </c>
      <c r="G1494" t="s">
        <v>746</v>
      </c>
      <c r="H1494">
        <v>2</v>
      </c>
      <c r="I1494">
        <v>87.62</v>
      </c>
      <c r="J1494" t="s">
        <v>839</v>
      </c>
      <c r="K1494" t="s">
        <v>812</v>
      </c>
      <c r="M1494" t="s">
        <v>1085</v>
      </c>
      <c r="O1494" t="s">
        <v>228</v>
      </c>
      <c r="P1494" t="s">
        <v>924</v>
      </c>
      <c r="Q1494" t="s">
        <v>27</v>
      </c>
      <c r="S1494" t="s">
        <v>81</v>
      </c>
      <c r="W1494">
        <v>2</v>
      </c>
      <c r="X1494" s="24">
        <v>46032</v>
      </c>
      <c r="Z1494" t="s">
        <v>38</v>
      </c>
      <c r="AB1494" t="s">
        <v>921</v>
      </c>
      <c r="AC1494" t="s">
        <v>1065</v>
      </c>
      <c r="AD1494" t="s">
        <v>1066</v>
      </c>
    </row>
    <row r="1495" spans="1:30" hidden="1" x14ac:dyDescent="0.25">
      <c r="A1495">
        <v>465</v>
      </c>
      <c r="B1495" t="s">
        <v>645</v>
      </c>
      <c r="C1495">
        <v>25</v>
      </c>
      <c r="D1495">
        <v>443</v>
      </c>
      <c r="E1495">
        <v>550</v>
      </c>
      <c r="F1495" t="s">
        <v>77</v>
      </c>
      <c r="G1495" t="s">
        <v>746</v>
      </c>
      <c r="H1495">
        <v>2</v>
      </c>
      <c r="I1495">
        <v>95.63</v>
      </c>
      <c r="J1495" t="s">
        <v>839</v>
      </c>
      <c r="K1495" t="s">
        <v>812</v>
      </c>
      <c r="M1495" t="s">
        <v>1085</v>
      </c>
      <c r="P1495" t="s">
        <v>924</v>
      </c>
      <c r="Q1495" t="s">
        <v>26</v>
      </c>
      <c r="S1495" t="s">
        <v>81</v>
      </c>
      <c r="W1495">
        <v>2</v>
      </c>
      <c r="X1495" s="24">
        <v>46032</v>
      </c>
      <c r="Z1495" t="s">
        <v>38</v>
      </c>
      <c r="AB1495" t="s">
        <v>921</v>
      </c>
      <c r="AC1495" t="s">
        <v>1065</v>
      </c>
      <c r="AD1495" t="s">
        <v>1066</v>
      </c>
    </row>
    <row r="1496" spans="1:30" hidden="1" x14ac:dyDescent="0.25">
      <c r="A1496">
        <v>466</v>
      </c>
      <c r="B1496" t="s">
        <v>646</v>
      </c>
      <c r="C1496">
        <v>25</v>
      </c>
      <c r="D1496">
        <v>501</v>
      </c>
      <c r="E1496">
        <v>744</v>
      </c>
      <c r="F1496" t="s">
        <v>77</v>
      </c>
      <c r="G1496" t="s">
        <v>746</v>
      </c>
      <c r="H1496">
        <v>2</v>
      </c>
      <c r="I1496">
        <v>90.9</v>
      </c>
      <c r="J1496" t="s">
        <v>839</v>
      </c>
      <c r="K1496" t="s">
        <v>812</v>
      </c>
      <c r="M1496" t="s">
        <v>1085</v>
      </c>
      <c r="O1496" t="s">
        <v>228</v>
      </c>
      <c r="P1496" t="s">
        <v>924</v>
      </c>
      <c r="Q1496" t="s">
        <v>27</v>
      </c>
      <c r="S1496" t="s">
        <v>81</v>
      </c>
      <c r="W1496">
        <v>2</v>
      </c>
      <c r="X1496" s="24">
        <v>46032</v>
      </c>
      <c r="Z1496" t="s">
        <v>38</v>
      </c>
      <c r="AB1496" t="s">
        <v>921</v>
      </c>
      <c r="AC1496" t="s">
        <v>1065</v>
      </c>
      <c r="AD1496" t="s">
        <v>1066</v>
      </c>
    </row>
    <row r="1497" spans="1:30" hidden="1" x14ac:dyDescent="0.25">
      <c r="A1497">
        <v>467</v>
      </c>
      <c r="B1497" t="s">
        <v>648</v>
      </c>
      <c r="C1497">
        <v>25</v>
      </c>
      <c r="D1497">
        <v>500</v>
      </c>
      <c r="E1497">
        <v>550</v>
      </c>
      <c r="F1497" t="s">
        <v>77</v>
      </c>
      <c r="G1497" t="s">
        <v>746</v>
      </c>
      <c r="H1497">
        <v>1</v>
      </c>
      <c r="I1497">
        <v>52.99</v>
      </c>
      <c r="J1497" t="s">
        <v>839</v>
      </c>
      <c r="K1497" t="s">
        <v>812</v>
      </c>
      <c r="M1497" t="s">
        <v>1085</v>
      </c>
      <c r="P1497" t="s">
        <v>924</v>
      </c>
      <c r="Q1497" t="s">
        <v>26</v>
      </c>
      <c r="S1497" t="s">
        <v>81</v>
      </c>
      <c r="W1497">
        <v>2</v>
      </c>
      <c r="X1497" s="24">
        <v>46032</v>
      </c>
      <c r="Z1497" t="s">
        <v>38</v>
      </c>
      <c r="AB1497" t="s">
        <v>921</v>
      </c>
      <c r="AC1497" t="s">
        <v>1065</v>
      </c>
      <c r="AD1497" t="s">
        <v>1066</v>
      </c>
    </row>
    <row r="1498" spans="1:30" hidden="1" x14ac:dyDescent="0.25">
      <c r="A1498">
        <v>468</v>
      </c>
      <c r="B1498" t="s">
        <v>638</v>
      </c>
      <c r="C1498">
        <v>25</v>
      </c>
      <c r="D1498">
        <v>501</v>
      </c>
      <c r="E1498">
        <v>744</v>
      </c>
      <c r="F1498" t="s">
        <v>77</v>
      </c>
      <c r="G1498" t="s">
        <v>746</v>
      </c>
      <c r="H1498">
        <v>4</v>
      </c>
      <c r="I1498">
        <v>181.8</v>
      </c>
      <c r="J1498" t="s">
        <v>839</v>
      </c>
      <c r="K1498" t="s">
        <v>812</v>
      </c>
      <c r="M1498" t="s">
        <v>1085</v>
      </c>
      <c r="O1498" t="s">
        <v>228</v>
      </c>
      <c r="P1498" t="s">
        <v>924</v>
      </c>
      <c r="Q1498" t="s">
        <v>27</v>
      </c>
      <c r="S1498" t="s">
        <v>81</v>
      </c>
      <c r="W1498">
        <v>2</v>
      </c>
      <c r="X1498" s="24">
        <v>46032</v>
      </c>
      <c r="Z1498" t="s">
        <v>38</v>
      </c>
      <c r="AB1498" t="s">
        <v>921</v>
      </c>
      <c r="AC1498" t="s">
        <v>1065</v>
      </c>
      <c r="AD1498" t="s">
        <v>1066</v>
      </c>
    </row>
    <row r="1499" spans="1:30" hidden="1" x14ac:dyDescent="0.25">
      <c r="A1499">
        <v>469</v>
      </c>
      <c r="B1499" t="s">
        <v>636</v>
      </c>
      <c r="C1499">
        <v>25</v>
      </c>
      <c r="D1499">
        <v>500</v>
      </c>
      <c r="E1499">
        <v>550</v>
      </c>
      <c r="F1499" t="s">
        <v>77</v>
      </c>
      <c r="G1499" t="s">
        <v>746</v>
      </c>
      <c r="H1499">
        <v>2</v>
      </c>
      <c r="I1499">
        <v>105.98</v>
      </c>
      <c r="J1499" t="s">
        <v>839</v>
      </c>
      <c r="K1499" t="s">
        <v>812</v>
      </c>
      <c r="M1499" t="s">
        <v>1085</v>
      </c>
      <c r="P1499" t="s">
        <v>924</v>
      </c>
      <c r="Q1499" t="s">
        <v>26</v>
      </c>
      <c r="S1499" t="s">
        <v>81</v>
      </c>
      <c r="W1499">
        <v>2</v>
      </c>
      <c r="X1499" s="24">
        <v>46032</v>
      </c>
      <c r="Z1499" t="s">
        <v>38</v>
      </c>
      <c r="AB1499" t="s">
        <v>921</v>
      </c>
      <c r="AC1499" t="s">
        <v>1065</v>
      </c>
      <c r="AD1499" t="s">
        <v>1066</v>
      </c>
    </row>
    <row r="1500" spans="1:30" hidden="1" x14ac:dyDescent="0.25">
      <c r="A1500">
        <v>470</v>
      </c>
      <c r="B1500" t="s">
        <v>641</v>
      </c>
      <c r="C1500">
        <v>25</v>
      </c>
      <c r="D1500">
        <v>501</v>
      </c>
      <c r="E1500">
        <v>744</v>
      </c>
      <c r="F1500" t="s">
        <v>77</v>
      </c>
      <c r="G1500" t="s">
        <v>746</v>
      </c>
      <c r="H1500">
        <v>2</v>
      </c>
      <c r="I1500">
        <v>90.9</v>
      </c>
      <c r="J1500" t="s">
        <v>839</v>
      </c>
      <c r="K1500" t="s">
        <v>812</v>
      </c>
      <c r="M1500" t="s">
        <v>1085</v>
      </c>
      <c r="O1500" t="s">
        <v>228</v>
      </c>
      <c r="P1500" t="s">
        <v>924</v>
      </c>
      <c r="Q1500" t="s">
        <v>27</v>
      </c>
      <c r="S1500" t="s">
        <v>81</v>
      </c>
      <c r="W1500">
        <v>2</v>
      </c>
      <c r="X1500" s="24">
        <v>46032</v>
      </c>
      <c r="Z1500" t="s">
        <v>38</v>
      </c>
      <c r="AB1500" t="s">
        <v>921</v>
      </c>
      <c r="AC1500" t="s">
        <v>1065</v>
      </c>
      <c r="AD1500" t="s">
        <v>1066</v>
      </c>
    </row>
    <row r="1501" spans="1:30" hidden="1" x14ac:dyDescent="0.25">
      <c r="A1501">
        <v>471</v>
      </c>
      <c r="B1501" t="s">
        <v>632</v>
      </c>
      <c r="C1501">
        <v>25</v>
      </c>
      <c r="D1501">
        <v>500</v>
      </c>
      <c r="E1501">
        <v>550</v>
      </c>
      <c r="F1501" t="s">
        <v>77</v>
      </c>
      <c r="G1501" t="s">
        <v>746</v>
      </c>
      <c r="H1501">
        <v>1</v>
      </c>
      <c r="I1501">
        <v>52.99</v>
      </c>
      <c r="J1501" t="s">
        <v>839</v>
      </c>
      <c r="K1501" t="s">
        <v>812</v>
      </c>
      <c r="M1501" t="s">
        <v>1085</v>
      </c>
      <c r="P1501" t="s">
        <v>924</v>
      </c>
      <c r="Q1501" t="s">
        <v>26</v>
      </c>
      <c r="S1501" t="s">
        <v>81</v>
      </c>
      <c r="W1501">
        <v>2</v>
      </c>
      <c r="X1501" s="24">
        <v>46032</v>
      </c>
      <c r="Z1501" t="s">
        <v>38</v>
      </c>
      <c r="AB1501" t="s">
        <v>921</v>
      </c>
      <c r="AC1501" t="s">
        <v>1065</v>
      </c>
      <c r="AD1501" t="s">
        <v>1066</v>
      </c>
    </row>
    <row r="1502" spans="1:30" hidden="1" x14ac:dyDescent="0.25">
      <c r="A1502">
        <v>472</v>
      </c>
      <c r="B1502" t="s">
        <v>627</v>
      </c>
      <c r="C1502">
        <v>25</v>
      </c>
      <c r="D1502">
        <v>501</v>
      </c>
      <c r="E1502">
        <v>744</v>
      </c>
      <c r="F1502" t="s">
        <v>77</v>
      </c>
      <c r="G1502" t="s">
        <v>746</v>
      </c>
      <c r="H1502">
        <v>4</v>
      </c>
      <c r="I1502">
        <v>181.8</v>
      </c>
      <c r="J1502" t="s">
        <v>839</v>
      </c>
      <c r="K1502" t="s">
        <v>812</v>
      </c>
      <c r="M1502" t="s">
        <v>1085</v>
      </c>
      <c r="O1502" t="s">
        <v>228</v>
      </c>
      <c r="P1502" t="s">
        <v>924</v>
      </c>
      <c r="Q1502" t="s">
        <v>27</v>
      </c>
      <c r="S1502" t="s">
        <v>81</v>
      </c>
      <c r="W1502">
        <v>2</v>
      </c>
      <c r="X1502" s="24">
        <v>46032</v>
      </c>
      <c r="Z1502" t="s">
        <v>38</v>
      </c>
      <c r="AB1502" t="s">
        <v>921</v>
      </c>
      <c r="AC1502" t="s">
        <v>1065</v>
      </c>
      <c r="AD1502" t="s">
        <v>1066</v>
      </c>
    </row>
    <row r="1503" spans="1:30" hidden="1" x14ac:dyDescent="0.25">
      <c r="A1503">
        <v>473</v>
      </c>
      <c r="B1503" t="s">
        <v>663</v>
      </c>
      <c r="C1503">
        <v>25</v>
      </c>
      <c r="D1503">
        <v>250</v>
      </c>
      <c r="E1503">
        <v>300</v>
      </c>
      <c r="F1503" t="s">
        <v>77</v>
      </c>
      <c r="G1503" t="s">
        <v>746</v>
      </c>
      <c r="H1503">
        <v>4</v>
      </c>
      <c r="I1503">
        <v>54.6</v>
      </c>
      <c r="J1503" t="s">
        <v>839</v>
      </c>
      <c r="K1503" t="s">
        <v>812</v>
      </c>
      <c r="M1503" t="s">
        <v>1085</v>
      </c>
      <c r="O1503" t="s">
        <v>228</v>
      </c>
      <c r="P1503" t="s">
        <v>924</v>
      </c>
      <c r="Q1503" t="s">
        <v>27</v>
      </c>
      <c r="R1503" t="s">
        <v>81</v>
      </c>
      <c r="W1503">
        <v>2</v>
      </c>
      <c r="X1503" s="24">
        <v>46032</v>
      </c>
      <c r="Z1503" t="s">
        <v>38</v>
      </c>
      <c r="AB1503" t="s">
        <v>921</v>
      </c>
      <c r="AC1503" t="s">
        <v>1070</v>
      </c>
      <c r="AD1503" t="s">
        <v>39</v>
      </c>
    </row>
    <row r="1504" spans="1:30" hidden="1" x14ac:dyDescent="0.25">
      <c r="A1504">
        <v>474</v>
      </c>
      <c r="B1504" t="s">
        <v>669</v>
      </c>
      <c r="C1504">
        <v>25</v>
      </c>
      <c r="D1504">
        <v>240</v>
      </c>
      <c r="E1504">
        <v>300</v>
      </c>
      <c r="F1504" t="s">
        <v>77</v>
      </c>
      <c r="G1504" t="s">
        <v>746</v>
      </c>
      <c r="H1504">
        <v>8</v>
      </c>
      <c r="I1504">
        <v>109.96</v>
      </c>
      <c r="J1504" t="s">
        <v>839</v>
      </c>
      <c r="K1504" t="s">
        <v>812</v>
      </c>
      <c r="M1504" t="s">
        <v>1085</v>
      </c>
      <c r="O1504" t="s">
        <v>228</v>
      </c>
      <c r="P1504" t="s">
        <v>924</v>
      </c>
      <c r="Q1504" t="s">
        <v>27</v>
      </c>
      <c r="R1504" t="s">
        <v>81</v>
      </c>
      <c r="W1504">
        <v>2</v>
      </c>
      <c r="X1504" s="24">
        <v>46032</v>
      </c>
      <c r="Z1504" t="s">
        <v>38</v>
      </c>
      <c r="AB1504" t="s">
        <v>921</v>
      </c>
      <c r="AC1504" t="s">
        <v>1070</v>
      </c>
      <c r="AD1504" t="s">
        <v>39</v>
      </c>
    </row>
    <row r="1505" spans="1:30" hidden="1" x14ac:dyDescent="0.25">
      <c r="A1505">
        <v>475</v>
      </c>
      <c r="B1505" t="s">
        <v>667</v>
      </c>
      <c r="C1505">
        <v>25</v>
      </c>
      <c r="D1505">
        <v>240</v>
      </c>
      <c r="E1505">
        <v>300</v>
      </c>
      <c r="F1505" t="s">
        <v>77</v>
      </c>
      <c r="G1505" t="s">
        <v>746</v>
      </c>
      <c r="H1505">
        <v>5</v>
      </c>
      <c r="I1505">
        <v>64.41</v>
      </c>
      <c r="J1505" t="s">
        <v>839</v>
      </c>
      <c r="K1505" t="s">
        <v>812</v>
      </c>
      <c r="M1505" t="s">
        <v>1085</v>
      </c>
      <c r="O1505" t="s">
        <v>228</v>
      </c>
      <c r="P1505" t="s">
        <v>924</v>
      </c>
      <c r="Q1505" t="s">
        <v>27</v>
      </c>
      <c r="R1505" t="s">
        <v>81</v>
      </c>
      <c r="W1505">
        <v>2</v>
      </c>
      <c r="X1505" s="24">
        <v>46032</v>
      </c>
      <c r="Z1505" t="s">
        <v>38</v>
      </c>
      <c r="AB1505" t="s">
        <v>921</v>
      </c>
      <c r="AC1505" t="s">
        <v>1070</v>
      </c>
      <c r="AD1505" t="s">
        <v>39</v>
      </c>
    </row>
    <row r="1506" spans="1:30" hidden="1" x14ac:dyDescent="0.25">
      <c r="A1506">
        <v>476</v>
      </c>
      <c r="B1506" t="s">
        <v>1068</v>
      </c>
      <c r="C1506">
        <v>25</v>
      </c>
      <c r="D1506">
        <v>120</v>
      </c>
      <c r="E1506">
        <v>240</v>
      </c>
      <c r="F1506" t="s">
        <v>77</v>
      </c>
      <c r="G1506" t="s">
        <v>746</v>
      </c>
      <c r="H1506">
        <v>2</v>
      </c>
      <c r="I1506">
        <v>10.53</v>
      </c>
      <c r="J1506" t="s">
        <v>839</v>
      </c>
      <c r="K1506" t="s">
        <v>812</v>
      </c>
      <c r="M1506" t="s">
        <v>1085</v>
      </c>
      <c r="O1506" t="s">
        <v>228</v>
      </c>
      <c r="P1506" t="s">
        <v>924</v>
      </c>
      <c r="Q1506" t="s">
        <v>27</v>
      </c>
      <c r="R1506" t="s">
        <v>81</v>
      </c>
      <c r="W1506">
        <v>2</v>
      </c>
      <c r="X1506" s="24">
        <v>46032</v>
      </c>
      <c r="Z1506" t="s">
        <v>38</v>
      </c>
      <c r="AB1506" t="s">
        <v>921</v>
      </c>
      <c r="AC1506" t="s">
        <v>1070</v>
      </c>
      <c r="AD1506" t="s">
        <v>39</v>
      </c>
    </row>
    <row r="1507" spans="1:30" hidden="1" x14ac:dyDescent="0.25">
      <c r="A1507">
        <v>477</v>
      </c>
      <c r="B1507" t="s">
        <v>672</v>
      </c>
      <c r="C1507">
        <v>25</v>
      </c>
      <c r="D1507">
        <v>240</v>
      </c>
      <c r="E1507">
        <v>300</v>
      </c>
      <c r="F1507" t="s">
        <v>77</v>
      </c>
      <c r="G1507" t="s">
        <v>746</v>
      </c>
      <c r="H1507">
        <v>4</v>
      </c>
      <c r="I1507">
        <v>54.98</v>
      </c>
      <c r="J1507" t="s">
        <v>839</v>
      </c>
      <c r="K1507" t="s">
        <v>812</v>
      </c>
      <c r="M1507" t="s">
        <v>1085</v>
      </c>
      <c r="O1507" t="s">
        <v>228</v>
      </c>
      <c r="P1507" t="s">
        <v>924</v>
      </c>
      <c r="Q1507" t="s">
        <v>27</v>
      </c>
      <c r="R1507" t="s">
        <v>81</v>
      </c>
      <c r="W1507">
        <v>2</v>
      </c>
      <c r="X1507" s="24">
        <v>46032</v>
      </c>
      <c r="Z1507" t="s">
        <v>38</v>
      </c>
      <c r="AB1507" t="s">
        <v>921</v>
      </c>
      <c r="AC1507" t="s">
        <v>1070</v>
      </c>
      <c r="AD1507" t="s">
        <v>39</v>
      </c>
    </row>
    <row r="1508" spans="1:30" hidden="1" x14ac:dyDescent="0.25">
      <c r="A1508">
        <v>478</v>
      </c>
      <c r="B1508" t="s">
        <v>670</v>
      </c>
      <c r="C1508">
        <v>25</v>
      </c>
      <c r="D1508">
        <v>240</v>
      </c>
      <c r="E1508">
        <v>300</v>
      </c>
      <c r="F1508" t="s">
        <v>77</v>
      </c>
      <c r="G1508" t="s">
        <v>746</v>
      </c>
      <c r="H1508">
        <v>4</v>
      </c>
      <c r="I1508">
        <v>51.53</v>
      </c>
      <c r="J1508" t="s">
        <v>839</v>
      </c>
      <c r="K1508" t="s">
        <v>812</v>
      </c>
      <c r="M1508" t="s">
        <v>1085</v>
      </c>
      <c r="O1508" t="s">
        <v>228</v>
      </c>
      <c r="P1508" t="s">
        <v>924</v>
      </c>
      <c r="Q1508" t="s">
        <v>27</v>
      </c>
      <c r="R1508" t="s">
        <v>81</v>
      </c>
      <c r="W1508">
        <v>2</v>
      </c>
      <c r="X1508" s="24">
        <v>46032</v>
      </c>
      <c r="Z1508" t="s">
        <v>38</v>
      </c>
      <c r="AB1508" t="s">
        <v>921</v>
      </c>
      <c r="AC1508" t="s">
        <v>1070</v>
      </c>
      <c r="AD1508" t="s">
        <v>39</v>
      </c>
    </row>
    <row r="1509" spans="1:30" hidden="1" x14ac:dyDescent="0.25">
      <c r="A1509">
        <v>479</v>
      </c>
      <c r="B1509" t="s">
        <v>1072</v>
      </c>
      <c r="C1509">
        <v>25</v>
      </c>
      <c r="D1509">
        <v>120</v>
      </c>
      <c r="E1509">
        <v>240</v>
      </c>
      <c r="F1509" t="s">
        <v>77</v>
      </c>
      <c r="G1509" t="s">
        <v>746</v>
      </c>
      <c r="H1509">
        <v>4</v>
      </c>
      <c r="I1509">
        <v>21.07</v>
      </c>
      <c r="J1509" t="s">
        <v>839</v>
      </c>
      <c r="K1509" t="s">
        <v>812</v>
      </c>
      <c r="M1509" t="s">
        <v>1085</v>
      </c>
      <c r="O1509" t="s">
        <v>228</v>
      </c>
      <c r="P1509" t="s">
        <v>924</v>
      </c>
      <c r="Q1509" t="s">
        <v>27</v>
      </c>
      <c r="R1509" t="s">
        <v>81</v>
      </c>
      <c r="W1509">
        <v>2</v>
      </c>
      <c r="X1509" s="24">
        <v>46032</v>
      </c>
      <c r="Z1509" t="s">
        <v>38</v>
      </c>
      <c r="AB1509" t="s">
        <v>921</v>
      </c>
      <c r="AC1509" t="s">
        <v>1070</v>
      </c>
      <c r="AD1509" t="s">
        <v>39</v>
      </c>
    </row>
    <row r="1510" spans="1:30" hidden="1" x14ac:dyDescent="0.25">
      <c r="A1510">
        <v>480</v>
      </c>
      <c r="B1510" t="s">
        <v>654</v>
      </c>
      <c r="C1510">
        <v>25</v>
      </c>
      <c r="D1510">
        <v>200</v>
      </c>
      <c r="E1510">
        <v>200</v>
      </c>
      <c r="F1510" t="s">
        <v>77</v>
      </c>
      <c r="G1510" t="s">
        <v>746</v>
      </c>
      <c r="H1510">
        <v>2</v>
      </c>
      <c r="I1510">
        <v>15.7</v>
      </c>
      <c r="J1510" t="s">
        <v>839</v>
      </c>
      <c r="K1510" t="s">
        <v>812</v>
      </c>
      <c r="M1510" t="s">
        <v>1085</v>
      </c>
      <c r="P1510" t="s">
        <v>924</v>
      </c>
      <c r="Q1510" t="s">
        <v>26</v>
      </c>
      <c r="R1510" t="s">
        <v>81</v>
      </c>
      <c r="W1510">
        <v>2</v>
      </c>
      <c r="X1510" s="24">
        <v>46032</v>
      </c>
      <c r="Z1510" t="s">
        <v>38</v>
      </c>
      <c r="AB1510" t="s">
        <v>921</v>
      </c>
      <c r="AC1510" t="s">
        <v>1070</v>
      </c>
      <c r="AD1510" t="s">
        <v>39</v>
      </c>
    </row>
    <row r="1511" spans="1:30" hidden="1" x14ac:dyDescent="0.25">
      <c r="A1511">
        <v>481</v>
      </c>
      <c r="B1511" t="s">
        <v>656</v>
      </c>
      <c r="C1511">
        <v>25</v>
      </c>
      <c r="D1511">
        <v>443</v>
      </c>
      <c r="E1511">
        <v>500</v>
      </c>
      <c r="F1511" t="s">
        <v>77</v>
      </c>
      <c r="G1511" t="s">
        <v>746</v>
      </c>
      <c r="H1511">
        <v>2</v>
      </c>
      <c r="I1511">
        <v>86.94</v>
      </c>
      <c r="J1511" t="s">
        <v>839</v>
      </c>
      <c r="K1511" t="s">
        <v>812</v>
      </c>
      <c r="M1511" t="s">
        <v>1085</v>
      </c>
      <c r="P1511" t="s">
        <v>924</v>
      </c>
      <c r="Q1511" t="s">
        <v>26</v>
      </c>
      <c r="R1511" t="s">
        <v>81</v>
      </c>
      <c r="W1511">
        <v>2</v>
      </c>
      <c r="X1511" s="24">
        <v>46032</v>
      </c>
      <c r="Z1511" t="s">
        <v>38</v>
      </c>
      <c r="AB1511" t="s">
        <v>921</v>
      </c>
      <c r="AC1511" t="s">
        <v>1070</v>
      </c>
      <c r="AD1511" t="s">
        <v>39</v>
      </c>
    </row>
    <row r="1512" spans="1:30" hidden="1" x14ac:dyDescent="0.25">
      <c r="A1512">
        <v>482</v>
      </c>
      <c r="B1512" t="s">
        <v>655</v>
      </c>
      <c r="C1512">
        <v>25</v>
      </c>
      <c r="D1512">
        <v>200</v>
      </c>
      <c r="E1512">
        <v>200</v>
      </c>
      <c r="F1512" t="s">
        <v>77</v>
      </c>
      <c r="G1512" t="s">
        <v>746</v>
      </c>
      <c r="H1512">
        <v>2</v>
      </c>
      <c r="I1512">
        <v>15.7</v>
      </c>
      <c r="J1512" t="s">
        <v>839</v>
      </c>
      <c r="K1512" t="s">
        <v>812</v>
      </c>
      <c r="M1512" t="s">
        <v>1085</v>
      </c>
      <c r="P1512" t="s">
        <v>924</v>
      </c>
      <c r="Q1512" t="s">
        <v>26</v>
      </c>
      <c r="R1512" t="s">
        <v>81</v>
      </c>
      <c r="W1512">
        <v>2</v>
      </c>
      <c r="X1512" s="24">
        <v>46032</v>
      </c>
      <c r="Z1512" t="s">
        <v>38</v>
      </c>
      <c r="AB1512" t="s">
        <v>921</v>
      </c>
      <c r="AC1512" t="s">
        <v>1070</v>
      </c>
      <c r="AD1512" t="s">
        <v>39</v>
      </c>
    </row>
    <row r="1513" spans="1:30" hidden="1" x14ac:dyDescent="0.25">
      <c r="A1513">
        <v>483</v>
      </c>
      <c r="B1513" t="s">
        <v>671</v>
      </c>
      <c r="C1513">
        <v>25</v>
      </c>
      <c r="D1513">
        <v>200</v>
      </c>
      <c r="E1513">
        <v>200</v>
      </c>
      <c r="F1513" t="s">
        <v>77</v>
      </c>
      <c r="G1513" t="s">
        <v>746</v>
      </c>
      <c r="H1513">
        <v>2</v>
      </c>
      <c r="I1513">
        <v>15.7</v>
      </c>
      <c r="J1513" t="s">
        <v>839</v>
      </c>
      <c r="K1513" t="s">
        <v>812</v>
      </c>
      <c r="M1513" t="s">
        <v>1085</v>
      </c>
      <c r="P1513" t="s">
        <v>924</v>
      </c>
      <c r="Q1513" t="s">
        <v>26</v>
      </c>
      <c r="R1513" t="s">
        <v>81</v>
      </c>
      <c r="W1513">
        <v>2</v>
      </c>
      <c r="X1513" s="24">
        <v>46032</v>
      </c>
      <c r="Z1513" t="s">
        <v>38</v>
      </c>
      <c r="AB1513" t="s">
        <v>921</v>
      </c>
      <c r="AC1513" t="s">
        <v>1070</v>
      </c>
      <c r="AD1513" t="s">
        <v>39</v>
      </c>
    </row>
    <row r="1514" spans="1:30" hidden="1" x14ac:dyDescent="0.25">
      <c r="A1514">
        <v>484</v>
      </c>
      <c r="B1514" t="s">
        <v>658</v>
      </c>
      <c r="C1514">
        <v>25</v>
      </c>
      <c r="D1514">
        <v>443</v>
      </c>
      <c r="E1514">
        <v>500</v>
      </c>
      <c r="F1514" t="s">
        <v>77</v>
      </c>
      <c r="G1514" t="s">
        <v>746</v>
      </c>
      <c r="H1514">
        <v>2</v>
      </c>
      <c r="I1514">
        <v>86.94</v>
      </c>
      <c r="J1514" t="s">
        <v>839</v>
      </c>
      <c r="K1514" t="s">
        <v>812</v>
      </c>
      <c r="M1514" t="s">
        <v>1085</v>
      </c>
      <c r="P1514" t="s">
        <v>924</v>
      </c>
      <c r="Q1514" t="s">
        <v>26</v>
      </c>
      <c r="R1514" t="s">
        <v>81</v>
      </c>
      <c r="W1514">
        <v>2</v>
      </c>
      <c r="X1514" s="24">
        <v>46032</v>
      </c>
      <c r="Z1514" t="s">
        <v>38</v>
      </c>
      <c r="AB1514" t="s">
        <v>921</v>
      </c>
      <c r="AC1514" t="s">
        <v>1070</v>
      </c>
      <c r="AD1514" t="s">
        <v>39</v>
      </c>
    </row>
    <row r="1515" spans="1:30" hidden="1" x14ac:dyDescent="0.25">
      <c r="A1515">
        <v>485</v>
      </c>
      <c r="B1515" t="s">
        <v>665</v>
      </c>
      <c r="C1515">
        <v>25</v>
      </c>
      <c r="D1515">
        <v>375</v>
      </c>
      <c r="E1515">
        <v>500</v>
      </c>
      <c r="F1515" t="s">
        <v>77</v>
      </c>
      <c r="G1515" t="s">
        <v>746</v>
      </c>
      <c r="H1515">
        <v>1</v>
      </c>
      <c r="I1515">
        <v>35.82</v>
      </c>
      <c r="J1515" t="s">
        <v>839</v>
      </c>
      <c r="K1515" t="s">
        <v>812</v>
      </c>
      <c r="M1515" t="s">
        <v>1085</v>
      </c>
      <c r="P1515" t="s">
        <v>924</v>
      </c>
      <c r="Q1515" t="s">
        <v>26</v>
      </c>
      <c r="R1515" t="s">
        <v>81</v>
      </c>
      <c r="W1515">
        <v>2</v>
      </c>
      <c r="X1515" s="24">
        <v>46032</v>
      </c>
      <c r="Z1515" t="s">
        <v>38</v>
      </c>
      <c r="AB1515" t="s">
        <v>921</v>
      </c>
      <c r="AC1515" t="s">
        <v>1070</v>
      </c>
      <c r="AD1515" t="s">
        <v>39</v>
      </c>
    </row>
    <row r="1516" spans="1:30" hidden="1" x14ac:dyDescent="0.25">
      <c r="A1516">
        <v>486</v>
      </c>
      <c r="B1516" t="s">
        <v>662</v>
      </c>
      <c r="C1516">
        <v>25</v>
      </c>
      <c r="D1516">
        <v>375</v>
      </c>
      <c r="E1516">
        <v>500</v>
      </c>
      <c r="F1516" t="s">
        <v>77</v>
      </c>
      <c r="G1516" t="s">
        <v>746</v>
      </c>
      <c r="H1516">
        <v>2</v>
      </c>
      <c r="I1516">
        <v>71.63</v>
      </c>
      <c r="J1516" t="s">
        <v>839</v>
      </c>
      <c r="K1516" t="s">
        <v>812</v>
      </c>
      <c r="M1516" t="s">
        <v>1085</v>
      </c>
      <c r="P1516" t="s">
        <v>924</v>
      </c>
      <c r="Q1516" t="s">
        <v>26</v>
      </c>
      <c r="R1516" t="s">
        <v>81</v>
      </c>
      <c r="W1516">
        <v>2</v>
      </c>
      <c r="X1516" s="24">
        <v>46032</v>
      </c>
      <c r="Z1516" t="s">
        <v>38</v>
      </c>
      <c r="AB1516" t="s">
        <v>921</v>
      </c>
      <c r="AC1516" t="s">
        <v>1070</v>
      </c>
      <c r="AD1516" t="s">
        <v>39</v>
      </c>
    </row>
    <row r="1517" spans="1:30" hidden="1" x14ac:dyDescent="0.25">
      <c r="A1517">
        <v>487</v>
      </c>
      <c r="B1517" t="s">
        <v>661</v>
      </c>
      <c r="C1517">
        <v>25</v>
      </c>
      <c r="D1517">
        <v>375</v>
      </c>
      <c r="E1517">
        <v>500</v>
      </c>
      <c r="F1517" t="s">
        <v>77</v>
      </c>
      <c r="G1517" t="s">
        <v>746</v>
      </c>
      <c r="H1517">
        <v>1</v>
      </c>
      <c r="I1517">
        <v>35.82</v>
      </c>
      <c r="J1517" t="s">
        <v>839</v>
      </c>
      <c r="K1517" t="s">
        <v>812</v>
      </c>
      <c r="M1517" t="s">
        <v>1085</v>
      </c>
      <c r="P1517" t="s">
        <v>924</v>
      </c>
      <c r="Q1517" t="s">
        <v>26</v>
      </c>
      <c r="R1517" t="s">
        <v>81</v>
      </c>
      <c r="W1517">
        <v>2</v>
      </c>
      <c r="X1517" s="24">
        <v>46032</v>
      </c>
      <c r="Z1517" t="s">
        <v>38</v>
      </c>
      <c r="AB1517" t="s">
        <v>921</v>
      </c>
      <c r="AC1517" t="s">
        <v>1070</v>
      </c>
      <c r="AD1517" t="s">
        <v>39</v>
      </c>
    </row>
    <row r="1518" spans="1:30" hidden="1" x14ac:dyDescent="0.25">
      <c r="A1518">
        <v>488</v>
      </c>
      <c r="B1518" t="s">
        <v>666</v>
      </c>
      <c r="C1518">
        <v>25</v>
      </c>
      <c r="D1518">
        <v>250</v>
      </c>
      <c r="E1518">
        <v>300</v>
      </c>
      <c r="F1518" t="s">
        <v>77</v>
      </c>
      <c r="G1518" t="s">
        <v>746</v>
      </c>
      <c r="H1518">
        <v>8</v>
      </c>
      <c r="I1518">
        <v>105.25</v>
      </c>
      <c r="J1518" t="s">
        <v>839</v>
      </c>
      <c r="K1518" t="s">
        <v>812</v>
      </c>
      <c r="M1518" t="s">
        <v>1085</v>
      </c>
      <c r="O1518" t="s">
        <v>228</v>
      </c>
      <c r="P1518" t="s">
        <v>924</v>
      </c>
      <c r="Q1518" t="s">
        <v>27</v>
      </c>
      <c r="R1518" t="s">
        <v>81</v>
      </c>
      <c r="W1518">
        <v>2</v>
      </c>
      <c r="X1518" s="24">
        <v>46032</v>
      </c>
      <c r="Z1518" t="s">
        <v>38</v>
      </c>
      <c r="AB1518" t="s">
        <v>921</v>
      </c>
      <c r="AC1518" t="s">
        <v>1070</v>
      </c>
      <c r="AD1518" t="s">
        <v>39</v>
      </c>
    </row>
    <row r="1519" spans="1:30" hidden="1" x14ac:dyDescent="0.25">
      <c r="A1519">
        <v>489</v>
      </c>
      <c r="B1519" t="s">
        <v>659</v>
      </c>
      <c r="C1519">
        <v>25</v>
      </c>
      <c r="D1519">
        <v>375</v>
      </c>
      <c r="E1519">
        <v>500</v>
      </c>
      <c r="F1519" t="s">
        <v>77</v>
      </c>
      <c r="G1519" t="s">
        <v>746</v>
      </c>
      <c r="H1519">
        <v>2</v>
      </c>
      <c r="I1519">
        <v>71.63</v>
      </c>
      <c r="J1519" t="s">
        <v>839</v>
      </c>
      <c r="K1519" t="s">
        <v>812</v>
      </c>
      <c r="M1519" t="s">
        <v>1085</v>
      </c>
      <c r="P1519" t="s">
        <v>924</v>
      </c>
      <c r="Q1519" t="s">
        <v>26</v>
      </c>
      <c r="R1519" t="s">
        <v>81</v>
      </c>
      <c r="W1519">
        <v>2</v>
      </c>
      <c r="X1519" s="24">
        <v>46032</v>
      </c>
      <c r="Z1519" t="s">
        <v>38</v>
      </c>
      <c r="AB1519" t="s">
        <v>921</v>
      </c>
      <c r="AC1519" t="s">
        <v>1070</v>
      </c>
      <c r="AD1519" t="s">
        <v>39</v>
      </c>
    </row>
    <row r="1520" spans="1:30" hidden="1" x14ac:dyDescent="0.25">
      <c r="A1520">
        <v>490</v>
      </c>
      <c r="B1520" t="s">
        <v>673</v>
      </c>
      <c r="C1520">
        <v>30</v>
      </c>
      <c r="D1520">
        <v>390</v>
      </c>
      <c r="E1520">
        <v>670</v>
      </c>
      <c r="F1520" t="s">
        <v>77</v>
      </c>
      <c r="G1520" t="s">
        <v>746</v>
      </c>
      <c r="H1520">
        <v>2</v>
      </c>
      <c r="I1520">
        <v>111.3</v>
      </c>
      <c r="J1520" t="s">
        <v>839</v>
      </c>
      <c r="K1520" t="s">
        <v>812</v>
      </c>
      <c r="M1520" t="s">
        <v>1085</v>
      </c>
      <c r="O1520" t="s">
        <v>228</v>
      </c>
      <c r="P1520" t="s">
        <v>924</v>
      </c>
      <c r="Q1520" t="s">
        <v>27</v>
      </c>
      <c r="S1520" t="s">
        <v>81</v>
      </c>
      <c r="W1520">
        <v>2</v>
      </c>
      <c r="X1520" s="24">
        <v>46032</v>
      </c>
      <c r="Z1520" t="s">
        <v>38</v>
      </c>
      <c r="AB1520" t="s">
        <v>921</v>
      </c>
      <c r="AC1520" t="s">
        <v>1074</v>
      </c>
      <c r="AD1520" t="s">
        <v>1075</v>
      </c>
    </row>
    <row r="1521" spans="1:30" hidden="1" x14ac:dyDescent="0.25">
      <c r="A1521">
        <v>491</v>
      </c>
      <c r="B1521" t="s">
        <v>678</v>
      </c>
      <c r="C1521">
        <v>30</v>
      </c>
      <c r="D1521">
        <v>290</v>
      </c>
      <c r="E1521">
        <v>670</v>
      </c>
      <c r="F1521" t="s">
        <v>77</v>
      </c>
      <c r="G1521" t="s">
        <v>746</v>
      </c>
      <c r="H1521">
        <v>4</v>
      </c>
      <c r="I1521">
        <v>167.26</v>
      </c>
      <c r="J1521" t="s">
        <v>839</v>
      </c>
      <c r="K1521" t="s">
        <v>812</v>
      </c>
      <c r="M1521" t="s">
        <v>1085</v>
      </c>
      <c r="O1521" t="s">
        <v>228</v>
      </c>
      <c r="P1521" t="s">
        <v>924</v>
      </c>
      <c r="Q1521" t="s">
        <v>27</v>
      </c>
      <c r="S1521" t="s">
        <v>81</v>
      </c>
      <c r="W1521">
        <v>2</v>
      </c>
      <c r="X1521" s="24">
        <v>46032</v>
      </c>
      <c r="Z1521" t="s">
        <v>38</v>
      </c>
      <c r="AB1521" t="s">
        <v>921</v>
      </c>
      <c r="AC1521" t="s">
        <v>1074</v>
      </c>
      <c r="AD1521" t="s">
        <v>1075</v>
      </c>
    </row>
    <row r="1522" spans="1:30" hidden="1" x14ac:dyDescent="0.25">
      <c r="A1522">
        <v>492</v>
      </c>
      <c r="B1522" t="s">
        <v>680</v>
      </c>
      <c r="C1522">
        <v>30</v>
      </c>
      <c r="D1522">
        <v>390</v>
      </c>
      <c r="E1522">
        <v>670</v>
      </c>
      <c r="F1522" t="s">
        <v>77</v>
      </c>
      <c r="G1522" t="s">
        <v>746</v>
      </c>
      <c r="H1522">
        <v>2</v>
      </c>
      <c r="I1522">
        <v>111.3</v>
      </c>
      <c r="J1522" t="s">
        <v>839</v>
      </c>
      <c r="K1522" t="s">
        <v>812</v>
      </c>
      <c r="M1522" t="s">
        <v>1085</v>
      </c>
      <c r="O1522" t="s">
        <v>228</v>
      </c>
      <c r="P1522" t="s">
        <v>924</v>
      </c>
      <c r="Q1522" t="s">
        <v>27</v>
      </c>
      <c r="S1522" t="s">
        <v>81</v>
      </c>
      <c r="W1522">
        <v>2</v>
      </c>
      <c r="X1522" s="24">
        <v>46032</v>
      </c>
      <c r="Z1522" t="s">
        <v>38</v>
      </c>
      <c r="AB1522" t="s">
        <v>921</v>
      </c>
      <c r="AC1522" t="s">
        <v>1074</v>
      </c>
      <c r="AD1522" t="s">
        <v>1075</v>
      </c>
    </row>
    <row r="1523" spans="1:30" hidden="1" x14ac:dyDescent="0.25">
      <c r="A1523">
        <v>493</v>
      </c>
      <c r="B1523" t="s">
        <v>681</v>
      </c>
      <c r="C1523">
        <v>30</v>
      </c>
      <c r="D1523">
        <v>290</v>
      </c>
      <c r="E1523">
        <v>670</v>
      </c>
      <c r="F1523" t="s">
        <v>77</v>
      </c>
      <c r="G1523" t="s">
        <v>746</v>
      </c>
      <c r="H1523">
        <v>4</v>
      </c>
      <c r="I1523">
        <v>167.26</v>
      </c>
      <c r="J1523" t="s">
        <v>839</v>
      </c>
      <c r="K1523" t="s">
        <v>812</v>
      </c>
      <c r="M1523" t="s">
        <v>1085</v>
      </c>
      <c r="O1523" t="s">
        <v>228</v>
      </c>
      <c r="P1523" t="s">
        <v>924</v>
      </c>
      <c r="Q1523" t="s">
        <v>27</v>
      </c>
      <c r="S1523" t="s">
        <v>81</v>
      </c>
      <c r="W1523">
        <v>2</v>
      </c>
      <c r="X1523" s="24">
        <v>46032</v>
      </c>
      <c r="Z1523" t="s">
        <v>38</v>
      </c>
      <c r="AB1523" t="s">
        <v>921</v>
      </c>
      <c r="AC1523" t="s">
        <v>1074</v>
      </c>
      <c r="AD1523" t="s">
        <v>1075</v>
      </c>
    </row>
    <row r="1524" spans="1:30" hidden="1" x14ac:dyDescent="0.25">
      <c r="A1524">
        <v>494</v>
      </c>
      <c r="B1524" t="s">
        <v>682</v>
      </c>
      <c r="C1524">
        <v>30</v>
      </c>
      <c r="D1524">
        <v>390</v>
      </c>
      <c r="E1524">
        <v>670</v>
      </c>
      <c r="F1524" t="s">
        <v>77</v>
      </c>
      <c r="G1524" t="s">
        <v>746</v>
      </c>
      <c r="H1524">
        <v>2</v>
      </c>
      <c r="I1524">
        <v>111.3</v>
      </c>
      <c r="J1524" t="s">
        <v>839</v>
      </c>
      <c r="K1524" t="s">
        <v>812</v>
      </c>
      <c r="M1524" t="s">
        <v>1085</v>
      </c>
      <c r="O1524" t="s">
        <v>228</v>
      </c>
      <c r="P1524" t="s">
        <v>924</v>
      </c>
      <c r="Q1524" t="s">
        <v>27</v>
      </c>
      <c r="S1524" t="s">
        <v>81</v>
      </c>
      <c r="W1524">
        <v>2</v>
      </c>
      <c r="X1524" s="24">
        <v>46032</v>
      </c>
      <c r="Z1524" t="s">
        <v>38</v>
      </c>
      <c r="AB1524" t="s">
        <v>921</v>
      </c>
      <c r="AC1524" t="s">
        <v>1074</v>
      </c>
      <c r="AD1524" t="s">
        <v>1075</v>
      </c>
    </row>
    <row r="1525" spans="1:30" hidden="1" x14ac:dyDescent="0.25">
      <c r="A1525">
        <v>495</v>
      </c>
      <c r="B1525" t="s">
        <v>683</v>
      </c>
      <c r="C1525">
        <v>30</v>
      </c>
      <c r="D1525">
        <v>290</v>
      </c>
      <c r="E1525">
        <v>670</v>
      </c>
      <c r="F1525" t="s">
        <v>77</v>
      </c>
      <c r="G1525" t="s">
        <v>746</v>
      </c>
      <c r="H1525">
        <v>4</v>
      </c>
      <c r="I1525">
        <v>167.26</v>
      </c>
      <c r="J1525" t="s">
        <v>839</v>
      </c>
      <c r="K1525" t="s">
        <v>812</v>
      </c>
      <c r="M1525" t="s">
        <v>1085</v>
      </c>
      <c r="O1525" t="s">
        <v>228</v>
      </c>
      <c r="P1525" t="s">
        <v>924</v>
      </c>
      <c r="Q1525" t="s">
        <v>27</v>
      </c>
      <c r="S1525" t="s">
        <v>81</v>
      </c>
      <c r="W1525">
        <v>2</v>
      </c>
      <c r="X1525" s="24">
        <v>46032</v>
      </c>
      <c r="Z1525" t="s">
        <v>38</v>
      </c>
      <c r="AB1525" t="s">
        <v>921</v>
      </c>
      <c r="AC1525" t="s">
        <v>1074</v>
      </c>
      <c r="AD1525" t="s">
        <v>1075</v>
      </c>
    </row>
    <row r="1526" spans="1:30" hidden="1" x14ac:dyDescent="0.25">
      <c r="A1526">
        <v>496</v>
      </c>
      <c r="B1526" t="s">
        <v>684</v>
      </c>
      <c r="C1526">
        <v>30</v>
      </c>
      <c r="D1526">
        <v>390</v>
      </c>
      <c r="E1526">
        <v>670</v>
      </c>
      <c r="F1526" t="s">
        <v>77</v>
      </c>
      <c r="G1526" t="s">
        <v>746</v>
      </c>
      <c r="H1526">
        <v>2</v>
      </c>
      <c r="I1526">
        <v>111.3</v>
      </c>
      <c r="J1526" t="s">
        <v>839</v>
      </c>
      <c r="K1526" t="s">
        <v>812</v>
      </c>
      <c r="M1526" t="s">
        <v>1085</v>
      </c>
      <c r="O1526" t="s">
        <v>228</v>
      </c>
      <c r="P1526" t="s">
        <v>924</v>
      </c>
      <c r="Q1526" t="s">
        <v>27</v>
      </c>
      <c r="S1526" t="s">
        <v>81</v>
      </c>
      <c r="W1526">
        <v>2</v>
      </c>
      <c r="X1526" s="24">
        <v>46032</v>
      </c>
      <c r="Z1526" t="s">
        <v>38</v>
      </c>
      <c r="AB1526" t="s">
        <v>921</v>
      </c>
      <c r="AC1526" t="s">
        <v>1074</v>
      </c>
      <c r="AD1526" t="s">
        <v>1075</v>
      </c>
    </row>
    <row r="1527" spans="1:30" hidden="1" x14ac:dyDescent="0.25">
      <c r="A1527">
        <v>497</v>
      </c>
      <c r="B1527" t="s">
        <v>685</v>
      </c>
      <c r="C1527">
        <v>30</v>
      </c>
      <c r="D1527">
        <v>290</v>
      </c>
      <c r="E1527">
        <v>670</v>
      </c>
      <c r="F1527" t="s">
        <v>77</v>
      </c>
      <c r="G1527" t="s">
        <v>746</v>
      </c>
      <c r="H1527">
        <v>4</v>
      </c>
      <c r="I1527">
        <v>167.26</v>
      </c>
      <c r="J1527" t="s">
        <v>839</v>
      </c>
      <c r="K1527" t="s">
        <v>812</v>
      </c>
      <c r="M1527" t="s">
        <v>1085</v>
      </c>
      <c r="O1527" t="s">
        <v>228</v>
      </c>
      <c r="P1527" t="s">
        <v>924</v>
      </c>
      <c r="Q1527" t="s">
        <v>27</v>
      </c>
      <c r="S1527" t="s">
        <v>81</v>
      </c>
      <c r="W1527">
        <v>2</v>
      </c>
      <c r="X1527" s="24">
        <v>46032</v>
      </c>
      <c r="Z1527" t="s">
        <v>38</v>
      </c>
      <c r="AB1527" t="s">
        <v>921</v>
      </c>
      <c r="AC1527" t="s">
        <v>1074</v>
      </c>
      <c r="AD1527" t="s">
        <v>1075</v>
      </c>
    </row>
    <row r="1528" spans="1:30" hidden="1" x14ac:dyDescent="0.25">
      <c r="A1528">
        <v>498</v>
      </c>
      <c r="B1528" t="s">
        <v>688</v>
      </c>
      <c r="C1528">
        <v>30</v>
      </c>
      <c r="D1528">
        <v>260</v>
      </c>
      <c r="E1528">
        <v>400</v>
      </c>
      <c r="F1528" t="s">
        <v>77</v>
      </c>
      <c r="G1528" t="s">
        <v>746</v>
      </c>
      <c r="H1528">
        <v>2</v>
      </c>
      <c r="I1528">
        <v>32.659999999999997</v>
      </c>
      <c r="J1528" t="s">
        <v>839</v>
      </c>
      <c r="K1528" t="s">
        <v>812</v>
      </c>
      <c r="M1528" t="s">
        <v>1085</v>
      </c>
      <c r="O1528" t="s">
        <v>228</v>
      </c>
      <c r="P1528" t="s">
        <v>924</v>
      </c>
      <c r="Q1528" t="s">
        <v>27</v>
      </c>
      <c r="S1528" t="s">
        <v>81</v>
      </c>
      <c r="W1528">
        <v>2</v>
      </c>
      <c r="X1528" s="24">
        <v>46032</v>
      </c>
      <c r="Z1528" t="s">
        <v>38</v>
      </c>
      <c r="AB1528" t="s">
        <v>921</v>
      </c>
      <c r="AC1528" t="s">
        <v>1074</v>
      </c>
      <c r="AD1528" t="s">
        <v>1075</v>
      </c>
    </row>
    <row r="1529" spans="1:30" hidden="1" x14ac:dyDescent="0.25">
      <c r="A1529">
        <v>499</v>
      </c>
      <c r="B1529" t="s">
        <v>690</v>
      </c>
      <c r="C1529">
        <v>30</v>
      </c>
      <c r="D1529">
        <v>69</v>
      </c>
      <c r="E1529">
        <v>100</v>
      </c>
      <c r="F1529" t="s">
        <v>77</v>
      </c>
      <c r="G1529" t="s">
        <v>746</v>
      </c>
      <c r="H1529">
        <v>2</v>
      </c>
      <c r="I1529">
        <v>3.25</v>
      </c>
      <c r="J1529" t="s">
        <v>839</v>
      </c>
      <c r="K1529" t="s">
        <v>812</v>
      </c>
      <c r="M1529" t="s">
        <v>1085</v>
      </c>
      <c r="P1529" t="s">
        <v>924</v>
      </c>
      <c r="Q1529" t="s">
        <v>26</v>
      </c>
      <c r="S1529" t="s">
        <v>81</v>
      </c>
      <c r="W1529">
        <v>2</v>
      </c>
      <c r="X1529" s="24">
        <v>46032</v>
      </c>
      <c r="Z1529" t="s">
        <v>38</v>
      </c>
      <c r="AB1529" t="s">
        <v>921</v>
      </c>
      <c r="AC1529" t="s">
        <v>1074</v>
      </c>
      <c r="AD1529" t="s">
        <v>1075</v>
      </c>
    </row>
    <row r="1530" spans="1:30" hidden="1" x14ac:dyDescent="0.25">
      <c r="A1530">
        <v>500</v>
      </c>
      <c r="B1530" t="s">
        <v>693</v>
      </c>
      <c r="C1530">
        <v>30</v>
      </c>
      <c r="D1530">
        <v>69</v>
      </c>
      <c r="E1530">
        <v>100</v>
      </c>
      <c r="F1530" t="s">
        <v>77</v>
      </c>
      <c r="G1530" t="s">
        <v>746</v>
      </c>
      <c r="H1530">
        <v>4</v>
      </c>
      <c r="I1530">
        <v>6.5</v>
      </c>
      <c r="J1530" t="s">
        <v>839</v>
      </c>
      <c r="K1530" t="s">
        <v>812</v>
      </c>
      <c r="M1530" t="s">
        <v>1085</v>
      </c>
      <c r="P1530" t="s">
        <v>924</v>
      </c>
      <c r="Q1530" t="s">
        <v>26</v>
      </c>
      <c r="S1530" t="s">
        <v>81</v>
      </c>
      <c r="W1530">
        <v>2</v>
      </c>
      <c r="X1530" s="24">
        <v>46032</v>
      </c>
      <c r="Z1530" t="s">
        <v>38</v>
      </c>
      <c r="AB1530" t="s">
        <v>921</v>
      </c>
      <c r="AC1530" t="s">
        <v>1074</v>
      </c>
      <c r="AD1530" t="s">
        <v>1075</v>
      </c>
    </row>
    <row r="1531" spans="1:30" hidden="1" x14ac:dyDescent="0.25">
      <c r="A1531">
        <v>501</v>
      </c>
      <c r="B1531" t="s">
        <v>695</v>
      </c>
      <c r="C1531">
        <v>30</v>
      </c>
      <c r="D1531">
        <v>260</v>
      </c>
      <c r="E1531">
        <v>400</v>
      </c>
      <c r="F1531" t="s">
        <v>77</v>
      </c>
      <c r="G1531" t="s">
        <v>746</v>
      </c>
      <c r="H1531">
        <v>2</v>
      </c>
      <c r="I1531">
        <v>32.659999999999997</v>
      </c>
      <c r="J1531" t="s">
        <v>839</v>
      </c>
      <c r="K1531" t="s">
        <v>812</v>
      </c>
      <c r="M1531" t="s">
        <v>1085</v>
      </c>
      <c r="O1531" t="s">
        <v>228</v>
      </c>
      <c r="P1531" t="s">
        <v>924</v>
      </c>
      <c r="Q1531" t="s">
        <v>27</v>
      </c>
      <c r="S1531" t="s">
        <v>81</v>
      </c>
      <c r="W1531">
        <v>2</v>
      </c>
      <c r="X1531" s="24">
        <v>46032</v>
      </c>
      <c r="Z1531" t="s">
        <v>38</v>
      </c>
      <c r="AB1531" t="s">
        <v>921</v>
      </c>
      <c r="AC1531" t="s">
        <v>1074</v>
      </c>
      <c r="AD1531" t="s">
        <v>1075</v>
      </c>
    </row>
    <row r="1532" spans="1:30" hidden="1" x14ac:dyDescent="0.25">
      <c r="A1532">
        <v>502</v>
      </c>
      <c r="B1532" t="s">
        <v>696</v>
      </c>
      <c r="C1532">
        <v>30</v>
      </c>
      <c r="D1532">
        <v>69</v>
      </c>
      <c r="E1532">
        <v>100</v>
      </c>
      <c r="F1532" t="s">
        <v>77</v>
      </c>
      <c r="G1532" t="s">
        <v>746</v>
      </c>
      <c r="H1532">
        <v>2</v>
      </c>
      <c r="I1532">
        <v>3.25</v>
      </c>
      <c r="J1532" t="s">
        <v>839</v>
      </c>
      <c r="K1532" t="s">
        <v>812</v>
      </c>
      <c r="M1532" t="s">
        <v>1085</v>
      </c>
      <c r="P1532" t="s">
        <v>924</v>
      </c>
      <c r="Q1532" t="s">
        <v>26</v>
      </c>
      <c r="S1532" t="s">
        <v>81</v>
      </c>
      <c r="W1532">
        <v>2</v>
      </c>
      <c r="X1532" s="24">
        <v>46032</v>
      </c>
      <c r="Z1532" t="s">
        <v>38</v>
      </c>
      <c r="AB1532" t="s">
        <v>921</v>
      </c>
      <c r="AC1532" t="s">
        <v>1074</v>
      </c>
      <c r="AD1532" t="s">
        <v>1075</v>
      </c>
    </row>
    <row r="1533" spans="1:30" hidden="1" x14ac:dyDescent="0.25">
      <c r="A1533">
        <v>503</v>
      </c>
      <c r="B1533" t="s">
        <v>697</v>
      </c>
      <c r="C1533">
        <v>30</v>
      </c>
      <c r="D1533">
        <v>275</v>
      </c>
      <c r="E1533">
        <v>300</v>
      </c>
      <c r="F1533" t="s">
        <v>77</v>
      </c>
      <c r="G1533" t="s">
        <v>746</v>
      </c>
      <c r="H1533">
        <v>4</v>
      </c>
      <c r="I1533">
        <v>56.03</v>
      </c>
      <c r="J1533" t="s">
        <v>839</v>
      </c>
      <c r="K1533" t="s">
        <v>812</v>
      </c>
      <c r="M1533" t="s">
        <v>1085</v>
      </c>
      <c r="O1533" t="s">
        <v>228</v>
      </c>
      <c r="P1533" t="s">
        <v>924</v>
      </c>
      <c r="Q1533" t="s">
        <v>27</v>
      </c>
      <c r="S1533" t="s">
        <v>81</v>
      </c>
      <c r="W1533">
        <v>2</v>
      </c>
      <c r="X1533" s="24">
        <v>46032</v>
      </c>
      <c r="Z1533" t="s">
        <v>38</v>
      </c>
      <c r="AB1533" t="s">
        <v>921</v>
      </c>
      <c r="AC1533" t="s">
        <v>1074</v>
      </c>
      <c r="AD1533" t="s">
        <v>1075</v>
      </c>
    </row>
    <row r="1534" spans="1:30" hidden="1" x14ac:dyDescent="0.25">
      <c r="A1534">
        <v>504</v>
      </c>
      <c r="B1534" t="s">
        <v>686</v>
      </c>
      <c r="C1534">
        <v>30</v>
      </c>
      <c r="D1534">
        <v>315</v>
      </c>
      <c r="E1534">
        <v>460</v>
      </c>
      <c r="F1534" t="s">
        <v>77</v>
      </c>
      <c r="G1534" t="s">
        <v>746</v>
      </c>
      <c r="H1534">
        <v>2</v>
      </c>
      <c r="I1534">
        <v>45.73</v>
      </c>
      <c r="J1534" t="s">
        <v>839</v>
      </c>
      <c r="K1534" t="s">
        <v>812</v>
      </c>
      <c r="M1534" t="s">
        <v>1085</v>
      </c>
      <c r="O1534" t="s">
        <v>228</v>
      </c>
      <c r="P1534" t="s">
        <v>924</v>
      </c>
      <c r="Q1534" t="s">
        <v>27</v>
      </c>
      <c r="S1534" t="s">
        <v>81</v>
      </c>
      <c r="W1534">
        <v>2</v>
      </c>
      <c r="X1534" s="24">
        <v>46032</v>
      </c>
      <c r="Z1534" t="s">
        <v>38</v>
      </c>
      <c r="AB1534" t="s">
        <v>921</v>
      </c>
      <c r="AC1534" t="s">
        <v>1074</v>
      </c>
      <c r="AD1534" t="s">
        <v>1075</v>
      </c>
    </row>
    <row r="1535" spans="1:30" hidden="1" x14ac:dyDescent="0.25">
      <c r="A1535">
        <v>505</v>
      </c>
      <c r="B1535" t="s">
        <v>692</v>
      </c>
      <c r="C1535">
        <v>30</v>
      </c>
      <c r="D1535">
        <v>315</v>
      </c>
      <c r="E1535">
        <v>460</v>
      </c>
      <c r="F1535" t="s">
        <v>77</v>
      </c>
      <c r="G1535" t="s">
        <v>746</v>
      </c>
      <c r="H1535">
        <v>4</v>
      </c>
      <c r="I1535">
        <v>91.45</v>
      </c>
      <c r="J1535" t="s">
        <v>839</v>
      </c>
      <c r="K1535" t="s">
        <v>812</v>
      </c>
      <c r="M1535" t="s">
        <v>1085</v>
      </c>
      <c r="O1535" t="s">
        <v>228</v>
      </c>
      <c r="P1535" t="s">
        <v>924</v>
      </c>
      <c r="Q1535" t="s">
        <v>27</v>
      </c>
      <c r="S1535" t="s">
        <v>81</v>
      </c>
      <c r="W1535">
        <v>2</v>
      </c>
      <c r="X1535" s="24">
        <v>46032</v>
      </c>
      <c r="Z1535" t="s">
        <v>38</v>
      </c>
      <c r="AB1535" t="s">
        <v>921</v>
      </c>
      <c r="AC1535" t="s">
        <v>1074</v>
      </c>
      <c r="AD1535" t="s">
        <v>1075</v>
      </c>
    </row>
    <row r="1536" spans="1:30" hidden="1" x14ac:dyDescent="0.25">
      <c r="A1536">
        <v>506</v>
      </c>
      <c r="B1536" t="s">
        <v>694</v>
      </c>
      <c r="C1536">
        <v>30</v>
      </c>
      <c r="D1536">
        <v>315</v>
      </c>
      <c r="E1536">
        <v>460</v>
      </c>
      <c r="F1536" t="s">
        <v>77</v>
      </c>
      <c r="G1536" t="s">
        <v>746</v>
      </c>
      <c r="H1536">
        <v>2</v>
      </c>
      <c r="I1536">
        <v>45.73</v>
      </c>
      <c r="J1536" t="s">
        <v>839</v>
      </c>
      <c r="K1536" t="s">
        <v>812</v>
      </c>
      <c r="M1536" t="s">
        <v>1085</v>
      </c>
      <c r="O1536" t="s">
        <v>228</v>
      </c>
      <c r="P1536" t="s">
        <v>924</v>
      </c>
      <c r="Q1536" t="s">
        <v>27</v>
      </c>
      <c r="S1536" t="s">
        <v>81</v>
      </c>
      <c r="W1536">
        <v>2</v>
      </c>
      <c r="X1536" s="24">
        <v>46032</v>
      </c>
      <c r="Z1536" t="s">
        <v>38</v>
      </c>
      <c r="AB1536" t="s">
        <v>921</v>
      </c>
      <c r="AC1536" t="s">
        <v>1074</v>
      </c>
      <c r="AD1536" t="s">
        <v>1075</v>
      </c>
    </row>
    <row r="1537" spans="1:30" hidden="1" x14ac:dyDescent="0.25">
      <c r="A1537">
        <v>507</v>
      </c>
      <c r="B1537" t="s">
        <v>699</v>
      </c>
      <c r="C1537">
        <v>60</v>
      </c>
      <c r="D1537">
        <v>70</v>
      </c>
      <c r="E1537">
        <v>8980</v>
      </c>
      <c r="F1537" t="s">
        <v>700</v>
      </c>
      <c r="G1537" t="s">
        <v>746</v>
      </c>
      <c r="H1537">
        <v>1</v>
      </c>
      <c r="I1537">
        <v>296.07</v>
      </c>
      <c r="J1537" t="s">
        <v>839</v>
      </c>
      <c r="K1537" t="s">
        <v>812</v>
      </c>
      <c r="M1537" t="s">
        <v>1085</v>
      </c>
      <c r="P1537" t="s">
        <v>924</v>
      </c>
      <c r="Q1537" t="s">
        <v>26</v>
      </c>
      <c r="S1537" t="s">
        <v>81</v>
      </c>
      <c r="U1537" t="s">
        <v>81</v>
      </c>
      <c r="W1537">
        <v>2</v>
      </c>
      <c r="X1537" s="24">
        <v>46032</v>
      </c>
      <c r="Z1537" t="s">
        <v>38</v>
      </c>
      <c r="AB1537" t="s">
        <v>921</v>
      </c>
      <c r="AC1537" t="s">
        <v>1078</v>
      </c>
      <c r="AD1537" t="s">
        <v>1079</v>
      </c>
    </row>
    <row r="1538" spans="1:30" hidden="1" x14ac:dyDescent="0.25">
      <c r="A1538">
        <v>508</v>
      </c>
      <c r="B1538" t="s">
        <v>706</v>
      </c>
      <c r="C1538">
        <v>60</v>
      </c>
      <c r="D1538">
        <v>70</v>
      </c>
      <c r="E1538">
        <v>11303</v>
      </c>
      <c r="F1538" t="s">
        <v>700</v>
      </c>
      <c r="G1538" t="s">
        <v>746</v>
      </c>
      <c r="H1538">
        <v>1</v>
      </c>
      <c r="I1538">
        <v>372.66</v>
      </c>
      <c r="J1538" t="s">
        <v>839</v>
      </c>
      <c r="K1538" t="s">
        <v>812</v>
      </c>
      <c r="M1538" t="s">
        <v>1085</v>
      </c>
      <c r="P1538" t="s">
        <v>924</v>
      </c>
      <c r="Q1538" t="s">
        <v>26</v>
      </c>
      <c r="S1538" t="s">
        <v>81</v>
      </c>
      <c r="U1538" t="s">
        <v>81</v>
      </c>
      <c r="W1538">
        <v>2</v>
      </c>
      <c r="X1538" s="24">
        <v>46032</v>
      </c>
      <c r="Z1538" t="s">
        <v>38</v>
      </c>
      <c r="AB1538" t="s">
        <v>921</v>
      </c>
      <c r="AC1538" t="s">
        <v>1078</v>
      </c>
      <c r="AD1538" t="s">
        <v>1079</v>
      </c>
    </row>
    <row r="1539" spans="1:30" hidden="1" x14ac:dyDescent="0.25">
      <c r="A1539">
        <v>509</v>
      </c>
      <c r="B1539" t="s">
        <v>712</v>
      </c>
      <c r="C1539">
        <v>60</v>
      </c>
      <c r="D1539">
        <v>70</v>
      </c>
      <c r="E1539">
        <v>8980</v>
      </c>
      <c r="F1539" t="s">
        <v>700</v>
      </c>
      <c r="G1539" t="s">
        <v>746</v>
      </c>
      <c r="H1539">
        <v>1</v>
      </c>
      <c r="I1539">
        <v>296.07</v>
      </c>
      <c r="J1539" t="s">
        <v>839</v>
      </c>
      <c r="K1539" t="s">
        <v>812</v>
      </c>
      <c r="M1539" t="s">
        <v>1085</v>
      </c>
      <c r="P1539" t="s">
        <v>924</v>
      </c>
      <c r="Q1539" t="s">
        <v>26</v>
      </c>
      <c r="S1539" t="s">
        <v>81</v>
      </c>
      <c r="U1539" t="s">
        <v>81</v>
      </c>
      <c r="W1539">
        <v>2</v>
      </c>
      <c r="X1539" s="24">
        <v>46032</v>
      </c>
      <c r="Z1539" t="s">
        <v>38</v>
      </c>
      <c r="AB1539" t="s">
        <v>921</v>
      </c>
      <c r="AC1539" t="s">
        <v>1078</v>
      </c>
      <c r="AD1539" t="s">
        <v>1079</v>
      </c>
    </row>
    <row r="1540" spans="1:30" hidden="1" x14ac:dyDescent="0.25">
      <c r="A1540">
        <v>510</v>
      </c>
      <c r="B1540" t="s">
        <v>713</v>
      </c>
      <c r="C1540">
        <v>60</v>
      </c>
      <c r="D1540">
        <v>70</v>
      </c>
      <c r="E1540">
        <v>11303</v>
      </c>
      <c r="F1540" t="s">
        <v>700</v>
      </c>
      <c r="G1540" t="s">
        <v>746</v>
      </c>
      <c r="H1540">
        <v>1</v>
      </c>
      <c r="I1540">
        <v>372.66</v>
      </c>
      <c r="J1540" t="s">
        <v>839</v>
      </c>
      <c r="K1540" t="s">
        <v>812</v>
      </c>
      <c r="M1540" t="s">
        <v>1085</v>
      </c>
      <c r="P1540" t="s">
        <v>924</v>
      </c>
      <c r="Q1540" t="s">
        <v>26</v>
      </c>
      <c r="S1540" t="s">
        <v>81</v>
      </c>
      <c r="U1540" t="s">
        <v>81</v>
      </c>
      <c r="W1540">
        <v>2</v>
      </c>
      <c r="X1540" s="24">
        <v>46032</v>
      </c>
      <c r="Z1540" t="s">
        <v>38</v>
      </c>
      <c r="AB1540" t="s">
        <v>921</v>
      </c>
      <c r="AC1540" t="s">
        <v>1078</v>
      </c>
      <c r="AD1540" t="s">
        <v>1079</v>
      </c>
    </row>
    <row r="1541" spans="1:30" hidden="1" x14ac:dyDescent="0.25">
      <c r="A1541">
        <v>511</v>
      </c>
      <c r="B1541" t="s">
        <v>708</v>
      </c>
      <c r="C1541">
        <v>60</v>
      </c>
      <c r="D1541">
        <v>68</v>
      </c>
      <c r="E1541">
        <v>12000</v>
      </c>
      <c r="F1541" t="s">
        <v>700</v>
      </c>
      <c r="G1541" t="s">
        <v>746</v>
      </c>
      <c r="H1541">
        <v>1</v>
      </c>
      <c r="I1541">
        <v>339.12</v>
      </c>
      <c r="J1541" t="s">
        <v>839</v>
      </c>
      <c r="K1541" t="s">
        <v>812</v>
      </c>
      <c r="M1541" t="s">
        <v>1085</v>
      </c>
      <c r="P1541" t="s">
        <v>924</v>
      </c>
      <c r="Q1541" t="s">
        <v>26</v>
      </c>
      <c r="S1541" t="s">
        <v>81</v>
      </c>
      <c r="U1541" t="s">
        <v>81</v>
      </c>
      <c r="W1541">
        <v>2</v>
      </c>
      <c r="X1541" s="24">
        <v>46032</v>
      </c>
      <c r="Z1541" t="s">
        <v>38</v>
      </c>
      <c r="AB1541" t="s">
        <v>921</v>
      </c>
      <c r="AC1541" t="s">
        <v>1082</v>
      </c>
      <c r="AD1541" t="s">
        <v>1083</v>
      </c>
    </row>
    <row r="1542" spans="1:30" hidden="1" x14ac:dyDescent="0.25">
      <c r="A1542">
        <v>512</v>
      </c>
      <c r="B1542" t="s">
        <v>710</v>
      </c>
      <c r="C1542">
        <v>60</v>
      </c>
      <c r="D1542">
        <v>63</v>
      </c>
      <c r="E1542">
        <v>7588</v>
      </c>
      <c r="F1542" t="s">
        <v>700</v>
      </c>
      <c r="G1542" t="s">
        <v>746</v>
      </c>
      <c r="H1542">
        <v>1</v>
      </c>
      <c r="I1542">
        <v>214.44</v>
      </c>
      <c r="J1542" t="s">
        <v>839</v>
      </c>
      <c r="K1542" t="s">
        <v>812</v>
      </c>
      <c r="M1542" t="s">
        <v>1085</v>
      </c>
      <c r="P1542" t="s">
        <v>924</v>
      </c>
      <c r="Q1542" t="s">
        <v>26</v>
      </c>
      <c r="S1542" t="s">
        <v>81</v>
      </c>
      <c r="U1542" t="s">
        <v>81</v>
      </c>
      <c r="W1542">
        <v>2</v>
      </c>
      <c r="X1542" s="24">
        <v>46032</v>
      </c>
      <c r="Z1542" t="s">
        <v>38</v>
      </c>
      <c r="AB1542" t="s">
        <v>921</v>
      </c>
      <c r="AC1542" t="s">
        <v>1082</v>
      </c>
      <c r="AD1542" t="s">
        <v>1083</v>
      </c>
    </row>
    <row r="1543" spans="1:30" hidden="1" x14ac:dyDescent="0.25">
      <c r="A1543">
        <v>513</v>
      </c>
      <c r="B1543" t="s">
        <v>714</v>
      </c>
      <c r="C1543">
        <v>60</v>
      </c>
      <c r="D1543">
        <v>70</v>
      </c>
      <c r="E1543">
        <v>12000</v>
      </c>
      <c r="F1543" t="s">
        <v>700</v>
      </c>
      <c r="G1543" t="s">
        <v>746</v>
      </c>
      <c r="H1543">
        <v>1</v>
      </c>
      <c r="I1543">
        <v>395.64</v>
      </c>
      <c r="J1543" t="s">
        <v>839</v>
      </c>
      <c r="K1543" t="s">
        <v>812</v>
      </c>
      <c r="M1543" t="s">
        <v>1085</v>
      </c>
      <c r="P1543" t="s">
        <v>924</v>
      </c>
      <c r="Q1543" t="s">
        <v>26</v>
      </c>
      <c r="S1543" t="s">
        <v>81</v>
      </c>
      <c r="U1543" t="s">
        <v>81</v>
      </c>
      <c r="W1543">
        <v>2</v>
      </c>
      <c r="X1543" s="24">
        <v>46032</v>
      </c>
      <c r="Z1543" t="s">
        <v>38</v>
      </c>
      <c r="AB1543" t="s">
        <v>921</v>
      </c>
      <c r="AC1543" t="s">
        <v>1082</v>
      </c>
      <c r="AD1543" t="s">
        <v>1083</v>
      </c>
    </row>
    <row r="1544" spans="1:30" hidden="1" x14ac:dyDescent="0.25">
      <c r="A1544">
        <v>514</v>
      </c>
      <c r="B1544" t="s">
        <v>716</v>
      </c>
      <c r="C1544">
        <v>60</v>
      </c>
      <c r="D1544">
        <v>70</v>
      </c>
      <c r="E1544">
        <v>7587</v>
      </c>
      <c r="F1544" t="s">
        <v>700</v>
      </c>
      <c r="G1544" t="s">
        <v>746</v>
      </c>
      <c r="H1544">
        <v>1</v>
      </c>
      <c r="I1544">
        <v>250.16</v>
      </c>
      <c r="J1544" t="s">
        <v>839</v>
      </c>
      <c r="K1544" t="s">
        <v>812</v>
      </c>
      <c r="M1544" t="s">
        <v>1085</v>
      </c>
      <c r="P1544" t="s">
        <v>924</v>
      </c>
      <c r="Q1544" t="s">
        <v>26</v>
      </c>
      <c r="S1544" t="s">
        <v>81</v>
      </c>
      <c r="U1544" t="s">
        <v>81</v>
      </c>
      <c r="W1544">
        <v>2</v>
      </c>
      <c r="X1544" s="24">
        <v>46032</v>
      </c>
      <c r="Z1544" t="s">
        <v>38</v>
      </c>
      <c r="AB1544" t="s">
        <v>921</v>
      </c>
      <c r="AC1544" t="s">
        <v>1082</v>
      </c>
      <c r="AD1544" t="s">
        <v>1083</v>
      </c>
    </row>
    <row r="1545" spans="1:30" hidden="1" x14ac:dyDescent="0.25">
      <c r="A1545">
        <v>1</v>
      </c>
      <c r="B1545" t="s">
        <v>32</v>
      </c>
      <c r="C1545">
        <v>2</v>
      </c>
      <c r="D1545">
        <v>1200</v>
      </c>
      <c r="E1545">
        <v>1800</v>
      </c>
      <c r="F1545" t="s">
        <v>33</v>
      </c>
      <c r="G1545" t="s">
        <v>746</v>
      </c>
      <c r="H1545">
        <v>1</v>
      </c>
      <c r="I1545">
        <v>33.909999999999997</v>
      </c>
      <c r="J1545" t="s">
        <v>839</v>
      </c>
      <c r="K1545" t="s">
        <v>812</v>
      </c>
      <c r="M1545" t="s">
        <v>1307</v>
      </c>
      <c r="R1545" t="s">
        <v>81</v>
      </c>
      <c r="W1545">
        <v>3</v>
      </c>
      <c r="X1545" t="s">
        <v>1135</v>
      </c>
      <c r="Z1545" t="s">
        <v>38</v>
      </c>
      <c r="AB1545" t="s">
        <v>921</v>
      </c>
      <c r="AC1545" t="s">
        <v>1134</v>
      </c>
      <c r="AD1545" t="s">
        <v>39</v>
      </c>
    </row>
    <row r="1546" spans="1:30" hidden="1" x14ac:dyDescent="0.25">
      <c r="A1546">
        <v>2</v>
      </c>
      <c r="B1546" t="s">
        <v>41</v>
      </c>
      <c r="C1546">
        <v>2</v>
      </c>
      <c r="D1546">
        <v>1200</v>
      </c>
      <c r="E1546">
        <v>1800</v>
      </c>
      <c r="F1546" t="s">
        <v>33</v>
      </c>
      <c r="G1546" t="s">
        <v>746</v>
      </c>
      <c r="H1546">
        <v>1</v>
      </c>
      <c r="I1546">
        <v>33.909999999999997</v>
      </c>
      <c r="J1546" t="s">
        <v>839</v>
      </c>
      <c r="K1546" t="s">
        <v>812</v>
      </c>
      <c r="M1546" t="s">
        <v>1307</v>
      </c>
      <c r="R1546" t="s">
        <v>81</v>
      </c>
      <c r="W1546">
        <v>3</v>
      </c>
      <c r="X1546" t="s">
        <v>1135</v>
      </c>
      <c r="Z1546" t="s">
        <v>38</v>
      </c>
      <c r="AB1546" t="s">
        <v>921</v>
      </c>
      <c r="AC1546" t="s">
        <v>1134</v>
      </c>
      <c r="AD1546" t="s">
        <v>39</v>
      </c>
    </row>
    <row r="1547" spans="1:30" hidden="1" x14ac:dyDescent="0.25">
      <c r="A1547">
        <v>3</v>
      </c>
      <c r="B1547" t="s">
        <v>42</v>
      </c>
      <c r="C1547">
        <v>2</v>
      </c>
      <c r="D1547">
        <v>1300</v>
      </c>
      <c r="E1547">
        <v>4000</v>
      </c>
      <c r="F1547" t="s">
        <v>33</v>
      </c>
      <c r="G1547" t="s">
        <v>746</v>
      </c>
      <c r="H1547">
        <v>1</v>
      </c>
      <c r="I1547">
        <v>81.64</v>
      </c>
      <c r="J1547" t="s">
        <v>839</v>
      </c>
      <c r="K1547" t="s">
        <v>812</v>
      </c>
      <c r="M1547" t="s">
        <v>1307</v>
      </c>
      <c r="R1547" t="s">
        <v>81</v>
      </c>
      <c r="W1547">
        <v>3</v>
      </c>
      <c r="X1547" t="s">
        <v>1135</v>
      </c>
      <c r="Z1547" t="s">
        <v>38</v>
      </c>
      <c r="AB1547" t="s">
        <v>921</v>
      </c>
      <c r="AC1547" t="s">
        <v>1138</v>
      </c>
      <c r="AD1547" t="s">
        <v>39</v>
      </c>
    </row>
    <row r="1548" spans="1:30" hidden="1" x14ac:dyDescent="0.25">
      <c r="A1548">
        <v>4</v>
      </c>
      <c r="B1548" t="s">
        <v>45</v>
      </c>
      <c r="C1548">
        <v>2</v>
      </c>
      <c r="D1548">
        <v>1300</v>
      </c>
      <c r="E1548">
        <v>4000</v>
      </c>
      <c r="F1548" t="s">
        <v>33</v>
      </c>
      <c r="G1548" t="s">
        <v>746</v>
      </c>
      <c r="H1548">
        <v>1</v>
      </c>
      <c r="I1548">
        <v>81.64</v>
      </c>
      <c r="J1548" t="s">
        <v>839</v>
      </c>
      <c r="K1548" t="s">
        <v>812</v>
      </c>
      <c r="M1548" t="s">
        <v>1307</v>
      </c>
      <c r="R1548" t="s">
        <v>81</v>
      </c>
      <c r="W1548">
        <v>3</v>
      </c>
      <c r="X1548" t="s">
        <v>1135</v>
      </c>
      <c r="Z1548" t="s">
        <v>38</v>
      </c>
      <c r="AB1548" t="s">
        <v>921</v>
      </c>
      <c r="AC1548" t="s">
        <v>1140</v>
      </c>
      <c r="AD1548" t="s">
        <v>39</v>
      </c>
    </row>
    <row r="1549" spans="1:30" hidden="1" x14ac:dyDescent="0.25">
      <c r="A1549">
        <v>5</v>
      </c>
      <c r="B1549" t="s">
        <v>48</v>
      </c>
      <c r="C1549">
        <v>2</v>
      </c>
      <c r="D1549">
        <v>1060</v>
      </c>
      <c r="E1549">
        <v>4000</v>
      </c>
      <c r="F1549" t="s">
        <v>33</v>
      </c>
      <c r="G1549" t="s">
        <v>746</v>
      </c>
      <c r="H1549">
        <v>1</v>
      </c>
      <c r="I1549">
        <v>66.569999999999993</v>
      </c>
      <c r="J1549" t="s">
        <v>839</v>
      </c>
      <c r="K1549" t="s">
        <v>812</v>
      </c>
      <c r="M1549" t="s">
        <v>1307</v>
      </c>
      <c r="R1549" t="s">
        <v>81</v>
      </c>
      <c r="W1549">
        <v>3</v>
      </c>
      <c r="X1549" t="s">
        <v>1135</v>
      </c>
      <c r="Z1549" t="s">
        <v>38</v>
      </c>
      <c r="AB1549" t="s">
        <v>921</v>
      </c>
      <c r="AC1549" t="s">
        <v>1142</v>
      </c>
      <c r="AD1549" t="s">
        <v>39</v>
      </c>
    </row>
    <row r="1550" spans="1:30" hidden="1" x14ac:dyDescent="0.25">
      <c r="A1550">
        <v>6</v>
      </c>
      <c r="B1550" t="s">
        <v>52</v>
      </c>
      <c r="C1550">
        <v>2</v>
      </c>
      <c r="D1550">
        <v>1060</v>
      </c>
      <c r="E1550">
        <v>4000</v>
      </c>
      <c r="F1550" t="s">
        <v>33</v>
      </c>
      <c r="G1550" t="s">
        <v>746</v>
      </c>
      <c r="H1550">
        <v>1</v>
      </c>
      <c r="I1550">
        <v>66.569999999999993</v>
      </c>
      <c r="J1550" t="s">
        <v>839</v>
      </c>
      <c r="K1550" t="s">
        <v>812</v>
      </c>
      <c r="M1550" t="s">
        <v>1307</v>
      </c>
      <c r="R1550" t="s">
        <v>81</v>
      </c>
      <c r="W1550">
        <v>3</v>
      </c>
      <c r="X1550" t="s">
        <v>1135</v>
      </c>
      <c r="Z1550" t="s">
        <v>38</v>
      </c>
      <c r="AB1550" t="s">
        <v>921</v>
      </c>
      <c r="AC1550" t="s">
        <v>1144</v>
      </c>
      <c r="AD1550" t="s">
        <v>39</v>
      </c>
    </row>
    <row r="1551" spans="1:30" hidden="1" x14ac:dyDescent="0.25">
      <c r="A1551">
        <v>7</v>
      </c>
      <c r="B1551" t="s">
        <v>55</v>
      </c>
      <c r="C1551">
        <v>2</v>
      </c>
      <c r="D1551">
        <v>1060</v>
      </c>
      <c r="E1551">
        <v>4000</v>
      </c>
      <c r="F1551" t="s">
        <v>33</v>
      </c>
      <c r="G1551" t="s">
        <v>746</v>
      </c>
      <c r="H1551">
        <v>1</v>
      </c>
      <c r="I1551">
        <v>66.569999999999993</v>
      </c>
      <c r="J1551" t="s">
        <v>839</v>
      </c>
      <c r="K1551" t="s">
        <v>812</v>
      </c>
      <c r="M1551" t="s">
        <v>1307</v>
      </c>
      <c r="R1551" t="s">
        <v>81</v>
      </c>
      <c r="W1551">
        <v>3</v>
      </c>
      <c r="X1551" t="s">
        <v>1135</v>
      </c>
      <c r="Z1551" t="s">
        <v>38</v>
      </c>
      <c r="AB1551" t="s">
        <v>921</v>
      </c>
      <c r="AC1551" t="s">
        <v>1146</v>
      </c>
      <c r="AD1551" t="s">
        <v>39</v>
      </c>
    </row>
    <row r="1552" spans="1:30" hidden="1" x14ac:dyDescent="0.25">
      <c r="A1552">
        <v>8</v>
      </c>
      <c r="B1552" t="s">
        <v>58</v>
      </c>
      <c r="C1552">
        <v>2</v>
      </c>
      <c r="D1552">
        <v>1060</v>
      </c>
      <c r="E1552">
        <v>4000</v>
      </c>
      <c r="F1552" t="s">
        <v>33</v>
      </c>
      <c r="G1552" t="s">
        <v>746</v>
      </c>
      <c r="H1552">
        <v>1</v>
      </c>
      <c r="I1552">
        <v>66.569999999999993</v>
      </c>
      <c r="J1552" t="s">
        <v>839</v>
      </c>
      <c r="K1552" t="s">
        <v>812</v>
      </c>
      <c r="M1552" t="s">
        <v>1307</v>
      </c>
      <c r="R1552" t="s">
        <v>81</v>
      </c>
      <c r="W1552">
        <v>3</v>
      </c>
      <c r="X1552" t="s">
        <v>1135</v>
      </c>
      <c r="Z1552" t="s">
        <v>38</v>
      </c>
      <c r="AB1552" t="s">
        <v>921</v>
      </c>
      <c r="AC1552" t="s">
        <v>1148</v>
      </c>
      <c r="AD1552" t="s">
        <v>39</v>
      </c>
    </row>
    <row r="1553" spans="1:30" hidden="1" x14ac:dyDescent="0.25">
      <c r="A1553">
        <v>9</v>
      </c>
      <c r="B1553" t="s">
        <v>61</v>
      </c>
      <c r="C1553">
        <v>2</v>
      </c>
      <c r="D1553">
        <v>500</v>
      </c>
      <c r="E1553">
        <v>4000</v>
      </c>
      <c r="F1553" t="s">
        <v>33</v>
      </c>
      <c r="G1553" t="s">
        <v>746</v>
      </c>
      <c r="H1553">
        <v>1</v>
      </c>
      <c r="I1553">
        <v>31.4</v>
      </c>
      <c r="J1553" t="s">
        <v>839</v>
      </c>
      <c r="K1553" t="s">
        <v>812</v>
      </c>
      <c r="M1553" t="s">
        <v>1307</v>
      </c>
      <c r="R1553" t="s">
        <v>81</v>
      </c>
      <c r="W1553">
        <v>3</v>
      </c>
      <c r="X1553" t="s">
        <v>1135</v>
      </c>
      <c r="Z1553" t="s">
        <v>38</v>
      </c>
      <c r="AB1553" t="s">
        <v>921</v>
      </c>
      <c r="AC1553" t="s">
        <v>1150</v>
      </c>
      <c r="AD1553" t="s">
        <v>39</v>
      </c>
    </row>
    <row r="1554" spans="1:30" hidden="1" x14ac:dyDescent="0.25">
      <c r="A1554">
        <v>10</v>
      </c>
      <c r="B1554" t="s">
        <v>65</v>
      </c>
      <c r="C1554">
        <v>2</v>
      </c>
      <c r="D1554">
        <v>500</v>
      </c>
      <c r="E1554">
        <v>4000</v>
      </c>
      <c r="F1554" t="s">
        <v>33</v>
      </c>
      <c r="G1554" t="s">
        <v>746</v>
      </c>
      <c r="H1554">
        <v>1</v>
      </c>
      <c r="I1554">
        <v>31.4</v>
      </c>
      <c r="J1554" t="s">
        <v>839</v>
      </c>
      <c r="K1554" t="s">
        <v>812</v>
      </c>
      <c r="M1554" t="s">
        <v>1307</v>
      </c>
      <c r="R1554" t="s">
        <v>81</v>
      </c>
      <c r="W1554">
        <v>3</v>
      </c>
      <c r="X1554" t="s">
        <v>1135</v>
      </c>
      <c r="Z1554" t="s">
        <v>38</v>
      </c>
      <c r="AB1554" t="s">
        <v>921</v>
      </c>
      <c r="AC1554" t="s">
        <v>1150</v>
      </c>
      <c r="AD1554" t="s">
        <v>39</v>
      </c>
    </row>
    <row r="1555" spans="1:30" hidden="1" x14ac:dyDescent="0.25">
      <c r="A1555">
        <v>11</v>
      </c>
      <c r="B1555" t="s">
        <v>66</v>
      </c>
      <c r="C1555">
        <v>2</v>
      </c>
      <c r="D1555">
        <v>1060</v>
      </c>
      <c r="E1555">
        <v>1200</v>
      </c>
      <c r="F1555" t="s">
        <v>33</v>
      </c>
      <c r="G1555" t="s">
        <v>746</v>
      </c>
      <c r="H1555">
        <v>1</v>
      </c>
      <c r="I1555">
        <v>19.97</v>
      </c>
      <c r="J1555" t="s">
        <v>839</v>
      </c>
      <c r="K1555" t="s">
        <v>812</v>
      </c>
      <c r="M1555" t="s">
        <v>1307</v>
      </c>
      <c r="S1555" t="s">
        <v>81</v>
      </c>
      <c r="W1555">
        <v>3</v>
      </c>
      <c r="X1555" t="s">
        <v>1135</v>
      </c>
      <c r="Z1555" t="s">
        <v>38</v>
      </c>
      <c r="AB1555" t="s">
        <v>921</v>
      </c>
      <c r="AC1555" t="s">
        <v>1152</v>
      </c>
      <c r="AD1555" t="s">
        <v>1153</v>
      </c>
    </row>
    <row r="1556" spans="1:30" hidden="1" x14ac:dyDescent="0.25">
      <c r="A1556">
        <v>12</v>
      </c>
      <c r="B1556" t="s">
        <v>1155</v>
      </c>
      <c r="C1556">
        <v>2</v>
      </c>
      <c r="D1556">
        <v>300</v>
      </c>
      <c r="E1556">
        <v>450</v>
      </c>
      <c r="F1556" t="s">
        <v>33</v>
      </c>
      <c r="G1556" t="s">
        <v>746</v>
      </c>
      <c r="H1556">
        <v>1</v>
      </c>
      <c r="I1556">
        <v>2.12</v>
      </c>
      <c r="J1556" t="s">
        <v>839</v>
      </c>
      <c r="K1556" t="s">
        <v>812</v>
      </c>
      <c r="M1556" t="s">
        <v>1307</v>
      </c>
      <c r="S1556" t="s">
        <v>81</v>
      </c>
      <c r="W1556">
        <v>3</v>
      </c>
      <c r="X1556" t="s">
        <v>1135</v>
      </c>
      <c r="Z1556" t="s">
        <v>38</v>
      </c>
      <c r="AB1556" t="s">
        <v>921</v>
      </c>
      <c r="AC1556" t="s">
        <v>1152</v>
      </c>
      <c r="AD1556" t="s">
        <v>1153</v>
      </c>
    </row>
    <row r="1557" spans="1:30" hidden="1" x14ac:dyDescent="0.25">
      <c r="A1557">
        <v>13</v>
      </c>
      <c r="B1557" t="s">
        <v>70</v>
      </c>
      <c r="C1557">
        <v>2</v>
      </c>
      <c r="D1557">
        <v>500</v>
      </c>
      <c r="E1557">
        <v>1800</v>
      </c>
      <c r="F1557" t="s">
        <v>33</v>
      </c>
      <c r="G1557" t="s">
        <v>746</v>
      </c>
      <c r="H1557">
        <v>1</v>
      </c>
      <c r="I1557">
        <v>14.13</v>
      </c>
      <c r="J1557" t="s">
        <v>839</v>
      </c>
      <c r="K1557" t="s">
        <v>812</v>
      </c>
      <c r="M1557" t="s">
        <v>1307</v>
      </c>
      <c r="R1557" t="s">
        <v>81</v>
      </c>
      <c r="W1557">
        <v>3</v>
      </c>
      <c r="X1557" t="s">
        <v>1135</v>
      </c>
      <c r="Z1557" t="s">
        <v>38</v>
      </c>
      <c r="AB1557" t="s">
        <v>921</v>
      </c>
      <c r="AC1557" t="s">
        <v>1157</v>
      </c>
      <c r="AD1557" t="s">
        <v>39</v>
      </c>
    </row>
    <row r="1558" spans="1:30" hidden="1" x14ac:dyDescent="0.25">
      <c r="A1558">
        <v>14</v>
      </c>
      <c r="B1558" t="s">
        <v>74</v>
      </c>
      <c r="C1558">
        <v>2</v>
      </c>
      <c r="D1558">
        <v>1060</v>
      </c>
      <c r="E1558">
        <v>1200</v>
      </c>
      <c r="F1558" t="s">
        <v>33</v>
      </c>
      <c r="G1558" t="s">
        <v>746</v>
      </c>
      <c r="H1558">
        <v>1</v>
      </c>
      <c r="I1558">
        <v>19.97</v>
      </c>
      <c r="J1558" t="s">
        <v>839</v>
      </c>
      <c r="K1558" t="s">
        <v>812</v>
      </c>
      <c r="M1558" t="s">
        <v>1307</v>
      </c>
      <c r="R1558" t="s">
        <v>81</v>
      </c>
      <c r="W1558">
        <v>3</v>
      </c>
      <c r="X1558" t="s">
        <v>1135</v>
      </c>
      <c r="Z1558" t="s">
        <v>38</v>
      </c>
      <c r="AB1558" t="s">
        <v>921</v>
      </c>
      <c r="AC1558" t="s">
        <v>1157</v>
      </c>
      <c r="AD1558" t="s">
        <v>39</v>
      </c>
    </row>
    <row r="1559" spans="1:30" hidden="1" x14ac:dyDescent="0.25">
      <c r="A1559">
        <v>15</v>
      </c>
      <c r="B1559" t="s">
        <v>75</v>
      </c>
      <c r="C1559">
        <v>2</v>
      </c>
      <c r="D1559">
        <v>500</v>
      </c>
      <c r="E1559">
        <v>1800</v>
      </c>
      <c r="F1559" t="s">
        <v>33</v>
      </c>
      <c r="G1559" t="s">
        <v>746</v>
      </c>
      <c r="H1559">
        <v>1</v>
      </c>
      <c r="I1559">
        <v>14.13</v>
      </c>
      <c r="J1559" t="s">
        <v>839</v>
      </c>
      <c r="K1559" t="s">
        <v>812</v>
      </c>
      <c r="M1559" t="s">
        <v>1307</v>
      </c>
      <c r="R1559" t="s">
        <v>81</v>
      </c>
      <c r="W1559">
        <v>3</v>
      </c>
      <c r="X1559" t="s">
        <v>1135</v>
      </c>
      <c r="Z1559" t="s">
        <v>38</v>
      </c>
      <c r="AB1559" t="s">
        <v>921</v>
      </c>
      <c r="AC1559" t="s">
        <v>1157</v>
      </c>
      <c r="AD1559" t="s">
        <v>39</v>
      </c>
    </row>
    <row r="1560" spans="1:30" hidden="1" x14ac:dyDescent="0.25">
      <c r="A1560">
        <v>16</v>
      </c>
      <c r="B1560" t="s">
        <v>76</v>
      </c>
      <c r="C1560">
        <v>5</v>
      </c>
      <c r="D1560">
        <v>63</v>
      </c>
      <c r="E1560">
        <v>186</v>
      </c>
      <c r="F1560" t="s">
        <v>77</v>
      </c>
      <c r="G1560" t="s">
        <v>746</v>
      </c>
      <c r="H1560">
        <v>20</v>
      </c>
      <c r="I1560">
        <v>9.1199999999999992</v>
      </c>
      <c r="J1560" t="s">
        <v>839</v>
      </c>
      <c r="K1560" t="s">
        <v>812</v>
      </c>
      <c r="M1560" t="s">
        <v>1307</v>
      </c>
      <c r="Q1560" t="s">
        <v>26</v>
      </c>
      <c r="S1560" t="s">
        <v>81</v>
      </c>
      <c r="W1560">
        <v>3</v>
      </c>
      <c r="X1560" t="s">
        <v>1135</v>
      </c>
      <c r="Z1560" t="s">
        <v>38</v>
      </c>
      <c r="AB1560" t="s">
        <v>921</v>
      </c>
      <c r="AC1560" t="s">
        <v>1160</v>
      </c>
      <c r="AD1560" t="s">
        <v>1161</v>
      </c>
    </row>
    <row r="1561" spans="1:30" hidden="1" x14ac:dyDescent="0.25">
      <c r="A1561">
        <v>17</v>
      </c>
      <c r="B1561" t="s">
        <v>85</v>
      </c>
      <c r="C1561">
        <v>5</v>
      </c>
      <c r="D1561">
        <v>63</v>
      </c>
      <c r="E1561">
        <v>186</v>
      </c>
      <c r="F1561" t="s">
        <v>77</v>
      </c>
      <c r="G1561" t="s">
        <v>746</v>
      </c>
      <c r="H1561">
        <v>28</v>
      </c>
      <c r="I1561">
        <v>12.77</v>
      </c>
      <c r="J1561" t="s">
        <v>839</v>
      </c>
      <c r="K1561" t="s">
        <v>812</v>
      </c>
      <c r="M1561" t="s">
        <v>1307</v>
      </c>
      <c r="Q1561" t="s">
        <v>26</v>
      </c>
      <c r="S1561" t="s">
        <v>81</v>
      </c>
      <c r="W1561">
        <v>3</v>
      </c>
      <c r="X1561" t="s">
        <v>1135</v>
      </c>
      <c r="Z1561" t="s">
        <v>38</v>
      </c>
      <c r="AB1561" t="s">
        <v>921</v>
      </c>
      <c r="AC1561" t="s">
        <v>1160</v>
      </c>
      <c r="AD1561" t="s">
        <v>1161</v>
      </c>
    </row>
    <row r="1562" spans="1:30" hidden="1" x14ac:dyDescent="0.25">
      <c r="A1562">
        <v>18</v>
      </c>
      <c r="B1562" t="s">
        <v>86</v>
      </c>
      <c r="C1562">
        <v>5</v>
      </c>
      <c r="D1562">
        <v>43</v>
      </c>
      <c r="E1562">
        <v>86</v>
      </c>
      <c r="F1562" t="s">
        <v>77</v>
      </c>
      <c r="G1562" t="s">
        <v>746</v>
      </c>
      <c r="H1562">
        <v>37</v>
      </c>
      <c r="I1562">
        <v>5.23</v>
      </c>
      <c r="J1562" t="s">
        <v>839</v>
      </c>
      <c r="K1562" t="s">
        <v>812</v>
      </c>
      <c r="M1562" t="s">
        <v>1307</v>
      </c>
      <c r="Q1562" t="s">
        <v>26</v>
      </c>
      <c r="S1562" t="s">
        <v>81</v>
      </c>
      <c r="W1562">
        <v>3</v>
      </c>
      <c r="X1562" t="s">
        <v>1135</v>
      </c>
      <c r="Z1562" t="s">
        <v>38</v>
      </c>
      <c r="AB1562" t="s">
        <v>921</v>
      </c>
      <c r="AC1562" t="s">
        <v>1160</v>
      </c>
      <c r="AD1562" t="s">
        <v>1161</v>
      </c>
    </row>
    <row r="1563" spans="1:30" hidden="1" x14ac:dyDescent="0.25">
      <c r="A1563">
        <v>19</v>
      </c>
      <c r="B1563" t="s">
        <v>87</v>
      </c>
      <c r="C1563">
        <v>5</v>
      </c>
      <c r="D1563">
        <v>63</v>
      </c>
      <c r="E1563">
        <v>186</v>
      </c>
      <c r="F1563" t="s">
        <v>77</v>
      </c>
      <c r="G1563" t="s">
        <v>746</v>
      </c>
      <c r="H1563">
        <v>42</v>
      </c>
      <c r="I1563">
        <v>19.149999999999999</v>
      </c>
      <c r="J1563" t="s">
        <v>839</v>
      </c>
      <c r="K1563" t="s">
        <v>812</v>
      </c>
      <c r="M1563" t="s">
        <v>1307</v>
      </c>
      <c r="Q1563" t="s">
        <v>26</v>
      </c>
      <c r="S1563" t="s">
        <v>81</v>
      </c>
      <c r="W1563">
        <v>3</v>
      </c>
      <c r="X1563" t="s">
        <v>1135</v>
      </c>
      <c r="Z1563" t="s">
        <v>38</v>
      </c>
      <c r="AB1563" t="s">
        <v>921</v>
      </c>
      <c r="AC1563" t="s">
        <v>1160</v>
      </c>
      <c r="AD1563" t="s">
        <v>1161</v>
      </c>
    </row>
    <row r="1564" spans="1:30" hidden="1" x14ac:dyDescent="0.25">
      <c r="A1564">
        <v>20</v>
      </c>
      <c r="B1564" t="s">
        <v>88</v>
      </c>
      <c r="C1564">
        <v>5</v>
      </c>
      <c r="D1564">
        <v>43</v>
      </c>
      <c r="E1564">
        <v>86</v>
      </c>
      <c r="F1564" t="s">
        <v>77</v>
      </c>
      <c r="G1564" t="s">
        <v>746</v>
      </c>
      <c r="H1564">
        <v>176</v>
      </c>
      <c r="I1564">
        <v>24.85</v>
      </c>
      <c r="J1564" t="s">
        <v>839</v>
      </c>
      <c r="K1564" t="s">
        <v>812</v>
      </c>
      <c r="M1564" t="s">
        <v>1307</v>
      </c>
      <c r="Q1564" t="s">
        <v>26</v>
      </c>
      <c r="S1564" t="s">
        <v>81</v>
      </c>
      <c r="W1564">
        <v>3</v>
      </c>
      <c r="X1564" t="s">
        <v>1135</v>
      </c>
      <c r="Z1564" t="s">
        <v>38</v>
      </c>
      <c r="AB1564" t="s">
        <v>921</v>
      </c>
      <c r="AC1564" t="s">
        <v>1160</v>
      </c>
      <c r="AD1564" t="s">
        <v>1161</v>
      </c>
    </row>
    <row r="1565" spans="1:30" hidden="1" x14ac:dyDescent="0.25">
      <c r="A1565">
        <v>21</v>
      </c>
      <c r="B1565" t="s">
        <v>89</v>
      </c>
      <c r="C1565">
        <v>5</v>
      </c>
      <c r="D1565">
        <v>63</v>
      </c>
      <c r="E1565">
        <v>186</v>
      </c>
      <c r="F1565" t="s">
        <v>77</v>
      </c>
      <c r="G1565" t="s">
        <v>746</v>
      </c>
      <c r="H1565">
        <v>26</v>
      </c>
      <c r="I1565">
        <v>11.86</v>
      </c>
      <c r="J1565" t="s">
        <v>839</v>
      </c>
      <c r="K1565" t="s">
        <v>812</v>
      </c>
      <c r="M1565" t="s">
        <v>1307</v>
      </c>
      <c r="Q1565" t="s">
        <v>26</v>
      </c>
      <c r="S1565" t="s">
        <v>81</v>
      </c>
      <c r="W1565">
        <v>3</v>
      </c>
      <c r="X1565" t="s">
        <v>1135</v>
      </c>
      <c r="Z1565" t="s">
        <v>38</v>
      </c>
      <c r="AB1565" t="s">
        <v>921</v>
      </c>
      <c r="AC1565" t="s">
        <v>1160</v>
      </c>
      <c r="AD1565" t="s">
        <v>1161</v>
      </c>
    </row>
    <row r="1566" spans="1:30" hidden="1" x14ac:dyDescent="0.25">
      <c r="A1566">
        <v>22</v>
      </c>
      <c r="B1566" t="s">
        <v>90</v>
      </c>
      <c r="C1566">
        <v>5</v>
      </c>
      <c r="D1566">
        <v>43</v>
      </c>
      <c r="E1566">
        <v>86</v>
      </c>
      <c r="F1566" t="s">
        <v>77</v>
      </c>
      <c r="G1566" t="s">
        <v>746</v>
      </c>
      <c r="H1566">
        <v>112</v>
      </c>
      <c r="I1566">
        <v>15.82</v>
      </c>
      <c r="J1566" t="s">
        <v>839</v>
      </c>
      <c r="K1566" t="s">
        <v>812</v>
      </c>
      <c r="M1566" t="s">
        <v>1307</v>
      </c>
      <c r="Q1566" t="s">
        <v>26</v>
      </c>
      <c r="S1566" t="s">
        <v>81</v>
      </c>
      <c r="W1566">
        <v>3</v>
      </c>
      <c r="X1566" t="s">
        <v>1135</v>
      </c>
      <c r="Z1566" t="s">
        <v>38</v>
      </c>
      <c r="AB1566" t="s">
        <v>921</v>
      </c>
      <c r="AC1566" t="s">
        <v>1160</v>
      </c>
      <c r="AD1566" t="s">
        <v>1161</v>
      </c>
    </row>
    <row r="1567" spans="1:30" hidden="1" x14ac:dyDescent="0.25">
      <c r="A1567">
        <v>23</v>
      </c>
      <c r="B1567" t="s">
        <v>91</v>
      </c>
      <c r="C1567">
        <v>5</v>
      </c>
      <c r="D1567">
        <v>63</v>
      </c>
      <c r="E1567">
        <v>186</v>
      </c>
      <c r="F1567" t="s">
        <v>77</v>
      </c>
      <c r="G1567" t="s">
        <v>746</v>
      </c>
      <c r="H1567">
        <v>28</v>
      </c>
      <c r="I1567">
        <v>12.77</v>
      </c>
      <c r="J1567" t="s">
        <v>839</v>
      </c>
      <c r="K1567" t="s">
        <v>812</v>
      </c>
      <c r="M1567" t="s">
        <v>1307</v>
      </c>
      <c r="Q1567" t="s">
        <v>26</v>
      </c>
      <c r="S1567" t="s">
        <v>81</v>
      </c>
      <c r="W1567">
        <v>3</v>
      </c>
      <c r="X1567" t="s">
        <v>1135</v>
      </c>
      <c r="Z1567" t="s">
        <v>38</v>
      </c>
      <c r="AB1567" t="s">
        <v>921</v>
      </c>
      <c r="AC1567" t="s">
        <v>1160</v>
      </c>
      <c r="AD1567" t="s">
        <v>1161</v>
      </c>
    </row>
    <row r="1568" spans="1:30" hidden="1" x14ac:dyDescent="0.25">
      <c r="A1568">
        <v>24</v>
      </c>
      <c r="B1568" t="s">
        <v>92</v>
      </c>
      <c r="C1568">
        <v>5</v>
      </c>
      <c r="D1568">
        <v>43</v>
      </c>
      <c r="E1568">
        <v>86</v>
      </c>
      <c r="F1568" t="s">
        <v>77</v>
      </c>
      <c r="G1568" t="s">
        <v>746</v>
      </c>
      <c r="H1568">
        <v>120</v>
      </c>
      <c r="I1568">
        <v>16.95</v>
      </c>
      <c r="J1568" t="s">
        <v>839</v>
      </c>
      <c r="K1568" t="s">
        <v>812</v>
      </c>
      <c r="M1568" t="s">
        <v>1307</v>
      </c>
      <c r="Q1568" t="s">
        <v>26</v>
      </c>
      <c r="S1568" t="s">
        <v>81</v>
      </c>
      <c r="W1568">
        <v>3</v>
      </c>
      <c r="X1568" t="s">
        <v>1135</v>
      </c>
      <c r="Z1568" t="s">
        <v>38</v>
      </c>
      <c r="AB1568" t="s">
        <v>921</v>
      </c>
      <c r="AC1568" t="s">
        <v>1160</v>
      </c>
      <c r="AD1568" t="s">
        <v>1161</v>
      </c>
    </row>
    <row r="1569" spans="1:30" hidden="1" x14ac:dyDescent="0.25">
      <c r="A1569">
        <v>25</v>
      </c>
      <c r="B1569" t="s">
        <v>93</v>
      </c>
      <c r="C1569">
        <v>5</v>
      </c>
      <c r="D1569">
        <v>63</v>
      </c>
      <c r="E1569">
        <v>186</v>
      </c>
      <c r="F1569" t="s">
        <v>77</v>
      </c>
      <c r="G1569" t="s">
        <v>746</v>
      </c>
      <c r="H1569">
        <v>42</v>
      </c>
      <c r="I1569">
        <v>19.149999999999999</v>
      </c>
      <c r="J1569" t="s">
        <v>839</v>
      </c>
      <c r="K1569" t="s">
        <v>812</v>
      </c>
      <c r="M1569" t="s">
        <v>1307</v>
      </c>
      <c r="Q1569" t="s">
        <v>26</v>
      </c>
      <c r="S1569" t="s">
        <v>81</v>
      </c>
      <c r="W1569">
        <v>3</v>
      </c>
      <c r="X1569" t="s">
        <v>1135</v>
      </c>
      <c r="Z1569" t="s">
        <v>38</v>
      </c>
      <c r="AB1569" t="s">
        <v>921</v>
      </c>
      <c r="AC1569" t="s">
        <v>1160</v>
      </c>
      <c r="AD1569" t="s">
        <v>1161</v>
      </c>
    </row>
    <row r="1570" spans="1:30" hidden="1" x14ac:dyDescent="0.25">
      <c r="A1570">
        <v>26</v>
      </c>
      <c r="B1570" t="s">
        <v>94</v>
      </c>
      <c r="C1570">
        <v>5</v>
      </c>
      <c r="D1570">
        <v>43</v>
      </c>
      <c r="E1570">
        <v>86</v>
      </c>
      <c r="F1570" t="s">
        <v>77</v>
      </c>
      <c r="G1570" t="s">
        <v>746</v>
      </c>
      <c r="H1570">
        <v>176</v>
      </c>
      <c r="I1570">
        <v>24.85</v>
      </c>
      <c r="J1570" t="s">
        <v>839</v>
      </c>
      <c r="K1570" t="s">
        <v>812</v>
      </c>
      <c r="M1570" t="s">
        <v>1307</v>
      </c>
      <c r="Q1570" t="s">
        <v>26</v>
      </c>
      <c r="S1570" t="s">
        <v>81</v>
      </c>
      <c r="W1570">
        <v>3</v>
      </c>
      <c r="X1570" t="s">
        <v>1135</v>
      </c>
      <c r="Z1570" t="s">
        <v>38</v>
      </c>
      <c r="AB1570" t="s">
        <v>921</v>
      </c>
      <c r="AC1570" t="s">
        <v>1160</v>
      </c>
      <c r="AD1570" t="s">
        <v>1161</v>
      </c>
    </row>
    <row r="1571" spans="1:30" hidden="1" x14ac:dyDescent="0.25">
      <c r="A1571">
        <v>27</v>
      </c>
      <c r="B1571" t="s">
        <v>76</v>
      </c>
      <c r="C1571">
        <v>5</v>
      </c>
      <c r="D1571">
        <v>63</v>
      </c>
      <c r="E1571">
        <v>186</v>
      </c>
      <c r="F1571" t="s">
        <v>77</v>
      </c>
      <c r="G1571" t="s">
        <v>746</v>
      </c>
      <c r="H1571">
        <v>6</v>
      </c>
      <c r="I1571">
        <v>2.74</v>
      </c>
      <c r="J1571" t="s">
        <v>839</v>
      </c>
      <c r="K1571" t="s">
        <v>812</v>
      </c>
      <c r="M1571" t="s">
        <v>1307</v>
      </c>
      <c r="Q1571" t="s">
        <v>26</v>
      </c>
      <c r="R1571" t="s">
        <v>81</v>
      </c>
      <c r="W1571">
        <v>3</v>
      </c>
      <c r="X1571" t="s">
        <v>1135</v>
      </c>
      <c r="Z1571" t="s">
        <v>38</v>
      </c>
      <c r="AB1571" t="s">
        <v>921</v>
      </c>
      <c r="AC1571" t="s">
        <v>1163</v>
      </c>
      <c r="AD1571" t="s">
        <v>39</v>
      </c>
    </row>
    <row r="1572" spans="1:30" hidden="1" x14ac:dyDescent="0.25">
      <c r="A1572">
        <v>28</v>
      </c>
      <c r="B1572" t="s">
        <v>83</v>
      </c>
      <c r="C1572">
        <v>5</v>
      </c>
      <c r="D1572">
        <v>43</v>
      </c>
      <c r="E1572">
        <v>86</v>
      </c>
      <c r="F1572" t="s">
        <v>77</v>
      </c>
      <c r="G1572" t="s">
        <v>746</v>
      </c>
      <c r="H1572">
        <v>112</v>
      </c>
      <c r="I1572">
        <v>15.82</v>
      </c>
      <c r="J1572" t="s">
        <v>839</v>
      </c>
      <c r="K1572" t="s">
        <v>812</v>
      </c>
      <c r="M1572" t="s">
        <v>1307</v>
      </c>
      <c r="Q1572" t="s">
        <v>26</v>
      </c>
      <c r="R1572" t="s">
        <v>81</v>
      </c>
      <c r="W1572">
        <v>3</v>
      </c>
      <c r="X1572" t="s">
        <v>1135</v>
      </c>
      <c r="Z1572" t="s">
        <v>38</v>
      </c>
      <c r="AB1572" t="s">
        <v>921</v>
      </c>
      <c r="AC1572" t="s">
        <v>1163</v>
      </c>
      <c r="AD1572" t="s">
        <v>39</v>
      </c>
    </row>
    <row r="1573" spans="1:30" hidden="1" x14ac:dyDescent="0.25">
      <c r="A1573">
        <v>29</v>
      </c>
      <c r="B1573" t="s">
        <v>86</v>
      </c>
      <c r="C1573">
        <v>5</v>
      </c>
      <c r="D1573">
        <v>43</v>
      </c>
      <c r="E1573">
        <v>86</v>
      </c>
      <c r="F1573" t="s">
        <v>77</v>
      </c>
      <c r="G1573" t="s">
        <v>746</v>
      </c>
      <c r="H1573">
        <v>83</v>
      </c>
      <c r="I1573">
        <v>11.72</v>
      </c>
      <c r="J1573" t="s">
        <v>839</v>
      </c>
      <c r="K1573" t="s">
        <v>812</v>
      </c>
      <c r="M1573" t="s">
        <v>1307</v>
      </c>
      <c r="Q1573" t="s">
        <v>26</v>
      </c>
      <c r="R1573" t="s">
        <v>81</v>
      </c>
      <c r="W1573">
        <v>3</v>
      </c>
      <c r="X1573" t="s">
        <v>1135</v>
      </c>
      <c r="Z1573" t="s">
        <v>38</v>
      </c>
      <c r="AB1573" t="s">
        <v>921</v>
      </c>
      <c r="AC1573" t="s">
        <v>1163</v>
      </c>
      <c r="AD1573" t="s">
        <v>39</v>
      </c>
    </row>
    <row r="1574" spans="1:30" hidden="1" x14ac:dyDescent="0.25">
      <c r="A1574">
        <v>30</v>
      </c>
      <c r="B1574" t="s">
        <v>1165</v>
      </c>
      <c r="C1574">
        <v>5</v>
      </c>
      <c r="D1574">
        <v>300</v>
      </c>
      <c r="E1574">
        <v>450</v>
      </c>
      <c r="F1574" t="s">
        <v>77</v>
      </c>
      <c r="G1574" t="s">
        <v>746</v>
      </c>
      <c r="H1574">
        <v>1</v>
      </c>
      <c r="I1574">
        <v>5.3</v>
      </c>
      <c r="J1574" t="s">
        <v>839</v>
      </c>
      <c r="K1574" t="s">
        <v>812</v>
      </c>
      <c r="M1574" t="s">
        <v>1307</v>
      </c>
      <c r="R1574" t="s">
        <v>81</v>
      </c>
      <c r="W1574">
        <v>3</v>
      </c>
      <c r="X1574" t="s">
        <v>1135</v>
      </c>
      <c r="Z1574" t="s">
        <v>38</v>
      </c>
      <c r="AB1574" t="s">
        <v>921</v>
      </c>
      <c r="AC1574" t="s">
        <v>1163</v>
      </c>
      <c r="AD1574" t="s">
        <v>39</v>
      </c>
    </row>
    <row r="1575" spans="1:30" hidden="1" x14ac:dyDescent="0.25">
      <c r="A1575">
        <v>31</v>
      </c>
      <c r="B1575" t="s">
        <v>95</v>
      </c>
      <c r="C1575">
        <v>6</v>
      </c>
      <c r="D1575">
        <v>328</v>
      </c>
      <c r="E1575">
        <v>1752</v>
      </c>
      <c r="F1575" t="s">
        <v>77</v>
      </c>
      <c r="G1575" t="s">
        <v>746</v>
      </c>
      <c r="H1575">
        <v>1</v>
      </c>
      <c r="I1575">
        <v>25.59</v>
      </c>
      <c r="J1575" t="s">
        <v>839</v>
      </c>
      <c r="K1575" t="s">
        <v>812</v>
      </c>
      <c r="M1575" t="s">
        <v>1307</v>
      </c>
      <c r="R1575" t="s">
        <v>81</v>
      </c>
      <c r="U1575" t="s">
        <v>81</v>
      </c>
      <c r="V1575" t="s">
        <v>81</v>
      </c>
      <c r="W1575">
        <v>3</v>
      </c>
      <c r="X1575" t="s">
        <v>1135</v>
      </c>
      <c r="Z1575" t="s">
        <v>38</v>
      </c>
      <c r="AB1575" t="s">
        <v>921</v>
      </c>
      <c r="AC1575" t="s">
        <v>1167</v>
      </c>
      <c r="AD1575" t="s">
        <v>39</v>
      </c>
    </row>
    <row r="1576" spans="1:30" hidden="1" x14ac:dyDescent="0.25">
      <c r="A1576">
        <v>32</v>
      </c>
      <c r="B1576" t="s">
        <v>100</v>
      </c>
      <c r="C1576">
        <v>6</v>
      </c>
      <c r="D1576">
        <v>328</v>
      </c>
      <c r="E1576">
        <v>1752</v>
      </c>
      <c r="F1576" t="s">
        <v>77</v>
      </c>
      <c r="G1576" t="s">
        <v>746</v>
      </c>
      <c r="H1576">
        <v>1</v>
      </c>
      <c r="I1576">
        <v>25.59</v>
      </c>
      <c r="J1576" t="s">
        <v>839</v>
      </c>
      <c r="K1576" t="s">
        <v>812</v>
      </c>
      <c r="M1576" t="s">
        <v>1307</v>
      </c>
      <c r="R1576" t="s">
        <v>81</v>
      </c>
      <c r="U1576" t="s">
        <v>81</v>
      </c>
      <c r="V1576" t="s">
        <v>81</v>
      </c>
      <c r="W1576">
        <v>3</v>
      </c>
      <c r="X1576" t="s">
        <v>1135</v>
      </c>
      <c r="Z1576" t="s">
        <v>38</v>
      </c>
      <c r="AB1576" t="s">
        <v>921</v>
      </c>
      <c r="AC1576" t="s">
        <v>1167</v>
      </c>
      <c r="AD1576" t="s">
        <v>39</v>
      </c>
    </row>
    <row r="1577" spans="1:30" hidden="1" x14ac:dyDescent="0.25">
      <c r="A1577">
        <v>33</v>
      </c>
      <c r="B1577" t="s">
        <v>101</v>
      </c>
      <c r="C1577">
        <v>6</v>
      </c>
      <c r="D1577">
        <v>328</v>
      </c>
      <c r="E1577">
        <v>1752</v>
      </c>
      <c r="F1577" t="s">
        <v>77</v>
      </c>
      <c r="G1577" t="s">
        <v>746</v>
      </c>
      <c r="H1577">
        <v>3</v>
      </c>
      <c r="I1577">
        <v>76.790000000000006</v>
      </c>
      <c r="J1577" t="s">
        <v>839</v>
      </c>
      <c r="K1577" t="s">
        <v>812</v>
      </c>
      <c r="M1577" t="s">
        <v>1307</v>
      </c>
      <c r="R1577" t="s">
        <v>81</v>
      </c>
      <c r="U1577" t="s">
        <v>81</v>
      </c>
      <c r="V1577" t="s">
        <v>81</v>
      </c>
      <c r="W1577">
        <v>3</v>
      </c>
      <c r="X1577" t="s">
        <v>1135</v>
      </c>
      <c r="Z1577" t="s">
        <v>38</v>
      </c>
      <c r="AB1577" t="s">
        <v>921</v>
      </c>
      <c r="AC1577" t="s">
        <v>1167</v>
      </c>
      <c r="AD1577" t="s">
        <v>39</v>
      </c>
    </row>
    <row r="1578" spans="1:30" hidden="1" x14ac:dyDescent="0.25">
      <c r="A1578">
        <v>34</v>
      </c>
      <c r="B1578" t="s">
        <v>102</v>
      </c>
      <c r="C1578">
        <v>6</v>
      </c>
      <c r="D1578">
        <v>328</v>
      </c>
      <c r="E1578">
        <v>1753</v>
      </c>
      <c r="F1578" t="s">
        <v>77</v>
      </c>
      <c r="G1578" t="s">
        <v>746</v>
      </c>
      <c r="H1578">
        <v>3</v>
      </c>
      <c r="I1578">
        <v>76.83</v>
      </c>
      <c r="J1578" t="s">
        <v>839</v>
      </c>
      <c r="K1578" t="s">
        <v>812</v>
      </c>
      <c r="M1578" t="s">
        <v>1307</v>
      </c>
      <c r="R1578" t="s">
        <v>81</v>
      </c>
      <c r="U1578" t="s">
        <v>81</v>
      </c>
      <c r="V1578" t="s">
        <v>81</v>
      </c>
      <c r="W1578">
        <v>3</v>
      </c>
      <c r="X1578" t="s">
        <v>1135</v>
      </c>
      <c r="Z1578" t="s">
        <v>38</v>
      </c>
      <c r="AB1578" t="s">
        <v>921</v>
      </c>
      <c r="AC1578" t="s">
        <v>1167</v>
      </c>
      <c r="AD1578" t="s">
        <v>39</v>
      </c>
    </row>
    <row r="1579" spans="1:30" hidden="1" x14ac:dyDescent="0.25">
      <c r="A1579">
        <v>35</v>
      </c>
      <c r="B1579" t="s">
        <v>104</v>
      </c>
      <c r="C1579">
        <v>6</v>
      </c>
      <c r="D1579">
        <v>328</v>
      </c>
      <c r="E1579">
        <v>1752</v>
      </c>
      <c r="F1579" t="s">
        <v>77</v>
      </c>
      <c r="G1579" t="s">
        <v>746</v>
      </c>
      <c r="H1579">
        <v>2</v>
      </c>
      <c r="I1579">
        <v>51.18</v>
      </c>
      <c r="J1579" t="s">
        <v>839</v>
      </c>
      <c r="K1579" t="s">
        <v>812</v>
      </c>
      <c r="M1579" t="s">
        <v>1307</v>
      </c>
      <c r="R1579" t="s">
        <v>81</v>
      </c>
      <c r="U1579" t="s">
        <v>81</v>
      </c>
      <c r="V1579" t="s">
        <v>81</v>
      </c>
      <c r="W1579">
        <v>3</v>
      </c>
      <c r="X1579" t="s">
        <v>1135</v>
      </c>
      <c r="Z1579" t="s">
        <v>38</v>
      </c>
      <c r="AB1579" t="s">
        <v>921</v>
      </c>
      <c r="AC1579" t="s">
        <v>1167</v>
      </c>
      <c r="AD1579" t="s">
        <v>39</v>
      </c>
    </row>
    <row r="1580" spans="1:30" hidden="1" x14ac:dyDescent="0.25">
      <c r="A1580">
        <v>36</v>
      </c>
      <c r="B1580" t="s">
        <v>105</v>
      </c>
      <c r="C1580">
        <v>6</v>
      </c>
      <c r="D1580">
        <v>328</v>
      </c>
      <c r="E1580">
        <v>1752</v>
      </c>
      <c r="F1580" t="s">
        <v>77</v>
      </c>
      <c r="G1580" t="s">
        <v>746</v>
      </c>
      <c r="H1580">
        <v>1</v>
      </c>
      <c r="I1580">
        <v>25.59</v>
      </c>
      <c r="J1580" t="s">
        <v>839</v>
      </c>
      <c r="K1580" t="s">
        <v>812</v>
      </c>
      <c r="M1580" t="s">
        <v>1307</v>
      </c>
      <c r="R1580" t="s">
        <v>81</v>
      </c>
      <c r="U1580" t="s">
        <v>81</v>
      </c>
      <c r="V1580" t="s">
        <v>81</v>
      </c>
      <c r="W1580">
        <v>3</v>
      </c>
      <c r="X1580" t="s">
        <v>1135</v>
      </c>
      <c r="Z1580" t="s">
        <v>38</v>
      </c>
      <c r="AB1580" t="s">
        <v>921</v>
      </c>
      <c r="AC1580" t="s">
        <v>1167</v>
      </c>
      <c r="AD1580" t="s">
        <v>39</v>
      </c>
    </row>
    <row r="1581" spans="1:30" hidden="1" x14ac:dyDescent="0.25">
      <c r="A1581">
        <v>37</v>
      </c>
      <c r="B1581" t="s">
        <v>106</v>
      </c>
      <c r="C1581">
        <v>6</v>
      </c>
      <c r="D1581">
        <v>328</v>
      </c>
      <c r="E1581">
        <v>1752</v>
      </c>
      <c r="F1581" t="s">
        <v>77</v>
      </c>
      <c r="G1581" t="s">
        <v>746</v>
      </c>
      <c r="H1581">
        <v>1</v>
      </c>
      <c r="I1581">
        <v>25.59</v>
      </c>
      <c r="J1581" t="s">
        <v>839</v>
      </c>
      <c r="K1581" t="s">
        <v>812</v>
      </c>
      <c r="M1581" t="s">
        <v>1307</v>
      </c>
      <c r="R1581" t="s">
        <v>81</v>
      </c>
      <c r="U1581" t="s">
        <v>81</v>
      </c>
      <c r="V1581" t="s">
        <v>81</v>
      </c>
      <c r="W1581">
        <v>3</v>
      </c>
      <c r="X1581" t="s">
        <v>1135</v>
      </c>
      <c r="Z1581" t="s">
        <v>38</v>
      </c>
      <c r="AB1581" t="s">
        <v>921</v>
      </c>
      <c r="AC1581" t="s">
        <v>1167</v>
      </c>
      <c r="AD1581" t="s">
        <v>39</v>
      </c>
    </row>
    <row r="1582" spans="1:30" hidden="1" x14ac:dyDescent="0.25">
      <c r="A1582">
        <v>38</v>
      </c>
      <c r="B1582" t="s">
        <v>107</v>
      </c>
      <c r="C1582">
        <v>6</v>
      </c>
      <c r="D1582">
        <v>328</v>
      </c>
      <c r="E1582">
        <v>1752</v>
      </c>
      <c r="F1582" t="s">
        <v>77</v>
      </c>
      <c r="G1582" t="s">
        <v>746</v>
      </c>
      <c r="H1582">
        <v>3</v>
      </c>
      <c r="I1582">
        <v>76.790000000000006</v>
      </c>
      <c r="J1582" t="s">
        <v>839</v>
      </c>
      <c r="K1582" t="s">
        <v>812</v>
      </c>
      <c r="M1582" t="s">
        <v>1307</v>
      </c>
      <c r="R1582" t="s">
        <v>81</v>
      </c>
      <c r="U1582" t="s">
        <v>81</v>
      </c>
      <c r="V1582" t="s">
        <v>81</v>
      </c>
      <c r="W1582">
        <v>3</v>
      </c>
      <c r="X1582" t="s">
        <v>1135</v>
      </c>
      <c r="Z1582" t="s">
        <v>38</v>
      </c>
      <c r="AB1582" t="s">
        <v>921</v>
      </c>
      <c r="AC1582" t="s">
        <v>1167</v>
      </c>
      <c r="AD1582" t="s">
        <v>39</v>
      </c>
    </row>
    <row r="1583" spans="1:30" hidden="1" x14ac:dyDescent="0.25">
      <c r="A1583">
        <v>39</v>
      </c>
      <c r="B1583" t="s">
        <v>108</v>
      </c>
      <c r="C1583">
        <v>6</v>
      </c>
      <c r="D1583">
        <v>328</v>
      </c>
      <c r="E1583">
        <v>1753</v>
      </c>
      <c r="F1583" t="s">
        <v>77</v>
      </c>
      <c r="G1583" t="s">
        <v>746</v>
      </c>
      <c r="H1583">
        <v>3</v>
      </c>
      <c r="I1583">
        <v>76.83</v>
      </c>
      <c r="J1583" t="s">
        <v>839</v>
      </c>
      <c r="K1583" t="s">
        <v>812</v>
      </c>
      <c r="M1583" t="s">
        <v>1307</v>
      </c>
      <c r="R1583" t="s">
        <v>81</v>
      </c>
      <c r="U1583" t="s">
        <v>81</v>
      </c>
      <c r="V1583" t="s">
        <v>81</v>
      </c>
      <c r="W1583">
        <v>3</v>
      </c>
      <c r="X1583" t="s">
        <v>1135</v>
      </c>
      <c r="Z1583" t="s">
        <v>38</v>
      </c>
      <c r="AB1583" t="s">
        <v>921</v>
      </c>
      <c r="AC1583" t="s">
        <v>1167</v>
      </c>
      <c r="AD1583" t="s">
        <v>39</v>
      </c>
    </row>
    <row r="1584" spans="1:30" hidden="1" x14ac:dyDescent="0.25">
      <c r="A1584">
        <v>40</v>
      </c>
      <c r="B1584" t="s">
        <v>109</v>
      </c>
      <c r="C1584">
        <v>6</v>
      </c>
      <c r="D1584">
        <v>328</v>
      </c>
      <c r="E1584">
        <v>1752</v>
      </c>
      <c r="F1584" t="s">
        <v>77</v>
      </c>
      <c r="G1584" t="s">
        <v>746</v>
      </c>
      <c r="H1584">
        <v>2</v>
      </c>
      <c r="I1584">
        <v>51.18</v>
      </c>
      <c r="J1584" t="s">
        <v>839</v>
      </c>
      <c r="K1584" t="s">
        <v>812</v>
      </c>
      <c r="M1584" t="s">
        <v>1307</v>
      </c>
      <c r="R1584" t="s">
        <v>81</v>
      </c>
      <c r="U1584" t="s">
        <v>81</v>
      </c>
      <c r="V1584" t="s">
        <v>81</v>
      </c>
      <c r="W1584">
        <v>3</v>
      </c>
      <c r="X1584" t="s">
        <v>1135</v>
      </c>
      <c r="Z1584" t="s">
        <v>38</v>
      </c>
      <c r="AB1584" t="s">
        <v>921</v>
      </c>
      <c r="AC1584" t="s">
        <v>1167</v>
      </c>
      <c r="AD1584" t="s">
        <v>39</v>
      </c>
    </row>
    <row r="1585" spans="1:30" hidden="1" x14ac:dyDescent="0.25">
      <c r="A1585">
        <v>41</v>
      </c>
      <c r="B1585" t="s">
        <v>110</v>
      </c>
      <c r="C1585">
        <v>6</v>
      </c>
      <c r="D1585">
        <v>328</v>
      </c>
      <c r="E1585">
        <v>1672</v>
      </c>
      <c r="F1585" t="s">
        <v>77</v>
      </c>
      <c r="G1585" t="s">
        <v>746</v>
      </c>
      <c r="H1585">
        <v>2</v>
      </c>
      <c r="I1585">
        <v>48.91</v>
      </c>
      <c r="J1585" t="s">
        <v>839</v>
      </c>
      <c r="K1585" t="s">
        <v>812</v>
      </c>
      <c r="M1585" t="s">
        <v>1307</v>
      </c>
      <c r="R1585" t="s">
        <v>81</v>
      </c>
      <c r="U1585" t="s">
        <v>81</v>
      </c>
      <c r="V1585" t="s">
        <v>81</v>
      </c>
      <c r="W1585">
        <v>3</v>
      </c>
      <c r="X1585" t="s">
        <v>1135</v>
      </c>
      <c r="Z1585" t="s">
        <v>38</v>
      </c>
      <c r="AB1585" t="s">
        <v>921</v>
      </c>
      <c r="AC1585" t="s">
        <v>1167</v>
      </c>
      <c r="AD1585" t="s">
        <v>39</v>
      </c>
    </row>
    <row r="1586" spans="1:30" hidden="1" x14ac:dyDescent="0.25">
      <c r="A1586">
        <v>42</v>
      </c>
      <c r="B1586" t="s">
        <v>112</v>
      </c>
      <c r="C1586">
        <v>6</v>
      </c>
      <c r="D1586">
        <v>328</v>
      </c>
      <c r="E1586">
        <v>1718</v>
      </c>
      <c r="F1586" t="s">
        <v>77</v>
      </c>
      <c r="G1586" t="s">
        <v>746</v>
      </c>
      <c r="H1586">
        <v>1</v>
      </c>
      <c r="I1586">
        <v>25.11</v>
      </c>
      <c r="J1586" t="s">
        <v>839</v>
      </c>
      <c r="K1586" t="s">
        <v>812</v>
      </c>
      <c r="M1586" t="s">
        <v>1307</v>
      </c>
      <c r="R1586" t="s">
        <v>81</v>
      </c>
      <c r="U1586" t="s">
        <v>81</v>
      </c>
      <c r="V1586" t="s">
        <v>81</v>
      </c>
      <c r="W1586">
        <v>3</v>
      </c>
      <c r="X1586" t="s">
        <v>1135</v>
      </c>
      <c r="Z1586" t="s">
        <v>38</v>
      </c>
      <c r="AB1586" t="s">
        <v>921</v>
      </c>
      <c r="AC1586" t="s">
        <v>1167</v>
      </c>
      <c r="AD1586" t="s">
        <v>39</v>
      </c>
    </row>
    <row r="1587" spans="1:30" hidden="1" x14ac:dyDescent="0.25">
      <c r="A1587">
        <v>43</v>
      </c>
      <c r="B1587" t="s">
        <v>114</v>
      </c>
      <c r="C1587">
        <v>6</v>
      </c>
      <c r="D1587">
        <v>328</v>
      </c>
      <c r="E1587">
        <v>1729</v>
      </c>
      <c r="F1587" t="s">
        <v>77</v>
      </c>
      <c r="G1587" t="s">
        <v>746</v>
      </c>
      <c r="H1587">
        <v>5</v>
      </c>
      <c r="I1587">
        <v>126.35</v>
      </c>
      <c r="J1587" t="s">
        <v>839</v>
      </c>
      <c r="K1587" t="s">
        <v>812</v>
      </c>
      <c r="M1587" t="s">
        <v>1307</v>
      </c>
      <c r="R1587" t="s">
        <v>81</v>
      </c>
      <c r="U1587" t="s">
        <v>81</v>
      </c>
      <c r="V1587" t="s">
        <v>81</v>
      </c>
      <c r="W1587">
        <v>3</v>
      </c>
      <c r="X1587" t="s">
        <v>1135</v>
      </c>
      <c r="Z1587" t="s">
        <v>38</v>
      </c>
      <c r="AB1587" t="s">
        <v>921</v>
      </c>
      <c r="AC1587" t="s">
        <v>1167</v>
      </c>
      <c r="AD1587" t="s">
        <v>39</v>
      </c>
    </row>
    <row r="1588" spans="1:30" hidden="1" x14ac:dyDescent="0.25">
      <c r="A1588">
        <v>44</v>
      </c>
      <c r="B1588" t="s">
        <v>116</v>
      </c>
      <c r="C1588">
        <v>6</v>
      </c>
      <c r="D1588">
        <v>298</v>
      </c>
      <c r="E1588">
        <v>378</v>
      </c>
      <c r="F1588" t="s">
        <v>77</v>
      </c>
      <c r="G1588" t="s">
        <v>746</v>
      </c>
      <c r="H1588">
        <v>1</v>
      </c>
      <c r="I1588">
        <v>5.27</v>
      </c>
      <c r="J1588" t="s">
        <v>839</v>
      </c>
      <c r="K1588" t="s">
        <v>812</v>
      </c>
      <c r="M1588" t="s">
        <v>1307</v>
      </c>
      <c r="Q1588" t="s">
        <v>26</v>
      </c>
      <c r="R1588" t="s">
        <v>81</v>
      </c>
      <c r="W1588">
        <v>3</v>
      </c>
      <c r="X1588" t="s">
        <v>1135</v>
      </c>
      <c r="Z1588" t="s">
        <v>38</v>
      </c>
      <c r="AB1588" t="s">
        <v>921</v>
      </c>
      <c r="AC1588" t="s">
        <v>1167</v>
      </c>
      <c r="AD1588" t="s">
        <v>39</v>
      </c>
    </row>
    <row r="1589" spans="1:30" hidden="1" x14ac:dyDescent="0.25">
      <c r="A1589">
        <v>45</v>
      </c>
      <c r="B1589" t="s">
        <v>1169</v>
      </c>
      <c r="C1589">
        <v>6</v>
      </c>
      <c r="D1589">
        <v>300</v>
      </c>
      <c r="E1589">
        <v>450</v>
      </c>
      <c r="F1589" t="s">
        <v>77</v>
      </c>
      <c r="G1589" t="s">
        <v>746</v>
      </c>
      <c r="H1589">
        <v>1</v>
      </c>
      <c r="I1589">
        <v>6.36</v>
      </c>
      <c r="J1589" t="s">
        <v>839</v>
      </c>
      <c r="K1589" t="s">
        <v>812</v>
      </c>
      <c r="M1589" t="s">
        <v>1307</v>
      </c>
      <c r="R1589" t="s">
        <v>81</v>
      </c>
      <c r="W1589">
        <v>3</v>
      </c>
      <c r="X1589" t="s">
        <v>1135</v>
      </c>
      <c r="Z1589" t="s">
        <v>38</v>
      </c>
      <c r="AB1589" t="s">
        <v>921</v>
      </c>
      <c r="AC1589" t="s">
        <v>1167</v>
      </c>
      <c r="AD1589" t="s">
        <v>39</v>
      </c>
    </row>
    <row r="1590" spans="1:30" hidden="1" x14ac:dyDescent="0.25">
      <c r="A1590">
        <v>46</v>
      </c>
      <c r="B1590" t="s">
        <v>118</v>
      </c>
      <c r="C1590">
        <v>6</v>
      </c>
      <c r="D1590">
        <v>328</v>
      </c>
      <c r="E1590">
        <v>1729</v>
      </c>
      <c r="F1590" t="s">
        <v>77</v>
      </c>
      <c r="G1590" t="s">
        <v>746</v>
      </c>
      <c r="H1590">
        <v>13</v>
      </c>
      <c r="I1590">
        <v>328.51</v>
      </c>
      <c r="J1590" t="s">
        <v>839</v>
      </c>
      <c r="K1590" t="s">
        <v>812</v>
      </c>
      <c r="M1590" t="s">
        <v>1307</v>
      </c>
      <c r="R1590" t="s">
        <v>81</v>
      </c>
      <c r="U1590" t="s">
        <v>81</v>
      </c>
      <c r="V1590" t="s">
        <v>81</v>
      </c>
      <c r="W1590">
        <v>3</v>
      </c>
      <c r="X1590" t="s">
        <v>1135</v>
      </c>
      <c r="Z1590" t="s">
        <v>38</v>
      </c>
      <c r="AB1590" t="s">
        <v>921</v>
      </c>
      <c r="AC1590" t="s">
        <v>1171</v>
      </c>
      <c r="AD1590" t="s">
        <v>39</v>
      </c>
    </row>
    <row r="1591" spans="1:30" hidden="1" x14ac:dyDescent="0.25">
      <c r="A1591">
        <v>47</v>
      </c>
      <c r="B1591" t="s">
        <v>114</v>
      </c>
      <c r="C1591">
        <v>6</v>
      </c>
      <c r="D1591">
        <v>328</v>
      </c>
      <c r="E1591">
        <v>1729</v>
      </c>
      <c r="F1591" t="s">
        <v>77</v>
      </c>
      <c r="G1591" t="s">
        <v>746</v>
      </c>
      <c r="H1591">
        <v>15</v>
      </c>
      <c r="I1591">
        <v>379.05</v>
      </c>
      <c r="J1591" t="s">
        <v>839</v>
      </c>
      <c r="K1591" t="s">
        <v>812</v>
      </c>
      <c r="M1591" t="s">
        <v>1307</v>
      </c>
      <c r="R1591" t="s">
        <v>81</v>
      </c>
      <c r="U1591" t="s">
        <v>81</v>
      </c>
      <c r="V1591" t="s">
        <v>81</v>
      </c>
      <c r="W1591">
        <v>3</v>
      </c>
      <c r="X1591" t="s">
        <v>1135</v>
      </c>
      <c r="Z1591" t="s">
        <v>38</v>
      </c>
      <c r="AB1591" t="s">
        <v>921</v>
      </c>
      <c r="AC1591" t="s">
        <v>1171</v>
      </c>
      <c r="AD1591" t="s">
        <v>39</v>
      </c>
    </row>
    <row r="1592" spans="1:30" hidden="1" x14ac:dyDescent="0.25">
      <c r="A1592">
        <v>48</v>
      </c>
      <c r="B1592" t="s">
        <v>121</v>
      </c>
      <c r="C1592">
        <v>6</v>
      </c>
      <c r="D1592">
        <v>328</v>
      </c>
      <c r="E1592">
        <v>934</v>
      </c>
      <c r="F1592" t="s">
        <v>77</v>
      </c>
      <c r="G1592" t="s">
        <v>746</v>
      </c>
      <c r="H1592">
        <v>1</v>
      </c>
      <c r="I1592">
        <v>14.43</v>
      </c>
      <c r="J1592" t="s">
        <v>839</v>
      </c>
      <c r="K1592" t="s">
        <v>812</v>
      </c>
      <c r="M1592" t="s">
        <v>1307</v>
      </c>
      <c r="R1592" t="s">
        <v>81</v>
      </c>
      <c r="U1592" t="s">
        <v>81</v>
      </c>
      <c r="W1592">
        <v>3</v>
      </c>
      <c r="X1592" t="s">
        <v>1135</v>
      </c>
      <c r="Z1592" t="s">
        <v>38</v>
      </c>
      <c r="AB1592" t="s">
        <v>921</v>
      </c>
      <c r="AC1592" t="s">
        <v>1171</v>
      </c>
      <c r="AD1592" t="s">
        <v>39</v>
      </c>
    </row>
    <row r="1593" spans="1:30" hidden="1" x14ac:dyDescent="0.25">
      <c r="A1593">
        <v>49</v>
      </c>
      <c r="B1593" t="s">
        <v>123</v>
      </c>
      <c r="C1593">
        <v>6</v>
      </c>
      <c r="D1593">
        <v>298</v>
      </c>
      <c r="E1593">
        <v>378</v>
      </c>
      <c r="F1593" t="s">
        <v>77</v>
      </c>
      <c r="G1593" t="s">
        <v>746</v>
      </c>
      <c r="H1593">
        <v>1</v>
      </c>
      <c r="I1593">
        <v>5.27</v>
      </c>
      <c r="J1593" t="s">
        <v>839</v>
      </c>
      <c r="K1593" t="s">
        <v>812</v>
      </c>
      <c r="M1593" t="s">
        <v>1307</v>
      </c>
      <c r="Q1593" t="s">
        <v>26</v>
      </c>
      <c r="R1593" t="s">
        <v>81</v>
      </c>
      <c r="W1593">
        <v>3</v>
      </c>
      <c r="X1593" t="s">
        <v>1135</v>
      </c>
      <c r="Z1593" t="s">
        <v>38</v>
      </c>
      <c r="AB1593" t="s">
        <v>921</v>
      </c>
      <c r="AC1593" t="s">
        <v>1171</v>
      </c>
      <c r="AD1593" t="s">
        <v>39</v>
      </c>
    </row>
    <row r="1594" spans="1:30" hidden="1" x14ac:dyDescent="0.25">
      <c r="A1594">
        <v>50</v>
      </c>
      <c r="B1594" t="s">
        <v>124</v>
      </c>
      <c r="C1594">
        <v>6</v>
      </c>
      <c r="D1594">
        <v>328</v>
      </c>
      <c r="E1594">
        <v>1672</v>
      </c>
      <c r="F1594" t="s">
        <v>77</v>
      </c>
      <c r="G1594" t="s">
        <v>746</v>
      </c>
      <c r="H1594">
        <v>2</v>
      </c>
      <c r="I1594">
        <v>48.91</v>
      </c>
      <c r="J1594" t="s">
        <v>839</v>
      </c>
      <c r="K1594" t="s">
        <v>812</v>
      </c>
      <c r="M1594" t="s">
        <v>1307</v>
      </c>
      <c r="R1594" t="s">
        <v>81</v>
      </c>
      <c r="U1594" t="s">
        <v>81</v>
      </c>
      <c r="V1594" t="s">
        <v>81</v>
      </c>
      <c r="W1594">
        <v>3</v>
      </c>
      <c r="X1594" t="s">
        <v>1135</v>
      </c>
      <c r="Z1594" t="s">
        <v>38</v>
      </c>
      <c r="AB1594" t="s">
        <v>921</v>
      </c>
      <c r="AC1594" t="s">
        <v>1173</v>
      </c>
      <c r="AD1594" t="s">
        <v>39</v>
      </c>
    </row>
    <row r="1595" spans="1:30" hidden="1" x14ac:dyDescent="0.25">
      <c r="A1595">
        <v>51</v>
      </c>
      <c r="B1595" t="s">
        <v>127</v>
      </c>
      <c r="C1595">
        <v>6</v>
      </c>
      <c r="D1595">
        <v>328</v>
      </c>
      <c r="E1595">
        <v>1718</v>
      </c>
      <c r="F1595" t="s">
        <v>77</v>
      </c>
      <c r="G1595" t="s">
        <v>746</v>
      </c>
      <c r="H1595">
        <v>8</v>
      </c>
      <c r="I1595">
        <v>200.91</v>
      </c>
      <c r="J1595" t="s">
        <v>839</v>
      </c>
      <c r="K1595" t="s">
        <v>812</v>
      </c>
      <c r="M1595" t="s">
        <v>1307</v>
      </c>
      <c r="R1595" t="s">
        <v>81</v>
      </c>
      <c r="U1595" t="s">
        <v>81</v>
      </c>
      <c r="V1595" t="s">
        <v>81</v>
      </c>
      <c r="W1595">
        <v>3</v>
      </c>
      <c r="X1595" t="s">
        <v>1135</v>
      </c>
      <c r="Z1595" t="s">
        <v>38</v>
      </c>
      <c r="AB1595" t="s">
        <v>921</v>
      </c>
      <c r="AC1595" t="s">
        <v>1173</v>
      </c>
      <c r="AD1595" t="s">
        <v>39</v>
      </c>
    </row>
    <row r="1596" spans="1:30" hidden="1" x14ac:dyDescent="0.25">
      <c r="A1596">
        <v>52</v>
      </c>
      <c r="B1596" t="s">
        <v>118</v>
      </c>
      <c r="C1596">
        <v>6</v>
      </c>
      <c r="D1596">
        <v>328</v>
      </c>
      <c r="E1596">
        <v>1729</v>
      </c>
      <c r="F1596" t="s">
        <v>77</v>
      </c>
      <c r="G1596" t="s">
        <v>746</v>
      </c>
      <c r="H1596">
        <v>7</v>
      </c>
      <c r="I1596">
        <v>176.89</v>
      </c>
      <c r="J1596" t="s">
        <v>839</v>
      </c>
      <c r="K1596" t="s">
        <v>812</v>
      </c>
      <c r="M1596" t="s">
        <v>1307</v>
      </c>
      <c r="R1596" t="s">
        <v>81</v>
      </c>
      <c r="U1596" t="s">
        <v>81</v>
      </c>
      <c r="V1596" t="s">
        <v>81</v>
      </c>
      <c r="W1596">
        <v>3</v>
      </c>
      <c r="X1596" t="s">
        <v>1135</v>
      </c>
      <c r="Z1596" t="s">
        <v>38</v>
      </c>
      <c r="AB1596" t="s">
        <v>921</v>
      </c>
      <c r="AC1596" t="s">
        <v>1173</v>
      </c>
      <c r="AD1596" t="s">
        <v>39</v>
      </c>
    </row>
    <row r="1597" spans="1:30" hidden="1" x14ac:dyDescent="0.25">
      <c r="A1597">
        <v>53</v>
      </c>
      <c r="B1597" t="s">
        <v>112</v>
      </c>
      <c r="C1597">
        <v>6</v>
      </c>
      <c r="D1597">
        <v>328</v>
      </c>
      <c r="E1597">
        <v>1718</v>
      </c>
      <c r="F1597" t="s">
        <v>77</v>
      </c>
      <c r="G1597" t="s">
        <v>746</v>
      </c>
      <c r="H1597">
        <v>7</v>
      </c>
      <c r="I1597">
        <v>175.79</v>
      </c>
      <c r="J1597" t="s">
        <v>839</v>
      </c>
      <c r="K1597" t="s">
        <v>812</v>
      </c>
      <c r="M1597" t="s">
        <v>1307</v>
      </c>
      <c r="R1597" t="s">
        <v>81</v>
      </c>
      <c r="U1597" t="s">
        <v>81</v>
      </c>
      <c r="V1597" t="s">
        <v>81</v>
      </c>
      <c r="W1597">
        <v>3</v>
      </c>
      <c r="X1597" t="s">
        <v>1135</v>
      </c>
      <c r="Z1597" t="s">
        <v>38</v>
      </c>
      <c r="AB1597" t="s">
        <v>921</v>
      </c>
      <c r="AC1597" t="s">
        <v>1173</v>
      </c>
      <c r="AD1597" t="s">
        <v>39</v>
      </c>
    </row>
    <row r="1598" spans="1:30" hidden="1" x14ac:dyDescent="0.25">
      <c r="A1598">
        <v>54</v>
      </c>
      <c r="B1598" t="s">
        <v>121</v>
      </c>
      <c r="C1598">
        <v>6</v>
      </c>
      <c r="D1598">
        <v>328</v>
      </c>
      <c r="E1598">
        <v>934</v>
      </c>
      <c r="F1598" t="s">
        <v>77</v>
      </c>
      <c r="G1598" t="s">
        <v>746</v>
      </c>
      <c r="H1598">
        <v>8</v>
      </c>
      <c r="I1598">
        <v>115.43</v>
      </c>
      <c r="J1598" t="s">
        <v>839</v>
      </c>
      <c r="K1598" t="s">
        <v>812</v>
      </c>
      <c r="M1598" t="s">
        <v>1307</v>
      </c>
      <c r="R1598" t="s">
        <v>81</v>
      </c>
      <c r="U1598" t="s">
        <v>81</v>
      </c>
      <c r="W1598">
        <v>3</v>
      </c>
      <c r="X1598" t="s">
        <v>1135</v>
      </c>
      <c r="Z1598" t="s">
        <v>38</v>
      </c>
      <c r="AB1598" t="s">
        <v>921</v>
      </c>
      <c r="AC1598" t="s">
        <v>1173</v>
      </c>
      <c r="AD1598" t="s">
        <v>39</v>
      </c>
    </row>
    <row r="1599" spans="1:30" hidden="1" x14ac:dyDescent="0.25">
      <c r="A1599">
        <v>55</v>
      </c>
      <c r="B1599" t="s">
        <v>116</v>
      </c>
      <c r="C1599">
        <v>6</v>
      </c>
      <c r="D1599">
        <v>298</v>
      </c>
      <c r="E1599">
        <v>378</v>
      </c>
      <c r="F1599" t="s">
        <v>77</v>
      </c>
      <c r="G1599" t="s">
        <v>746</v>
      </c>
      <c r="H1599">
        <v>1</v>
      </c>
      <c r="I1599">
        <v>5.27</v>
      </c>
      <c r="J1599" t="s">
        <v>839</v>
      </c>
      <c r="K1599" t="s">
        <v>812</v>
      </c>
      <c r="M1599" t="s">
        <v>1307</v>
      </c>
      <c r="Q1599" t="s">
        <v>26</v>
      </c>
      <c r="R1599" t="s">
        <v>81</v>
      </c>
      <c r="W1599">
        <v>3</v>
      </c>
      <c r="X1599" t="s">
        <v>1135</v>
      </c>
      <c r="Z1599" t="s">
        <v>38</v>
      </c>
      <c r="AB1599" t="s">
        <v>921</v>
      </c>
      <c r="AC1599" t="s">
        <v>1173</v>
      </c>
      <c r="AD1599" t="s">
        <v>39</v>
      </c>
    </row>
    <row r="1600" spans="1:30" hidden="1" x14ac:dyDescent="0.25">
      <c r="A1600">
        <v>56</v>
      </c>
      <c r="B1600" t="s">
        <v>128</v>
      </c>
      <c r="C1600">
        <v>6</v>
      </c>
      <c r="D1600">
        <v>188</v>
      </c>
      <c r="E1600">
        <v>2493</v>
      </c>
      <c r="F1600" t="s">
        <v>77</v>
      </c>
      <c r="G1600" t="s">
        <v>746</v>
      </c>
      <c r="H1600">
        <v>4</v>
      </c>
      <c r="I1600">
        <v>86.83</v>
      </c>
      <c r="J1600" t="s">
        <v>839</v>
      </c>
      <c r="K1600" t="s">
        <v>812</v>
      </c>
      <c r="M1600" t="s">
        <v>1307</v>
      </c>
      <c r="R1600" t="s">
        <v>81</v>
      </c>
      <c r="U1600" t="s">
        <v>81</v>
      </c>
      <c r="V1600" t="s">
        <v>81</v>
      </c>
      <c r="W1600">
        <v>3</v>
      </c>
      <c r="X1600" t="s">
        <v>1135</v>
      </c>
      <c r="Z1600" t="s">
        <v>38</v>
      </c>
      <c r="AB1600" t="s">
        <v>921</v>
      </c>
      <c r="AC1600" t="s">
        <v>1175</v>
      </c>
      <c r="AD1600" t="s">
        <v>39</v>
      </c>
    </row>
    <row r="1601" spans="1:30" hidden="1" x14ac:dyDescent="0.25">
      <c r="A1601">
        <v>57</v>
      </c>
      <c r="B1601" t="s">
        <v>132</v>
      </c>
      <c r="C1601">
        <v>6</v>
      </c>
      <c r="D1601">
        <v>188</v>
      </c>
      <c r="E1601">
        <v>2494</v>
      </c>
      <c r="F1601" t="s">
        <v>77</v>
      </c>
      <c r="G1601" t="s">
        <v>746</v>
      </c>
      <c r="H1601">
        <v>4</v>
      </c>
      <c r="I1601">
        <v>86.84</v>
      </c>
      <c r="J1601" t="s">
        <v>839</v>
      </c>
      <c r="K1601" t="s">
        <v>812</v>
      </c>
      <c r="M1601" t="s">
        <v>1307</v>
      </c>
      <c r="R1601" t="s">
        <v>81</v>
      </c>
      <c r="U1601" t="s">
        <v>81</v>
      </c>
      <c r="V1601" t="s">
        <v>81</v>
      </c>
      <c r="W1601">
        <v>3</v>
      </c>
      <c r="X1601" t="s">
        <v>1135</v>
      </c>
      <c r="Z1601" t="s">
        <v>38</v>
      </c>
      <c r="AB1601" t="s">
        <v>921</v>
      </c>
      <c r="AC1601" t="s">
        <v>1175</v>
      </c>
      <c r="AD1601" t="s">
        <v>39</v>
      </c>
    </row>
    <row r="1602" spans="1:30" hidden="1" x14ac:dyDescent="0.25">
      <c r="A1602">
        <v>58</v>
      </c>
      <c r="B1602" t="s">
        <v>134</v>
      </c>
      <c r="C1602">
        <v>6</v>
      </c>
      <c r="D1602">
        <v>188</v>
      </c>
      <c r="E1602">
        <v>2491</v>
      </c>
      <c r="F1602" t="s">
        <v>77</v>
      </c>
      <c r="G1602" t="s">
        <v>746</v>
      </c>
      <c r="H1602">
        <v>12</v>
      </c>
      <c r="I1602">
        <v>260.32</v>
      </c>
      <c r="J1602" t="s">
        <v>839</v>
      </c>
      <c r="K1602" t="s">
        <v>812</v>
      </c>
      <c r="M1602" t="s">
        <v>1307</v>
      </c>
      <c r="R1602" t="s">
        <v>81</v>
      </c>
      <c r="U1602" t="s">
        <v>81</v>
      </c>
      <c r="V1602" t="s">
        <v>81</v>
      </c>
      <c r="W1602">
        <v>3</v>
      </c>
      <c r="X1602" t="s">
        <v>1135</v>
      </c>
      <c r="Z1602" t="s">
        <v>38</v>
      </c>
      <c r="AB1602" t="s">
        <v>921</v>
      </c>
      <c r="AC1602" t="s">
        <v>1175</v>
      </c>
      <c r="AD1602" t="s">
        <v>39</v>
      </c>
    </row>
    <row r="1603" spans="1:30" hidden="1" x14ac:dyDescent="0.25">
      <c r="A1603">
        <v>59</v>
      </c>
      <c r="B1603" t="s">
        <v>136</v>
      </c>
      <c r="C1603">
        <v>6</v>
      </c>
      <c r="D1603">
        <v>188</v>
      </c>
      <c r="E1603">
        <v>2493</v>
      </c>
      <c r="F1603" t="s">
        <v>77</v>
      </c>
      <c r="G1603" t="s">
        <v>746</v>
      </c>
      <c r="H1603">
        <v>4</v>
      </c>
      <c r="I1603">
        <v>86.83</v>
      </c>
      <c r="J1603" t="s">
        <v>839</v>
      </c>
      <c r="K1603" t="s">
        <v>812</v>
      </c>
      <c r="M1603" t="s">
        <v>1307</v>
      </c>
      <c r="R1603" t="s">
        <v>81</v>
      </c>
      <c r="U1603" t="s">
        <v>81</v>
      </c>
      <c r="V1603" t="s">
        <v>81</v>
      </c>
      <c r="W1603">
        <v>3</v>
      </c>
      <c r="X1603" t="s">
        <v>1135</v>
      </c>
      <c r="Z1603" t="s">
        <v>38</v>
      </c>
      <c r="AB1603" t="s">
        <v>921</v>
      </c>
      <c r="AC1603" t="s">
        <v>1175</v>
      </c>
      <c r="AD1603" t="s">
        <v>39</v>
      </c>
    </row>
    <row r="1604" spans="1:30" hidden="1" x14ac:dyDescent="0.25">
      <c r="A1604">
        <v>60</v>
      </c>
      <c r="B1604" t="s">
        <v>137</v>
      </c>
      <c r="C1604">
        <v>6</v>
      </c>
      <c r="D1604">
        <v>188</v>
      </c>
      <c r="E1604">
        <v>2494</v>
      </c>
      <c r="F1604" t="s">
        <v>77</v>
      </c>
      <c r="G1604" t="s">
        <v>746</v>
      </c>
      <c r="H1604">
        <v>4</v>
      </c>
      <c r="I1604">
        <v>86.84</v>
      </c>
      <c r="J1604" t="s">
        <v>839</v>
      </c>
      <c r="K1604" t="s">
        <v>812</v>
      </c>
      <c r="M1604" t="s">
        <v>1307</v>
      </c>
      <c r="R1604" t="s">
        <v>81</v>
      </c>
      <c r="U1604" t="s">
        <v>81</v>
      </c>
      <c r="V1604" t="s">
        <v>81</v>
      </c>
      <c r="W1604">
        <v>3</v>
      </c>
      <c r="X1604" t="s">
        <v>1135</v>
      </c>
      <c r="Z1604" t="s">
        <v>38</v>
      </c>
      <c r="AB1604" t="s">
        <v>921</v>
      </c>
      <c r="AC1604" t="s">
        <v>1175</v>
      </c>
      <c r="AD1604" t="s">
        <v>39</v>
      </c>
    </row>
    <row r="1605" spans="1:30" hidden="1" x14ac:dyDescent="0.25">
      <c r="A1605">
        <v>61</v>
      </c>
      <c r="B1605" t="s">
        <v>138</v>
      </c>
      <c r="C1605">
        <v>6</v>
      </c>
      <c r="D1605">
        <v>328</v>
      </c>
      <c r="E1605">
        <v>934</v>
      </c>
      <c r="F1605" t="s">
        <v>77</v>
      </c>
      <c r="G1605" t="s">
        <v>746</v>
      </c>
      <c r="H1605">
        <v>4</v>
      </c>
      <c r="I1605">
        <v>57.72</v>
      </c>
      <c r="J1605" t="s">
        <v>839</v>
      </c>
      <c r="K1605" t="s">
        <v>812</v>
      </c>
      <c r="M1605" t="s">
        <v>1307</v>
      </c>
      <c r="R1605" t="s">
        <v>81</v>
      </c>
      <c r="U1605" t="s">
        <v>81</v>
      </c>
      <c r="W1605">
        <v>3</v>
      </c>
      <c r="X1605" t="s">
        <v>1135</v>
      </c>
      <c r="Z1605" t="s">
        <v>38</v>
      </c>
      <c r="AB1605" t="s">
        <v>921</v>
      </c>
      <c r="AC1605" t="s">
        <v>1175</v>
      </c>
      <c r="AD1605" t="s">
        <v>39</v>
      </c>
    </row>
    <row r="1606" spans="1:30" hidden="1" x14ac:dyDescent="0.25">
      <c r="A1606">
        <v>62</v>
      </c>
      <c r="B1606" t="s">
        <v>139</v>
      </c>
      <c r="C1606">
        <v>6</v>
      </c>
      <c r="D1606">
        <v>328</v>
      </c>
      <c r="E1606">
        <v>934</v>
      </c>
      <c r="F1606" t="s">
        <v>77</v>
      </c>
      <c r="G1606" t="s">
        <v>746</v>
      </c>
      <c r="H1606">
        <v>4</v>
      </c>
      <c r="I1606">
        <v>57.72</v>
      </c>
      <c r="J1606" t="s">
        <v>839</v>
      </c>
      <c r="K1606" t="s">
        <v>812</v>
      </c>
      <c r="M1606" t="s">
        <v>1307</v>
      </c>
      <c r="R1606" t="s">
        <v>81</v>
      </c>
      <c r="U1606" t="s">
        <v>81</v>
      </c>
      <c r="W1606">
        <v>3</v>
      </c>
      <c r="X1606" t="s">
        <v>1135</v>
      </c>
      <c r="Z1606" t="s">
        <v>38</v>
      </c>
      <c r="AB1606" t="s">
        <v>921</v>
      </c>
      <c r="AC1606" t="s">
        <v>1175</v>
      </c>
      <c r="AD1606" t="s">
        <v>39</v>
      </c>
    </row>
    <row r="1607" spans="1:30" hidden="1" x14ac:dyDescent="0.25">
      <c r="A1607">
        <v>63</v>
      </c>
      <c r="B1607" t="s">
        <v>140</v>
      </c>
      <c r="C1607">
        <v>6</v>
      </c>
      <c r="D1607">
        <v>188</v>
      </c>
      <c r="E1607">
        <v>2491</v>
      </c>
      <c r="F1607" t="s">
        <v>77</v>
      </c>
      <c r="G1607" t="s">
        <v>746</v>
      </c>
      <c r="H1607">
        <v>18</v>
      </c>
      <c r="I1607">
        <v>390.49</v>
      </c>
      <c r="J1607" t="s">
        <v>839</v>
      </c>
      <c r="K1607" t="s">
        <v>812</v>
      </c>
      <c r="M1607" t="s">
        <v>1307</v>
      </c>
      <c r="R1607" t="s">
        <v>81</v>
      </c>
      <c r="U1607" t="s">
        <v>81</v>
      </c>
      <c r="V1607" t="s">
        <v>81</v>
      </c>
      <c r="W1607">
        <v>3</v>
      </c>
      <c r="X1607" t="s">
        <v>1135</v>
      </c>
      <c r="Z1607" t="s">
        <v>38</v>
      </c>
      <c r="AB1607" t="s">
        <v>921</v>
      </c>
      <c r="AC1607" t="s">
        <v>1177</v>
      </c>
      <c r="AD1607" t="s">
        <v>39</v>
      </c>
    </row>
    <row r="1608" spans="1:30" hidden="1" x14ac:dyDescent="0.25">
      <c r="A1608">
        <v>64</v>
      </c>
      <c r="B1608" t="s">
        <v>134</v>
      </c>
      <c r="C1608">
        <v>6</v>
      </c>
      <c r="D1608">
        <v>188</v>
      </c>
      <c r="E1608">
        <v>2491</v>
      </c>
      <c r="F1608" t="s">
        <v>77</v>
      </c>
      <c r="G1608" t="s">
        <v>746</v>
      </c>
      <c r="H1608">
        <v>6</v>
      </c>
      <c r="I1608">
        <v>130.16</v>
      </c>
      <c r="J1608" t="s">
        <v>839</v>
      </c>
      <c r="K1608" t="s">
        <v>812</v>
      </c>
      <c r="M1608" t="s">
        <v>1307</v>
      </c>
      <c r="R1608" t="s">
        <v>81</v>
      </c>
      <c r="U1608" t="s">
        <v>81</v>
      </c>
      <c r="V1608" t="s">
        <v>81</v>
      </c>
      <c r="W1608">
        <v>3</v>
      </c>
      <c r="X1608" t="s">
        <v>1135</v>
      </c>
      <c r="Z1608" t="s">
        <v>38</v>
      </c>
      <c r="AB1608" t="s">
        <v>921</v>
      </c>
      <c r="AC1608" t="s">
        <v>1177</v>
      </c>
      <c r="AD1608" t="s">
        <v>39</v>
      </c>
    </row>
    <row r="1609" spans="1:30" hidden="1" x14ac:dyDescent="0.25">
      <c r="A1609">
        <v>65</v>
      </c>
      <c r="B1609" t="s">
        <v>143</v>
      </c>
      <c r="C1609">
        <v>6</v>
      </c>
      <c r="D1609">
        <v>188</v>
      </c>
      <c r="E1609">
        <v>2491</v>
      </c>
      <c r="F1609" t="s">
        <v>77</v>
      </c>
      <c r="G1609" t="s">
        <v>746</v>
      </c>
      <c r="H1609">
        <v>4</v>
      </c>
      <c r="I1609">
        <v>86.77</v>
      </c>
      <c r="J1609" t="s">
        <v>839</v>
      </c>
      <c r="K1609" t="s">
        <v>812</v>
      </c>
      <c r="M1609" t="s">
        <v>1307</v>
      </c>
      <c r="R1609" t="s">
        <v>81</v>
      </c>
      <c r="U1609" t="s">
        <v>81</v>
      </c>
      <c r="V1609" t="s">
        <v>81</v>
      </c>
      <c r="W1609">
        <v>3</v>
      </c>
      <c r="X1609" t="s">
        <v>1135</v>
      </c>
      <c r="Z1609" t="s">
        <v>38</v>
      </c>
      <c r="AB1609" t="s">
        <v>921</v>
      </c>
      <c r="AC1609" t="s">
        <v>1177</v>
      </c>
      <c r="AD1609" t="s">
        <v>39</v>
      </c>
    </row>
    <row r="1610" spans="1:30" hidden="1" x14ac:dyDescent="0.25">
      <c r="A1610">
        <v>66</v>
      </c>
      <c r="B1610" t="s">
        <v>144</v>
      </c>
      <c r="C1610">
        <v>6</v>
      </c>
      <c r="D1610">
        <v>328</v>
      </c>
      <c r="E1610">
        <v>934</v>
      </c>
      <c r="F1610" t="s">
        <v>77</v>
      </c>
      <c r="G1610" t="s">
        <v>746</v>
      </c>
      <c r="H1610">
        <v>5</v>
      </c>
      <c r="I1610">
        <v>72.150000000000006</v>
      </c>
      <c r="J1610" t="s">
        <v>839</v>
      </c>
      <c r="K1610" t="s">
        <v>812</v>
      </c>
      <c r="M1610" t="s">
        <v>1307</v>
      </c>
      <c r="R1610" t="s">
        <v>81</v>
      </c>
      <c r="U1610" t="s">
        <v>81</v>
      </c>
      <c r="W1610">
        <v>3</v>
      </c>
      <c r="X1610" t="s">
        <v>1135</v>
      </c>
      <c r="Z1610" t="s">
        <v>38</v>
      </c>
      <c r="AB1610" t="s">
        <v>921</v>
      </c>
      <c r="AC1610" t="s">
        <v>1177</v>
      </c>
      <c r="AD1610" t="s">
        <v>39</v>
      </c>
    </row>
    <row r="1611" spans="1:30" hidden="1" x14ac:dyDescent="0.25">
      <c r="A1611">
        <v>67</v>
      </c>
      <c r="B1611" t="s">
        <v>138</v>
      </c>
      <c r="C1611">
        <v>6</v>
      </c>
      <c r="D1611">
        <v>328</v>
      </c>
      <c r="E1611">
        <v>934</v>
      </c>
      <c r="F1611" t="s">
        <v>77</v>
      </c>
      <c r="G1611" t="s">
        <v>746</v>
      </c>
      <c r="H1611">
        <v>3</v>
      </c>
      <c r="I1611">
        <v>43.29</v>
      </c>
      <c r="J1611" t="s">
        <v>839</v>
      </c>
      <c r="K1611" t="s">
        <v>812</v>
      </c>
      <c r="M1611" t="s">
        <v>1307</v>
      </c>
      <c r="R1611" t="s">
        <v>81</v>
      </c>
      <c r="U1611" t="s">
        <v>81</v>
      </c>
      <c r="W1611">
        <v>3</v>
      </c>
      <c r="X1611" t="s">
        <v>1135</v>
      </c>
      <c r="Z1611" t="s">
        <v>38</v>
      </c>
      <c r="AB1611" t="s">
        <v>921</v>
      </c>
      <c r="AC1611" t="s">
        <v>1177</v>
      </c>
      <c r="AD1611" t="s">
        <v>39</v>
      </c>
    </row>
    <row r="1612" spans="1:30" hidden="1" x14ac:dyDescent="0.25">
      <c r="A1612">
        <v>68</v>
      </c>
      <c r="B1612" t="s">
        <v>145</v>
      </c>
      <c r="C1612">
        <v>6</v>
      </c>
      <c r="D1612">
        <v>188</v>
      </c>
      <c r="E1612">
        <v>2491</v>
      </c>
      <c r="F1612" t="s">
        <v>77</v>
      </c>
      <c r="G1612" t="s">
        <v>746</v>
      </c>
      <c r="H1612">
        <v>14</v>
      </c>
      <c r="I1612">
        <v>303.7</v>
      </c>
      <c r="J1612" t="s">
        <v>839</v>
      </c>
      <c r="K1612" t="s">
        <v>812</v>
      </c>
      <c r="M1612" t="s">
        <v>1307</v>
      </c>
      <c r="R1612" t="s">
        <v>81</v>
      </c>
      <c r="U1612" t="s">
        <v>81</v>
      </c>
      <c r="V1612" t="s">
        <v>81</v>
      </c>
      <c r="W1612">
        <v>3</v>
      </c>
      <c r="X1612" t="s">
        <v>1135</v>
      </c>
      <c r="Z1612" t="s">
        <v>38</v>
      </c>
      <c r="AB1612" t="s">
        <v>921</v>
      </c>
      <c r="AC1612" t="s">
        <v>1179</v>
      </c>
      <c r="AD1612" t="s">
        <v>39</v>
      </c>
    </row>
    <row r="1613" spans="1:30" hidden="1" x14ac:dyDescent="0.25">
      <c r="A1613">
        <v>69</v>
      </c>
      <c r="B1613" t="s">
        <v>148</v>
      </c>
      <c r="C1613">
        <v>6</v>
      </c>
      <c r="D1613">
        <v>328</v>
      </c>
      <c r="E1613">
        <v>934</v>
      </c>
      <c r="F1613" t="s">
        <v>77</v>
      </c>
      <c r="G1613" t="s">
        <v>746</v>
      </c>
      <c r="H1613">
        <v>4</v>
      </c>
      <c r="I1613">
        <v>57.72</v>
      </c>
      <c r="J1613" t="s">
        <v>839</v>
      </c>
      <c r="K1613" t="s">
        <v>812</v>
      </c>
      <c r="M1613" t="s">
        <v>1307</v>
      </c>
      <c r="R1613" t="s">
        <v>81</v>
      </c>
      <c r="U1613" t="s">
        <v>81</v>
      </c>
      <c r="W1613">
        <v>3</v>
      </c>
      <c r="X1613" t="s">
        <v>1135</v>
      </c>
      <c r="Z1613" t="s">
        <v>38</v>
      </c>
      <c r="AB1613" t="s">
        <v>921</v>
      </c>
      <c r="AC1613" t="s">
        <v>1179</v>
      </c>
      <c r="AD1613" t="s">
        <v>39</v>
      </c>
    </row>
    <row r="1614" spans="1:30" hidden="1" x14ac:dyDescent="0.25">
      <c r="A1614">
        <v>70</v>
      </c>
      <c r="B1614" t="s">
        <v>143</v>
      </c>
      <c r="C1614">
        <v>6</v>
      </c>
      <c r="D1614">
        <v>188</v>
      </c>
      <c r="E1614">
        <v>2491</v>
      </c>
      <c r="F1614" t="s">
        <v>77</v>
      </c>
      <c r="G1614" t="s">
        <v>746</v>
      </c>
      <c r="H1614">
        <v>14</v>
      </c>
      <c r="I1614">
        <v>303.7</v>
      </c>
      <c r="J1614" t="s">
        <v>839</v>
      </c>
      <c r="K1614" t="s">
        <v>812</v>
      </c>
      <c r="M1614" t="s">
        <v>1307</v>
      </c>
      <c r="R1614" t="s">
        <v>81</v>
      </c>
      <c r="U1614" t="s">
        <v>81</v>
      </c>
      <c r="V1614" t="s">
        <v>81</v>
      </c>
      <c r="W1614">
        <v>3</v>
      </c>
      <c r="X1614" t="s">
        <v>1135</v>
      </c>
      <c r="Z1614" t="s">
        <v>38</v>
      </c>
      <c r="AB1614" t="s">
        <v>921</v>
      </c>
      <c r="AC1614" t="s">
        <v>1179</v>
      </c>
      <c r="AD1614" t="s">
        <v>39</v>
      </c>
    </row>
    <row r="1615" spans="1:30" hidden="1" x14ac:dyDescent="0.25">
      <c r="A1615">
        <v>71</v>
      </c>
      <c r="B1615" t="s">
        <v>149</v>
      </c>
      <c r="C1615">
        <v>6</v>
      </c>
      <c r="D1615">
        <v>328</v>
      </c>
      <c r="E1615">
        <v>934</v>
      </c>
      <c r="F1615" t="s">
        <v>77</v>
      </c>
      <c r="G1615" t="s">
        <v>746</v>
      </c>
      <c r="H1615">
        <v>3</v>
      </c>
      <c r="I1615">
        <v>43.29</v>
      </c>
      <c r="J1615" t="s">
        <v>839</v>
      </c>
      <c r="K1615" t="s">
        <v>812</v>
      </c>
      <c r="M1615" t="s">
        <v>1307</v>
      </c>
      <c r="R1615" t="s">
        <v>81</v>
      </c>
      <c r="U1615" t="s">
        <v>81</v>
      </c>
      <c r="W1615">
        <v>3</v>
      </c>
      <c r="X1615" t="s">
        <v>1135</v>
      </c>
      <c r="Z1615" t="s">
        <v>38</v>
      </c>
      <c r="AB1615" t="s">
        <v>921</v>
      </c>
      <c r="AC1615" t="s">
        <v>1179</v>
      </c>
      <c r="AD1615" t="s">
        <v>39</v>
      </c>
    </row>
    <row r="1616" spans="1:30" hidden="1" x14ac:dyDescent="0.25">
      <c r="A1616">
        <v>72</v>
      </c>
      <c r="B1616" t="s">
        <v>144</v>
      </c>
      <c r="C1616">
        <v>6</v>
      </c>
      <c r="D1616">
        <v>328</v>
      </c>
      <c r="E1616">
        <v>934</v>
      </c>
      <c r="F1616" t="s">
        <v>77</v>
      </c>
      <c r="G1616" t="s">
        <v>746</v>
      </c>
      <c r="H1616">
        <v>1</v>
      </c>
      <c r="I1616">
        <v>14.43</v>
      </c>
      <c r="J1616" t="s">
        <v>839</v>
      </c>
      <c r="K1616" t="s">
        <v>812</v>
      </c>
      <c r="M1616" t="s">
        <v>1307</v>
      </c>
      <c r="R1616" t="s">
        <v>81</v>
      </c>
      <c r="U1616" t="s">
        <v>81</v>
      </c>
      <c r="W1616">
        <v>3</v>
      </c>
      <c r="X1616" t="s">
        <v>1135</v>
      </c>
      <c r="Z1616" t="s">
        <v>38</v>
      </c>
      <c r="AB1616" t="s">
        <v>921</v>
      </c>
      <c r="AC1616" t="s">
        <v>1179</v>
      </c>
      <c r="AD1616" t="s">
        <v>39</v>
      </c>
    </row>
    <row r="1617" spans="1:30" hidden="1" x14ac:dyDescent="0.25">
      <c r="A1617">
        <v>73</v>
      </c>
      <c r="B1617" t="s">
        <v>145</v>
      </c>
      <c r="C1617">
        <v>6</v>
      </c>
      <c r="D1617">
        <v>188</v>
      </c>
      <c r="E1617">
        <v>2491</v>
      </c>
      <c r="F1617" t="s">
        <v>77</v>
      </c>
      <c r="G1617" t="s">
        <v>746</v>
      </c>
      <c r="H1617">
        <v>4</v>
      </c>
      <c r="I1617">
        <v>86.77</v>
      </c>
      <c r="J1617" t="s">
        <v>839</v>
      </c>
      <c r="K1617" t="s">
        <v>812</v>
      </c>
      <c r="M1617" t="s">
        <v>1307</v>
      </c>
      <c r="R1617" t="s">
        <v>81</v>
      </c>
      <c r="U1617" t="s">
        <v>81</v>
      </c>
      <c r="V1617" t="s">
        <v>81</v>
      </c>
      <c r="W1617">
        <v>3</v>
      </c>
      <c r="X1617" t="s">
        <v>1135</v>
      </c>
      <c r="Z1617" t="s">
        <v>38</v>
      </c>
      <c r="AB1617" t="s">
        <v>921</v>
      </c>
      <c r="AC1617" t="s">
        <v>1181</v>
      </c>
      <c r="AD1617" t="s">
        <v>39</v>
      </c>
    </row>
    <row r="1618" spans="1:30" hidden="1" x14ac:dyDescent="0.25">
      <c r="A1618">
        <v>74</v>
      </c>
      <c r="B1618" t="s">
        <v>152</v>
      </c>
      <c r="C1618">
        <v>6</v>
      </c>
      <c r="D1618">
        <v>188</v>
      </c>
      <c r="E1618">
        <v>2491</v>
      </c>
      <c r="F1618" t="s">
        <v>77</v>
      </c>
      <c r="G1618" t="s">
        <v>746</v>
      </c>
      <c r="H1618">
        <v>6</v>
      </c>
      <c r="I1618">
        <v>130.12</v>
      </c>
      <c r="J1618" t="s">
        <v>839</v>
      </c>
      <c r="K1618" t="s">
        <v>812</v>
      </c>
      <c r="M1618" t="s">
        <v>1307</v>
      </c>
      <c r="R1618" t="s">
        <v>81</v>
      </c>
      <c r="U1618" t="s">
        <v>81</v>
      </c>
      <c r="V1618" t="s">
        <v>81</v>
      </c>
      <c r="W1618">
        <v>3</v>
      </c>
      <c r="X1618" t="s">
        <v>1135</v>
      </c>
      <c r="Z1618" t="s">
        <v>38</v>
      </c>
      <c r="AB1618" t="s">
        <v>921</v>
      </c>
      <c r="AC1618" t="s">
        <v>1181</v>
      </c>
      <c r="AD1618" t="s">
        <v>39</v>
      </c>
    </row>
    <row r="1619" spans="1:30" hidden="1" x14ac:dyDescent="0.25">
      <c r="A1619">
        <v>75</v>
      </c>
      <c r="B1619" t="s">
        <v>153</v>
      </c>
      <c r="C1619">
        <v>6</v>
      </c>
      <c r="D1619">
        <v>188</v>
      </c>
      <c r="E1619">
        <v>2491</v>
      </c>
      <c r="F1619" t="s">
        <v>77</v>
      </c>
      <c r="G1619" t="s">
        <v>746</v>
      </c>
      <c r="H1619">
        <v>18</v>
      </c>
      <c r="I1619">
        <v>390.36</v>
      </c>
      <c r="J1619" t="s">
        <v>839</v>
      </c>
      <c r="K1619" t="s">
        <v>812</v>
      </c>
      <c r="M1619" t="s">
        <v>1307</v>
      </c>
      <c r="R1619" t="s">
        <v>81</v>
      </c>
      <c r="U1619" t="s">
        <v>81</v>
      </c>
      <c r="V1619" t="s">
        <v>81</v>
      </c>
      <c r="W1619">
        <v>3</v>
      </c>
      <c r="X1619" t="s">
        <v>1135</v>
      </c>
      <c r="Z1619" t="s">
        <v>38</v>
      </c>
      <c r="AB1619" t="s">
        <v>921</v>
      </c>
      <c r="AC1619" t="s">
        <v>1181</v>
      </c>
      <c r="AD1619" t="s">
        <v>39</v>
      </c>
    </row>
    <row r="1620" spans="1:30" hidden="1" x14ac:dyDescent="0.25">
      <c r="A1620">
        <v>76</v>
      </c>
      <c r="B1620" t="s">
        <v>154</v>
      </c>
      <c r="C1620">
        <v>6</v>
      </c>
      <c r="D1620">
        <v>328</v>
      </c>
      <c r="E1620">
        <v>934</v>
      </c>
      <c r="F1620" t="s">
        <v>77</v>
      </c>
      <c r="G1620" t="s">
        <v>746</v>
      </c>
      <c r="H1620">
        <v>3</v>
      </c>
      <c r="I1620">
        <v>43.29</v>
      </c>
      <c r="J1620" t="s">
        <v>839</v>
      </c>
      <c r="K1620" t="s">
        <v>812</v>
      </c>
      <c r="M1620" t="s">
        <v>1307</v>
      </c>
      <c r="R1620" t="s">
        <v>81</v>
      </c>
      <c r="U1620" t="s">
        <v>81</v>
      </c>
      <c r="W1620">
        <v>3</v>
      </c>
      <c r="X1620" t="s">
        <v>1135</v>
      </c>
      <c r="Z1620" t="s">
        <v>38</v>
      </c>
      <c r="AB1620" t="s">
        <v>921</v>
      </c>
      <c r="AC1620" t="s">
        <v>1181</v>
      </c>
      <c r="AD1620" t="s">
        <v>39</v>
      </c>
    </row>
    <row r="1621" spans="1:30" hidden="1" x14ac:dyDescent="0.25">
      <c r="A1621">
        <v>77</v>
      </c>
      <c r="B1621" t="s">
        <v>139</v>
      </c>
      <c r="C1621">
        <v>6</v>
      </c>
      <c r="D1621">
        <v>328</v>
      </c>
      <c r="E1621">
        <v>934</v>
      </c>
      <c r="F1621" t="s">
        <v>77</v>
      </c>
      <c r="G1621" t="s">
        <v>746</v>
      </c>
      <c r="H1621">
        <v>5</v>
      </c>
      <c r="I1621">
        <v>72.150000000000006</v>
      </c>
      <c r="J1621" t="s">
        <v>839</v>
      </c>
      <c r="K1621" t="s">
        <v>812</v>
      </c>
      <c r="M1621" t="s">
        <v>1307</v>
      </c>
      <c r="R1621" t="s">
        <v>81</v>
      </c>
      <c r="U1621" t="s">
        <v>81</v>
      </c>
      <c r="W1621">
        <v>3</v>
      </c>
      <c r="X1621" t="s">
        <v>1135</v>
      </c>
      <c r="Z1621" t="s">
        <v>38</v>
      </c>
      <c r="AB1621" t="s">
        <v>921</v>
      </c>
      <c r="AC1621" t="s">
        <v>1181</v>
      </c>
      <c r="AD1621" t="s">
        <v>39</v>
      </c>
    </row>
    <row r="1622" spans="1:30" hidden="1" x14ac:dyDescent="0.25">
      <c r="A1622">
        <v>78</v>
      </c>
      <c r="B1622" t="s">
        <v>152</v>
      </c>
      <c r="C1622">
        <v>6</v>
      </c>
      <c r="D1622">
        <v>188</v>
      </c>
      <c r="E1622">
        <v>2491</v>
      </c>
      <c r="F1622" t="s">
        <v>77</v>
      </c>
      <c r="G1622" t="s">
        <v>746</v>
      </c>
      <c r="H1622">
        <v>12</v>
      </c>
      <c r="I1622">
        <v>260.24</v>
      </c>
      <c r="J1622" t="s">
        <v>839</v>
      </c>
      <c r="K1622" t="s">
        <v>812</v>
      </c>
      <c r="M1622" t="s">
        <v>1307</v>
      </c>
      <c r="R1622" t="s">
        <v>81</v>
      </c>
      <c r="U1622" t="s">
        <v>81</v>
      </c>
      <c r="V1622" t="s">
        <v>81</v>
      </c>
      <c r="W1622">
        <v>3</v>
      </c>
      <c r="X1622" t="s">
        <v>1135</v>
      </c>
      <c r="Z1622" t="s">
        <v>38</v>
      </c>
      <c r="AB1622" t="s">
        <v>921</v>
      </c>
      <c r="AC1622" t="s">
        <v>1183</v>
      </c>
      <c r="AD1622" t="s">
        <v>39</v>
      </c>
    </row>
    <row r="1623" spans="1:30" hidden="1" x14ac:dyDescent="0.25">
      <c r="A1623">
        <v>79</v>
      </c>
      <c r="B1623" t="s">
        <v>148</v>
      </c>
      <c r="C1623">
        <v>6</v>
      </c>
      <c r="D1623">
        <v>328</v>
      </c>
      <c r="E1623">
        <v>934</v>
      </c>
      <c r="F1623" t="s">
        <v>77</v>
      </c>
      <c r="G1623" t="s">
        <v>746</v>
      </c>
      <c r="H1623">
        <v>1</v>
      </c>
      <c r="I1623">
        <v>14.43</v>
      </c>
      <c r="J1623" t="s">
        <v>839</v>
      </c>
      <c r="K1623" t="s">
        <v>812</v>
      </c>
      <c r="M1623" t="s">
        <v>1307</v>
      </c>
      <c r="R1623" t="s">
        <v>81</v>
      </c>
      <c r="U1623" t="s">
        <v>81</v>
      </c>
      <c r="W1623">
        <v>3</v>
      </c>
      <c r="X1623" t="s">
        <v>1135</v>
      </c>
      <c r="Z1623" t="s">
        <v>38</v>
      </c>
      <c r="AB1623" t="s">
        <v>921</v>
      </c>
      <c r="AC1623" t="s">
        <v>1183</v>
      </c>
      <c r="AD1623" t="s">
        <v>39</v>
      </c>
    </row>
    <row r="1624" spans="1:30" hidden="1" x14ac:dyDescent="0.25">
      <c r="A1624">
        <v>80</v>
      </c>
      <c r="B1624" t="s">
        <v>149</v>
      </c>
      <c r="C1624">
        <v>6</v>
      </c>
      <c r="D1624">
        <v>328</v>
      </c>
      <c r="E1624">
        <v>934</v>
      </c>
      <c r="F1624" t="s">
        <v>77</v>
      </c>
      <c r="G1624" t="s">
        <v>746</v>
      </c>
      <c r="H1624">
        <v>3</v>
      </c>
      <c r="I1624">
        <v>43.29</v>
      </c>
      <c r="J1624" t="s">
        <v>839</v>
      </c>
      <c r="K1624" t="s">
        <v>812</v>
      </c>
      <c r="M1624" t="s">
        <v>1307</v>
      </c>
      <c r="R1624" t="s">
        <v>81</v>
      </c>
      <c r="U1624" t="s">
        <v>81</v>
      </c>
      <c r="W1624">
        <v>3</v>
      </c>
      <c r="X1624" t="s">
        <v>1135</v>
      </c>
      <c r="Z1624" t="s">
        <v>38</v>
      </c>
      <c r="AB1624" t="s">
        <v>921</v>
      </c>
      <c r="AC1624" t="s">
        <v>1183</v>
      </c>
      <c r="AD1624" t="s">
        <v>39</v>
      </c>
    </row>
    <row r="1625" spans="1:30" hidden="1" x14ac:dyDescent="0.25">
      <c r="A1625">
        <v>81</v>
      </c>
      <c r="B1625" t="s">
        <v>157</v>
      </c>
      <c r="C1625">
        <v>6</v>
      </c>
      <c r="D1625">
        <v>188</v>
      </c>
      <c r="E1625">
        <v>2491</v>
      </c>
      <c r="F1625" t="s">
        <v>77</v>
      </c>
      <c r="G1625" t="s">
        <v>746</v>
      </c>
      <c r="H1625">
        <v>16</v>
      </c>
      <c r="I1625">
        <v>346.99</v>
      </c>
      <c r="J1625" t="s">
        <v>839</v>
      </c>
      <c r="K1625" t="s">
        <v>812</v>
      </c>
      <c r="M1625" t="s">
        <v>1307</v>
      </c>
      <c r="R1625" t="s">
        <v>81</v>
      </c>
      <c r="U1625" t="s">
        <v>81</v>
      </c>
      <c r="V1625" t="s">
        <v>81</v>
      </c>
      <c r="W1625">
        <v>3</v>
      </c>
      <c r="X1625" t="s">
        <v>1135</v>
      </c>
      <c r="Z1625" t="s">
        <v>38</v>
      </c>
      <c r="AB1625" t="s">
        <v>921</v>
      </c>
      <c r="AC1625" t="s">
        <v>1183</v>
      </c>
      <c r="AD1625" t="s">
        <v>39</v>
      </c>
    </row>
    <row r="1626" spans="1:30" hidden="1" x14ac:dyDescent="0.25">
      <c r="A1626">
        <v>82</v>
      </c>
      <c r="B1626" t="s">
        <v>154</v>
      </c>
      <c r="C1626">
        <v>6</v>
      </c>
      <c r="D1626">
        <v>328</v>
      </c>
      <c r="E1626">
        <v>934</v>
      </c>
      <c r="F1626" t="s">
        <v>77</v>
      </c>
      <c r="G1626" t="s">
        <v>746</v>
      </c>
      <c r="H1626">
        <v>4</v>
      </c>
      <c r="I1626">
        <v>57.72</v>
      </c>
      <c r="J1626" t="s">
        <v>839</v>
      </c>
      <c r="K1626" t="s">
        <v>812</v>
      </c>
      <c r="M1626" t="s">
        <v>1307</v>
      </c>
      <c r="R1626" t="s">
        <v>81</v>
      </c>
      <c r="U1626" t="s">
        <v>81</v>
      </c>
      <c r="W1626">
        <v>3</v>
      </c>
      <c r="X1626" t="s">
        <v>1135</v>
      </c>
      <c r="Z1626" t="s">
        <v>38</v>
      </c>
      <c r="AB1626" t="s">
        <v>921</v>
      </c>
      <c r="AC1626" t="s">
        <v>1183</v>
      </c>
      <c r="AD1626" t="s">
        <v>39</v>
      </c>
    </row>
    <row r="1627" spans="1:30" hidden="1" x14ac:dyDescent="0.25">
      <c r="A1627">
        <v>83</v>
      </c>
      <c r="B1627" t="s">
        <v>158</v>
      </c>
      <c r="C1627">
        <v>6</v>
      </c>
      <c r="D1627">
        <v>328</v>
      </c>
      <c r="E1627">
        <v>894</v>
      </c>
      <c r="F1627" t="s">
        <v>77</v>
      </c>
      <c r="G1627" t="s">
        <v>746</v>
      </c>
      <c r="H1627">
        <v>2</v>
      </c>
      <c r="I1627">
        <v>27.62</v>
      </c>
      <c r="J1627" t="s">
        <v>839</v>
      </c>
      <c r="K1627" t="s">
        <v>812</v>
      </c>
      <c r="M1627" t="s">
        <v>1307</v>
      </c>
      <c r="R1627" t="s">
        <v>81</v>
      </c>
      <c r="U1627" t="s">
        <v>81</v>
      </c>
      <c r="W1627">
        <v>3</v>
      </c>
      <c r="X1627" t="s">
        <v>1135</v>
      </c>
      <c r="Z1627" t="s">
        <v>38</v>
      </c>
      <c r="AB1627" t="s">
        <v>921</v>
      </c>
      <c r="AC1627" t="s">
        <v>1185</v>
      </c>
      <c r="AD1627" t="s">
        <v>39</v>
      </c>
    </row>
    <row r="1628" spans="1:30" hidden="1" x14ac:dyDescent="0.25">
      <c r="A1628">
        <v>84</v>
      </c>
      <c r="B1628" t="s">
        <v>162</v>
      </c>
      <c r="C1628">
        <v>6</v>
      </c>
      <c r="D1628">
        <v>188</v>
      </c>
      <c r="E1628">
        <v>2491</v>
      </c>
      <c r="F1628" t="s">
        <v>77</v>
      </c>
      <c r="G1628" t="s">
        <v>746</v>
      </c>
      <c r="H1628">
        <v>18</v>
      </c>
      <c r="I1628">
        <v>390.36</v>
      </c>
      <c r="J1628" t="s">
        <v>839</v>
      </c>
      <c r="K1628" t="s">
        <v>812</v>
      </c>
      <c r="M1628" t="s">
        <v>1307</v>
      </c>
      <c r="R1628" t="s">
        <v>81</v>
      </c>
      <c r="U1628" t="s">
        <v>81</v>
      </c>
      <c r="V1628" t="s">
        <v>81</v>
      </c>
      <c r="W1628">
        <v>3</v>
      </c>
      <c r="X1628" t="s">
        <v>1135</v>
      </c>
      <c r="Z1628" t="s">
        <v>38</v>
      </c>
      <c r="AB1628" t="s">
        <v>921</v>
      </c>
      <c r="AC1628" t="s">
        <v>1185</v>
      </c>
      <c r="AD1628" t="s">
        <v>39</v>
      </c>
    </row>
    <row r="1629" spans="1:30" hidden="1" x14ac:dyDescent="0.25">
      <c r="A1629">
        <v>85</v>
      </c>
      <c r="B1629" t="s">
        <v>163</v>
      </c>
      <c r="C1629">
        <v>6</v>
      </c>
      <c r="D1629">
        <v>328</v>
      </c>
      <c r="E1629">
        <v>894</v>
      </c>
      <c r="F1629" t="s">
        <v>77</v>
      </c>
      <c r="G1629" t="s">
        <v>746</v>
      </c>
      <c r="H1629">
        <v>2</v>
      </c>
      <c r="I1629">
        <v>27.62</v>
      </c>
      <c r="J1629" t="s">
        <v>839</v>
      </c>
      <c r="K1629" t="s">
        <v>812</v>
      </c>
      <c r="M1629" t="s">
        <v>1307</v>
      </c>
      <c r="R1629" t="s">
        <v>81</v>
      </c>
      <c r="U1629" t="s">
        <v>81</v>
      </c>
      <c r="W1629">
        <v>3</v>
      </c>
      <c r="X1629" t="s">
        <v>1135</v>
      </c>
      <c r="Z1629" t="s">
        <v>38</v>
      </c>
      <c r="AB1629" t="s">
        <v>921</v>
      </c>
      <c r="AC1629" t="s">
        <v>1185</v>
      </c>
      <c r="AD1629" t="s">
        <v>39</v>
      </c>
    </row>
    <row r="1630" spans="1:30" hidden="1" x14ac:dyDescent="0.25">
      <c r="A1630">
        <v>86</v>
      </c>
      <c r="B1630" t="s">
        <v>164</v>
      </c>
      <c r="C1630">
        <v>6</v>
      </c>
      <c r="D1630">
        <v>328</v>
      </c>
      <c r="E1630">
        <v>894</v>
      </c>
      <c r="F1630" t="s">
        <v>77</v>
      </c>
      <c r="G1630" t="s">
        <v>746</v>
      </c>
      <c r="H1630">
        <v>1</v>
      </c>
      <c r="I1630">
        <v>13.81</v>
      </c>
      <c r="J1630" t="s">
        <v>839</v>
      </c>
      <c r="K1630" t="s">
        <v>812</v>
      </c>
      <c r="M1630" t="s">
        <v>1307</v>
      </c>
      <c r="R1630" t="s">
        <v>81</v>
      </c>
      <c r="U1630" t="s">
        <v>81</v>
      </c>
      <c r="W1630">
        <v>3</v>
      </c>
      <c r="X1630" t="s">
        <v>1135</v>
      </c>
      <c r="Z1630" t="s">
        <v>38</v>
      </c>
      <c r="AB1630" t="s">
        <v>921</v>
      </c>
      <c r="AC1630" t="s">
        <v>1185</v>
      </c>
      <c r="AD1630" t="s">
        <v>39</v>
      </c>
    </row>
    <row r="1631" spans="1:30" hidden="1" x14ac:dyDescent="0.25">
      <c r="A1631">
        <v>87</v>
      </c>
      <c r="B1631" t="s">
        <v>165</v>
      </c>
      <c r="C1631">
        <v>6</v>
      </c>
      <c r="D1631">
        <v>328</v>
      </c>
      <c r="E1631">
        <v>894</v>
      </c>
      <c r="F1631" t="s">
        <v>77</v>
      </c>
      <c r="G1631" t="s">
        <v>746</v>
      </c>
      <c r="H1631">
        <v>2</v>
      </c>
      <c r="I1631">
        <v>27.62</v>
      </c>
      <c r="J1631" t="s">
        <v>839</v>
      </c>
      <c r="K1631" t="s">
        <v>812</v>
      </c>
      <c r="M1631" t="s">
        <v>1307</v>
      </c>
      <c r="R1631" t="s">
        <v>81</v>
      </c>
      <c r="U1631" t="s">
        <v>81</v>
      </c>
      <c r="W1631">
        <v>3</v>
      </c>
      <c r="X1631" t="s">
        <v>1135</v>
      </c>
      <c r="Z1631" t="s">
        <v>38</v>
      </c>
      <c r="AB1631" t="s">
        <v>921</v>
      </c>
      <c r="AC1631" t="s">
        <v>1185</v>
      </c>
      <c r="AD1631" t="s">
        <v>39</v>
      </c>
    </row>
    <row r="1632" spans="1:30" hidden="1" x14ac:dyDescent="0.25">
      <c r="A1632">
        <v>88</v>
      </c>
      <c r="B1632" t="s">
        <v>157</v>
      </c>
      <c r="C1632">
        <v>6</v>
      </c>
      <c r="D1632">
        <v>188</v>
      </c>
      <c r="E1632">
        <v>2491</v>
      </c>
      <c r="F1632" t="s">
        <v>77</v>
      </c>
      <c r="G1632" t="s">
        <v>746</v>
      </c>
      <c r="H1632">
        <v>2</v>
      </c>
      <c r="I1632">
        <v>43.37</v>
      </c>
      <c r="J1632" t="s">
        <v>839</v>
      </c>
      <c r="K1632" t="s">
        <v>812</v>
      </c>
      <c r="M1632" t="s">
        <v>1307</v>
      </c>
      <c r="R1632" t="s">
        <v>81</v>
      </c>
      <c r="U1632" t="s">
        <v>81</v>
      </c>
      <c r="V1632" t="s">
        <v>81</v>
      </c>
      <c r="W1632">
        <v>3</v>
      </c>
      <c r="X1632" t="s">
        <v>1135</v>
      </c>
      <c r="Z1632" t="s">
        <v>38</v>
      </c>
      <c r="AB1632" t="s">
        <v>921</v>
      </c>
      <c r="AC1632" t="s">
        <v>1185</v>
      </c>
      <c r="AD1632" t="s">
        <v>39</v>
      </c>
    </row>
    <row r="1633" spans="1:30" hidden="1" x14ac:dyDescent="0.25">
      <c r="A1633">
        <v>89</v>
      </c>
      <c r="B1633" t="s">
        <v>166</v>
      </c>
      <c r="C1633">
        <v>6</v>
      </c>
      <c r="D1633">
        <v>188</v>
      </c>
      <c r="E1633">
        <v>2483</v>
      </c>
      <c r="F1633" t="s">
        <v>77</v>
      </c>
      <c r="G1633" t="s">
        <v>746</v>
      </c>
      <c r="H1633">
        <v>8</v>
      </c>
      <c r="I1633">
        <v>172.99</v>
      </c>
      <c r="J1633" t="s">
        <v>839</v>
      </c>
      <c r="K1633" t="s">
        <v>812</v>
      </c>
      <c r="M1633" t="s">
        <v>1307</v>
      </c>
      <c r="R1633" t="s">
        <v>81</v>
      </c>
      <c r="U1633" t="s">
        <v>81</v>
      </c>
      <c r="V1633" t="s">
        <v>81</v>
      </c>
      <c r="W1633">
        <v>3</v>
      </c>
      <c r="X1633" t="s">
        <v>1135</v>
      </c>
      <c r="Z1633" t="s">
        <v>38</v>
      </c>
      <c r="AB1633" t="s">
        <v>921</v>
      </c>
      <c r="AC1633" t="s">
        <v>1185</v>
      </c>
      <c r="AD1633" t="s">
        <v>39</v>
      </c>
    </row>
    <row r="1634" spans="1:30" hidden="1" x14ac:dyDescent="0.25">
      <c r="A1634">
        <v>90</v>
      </c>
      <c r="B1634" t="s">
        <v>168</v>
      </c>
      <c r="C1634">
        <v>6</v>
      </c>
      <c r="D1634">
        <v>328</v>
      </c>
      <c r="E1634">
        <v>894</v>
      </c>
      <c r="F1634" t="s">
        <v>77</v>
      </c>
      <c r="G1634" t="s">
        <v>746</v>
      </c>
      <c r="H1634">
        <v>2</v>
      </c>
      <c r="I1634">
        <v>27.62</v>
      </c>
      <c r="J1634" t="s">
        <v>839</v>
      </c>
      <c r="K1634" t="s">
        <v>812</v>
      </c>
      <c r="M1634" t="s">
        <v>1307</v>
      </c>
      <c r="R1634" t="s">
        <v>81</v>
      </c>
      <c r="U1634" t="s">
        <v>81</v>
      </c>
      <c r="W1634">
        <v>3</v>
      </c>
      <c r="X1634" t="s">
        <v>1135</v>
      </c>
      <c r="Z1634" t="s">
        <v>38</v>
      </c>
      <c r="AB1634" t="s">
        <v>921</v>
      </c>
      <c r="AC1634" t="s">
        <v>1185</v>
      </c>
      <c r="AD1634" t="s">
        <v>39</v>
      </c>
    </row>
    <row r="1635" spans="1:30" hidden="1" x14ac:dyDescent="0.25">
      <c r="A1635">
        <v>91</v>
      </c>
      <c r="B1635" t="s">
        <v>116</v>
      </c>
      <c r="C1635">
        <v>6</v>
      </c>
      <c r="D1635">
        <v>298</v>
      </c>
      <c r="E1635">
        <v>378</v>
      </c>
      <c r="F1635" t="s">
        <v>77</v>
      </c>
      <c r="G1635" t="s">
        <v>746</v>
      </c>
      <c r="H1635">
        <v>1</v>
      </c>
      <c r="I1635">
        <v>5.27</v>
      </c>
      <c r="J1635" t="s">
        <v>839</v>
      </c>
      <c r="K1635" t="s">
        <v>812</v>
      </c>
      <c r="M1635" t="s">
        <v>1307</v>
      </c>
      <c r="Q1635" t="s">
        <v>26</v>
      </c>
      <c r="R1635" t="s">
        <v>81</v>
      </c>
      <c r="W1635">
        <v>3</v>
      </c>
      <c r="X1635" t="s">
        <v>1135</v>
      </c>
      <c r="Z1635" t="s">
        <v>38</v>
      </c>
      <c r="AB1635" t="s">
        <v>921</v>
      </c>
      <c r="AC1635" t="s">
        <v>1185</v>
      </c>
      <c r="AD1635" t="s">
        <v>39</v>
      </c>
    </row>
    <row r="1636" spans="1:30" hidden="1" x14ac:dyDescent="0.25">
      <c r="A1636">
        <v>92</v>
      </c>
      <c r="B1636" t="s">
        <v>166</v>
      </c>
      <c r="C1636">
        <v>6</v>
      </c>
      <c r="D1636">
        <v>188</v>
      </c>
      <c r="E1636">
        <v>2483</v>
      </c>
      <c r="F1636" t="s">
        <v>77</v>
      </c>
      <c r="G1636" t="s">
        <v>746</v>
      </c>
      <c r="H1636">
        <v>28</v>
      </c>
      <c r="I1636">
        <v>605.47</v>
      </c>
      <c r="J1636" t="s">
        <v>839</v>
      </c>
      <c r="K1636" t="s">
        <v>812</v>
      </c>
      <c r="M1636" t="s">
        <v>1307</v>
      </c>
      <c r="R1636" t="s">
        <v>81</v>
      </c>
      <c r="U1636" t="s">
        <v>81</v>
      </c>
      <c r="V1636" t="s">
        <v>81</v>
      </c>
      <c r="W1636">
        <v>3</v>
      </c>
      <c r="X1636" t="s">
        <v>1135</v>
      </c>
      <c r="Z1636" t="s">
        <v>38</v>
      </c>
      <c r="AB1636" t="s">
        <v>921</v>
      </c>
      <c r="AC1636" t="s">
        <v>1187</v>
      </c>
      <c r="AD1636" t="s">
        <v>39</v>
      </c>
    </row>
    <row r="1637" spans="1:30" hidden="1" x14ac:dyDescent="0.25">
      <c r="A1637">
        <v>93</v>
      </c>
      <c r="B1637" t="s">
        <v>116</v>
      </c>
      <c r="C1637">
        <v>6</v>
      </c>
      <c r="D1637">
        <v>298</v>
      </c>
      <c r="E1637">
        <v>378</v>
      </c>
      <c r="F1637" t="s">
        <v>77</v>
      </c>
      <c r="G1637" t="s">
        <v>746</v>
      </c>
      <c r="H1637">
        <v>5</v>
      </c>
      <c r="I1637">
        <v>26.34</v>
      </c>
      <c r="J1637" t="s">
        <v>839</v>
      </c>
      <c r="K1637" t="s">
        <v>812</v>
      </c>
      <c r="M1637" t="s">
        <v>1307</v>
      </c>
      <c r="Q1637" t="s">
        <v>26</v>
      </c>
      <c r="R1637" t="s">
        <v>81</v>
      </c>
      <c r="W1637">
        <v>3</v>
      </c>
      <c r="X1637" t="s">
        <v>1135</v>
      </c>
      <c r="Z1637" t="s">
        <v>38</v>
      </c>
      <c r="AB1637" t="s">
        <v>921</v>
      </c>
      <c r="AC1637" t="s">
        <v>1187</v>
      </c>
      <c r="AD1637" t="s">
        <v>39</v>
      </c>
    </row>
    <row r="1638" spans="1:30" hidden="1" x14ac:dyDescent="0.25">
      <c r="A1638">
        <v>94</v>
      </c>
      <c r="B1638" t="s">
        <v>123</v>
      </c>
      <c r="C1638">
        <v>6</v>
      </c>
      <c r="D1638">
        <v>298</v>
      </c>
      <c r="E1638">
        <v>378</v>
      </c>
      <c r="F1638" t="s">
        <v>77</v>
      </c>
      <c r="G1638" t="s">
        <v>746</v>
      </c>
      <c r="H1638">
        <v>7</v>
      </c>
      <c r="I1638">
        <v>36.869999999999997</v>
      </c>
      <c r="J1638" t="s">
        <v>839</v>
      </c>
      <c r="K1638" t="s">
        <v>812</v>
      </c>
      <c r="M1638" t="s">
        <v>1307</v>
      </c>
      <c r="Q1638" t="s">
        <v>26</v>
      </c>
      <c r="R1638" t="s">
        <v>81</v>
      </c>
      <c r="W1638">
        <v>3</v>
      </c>
      <c r="X1638" t="s">
        <v>1135</v>
      </c>
      <c r="Z1638" t="s">
        <v>38</v>
      </c>
      <c r="AB1638" t="s">
        <v>921</v>
      </c>
      <c r="AC1638" t="s">
        <v>1187</v>
      </c>
      <c r="AD1638" t="s">
        <v>39</v>
      </c>
    </row>
    <row r="1639" spans="1:30" hidden="1" x14ac:dyDescent="0.25">
      <c r="A1639">
        <v>95</v>
      </c>
      <c r="B1639" t="s">
        <v>171</v>
      </c>
      <c r="C1639">
        <v>6</v>
      </c>
      <c r="D1639">
        <v>298</v>
      </c>
      <c r="E1639">
        <v>378</v>
      </c>
      <c r="F1639" t="s">
        <v>77</v>
      </c>
      <c r="G1639" t="s">
        <v>746</v>
      </c>
      <c r="H1639">
        <v>14</v>
      </c>
      <c r="I1639">
        <v>73.75</v>
      </c>
      <c r="J1639" t="s">
        <v>839</v>
      </c>
      <c r="K1639" t="s">
        <v>812</v>
      </c>
      <c r="M1639" t="s">
        <v>1307</v>
      </c>
      <c r="Q1639" t="s">
        <v>26</v>
      </c>
      <c r="R1639" t="s">
        <v>81</v>
      </c>
      <c r="W1639">
        <v>3</v>
      </c>
      <c r="X1639" t="s">
        <v>1135</v>
      </c>
      <c r="Z1639" t="s">
        <v>38</v>
      </c>
      <c r="AB1639" t="s">
        <v>921</v>
      </c>
      <c r="AC1639" t="s">
        <v>1187</v>
      </c>
      <c r="AD1639" t="s">
        <v>39</v>
      </c>
    </row>
    <row r="1640" spans="1:30" hidden="1" x14ac:dyDescent="0.25">
      <c r="A1640">
        <v>96</v>
      </c>
      <c r="B1640" t="s">
        <v>172</v>
      </c>
      <c r="C1640">
        <v>6</v>
      </c>
      <c r="D1640">
        <v>188</v>
      </c>
      <c r="E1640">
        <v>2483</v>
      </c>
      <c r="F1640" t="s">
        <v>77</v>
      </c>
      <c r="G1640" t="s">
        <v>746</v>
      </c>
      <c r="H1640">
        <v>24</v>
      </c>
      <c r="I1640">
        <v>518.97</v>
      </c>
      <c r="J1640" t="s">
        <v>839</v>
      </c>
      <c r="K1640" t="s">
        <v>812</v>
      </c>
      <c r="M1640" t="s">
        <v>1307</v>
      </c>
      <c r="R1640" t="s">
        <v>81</v>
      </c>
      <c r="U1640" t="s">
        <v>81</v>
      </c>
      <c r="V1640" t="s">
        <v>81</v>
      </c>
      <c r="W1640">
        <v>3</v>
      </c>
      <c r="X1640" t="s">
        <v>1135</v>
      </c>
      <c r="Z1640" t="s">
        <v>38</v>
      </c>
      <c r="AB1640" t="s">
        <v>921</v>
      </c>
      <c r="AC1640" t="s">
        <v>1189</v>
      </c>
      <c r="AD1640" t="s">
        <v>39</v>
      </c>
    </row>
    <row r="1641" spans="1:30" hidden="1" x14ac:dyDescent="0.25">
      <c r="A1641">
        <v>97</v>
      </c>
      <c r="B1641" t="s">
        <v>166</v>
      </c>
      <c r="C1641">
        <v>6</v>
      </c>
      <c r="D1641">
        <v>188</v>
      </c>
      <c r="E1641">
        <v>2483</v>
      </c>
      <c r="F1641" t="s">
        <v>77</v>
      </c>
      <c r="G1641" t="s">
        <v>746</v>
      </c>
      <c r="H1641">
        <v>4</v>
      </c>
      <c r="I1641">
        <v>86.5</v>
      </c>
      <c r="J1641" t="s">
        <v>839</v>
      </c>
      <c r="K1641" t="s">
        <v>812</v>
      </c>
      <c r="M1641" t="s">
        <v>1307</v>
      </c>
      <c r="R1641" t="s">
        <v>81</v>
      </c>
      <c r="U1641" t="s">
        <v>81</v>
      </c>
      <c r="V1641" t="s">
        <v>81</v>
      </c>
      <c r="W1641">
        <v>3</v>
      </c>
      <c r="X1641" t="s">
        <v>1135</v>
      </c>
      <c r="Z1641" t="s">
        <v>38</v>
      </c>
      <c r="AB1641" t="s">
        <v>921</v>
      </c>
      <c r="AC1641" t="s">
        <v>1189</v>
      </c>
      <c r="AD1641" t="s">
        <v>39</v>
      </c>
    </row>
    <row r="1642" spans="1:30" hidden="1" x14ac:dyDescent="0.25">
      <c r="A1642">
        <v>98</v>
      </c>
      <c r="B1642" t="s">
        <v>116</v>
      </c>
      <c r="C1642">
        <v>6</v>
      </c>
      <c r="D1642">
        <v>298</v>
      </c>
      <c r="E1642">
        <v>378</v>
      </c>
      <c r="F1642" t="s">
        <v>77</v>
      </c>
      <c r="G1642" t="s">
        <v>746</v>
      </c>
      <c r="H1642">
        <v>6</v>
      </c>
      <c r="I1642">
        <v>31.61</v>
      </c>
      <c r="J1642" t="s">
        <v>839</v>
      </c>
      <c r="K1642" t="s">
        <v>812</v>
      </c>
      <c r="M1642" t="s">
        <v>1307</v>
      </c>
      <c r="Q1642" t="s">
        <v>26</v>
      </c>
      <c r="R1642" t="s">
        <v>81</v>
      </c>
      <c r="W1642">
        <v>3</v>
      </c>
      <c r="X1642" t="s">
        <v>1135</v>
      </c>
      <c r="Z1642" t="s">
        <v>38</v>
      </c>
      <c r="AB1642" t="s">
        <v>921</v>
      </c>
      <c r="AC1642" t="s">
        <v>1189</v>
      </c>
      <c r="AD1642" t="s">
        <v>39</v>
      </c>
    </row>
    <row r="1643" spans="1:30" hidden="1" x14ac:dyDescent="0.25">
      <c r="A1643">
        <v>99</v>
      </c>
      <c r="B1643" t="s">
        <v>123</v>
      </c>
      <c r="C1643">
        <v>6</v>
      </c>
      <c r="D1643">
        <v>298</v>
      </c>
      <c r="E1643">
        <v>378</v>
      </c>
      <c r="F1643" t="s">
        <v>77</v>
      </c>
      <c r="G1643" t="s">
        <v>746</v>
      </c>
      <c r="H1643">
        <v>20</v>
      </c>
      <c r="I1643">
        <v>105.36</v>
      </c>
      <c r="J1643" t="s">
        <v>839</v>
      </c>
      <c r="K1643" t="s">
        <v>812</v>
      </c>
      <c r="M1643" t="s">
        <v>1307</v>
      </c>
      <c r="Q1643" t="s">
        <v>26</v>
      </c>
      <c r="R1643" t="s">
        <v>81</v>
      </c>
      <c r="W1643">
        <v>3</v>
      </c>
      <c r="X1643" t="s">
        <v>1135</v>
      </c>
      <c r="Z1643" t="s">
        <v>38</v>
      </c>
      <c r="AB1643" t="s">
        <v>921</v>
      </c>
      <c r="AC1643" t="s">
        <v>1189</v>
      </c>
      <c r="AD1643" t="s">
        <v>39</v>
      </c>
    </row>
    <row r="1644" spans="1:30" hidden="1" x14ac:dyDescent="0.25">
      <c r="A1644">
        <v>100</v>
      </c>
      <c r="B1644" t="s">
        <v>175</v>
      </c>
      <c r="C1644">
        <v>6</v>
      </c>
      <c r="D1644">
        <v>328</v>
      </c>
      <c r="E1644">
        <v>934</v>
      </c>
      <c r="F1644" t="s">
        <v>77</v>
      </c>
      <c r="G1644" t="s">
        <v>746</v>
      </c>
      <c r="H1644">
        <v>2</v>
      </c>
      <c r="I1644">
        <v>28.86</v>
      </c>
      <c r="J1644" t="s">
        <v>839</v>
      </c>
      <c r="K1644" t="s">
        <v>812</v>
      </c>
      <c r="M1644" t="s">
        <v>1307</v>
      </c>
      <c r="R1644" t="s">
        <v>81</v>
      </c>
      <c r="U1644" t="s">
        <v>81</v>
      </c>
      <c r="W1644">
        <v>3</v>
      </c>
      <c r="X1644" t="s">
        <v>1135</v>
      </c>
      <c r="Z1644" t="s">
        <v>38</v>
      </c>
      <c r="AB1644" t="s">
        <v>921</v>
      </c>
      <c r="AC1644" t="s">
        <v>1191</v>
      </c>
      <c r="AD1644" t="s">
        <v>39</v>
      </c>
    </row>
    <row r="1645" spans="1:30" hidden="1" x14ac:dyDescent="0.25">
      <c r="A1645">
        <v>101</v>
      </c>
      <c r="B1645" t="s">
        <v>178</v>
      </c>
      <c r="C1645">
        <v>6</v>
      </c>
      <c r="D1645">
        <v>328</v>
      </c>
      <c r="E1645">
        <v>934</v>
      </c>
      <c r="F1645" t="s">
        <v>77</v>
      </c>
      <c r="G1645" t="s">
        <v>746</v>
      </c>
      <c r="H1645">
        <v>4</v>
      </c>
      <c r="I1645">
        <v>57.72</v>
      </c>
      <c r="J1645" t="s">
        <v>839</v>
      </c>
      <c r="K1645" t="s">
        <v>812</v>
      </c>
      <c r="M1645" t="s">
        <v>1307</v>
      </c>
      <c r="R1645" t="s">
        <v>81</v>
      </c>
      <c r="U1645" t="s">
        <v>81</v>
      </c>
      <c r="W1645">
        <v>3</v>
      </c>
      <c r="X1645" t="s">
        <v>1135</v>
      </c>
      <c r="Z1645" t="s">
        <v>38</v>
      </c>
      <c r="AB1645" t="s">
        <v>921</v>
      </c>
      <c r="AC1645" t="s">
        <v>1191</v>
      </c>
      <c r="AD1645" t="s">
        <v>39</v>
      </c>
    </row>
    <row r="1646" spans="1:30" hidden="1" x14ac:dyDescent="0.25">
      <c r="A1646">
        <v>102</v>
      </c>
      <c r="B1646" t="s">
        <v>179</v>
      </c>
      <c r="C1646">
        <v>6</v>
      </c>
      <c r="D1646">
        <v>328</v>
      </c>
      <c r="E1646">
        <v>934</v>
      </c>
      <c r="F1646" t="s">
        <v>77</v>
      </c>
      <c r="G1646" t="s">
        <v>746</v>
      </c>
      <c r="H1646">
        <v>2</v>
      </c>
      <c r="I1646">
        <v>28.86</v>
      </c>
      <c r="J1646" t="s">
        <v>839</v>
      </c>
      <c r="K1646" t="s">
        <v>812</v>
      </c>
      <c r="M1646" t="s">
        <v>1307</v>
      </c>
      <c r="R1646" t="s">
        <v>81</v>
      </c>
      <c r="U1646" t="s">
        <v>81</v>
      </c>
      <c r="W1646">
        <v>3</v>
      </c>
      <c r="X1646" t="s">
        <v>1135</v>
      </c>
      <c r="Z1646" t="s">
        <v>38</v>
      </c>
      <c r="AB1646" t="s">
        <v>921</v>
      </c>
      <c r="AC1646" t="s">
        <v>1191</v>
      </c>
      <c r="AD1646" t="s">
        <v>39</v>
      </c>
    </row>
    <row r="1647" spans="1:30" hidden="1" x14ac:dyDescent="0.25">
      <c r="A1647">
        <v>103</v>
      </c>
      <c r="B1647" t="s">
        <v>172</v>
      </c>
      <c r="C1647">
        <v>6</v>
      </c>
      <c r="D1647">
        <v>188</v>
      </c>
      <c r="E1647">
        <v>2483</v>
      </c>
      <c r="F1647" t="s">
        <v>77</v>
      </c>
      <c r="G1647" t="s">
        <v>746</v>
      </c>
      <c r="H1647">
        <v>16</v>
      </c>
      <c r="I1647">
        <v>345.98</v>
      </c>
      <c r="J1647" t="s">
        <v>839</v>
      </c>
      <c r="K1647" t="s">
        <v>812</v>
      </c>
      <c r="M1647" t="s">
        <v>1307</v>
      </c>
      <c r="R1647" t="s">
        <v>81</v>
      </c>
      <c r="U1647" t="s">
        <v>81</v>
      </c>
      <c r="V1647" t="s">
        <v>81</v>
      </c>
      <c r="W1647">
        <v>3</v>
      </c>
      <c r="X1647" t="s">
        <v>1135</v>
      </c>
      <c r="Z1647" t="s">
        <v>38</v>
      </c>
      <c r="AB1647" t="s">
        <v>921</v>
      </c>
      <c r="AC1647" t="s">
        <v>1191</v>
      </c>
      <c r="AD1647" t="s">
        <v>39</v>
      </c>
    </row>
    <row r="1648" spans="1:30" hidden="1" x14ac:dyDescent="0.25">
      <c r="A1648">
        <v>104</v>
      </c>
      <c r="B1648" t="s">
        <v>180</v>
      </c>
      <c r="C1648">
        <v>6</v>
      </c>
      <c r="D1648">
        <v>188</v>
      </c>
      <c r="E1648">
        <v>2483</v>
      </c>
      <c r="F1648" t="s">
        <v>77</v>
      </c>
      <c r="G1648" t="s">
        <v>746</v>
      </c>
      <c r="H1648">
        <v>12</v>
      </c>
      <c r="I1648">
        <v>259.49</v>
      </c>
      <c r="J1648" t="s">
        <v>839</v>
      </c>
      <c r="K1648" t="s">
        <v>812</v>
      </c>
      <c r="M1648" t="s">
        <v>1307</v>
      </c>
      <c r="R1648" t="s">
        <v>81</v>
      </c>
      <c r="U1648" t="s">
        <v>81</v>
      </c>
      <c r="V1648" t="s">
        <v>81</v>
      </c>
      <c r="W1648">
        <v>3</v>
      </c>
      <c r="X1648" t="s">
        <v>1135</v>
      </c>
      <c r="Z1648" t="s">
        <v>38</v>
      </c>
      <c r="AB1648" t="s">
        <v>921</v>
      </c>
      <c r="AC1648" t="s">
        <v>1191</v>
      </c>
      <c r="AD1648" t="s">
        <v>39</v>
      </c>
    </row>
    <row r="1649" spans="1:30" hidden="1" x14ac:dyDescent="0.25">
      <c r="A1649">
        <v>105</v>
      </c>
      <c r="B1649" t="s">
        <v>175</v>
      </c>
      <c r="C1649">
        <v>6</v>
      </c>
      <c r="D1649">
        <v>328</v>
      </c>
      <c r="E1649">
        <v>934</v>
      </c>
      <c r="F1649" t="s">
        <v>77</v>
      </c>
      <c r="G1649" t="s">
        <v>746</v>
      </c>
      <c r="H1649">
        <v>2</v>
      </c>
      <c r="I1649">
        <v>28.86</v>
      </c>
      <c r="J1649" t="s">
        <v>839</v>
      </c>
      <c r="K1649" t="s">
        <v>812</v>
      </c>
      <c r="M1649" t="s">
        <v>1307</v>
      </c>
      <c r="R1649" t="s">
        <v>81</v>
      </c>
      <c r="U1649" t="s">
        <v>81</v>
      </c>
      <c r="W1649">
        <v>3</v>
      </c>
      <c r="X1649" t="s">
        <v>1135</v>
      </c>
      <c r="Z1649" t="s">
        <v>38</v>
      </c>
      <c r="AB1649" t="s">
        <v>921</v>
      </c>
      <c r="AC1649" t="s">
        <v>1193</v>
      </c>
      <c r="AD1649" t="s">
        <v>39</v>
      </c>
    </row>
    <row r="1650" spans="1:30" hidden="1" x14ac:dyDescent="0.25">
      <c r="A1650">
        <v>106</v>
      </c>
      <c r="B1650" t="s">
        <v>178</v>
      </c>
      <c r="C1650">
        <v>6</v>
      </c>
      <c r="D1650">
        <v>328</v>
      </c>
      <c r="E1650">
        <v>934</v>
      </c>
      <c r="F1650" t="s">
        <v>77</v>
      </c>
      <c r="G1650" t="s">
        <v>746</v>
      </c>
      <c r="H1650">
        <v>1</v>
      </c>
      <c r="I1650">
        <v>14.43</v>
      </c>
      <c r="J1650" t="s">
        <v>839</v>
      </c>
      <c r="K1650" t="s">
        <v>812</v>
      </c>
      <c r="M1650" t="s">
        <v>1307</v>
      </c>
      <c r="R1650" t="s">
        <v>81</v>
      </c>
      <c r="U1650" t="s">
        <v>81</v>
      </c>
      <c r="W1650">
        <v>3</v>
      </c>
      <c r="X1650" t="s">
        <v>1135</v>
      </c>
      <c r="Z1650" t="s">
        <v>38</v>
      </c>
      <c r="AB1650" t="s">
        <v>921</v>
      </c>
      <c r="AC1650" t="s">
        <v>1193</v>
      </c>
      <c r="AD1650" t="s">
        <v>39</v>
      </c>
    </row>
    <row r="1651" spans="1:30" hidden="1" x14ac:dyDescent="0.25">
      <c r="A1651">
        <v>107</v>
      </c>
      <c r="B1651" t="s">
        <v>179</v>
      </c>
      <c r="C1651">
        <v>6</v>
      </c>
      <c r="D1651">
        <v>328</v>
      </c>
      <c r="E1651">
        <v>934</v>
      </c>
      <c r="F1651" t="s">
        <v>77</v>
      </c>
      <c r="G1651" t="s">
        <v>746</v>
      </c>
      <c r="H1651">
        <v>5</v>
      </c>
      <c r="I1651">
        <v>72.150000000000006</v>
      </c>
      <c r="J1651" t="s">
        <v>839</v>
      </c>
      <c r="K1651" t="s">
        <v>812</v>
      </c>
      <c r="M1651" t="s">
        <v>1307</v>
      </c>
      <c r="R1651" t="s">
        <v>81</v>
      </c>
      <c r="U1651" t="s">
        <v>81</v>
      </c>
      <c r="W1651">
        <v>3</v>
      </c>
      <c r="X1651" t="s">
        <v>1135</v>
      </c>
      <c r="Z1651" t="s">
        <v>38</v>
      </c>
      <c r="AB1651" t="s">
        <v>921</v>
      </c>
      <c r="AC1651" t="s">
        <v>1193</v>
      </c>
      <c r="AD1651" t="s">
        <v>39</v>
      </c>
    </row>
    <row r="1652" spans="1:30" hidden="1" x14ac:dyDescent="0.25">
      <c r="A1652">
        <v>108</v>
      </c>
      <c r="B1652" t="s">
        <v>180</v>
      </c>
      <c r="C1652">
        <v>6</v>
      </c>
      <c r="D1652">
        <v>188</v>
      </c>
      <c r="E1652">
        <v>2483</v>
      </c>
      <c r="F1652" t="s">
        <v>77</v>
      </c>
      <c r="G1652" t="s">
        <v>746</v>
      </c>
      <c r="H1652">
        <v>28</v>
      </c>
      <c r="I1652">
        <v>605.47</v>
      </c>
      <c r="J1652" t="s">
        <v>839</v>
      </c>
      <c r="K1652" t="s">
        <v>812</v>
      </c>
      <c r="M1652" t="s">
        <v>1307</v>
      </c>
      <c r="R1652" t="s">
        <v>81</v>
      </c>
      <c r="U1652" t="s">
        <v>81</v>
      </c>
      <c r="V1652" t="s">
        <v>81</v>
      </c>
      <c r="W1652">
        <v>3</v>
      </c>
      <c r="X1652" t="s">
        <v>1135</v>
      </c>
      <c r="Z1652" t="s">
        <v>38</v>
      </c>
      <c r="AB1652" t="s">
        <v>921</v>
      </c>
      <c r="AC1652" t="s">
        <v>1193</v>
      </c>
      <c r="AD1652" t="s">
        <v>39</v>
      </c>
    </row>
    <row r="1653" spans="1:30" hidden="1" x14ac:dyDescent="0.25">
      <c r="A1653">
        <v>109</v>
      </c>
      <c r="B1653" t="s">
        <v>175</v>
      </c>
      <c r="C1653">
        <v>6</v>
      </c>
      <c r="D1653">
        <v>328</v>
      </c>
      <c r="E1653">
        <v>934</v>
      </c>
      <c r="F1653" t="s">
        <v>77</v>
      </c>
      <c r="G1653" t="s">
        <v>746</v>
      </c>
      <c r="H1653">
        <v>2</v>
      </c>
      <c r="I1653">
        <v>28.86</v>
      </c>
      <c r="J1653" t="s">
        <v>839</v>
      </c>
      <c r="K1653" t="s">
        <v>812</v>
      </c>
      <c r="M1653" t="s">
        <v>1307</v>
      </c>
      <c r="R1653" t="s">
        <v>81</v>
      </c>
      <c r="U1653" t="s">
        <v>81</v>
      </c>
      <c r="W1653">
        <v>3</v>
      </c>
      <c r="X1653" t="s">
        <v>1135</v>
      </c>
      <c r="Z1653" t="s">
        <v>38</v>
      </c>
      <c r="AB1653" t="s">
        <v>921</v>
      </c>
      <c r="AC1653" t="s">
        <v>1195</v>
      </c>
      <c r="AD1653" t="s">
        <v>39</v>
      </c>
    </row>
    <row r="1654" spans="1:30" hidden="1" x14ac:dyDescent="0.25">
      <c r="A1654">
        <v>110</v>
      </c>
      <c r="B1654" t="s">
        <v>178</v>
      </c>
      <c r="C1654">
        <v>6</v>
      </c>
      <c r="D1654">
        <v>328</v>
      </c>
      <c r="E1654">
        <v>934</v>
      </c>
      <c r="F1654" t="s">
        <v>77</v>
      </c>
      <c r="G1654" t="s">
        <v>746</v>
      </c>
      <c r="H1654">
        <v>1</v>
      </c>
      <c r="I1654">
        <v>14.43</v>
      </c>
      <c r="J1654" t="s">
        <v>839</v>
      </c>
      <c r="K1654" t="s">
        <v>812</v>
      </c>
      <c r="M1654" t="s">
        <v>1307</v>
      </c>
      <c r="R1654" t="s">
        <v>81</v>
      </c>
      <c r="U1654" t="s">
        <v>81</v>
      </c>
      <c r="W1654">
        <v>3</v>
      </c>
      <c r="X1654" t="s">
        <v>1135</v>
      </c>
      <c r="Z1654" t="s">
        <v>38</v>
      </c>
      <c r="AB1654" t="s">
        <v>921</v>
      </c>
      <c r="AC1654" t="s">
        <v>1195</v>
      </c>
      <c r="AD1654" t="s">
        <v>39</v>
      </c>
    </row>
    <row r="1655" spans="1:30" hidden="1" x14ac:dyDescent="0.25">
      <c r="A1655">
        <v>111</v>
      </c>
      <c r="B1655" t="s">
        <v>179</v>
      </c>
      <c r="C1655">
        <v>6</v>
      </c>
      <c r="D1655">
        <v>328</v>
      </c>
      <c r="E1655">
        <v>934</v>
      </c>
      <c r="F1655" t="s">
        <v>77</v>
      </c>
      <c r="G1655" t="s">
        <v>746</v>
      </c>
      <c r="H1655">
        <v>1</v>
      </c>
      <c r="I1655">
        <v>14.43</v>
      </c>
      <c r="J1655" t="s">
        <v>839</v>
      </c>
      <c r="K1655" t="s">
        <v>812</v>
      </c>
      <c r="M1655" t="s">
        <v>1307</v>
      </c>
      <c r="R1655" t="s">
        <v>81</v>
      </c>
      <c r="U1655" t="s">
        <v>81</v>
      </c>
      <c r="W1655">
        <v>3</v>
      </c>
      <c r="X1655" t="s">
        <v>1135</v>
      </c>
      <c r="Z1655" t="s">
        <v>38</v>
      </c>
      <c r="AB1655" t="s">
        <v>921</v>
      </c>
      <c r="AC1655" t="s">
        <v>1195</v>
      </c>
      <c r="AD1655" t="s">
        <v>39</v>
      </c>
    </row>
    <row r="1656" spans="1:30" hidden="1" x14ac:dyDescent="0.25">
      <c r="A1656">
        <v>112</v>
      </c>
      <c r="B1656" t="s">
        <v>185</v>
      </c>
      <c r="C1656">
        <v>6</v>
      </c>
      <c r="D1656">
        <v>188</v>
      </c>
      <c r="E1656">
        <v>2483</v>
      </c>
      <c r="F1656" t="s">
        <v>77</v>
      </c>
      <c r="G1656" t="s">
        <v>746</v>
      </c>
      <c r="H1656">
        <v>28</v>
      </c>
      <c r="I1656">
        <v>605.47</v>
      </c>
      <c r="J1656" t="s">
        <v>839</v>
      </c>
      <c r="K1656" t="s">
        <v>812</v>
      </c>
      <c r="M1656" t="s">
        <v>1307</v>
      </c>
      <c r="R1656" t="s">
        <v>81</v>
      </c>
      <c r="U1656" t="s">
        <v>81</v>
      </c>
      <c r="V1656" t="s">
        <v>81</v>
      </c>
      <c r="W1656">
        <v>3</v>
      </c>
      <c r="X1656" t="s">
        <v>1135</v>
      </c>
      <c r="Z1656" t="s">
        <v>38</v>
      </c>
      <c r="AB1656" t="s">
        <v>921</v>
      </c>
      <c r="AC1656" t="s">
        <v>1195</v>
      </c>
      <c r="AD1656" t="s">
        <v>39</v>
      </c>
    </row>
    <row r="1657" spans="1:30" hidden="1" x14ac:dyDescent="0.25">
      <c r="A1657">
        <v>113</v>
      </c>
      <c r="B1657" t="s">
        <v>138</v>
      </c>
      <c r="C1657">
        <v>6</v>
      </c>
      <c r="D1657">
        <v>328</v>
      </c>
      <c r="E1657">
        <v>934</v>
      </c>
      <c r="F1657" t="s">
        <v>77</v>
      </c>
      <c r="G1657" t="s">
        <v>746</v>
      </c>
      <c r="H1657">
        <v>2</v>
      </c>
      <c r="I1657">
        <v>28.86</v>
      </c>
      <c r="J1657" t="s">
        <v>839</v>
      </c>
      <c r="K1657" t="s">
        <v>812</v>
      </c>
      <c r="M1657" t="s">
        <v>1307</v>
      </c>
      <c r="R1657" t="s">
        <v>81</v>
      </c>
      <c r="U1657" t="s">
        <v>81</v>
      </c>
      <c r="W1657">
        <v>3</v>
      </c>
      <c r="X1657" t="s">
        <v>1135</v>
      </c>
      <c r="Z1657" t="s">
        <v>38</v>
      </c>
      <c r="AB1657" t="s">
        <v>921</v>
      </c>
      <c r="AC1657" t="s">
        <v>1195</v>
      </c>
      <c r="AD1657" t="s">
        <v>39</v>
      </c>
    </row>
    <row r="1658" spans="1:30" hidden="1" x14ac:dyDescent="0.25">
      <c r="A1658">
        <v>114</v>
      </c>
      <c r="B1658" t="s">
        <v>154</v>
      </c>
      <c r="C1658">
        <v>6</v>
      </c>
      <c r="D1658">
        <v>328</v>
      </c>
      <c r="E1658">
        <v>934</v>
      </c>
      <c r="F1658" t="s">
        <v>77</v>
      </c>
      <c r="G1658" t="s">
        <v>746</v>
      </c>
      <c r="H1658">
        <v>2</v>
      </c>
      <c r="I1658">
        <v>28.86</v>
      </c>
      <c r="J1658" t="s">
        <v>839</v>
      </c>
      <c r="K1658" t="s">
        <v>812</v>
      </c>
      <c r="M1658" t="s">
        <v>1307</v>
      </c>
      <c r="R1658" t="s">
        <v>81</v>
      </c>
      <c r="U1658" t="s">
        <v>81</v>
      </c>
      <c r="W1658">
        <v>3</v>
      </c>
      <c r="X1658" t="s">
        <v>1135</v>
      </c>
      <c r="Z1658" t="s">
        <v>38</v>
      </c>
      <c r="AB1658" t="s">
        <v>921</v>
      </c>
      <c r="AC1658" t="s">
        <v>1195</v>
      </c>
      <c r="AD1658" t="s">
        <v>39</v>
      </c>
    </row>
    <row r="1659" spans="1:30" hidden="1" x14ac:dyDescent="0.25">
      <c r="A1659">
        <v>115</v>
      </c>
      <c r="B1659" t="s">
        <v>186</v>
      </c>
      <c r="C1659">
        <v>6</v>
      </c>
      <c r="D1659">
        <v>328</v>
      </c>
      <c r="E1659">
        <v>894</v>
      </c>
      <c r="F1659" t="s">
        <v>77</v>
      </c>
      <c r="G1659" t="s">
        <v>746</v>
      </c>
      <c r="H1659">
        <v>2</v>
      </c>
      <c r="I1659">
        <v>27.62</v>
      </c>
      <c r="J1659" t="s">
        <v>839</v>
      </c>
      <c r="K1659" t="s">
        <v>812</v>
      </c>
      <c r="M1659" t="s">
        <v>1307</v>
      </c>
      <c r="R1659" t="s">
        <v>81</v>
      </c>
      <c r="U1659" t="s">
        <v>81</v>
      </c>
      <c r="W1659">
        <v>3</v>
      </c>
      <c r="X1659" t="s">
        <v>1135</v>
      </c>
      <c r="Z1659" t="s">
        <v>38</v>
      </c>
      <c r="AB1659" t="s">
        <v>921</v>
      </c>
      <c r="AC1659" t="s">
        <v>1197</v>
      </c>
      <c r="AD1659" t="s">
        <v>39</v>
      </c>
    </row>
    <row r="1660" spans="1:30" hidden="1" x14ac:dyDescent="0.25">
      <c r="A1660">
        <v>116</v>
      </c>
      <c r="B1660" t="s">
        <v>189</v>
      </c>
      <c r="C1660">
        <v>6</v>
      </c>
      <c r="D1660">
        <v>188</v>
      </c>
      <c r="E1660">
        <v>2481</v>
      </c>
      <c r="F1660" t="s">
        <v>77</v>
      </c>
      <c r="G1660" t="s">
        <v>746</v>
      </c>
      <c r="H1660">
        <v>2</v>
      </c>
      <c r="I1660">
        <v>43.22</v>
      </c>
      <c r="J1660" t="s">
        <v>839</v>
      </c>
      <c r="K1660" t="s">
        <v>812</v>
      </c>
      <c r="M1660" t="s">
        <v>1307</v>
      </c>
      <c r="R1660" t="s">
        <v>81</v>
      </c>
      <c r="U1660" t="s">
        <v>81</v>
      </c>
      <c r="V1660" t="s">
        <v>81</v>
      </c>
      <c r="W1660">
        <v>3</v>
      </c>
      <c r="X1660" t="s">
        <v>1135</v>
      </c>
      <c r="Z1660" t="s">
        <v>38</v>
      </c>
      <c r="AB1660" t="s">
        <v>921</v>
      </c>
      <c r="AC1660" t="s">
        <v>1197</v>
      </c>
      <c r="AD1660" t="s">
        <v>39</v>
      </c>
    </row>
    <row r="1661" spans="1:30" hidden="1" x14ac:dyDescent="0.25">
      <c r="A1661">
        <v>117</v>
      </c>
      <c r="B1661" t="s">
        <v>191</v>
      </c>
      <c r="C1661">
        <v>6</v>
      </c>
      <c r="D1661">
        <v>188</v>
      </c>
      <c r="E1661">
        <v>2481</v>
      </c>
      <c r="F1661" t="s">
        <v>77</v>
      </c>
      <c r="G1661" t="s">
        <v>746</v>
      </c>
      <c r="H1661">
        <v>2</v>
      </c>
      <c r="I1661">
        <v>43.22</v>
      </c>
      <c r="J1661" t="s">
        <v>839</v>
      </c>
      <c r="K1661" t="s">
        <v>812</v>
      </c>
      <c r="M1661" t="s">
        <v>1307</v>
      </c>
      <c r="R1661" t="s">
        <v>81</v>
      </c>
      <c r="U1661" t="s">
        <v>81</v>
      </c>
      <c r="V1661" t="s">
        <v>81</v>
      </c>
      <c r="W1661">
        <v>3</v>
      </c>
      <c r="X1661" t="s">
        <v>1135</v>
      </c>
      <c r="Z1661" t="s">
        <v>38</v>
      </c>
      <c r="AB1661" t="s">
        <v>921</v>
      </c>
      <c r="AC1661" t="s">
        <v>1197</v>
      </c>
      <c r="AD1661" t="s">
        <v>39</v>
      </c>
    </row>
    <row r="1662" spans="1:30" hidden="1" x14ac:dyDescent="0.25">
      <c r="A1662">
        <v>118</v>
      </c>
      <c r="B1662" t="s">
        <v>192</v>
      </c>
      <c r="C1662">
        <v>6</v>
      </c>
      <c r="D1662">
        <v>188</v>
      </c>
      <c r="E1662">
        <v>2480</v>
      </c>
      <c r="F1662" t="s">
        <v>77</v>
      </c>
      <c r="G1662" t="s">
        <v>746</v>
      </c>
      <c r="H1662">
        <v>2</v>
      </c>
      <c r="I1662">
        <v>43.2</v>
      </c>
      <c r="J1662" t="s">
        <v>839</v>
      </c>
      <c r="K1662" t="s">
        <v>812</v>
      </c>
      <c r="M1662" t="s">
        <v>1307</v>
      </c>
      <c r="R1662" t="s">
        <v>81</v>
      </c>
      <c r="U1662" t="s">
        <v>81</v>
      </c>
      <c r="V1662" t="s">
        <v>81</v>
      </c>
      <c r="W1662">
        <v>3</v>
      </c>
      <c r="X1662" t="s">
        <v>1135</v>
      </c>
      <c r="Z1662" t="s">
        <v>38</v>
      </c>
      <c r="AB1662" t="s">
        <v>921</v>
      </c>
      <c r="AC1662" t="s">
        <v>1197</v>
      </c>
      <c r="AD1662" t="s">
        <v>39</v>
      </c>
    </row>
    <row r="1663" spans="1:30" hidden="1" x14ac:dyDescent="0.25">
      <c r="A1663">
        <v>119</v>
      </c>
      <c r="B1663" t="s">
        <v>194</v>
      </c>
      <c r="C1663">
        <v>6</v>
      </c>
      <c r="D1663">
        <v>188</v>
      </c>
      <c r="E1663">
        <v>2480</v>
      </c>
      <c r="F1663" t="s">
        <v>77</v>
      </c>
      <c r="G1663" t="s">
        <v>746</v>
      </c>
      <c r="H1663">
        <v>2</v>
      </c>
      <c r="I1663">
        <v>43.21</v>
      </c>
      <c r="J1663" t="s">
        <v>839</v>
      </c>
      <c r="K1663" t="s">
        <v>812</v>
      </c>
      <c r="M1663" t="s">
        <v>1307</v>
      </c>
      <c r="R1663" t="s">
        <v>81</v>
      </c>
      <c r="U1663" t="s">
        <v>81</v>
      </c>
      <c r="V1663" t="s">
        <v>81</v>
      </c>
      <c r="W1663">
        <v>3</v>
      </c>
      <c r="X1663" t="s">
        <v>1135</v>
      </c>
      <c r="Z1663" t="s">
        <v>38</v>
      </c>
      <c r="AB1663" t="s">
        <v>921</v>
      </c>
      <c r="AC1663" t="s">
        <v>1197</v>
      </c>
      <c r="AD1663" t="s">
        <v>39</v>
      </c>
    </row>
    <row r="1664" spans="1:30" hidden="1" x14ac:dyDescent="0.25">
      <c r="A1664">
        <v>120</v>
      </c>
      <c r="B1664" t="s">
        <v>195</v>
      </c>
      <c r="C1664">
        <v>6</v>
      </c>
      <c r="D1664">
        <v>328</v>
      </c>
      <c r="E1664">
        <v>934</v>
      </c>
      <c r="F1664" t="s">
        <v>77</v>
      </c>
      <c r="G1664" t="s">
        <v>746</v>
      </c>
      <c r="H1664">
        <v>2</v>
      </c>
      <c r="I1664">
        <v>28.86</v>
      </c>
      <c r="J1664" t="s">
        <v>839</v>
      </c>
      <c r="K1664" t="s">
        <v>812</v>
      </c>
      <c r="M1664" t="s">
        <v>1307</v>
      </c>
      <c r="R1664" t="s">
        <v>81</v>
      </c>
      <c r="U1664" t="s">
        <v>81</v>
      </c>
      <c r="W1664">
        <v>3</v>
      </c>
      <c r="X1664" t="s">
        <v>1135</v>
      </c>
      <c r="Z1664" t="s">
        <v>38</v>
      </c>
      <c r="AB1664" t="s">
        <v>921</v>
      </c>
      <c r="AC1664" t="s">
        <v>1197</v>
      </c>
      <c r="AD1664" t="s">
        <v>39</v>
      </c>
    </row>
    <row r="1665" spans="1:30" hidden="1" x14ac:dyDescent="0.25">
      <c r="A1665">
        <v>121</v>
      </c>
      <c r="B1665" t="s">
        <v>185</v>
      </c>
      <c r="C1665">
        <v>6</v>
      </c>
      <c r="D1665">
        <v>188</v>
      </c>
      <c r="E1665">
        <v>2483</v>
      </c>
      <c r="F1665" t="s">
        <v>77</v>
      </c>
      <c r="G1665" t="s">
        <v>746</v>
      </c>
      <c r="H1665">
        <v>12</v>
      </c>
      <c r="I1665">
        <v>259.49</v>
      </c>
      <c r="J1665" t="s">
        <v>839</v>
      </c>
      <c r="K1665" t="s">
        <v>812</v>
      </c>
      <c r="M1665" t="s">
        <v>1307</v>
      </c>
      <c r="R1665" t="s">
        <v>81</v>
      </c>
      <c r="U1665" t="s">
        <v>81</v>
      </c>
      <c r="V1665" t="s">
        <v>81</v>
      </c>
      <c r="W1665">
        <v>3</v>
      </c>
      <c r="X1665" t="s">
        <v>1135</v>
      </c>
      <c r="Z1665" t="s">
        <v>38</v>
      </c>
      <c r="AB1665" t="s">
        <v>921</v>
      </c>
      <c r="AC1665" t="s">
        <v>1197</v>
      </c>
      <c r="AD1665" t="s">
        <v>39</v>
      </c>
    </row>
    <row r="1666" spans="1:30" hidden="1" x14ac:dyDescent="0.25">
      <c r="A1666">
        <v>122</v>
      </c>
      <c r="B1666" t="s">
        <v>164</v>
      </c>
      <c r="C1666">
        <v>6</v>
      </c>
      <c r="D1666">
        <v>328</v>
      </c>
      <c r="E1666">
        <v>894</v>
      </c>
      <c r="F1666" t="s">
        <v>77</v>
      </c>
      <c r="G1666" t="s">
        <v>746</v>
      </c>
      <c r="H1666">
        <v>1</v>
      </c>
      <c r="I1666">
        <v>13.81</v>
      </c>
      <c r="J1666" t="s">
        <v>839</v>
      </c>
      <c r="K1666" t="s">
        <v>812</v>
      </c>
      <c r="M1666" t="s">
        <v>1307</v>
      </c>
      <c r="R1666" t="s">
        <v>81</v>
      </c>
      <c r="U1666" t="s">
        <v>81</v>
      </c>
      <c r="W1666">
        <v>3</v>
      </c>
      <c r="X1666" t="s">
        <v>1135</v>
      </c>
      <c r="Z1666" t="s">
        <v>38</v>
      </c>
      <c r="AB1666" t="s">
        <v>921</v>
      </c>
      <c r="AC1666" t="s">
        <v>1197</v>
      </c>
      <c r="AD1666" t="s">
        <v>39</v>
      </c>
    </row>
    <row r="1667" spans="1:30" hidden="1" x14ac:dyDescent="0.25">
      <c r="A1667">
        <v>123</v>
      </c>
      <c r="B1667" t="s">
        <v>196</v>
      </c>
      <c r="C1667">
        <v>6</v>
      </c>
      <c r="D1667">
        <v>328</v>
      </c>
      <c r="E1667">
        <v>894</v>
      </c>
      <c r="F1667" t="s">
        <v>77</v>
      </c>
      <c r="G1667" t="s">
        <v>746</v>
      </c>
      <c r="H1667">
        <v>1</v>
      </c>
      <c r="I1667">
        <v>13.81</v>
      </c>
      <c r="J1667" t="s">
        <v>839</v>
      </c>
      <c r="K1667" t="s">
        <v>812</v>
      </c>
      <c r="M1667" t="s">
        <v>1307</v>
      </c>
      <c r="R1667" t="s">
        <v>81</v>
      </c>
      <c r="U1667" t="s">
        <v>81</v>
      </c>
      <c r="W1667">
        <v>3</v>
      </c>
      <c r="X1667" t="s">
        <v>1135</v>
      </c>
      <c r="Z1667" t="s">
        <v>38</v>
      </c>
      <c r="AB1667" t="s">
        <v>921</v>
      </c>
      <c r="AC1667" t="s">
        <v>1197</v>
      </c>
      <c r="AD1667" t="s">
        <v>39</v>
      </c>
    </row>
    <row r="1668" spans="1:30" hidden="1" x14ac:dyDescent="0.25">
      <c r="A1668">
        <v>124</v>
      </c>
      <c r="B1668" t="s">
        <v>197</v>
      </c>
      <c r="C1668">
        <v>6</v>
      </c>
      <c r="D1668">
        <v>188</v>
      </c>
      <c r="E1668">
        <v>2481</v>
      </c>
      <c r="F1668" t="s">
        <v>77</v>
      </c>
      <c r="G1668" t="s">
        <v>746</v>
      </c>
      <c r="H1668">
        <v>2</v>
      </c>
      <c r="I1668">
        <v>43.22</v>
      </c>
      <c r="J1668" t="s">
        <v>839</v>
      </c>
      <c r="K1668" t="s">
        <v>812</v>
      </c>
      <c r="M1668" t="s">
        <v>1307</v>
      </c>
      <c r="R1668" t="s">
        <v>81</v>
      </c>
      <c r="U1668" t="s">
        <v>81</v>
      </c>
      <c r="V1668" t="s">
        <v>81</v>
      </c>
      <c r="W1668">
        <v>3</v>
      </c>
      <c r="X1668" t="s">
        <v>1135</v>
      </c>
      <c r="Z1668" t="s">
        <v>38</v>
      </c>
      <c r="AB1668" t="s">
        <v>921</v>
      </c>
      <c r="AC1668" t="s">
        <v>1197</v>
      </c>
      <c r="AD1668" t="s">
        <v>39</v>
      </c>
    </row>
    <row r="1669" spans="1:30" hidden="1" x14ac:dyDescent="0.25">
      <c r="A1669">
        <v>125</v>
      </c>
      <c r="B1669" t="s">
        <v>198</v>
      </c>
      <c r="C1669">
        <v>6</v>
      </c>
      <c r="D1669">
        <v>188</v>
      </c>
      <c r="E1669">
        <v>2481</v>
      </c>
      <c r="F1669" t="s">
        <v>77</v>
      </c>
      <c r="G1669" t="s">
        <v>746</v>
      </c>
      <c r="H1669">
        <v>2</v>
      </c>
      <c r="I1669">
        <v>43.22</v>
      </c>
      <c r="J1669" t="s">
        <v>839</v>
      </c>
      <c r="K1669" t="s">
        <v>812</v>
      </c>
      <c r="M1669" t="s">
        <v>1307</v>
      </c>
      <c r="R1669" t="s">
        <v>81</v>
      </c>
      <c r="U1669" t="s">
        <v>81</v>
      </c>
      <c r="V1669" t="s">
        <v>81</v>
      </c>
      <c r="W1669">
        <v>3</v>
      </c>
      <c r="X1669" t="s">
        <v>1135</v>
      </c>
      <c r="Z1669" t="s">
        <v>38</v>
      </c>
      <c r="AB1669" t="s">
        <v>921</v>
      </c>
      <c r="AC1669" t="s">
        <v>1197</v>
      </c>
      <c r="AD1669" t="s">
        <v>39</v>
      </c>
    </row>
    <row r="1670" spans="1:30" hidden="1" x14ac:dyDescent="0.25">
      <c r="A1670">
        <v>126</v>
      </c>
      <c r="B1670" t="s">
        <v>199</v>
      </c>
      <c r="C1670">
        <v>6</v>
      </c>
      <c r="D1670">
        <v>188</v>
      </c>
      <c r="E1670">
        <v>2480</v>
      </c>
      <c r="F1670" t="s">
        <v>77</v>
      </c>
      <c r="G1670" t="s">
        <v>746</v>
      </c>
      <c r="H1670">
        <v>2</v>
      </c>
      <c r="I1670">
        <v>43.2</v>
      </c>
      <c r="J1670" t="s">
        <v>839</v>
      </c>
      <c r="K1670" t="s">
        <v>812</v>
      </c>
      <c r="M1670" t="s">
        <v>1307</v>
      </c>
      <c r="R1670" t="s">
        <v>81</v>
      </c>
      <c r="U1670" t="s">
        <v>81</v>
      </c>
      <c r="V1670" t="s">
        <v>81</v>
      </c>
      <c r="W1670">
        <v>3</v>
      </c>
      <c r="X1670" t="s">
        <v>1135</v>
      </c>
      <c r="Z1670" t="s">
        <v>38</v>
      </c>
      <c r="AB1670" t="s">
        <v>921</v>
      </c>
      <c r="AC1670" t="s">
        <v>1197</v>
      </c>
      <c r="AD1670" t="s">
        <v>39</v>
      </c>
    </row>
    <row r="1671" spans="1:30" hidden="1" x14ac:dyDescent="0.25">
      <c r="A1671">
        <v>127</v>
      </c>
      <c r="B1671" t="s">
        <v>200</v>
      </c>
      <c r="C1671">
        <v>6</v>
      </c>
      <c r="D1671">
        <v>188</v>
      </c>
      <c r="E1671">
        <v>2480</v>
      </c>
      <c r="F1671" t="s">
        <v>77</v>
      </c>
      <c r="G1671" t="s">
        <v>746</v>
      </c>
      <c r="H1671">
        <v>2</v>
      </c>
      <c r="I1671">
        <v>43.21</v>
      </c>
      <c r="J1671" t="s">
        <v>839</v>
      </c>
      <c r="K1671" t="s">
        <v>812</v>
      </c>
      <c r="M1671" t="s">
        <v>1307</v>
      </c>
      <c r="R1671" t="s">
        <v>81</v>
      </c>
      <c r="U1671" t="s">
        <v>81</v>
      </c>
      <c r="V1671" t="s">
        <v>81</v>
      </c>
      <c r="W1671">
        <v>3</v>
      </c>
      <c r="X1671" t="s">
        <v>1135</v>
      </c>
      <c r="Z1671" t="s">
        <v>38</v>
      </c>
      <c r="AB1671" t="s">
        <v>921</v>
      </c>
      <c r="AC1671" t="s">
        <v>1197</v>
      </c>
      <c r="AD1671" t="s">
        <v>39</v>
      </c>
    </row>
    <row r="1672" spans="1:30" hidden="1" x14ac:dyDescent="0.25">
      <c r="A1672">
        <v>128</v>
      </c>
      <c r="B1672" t="s">
        <v>201</v>
      </c>
      <c r="C1672">
        <v>6</v>
      </c>
      <c r="D1672">
        <v>328</v>
      </c>
      <c r="E1672">
        <v>894</v>
      </c>
      <c r="F1672" t="s">
        <v>77</v>
      </c>
      <c r="G1672" t="s">
        <v>746</v>
      </c>
      <c r="H1672">
        <v>2</v>
      </c>
      <c r="I1672">
        <v>27.62</v>
      </c>
      <c r="J1672" t="s">
        <v>839</v>
      </c>
      <c r="K1672" t="s">
        <v>812</v>
      </c>
      <c r="M1672" t="s">
        <v>1307</v>
      </c>
      <c r="R1672" t="s">
        <v>81</v>
      </c>
      <c r="U1672" t="s">
        <v>81</v>
      </c>
      <c r="W1672">
        <v>3</v>
      </c>
      <c r="X1672" t="s">
        <v>1135</v>
      </c>
      <c r="Z1672" t="s">
        <v>38</v>
      </c>
      <c r="AB1672" t="s">
        <v>921</v>
      </c>
      <c r="AC1672" t="s">
        <v>1197</v>
      </c>
      <c r="AD1672" t="s">
        <v>39</v>
      </c>
    </row>
    <row r="1673" spans="1:30" hidden="1" x14ac:dyDescent="0.25">
      <c r="A1673">
        <v>129</v>
      </c>
      <c r="B1673" t="s">
        <v>116</v>
      </c>
      <c r="C1673">
        <v>6</v>
      </c>
      <c r="D1673">
        <v>298</v>
      </c>
      <c r="E1673">
        <v>378</v>
      </c>
      <c r="F1673" t="s">
        <v>77</v>
      </c>
      <c r="G1673" t="s">
        <v>746</v>
      </c>
      <c r="H1673">
        <v>2</v>
      </c>
      <c r="I1673">
        <v>10.54</v>
      </c>
      <c r="J1673" t="s">
        <v>839</v>
      </c>
      <c r="K1673" t="s">
        <v>812</v>
      </c>
      <c r="M1673" t="s">
        <v>1307</v>
      </c>
      <c r="Q1673" t="s">
        <v>26</v>
      </c>
      <c r="R1673" t="s">
        <v>81</v>
      </c>
      <c r="W1673">
        <v>3</v>
      </c>
      <c r="X1673" t="s">
        <v>1135</v>
      </c>
      <c r="Z1673" t="s">
        <v>38</v>
      </c>
      <c r="AB1673" t="s">
        <v>921</v>
      </c>
      <c r="AC1673" t="s">
        <v>1197</v>
      </c>
      <c r="AD1673" t="s">
        <v>39</v>
      </c>
    </row>
    <row r="1674" spans="1:30" hidden="1" x14ac:dyDescent="0.25">
      <c r="A1674">
        <v>130</v>
      </c>
      <c r="B1674" t="s">
        <v>202</v>
      </c>
      <c r="C1674">
        <v>6</v>
      </c>
      <c r="D1674">
        <v>188</v>
      </c>
      <c r="E1674">
        <v>2348</v>
      </c>
      <c r="F1674" t="s">
        <v>77</v>
      </c>
      <c r="G1674" t="s">
        <v>746</v>
      </c>
      <c r="H1674">
        <v>8</v>
      </c>
      <c r="I1674">
        <v>164.9</v>
      </c>
      <c r="J1674" t="s">
        <v>839</v>
      </c>
      <c r="K1674" t="s">
        <v>812</v>
      </c>
      <c r="M1674" t="s">
        <v>1307</v>
      </c>
      <c r="R1674" t="s">
        <v>81</v>
      </c>
      <c r="U1674" t="s">
        <v>81</v>
      </c>
      <c r="V1674" t="s">
        <v>81</v>
      </c>
      <c r="W1674">
        <v>3</v>
      </c>
      <c r="X1674" t="s">
        <v>1135</v>
      </c>
      <c r="Z1674" t="s">
        <v>38</v>
      </c>
      <c r="AB1674" t="s">
        <v>921</v>
      </c>
      <c r="AC1674" t="s">
        <v>1199</v>
      </c>
      <c r="AD1674" t="s">
        <v>39</v>
      </c>
    </row>
    <row r="1675" spans="1:30" hidden="1" x14ac:dyDescent="0.25">
      <c r="A1675">
        <v>131</v>
      </c>
      <c r="B1675" t="s">
        <v>206</v>
      </c>
      <c r="C1675">
        <v>6</v>
      </c>
      <c r="D1675">
        <v>188</v>
      </c>
      <c r="E1675">
        <v>2348</v>
      </c>
      <c r="F1675" t="s">
        <v>77</v>
      </c>
      <c r="G1675" t="s">
        <v>746</v>
      </c>
      <c r="H1675">
        <v>2</v>
      </c>
      <c r="I1675">
        <v>41.23</v>
      </c>
      <c r="J1675" t="s">
        <v>839</v>
      </c>
      <c r="K1675" t="s">
        <v>812</v>
      </c>
      <c r="M1675" t="s">
        <v>1307</v>
      </c>
      <c r="R1675" t="s">
        <v>81</v>
      </c>
      <c r="U1675" t="s">
        <v>81</v>
      </c>
      <c r="V1675" t="s">
        <v>81</v>
      </c>
      <c r="W1675">
        <v>3</v>
      </c>
      <c r="X1675" t="s">
        <v>1135</v>
      </c>
      <c r="Z1675" t="s">
        <v>38</v>
      </c>
      <c r="AB1675" t="s">
        <v>921</v>
      </c>
      <c r="AC1675" t="s">
        <v>1199</v>
      </c>
      <c r="AD1675" t="s">
        <v>39</v>
      </c>
    </row>
    <row r="1676" spans="1:30" hidden="1" x14ac:dyDescent="0.25">
      <c r="A1676">
        <v>132</v>
      </c>
      <c r="B1676" t="s">
        <v>207</v>
      </c>
      <c r="C1676">
        <v>6</v>
      </c>
      <c r="D1676">
        <v>188</v>
      </c>
      <c r="E1676">
        <v>2348</v>
      </c>
      <c r="F1676" t="s">
        <v>77</v>
      </c>
      <c r="G1676" t="s">
        <v>746</v>
      </c>
      <c r="H1676">
        <v>1</v>
      </c>
      <c r="I1676">
        <v>20.61</v>
      </c>
      <c r="J1676" t="s">
        <v>839</v>
      </c>
      <c r="K1676" t="s">
        <v>812</v>
      </c>
      <c r="M1676" t="s">
        <v>1307</v>
      </c>
      <c r="R1676" t="s">
        <v>81</v>
      </c>
      <c r="U1676" t="s">
        <v>81</v>
      </c>
      <c r="V1676" t="s">
        <v>81</v>
      </c>
      <c r="W1676">
        <v>3</v>
      </c>
      <c r="X1676" t="s">
        <v>1135</v>
      </c>
      <c r="Z1676" t="s">
        <v>38</v>
      </c>
      <c r="AB1676" t="s">
        <v>921</v>
      </c>
      <c r="AC1676" t="s">
        <v>1199</v>
      </c>
      <c r="AD1676" t="s">
        <v>39</v>
      </c>
    </row>
    <row r="1677" spans="1:30" hidden="1" x14ac:dyDescent="0.25">
      <c r="A1677">
        <v>133</v>
      </c>
      <c r="B1677" t="s">
        <v>208</v>
      </c>
      <c r="C1677">
        <v>6</v>
      </c>
      <c r="D1677">
        <v>188</v>
      </c>
      <c r="E1677">
        <v>2348</v>
      </c>
      <c r="F1677" t="s">
        <v>77</v>
      </c>
      <c r="G1677" t="s">
        <v>746</v>
      </c>
      <c r="H1677">
        <v>6</v>
      </c>
      <c r="I1677">
        <v>123.67</v>
      </c>
      <c r="J1677" t="s">
        <v>839</v>
      </c>
      <c r="K1677" t="s">
        <v>812</v>
      </c>
      <c r="M1677" t="s">
        <v>1307</v>
      </c>
      <c r="R1677" t="s">
        <v>81</v>
      </c>
      <c r="U1677" t="s">
        <v>81</v>
      </c>
      <c r="V1677" t="s">
        <v>81</v>
      </c>
      <c r="W1677">
        <v>3</v>
      </c>
      <c r="X1677" t="s">
        <v>1135</v>
      </c>
      <c r="Z1677" t="s">
        <v>38</v>
      </c>
      <c r="AB1677" t="s">
        <v>921</v>
      </c>
      <c r="AC1677" t="s">
        <v>1199</v>
      </c>
      <c r="AD1677" t="s">
        <v>39</v>
      </c>
    </row>
    <row r="1678" spans="1:30" hidden="1" x14ac:dyDescent="0.25">
      <c r="A1678">
        <v>134</v>
      </c>
      <c r="B1678" t="s">
        <v>209</v>
      </c>
      <c r="C1678">
        <v>6</v>
      </c>
      <c r="D1678">
        <v>188</v>
      </c>
      <c r="E1678">
        <v>2348</v>
      </c>
      <c r="F1678" t="s">
        <v>77</v>
      </c>
      <c r="G1678" t="s">
        <v>746</v>
      </c>
      <c r="H1678">
        <v>6</v>
      </c>
      <c r="I1678">
        <v>123.67</v>
      </c>
      <c r="J1678" t="s">
        <v>839</v>
      </c>
      <c r="K1678" t="s">
        <v>812</v>
      </c>
      <c r="M1678" t="s">
        <v>1307</v>
      </c>
      <c r="R1678" t="s">
        <v>81</v>
      </c>
      <c r="U1678" t="s">
        <v>81</v>
      </c>
      <c r="V1678" t="s">
        <v>81</v>
      </c>
      <c r="W1678">
        <v>3</v>
      </c>
      <c r="X1678" t="s">
        <v>1135</v>
      </c>
      <c r="Z1678" t="s">
        <v>38</v>
      </c>
      <c r="AB1678" t="s">
        <v>921</v>
      </c>
      <c r="AC1678" t="s">
        <v>1199</v>
      </c>
      <c r="AD1678" t="s">
        <v>39</v>
      </c>
    </row>
    <row r="1679" spans="1:30" hidden="1" x14ac:dyDescent="0.25">
      <c r="A1679">
        <v>135</v>
      </c>
      <c r="B1679" t="s">
        <v>210</v>
      </c>
      <c r="C1679">
        <v>6</v>
      </c>
      <c r="D1679">
        <v>188</v>
      </c>
      <c r="E1679">
        <v>2348</v>
      </c>
      <c r="F1679" t="s">
        <v>77</v>
      </c>
      <c r="G1679" t="s">
        <v>746</v>
      </c>
      <c r="H1679">
        <v>8</v>
      </c>
      <c r="I1679">
        <v>164.9</v>
      </c>
      <c r="J1679" t="s">
        <v>839</v>
      </c>
      <c r="K1679" t="s">
        <v>812</v>
      </c>
      <c r="M1679" t="s">
        <v>1307</v>
      </c>
      <c r="R1679" t="s">
        <v>81</v>
      </c>
      <c r="U1679" t="s">
        <v>81</v>
      </c>
      <c r="V1679" t="s">
        <v>81</v>
      </c>
      <c r="W1679">
        <v>3</v>
      </c>
      <c r="X1679" t="s">
        <v>1135</v>
      </c>
      <c r="Z1679" t="s">
        <v>38</v>
      </c>
      <c r="AB1679" t="s">
        <v>921</v>
      </c>
      <c r="AC1679" t="s">
        <v>1199</v>
      </c>
      <c r="AD1679" t="s">
        <v>39</v>
      </c>
    </row>
    <row r="1680" spans="1:30" hidden="1" x14ac:dyDescent="0.25">
      <c r="A1680">
        <v>136</v>
      </c>
      <c r="B1680" t="s">
        <v>211</v>
      </c>
      <c r="C1680">
        <v>6</v>
      </c>
      <c r="D1680">
        <v>188</v>
      </c>
      <c r="E1680">
        <v>2348</v>
      </c>
      <c r="F1680" t="s">
        <v>77</v>
      </c>
      <c r="G1680" t="s">
        <v>746</v>
      </c>
      <c r="H1680">
        <v>4</v>
      </c>
      <c r="I1680">
        <v>82.45</v>
      </c>
      <c r="J1680" t="s">
        <v>839</v>
      </c>
      <c r="K1680" t="s">
        <v>812</v>
      </c>
      <c r="M1680" t="s">
        <v>1307</v>
      </c>
      <c r="R1680" t="s">
        <v>81</v>
      </c>
      <c r="U1680" t="s">
        <v>81</v>
      </c>
      <c r="V1680" t="s">
        <v>81</v>
      </c>
      <c r="W1680">
        <v>3</v>
      </c>
      <c r="X1680" t="s">
        <v>1135</v>
      </c>
      <c r="Z1680" t="s">
        <v>38</v>
      </c>
      <c r="AB1680" t="s">
        <v>921</v>
      </c>
      <c r="AC1680" t="s">
        <v>1199</v>
      </c>
      <c r="AD1680" t="s">
        <v>39</v>
      </c>
    </row>
    <row r="1681" spans="1:30" hidden="1" x14ac:dyDescent="0.25">
      <c r="A1681">
        <v>137</v>
      </c>
      <c r="B1681" t="s">
        <v>123</v>
      </c>
      <c r="C1681">
        <v>6</v>
      </c>
      <c r="D1681">
        <v>298</v>
      </c>
      <c r="E1681">
        <v>378</v>
      </c>
      <c r="F1681" t="s">
        <v>77</v>
      </c>
      <c r="G1681" t="s">
        <v>746</v>
      </c>
      <c r="H1681">
        <v>2</v>
      </c>
      <c r="I1681">
        <v>10.54</v>
      </c>
      <c r="J1681" t="s">
        <v>839</v>
      </c>
      <c r="K1681" t="s">
        <v>812</v>
      </c>
      <c r="M1681" t="s">
        <v>1307</v>
      </c>
      <c r="Q1681" t="s">
        <v>26</v>
      </c>
      <c r="R1681" t="s">
        <v>81</v>
      </c>
      <c r="W1681">
        <v>3</v>
      </c>
      <c r="X1681" t="s">
        <v>1135</v>
      </c>
      <c r="Z1681" t="s">
        <v>38</v>
      </c>
      <c r="AB1681" t="s">
        <v>921</v>
      </c>
      <c r="AC1681" t="s">
        <v>1199</v>
      </c>
      <c r="AD1681" t="s">
        <v>39</v>
      </c>
    </row>
    <row r="1682" spans="1:30" hidden="1" x14ac:dyDescent="0.25">
      <c r="A1682">
        <v>138</v>
      </c>
      <c r="B1682" t="s">
        <v>171</v>
      </c>
      <c r="C1682">
        <v>6</v>
      </c>
      <c r="D1682">
        <v>298</v>
      </c>
      <c r="E1682">
        <v>378</v>
      </c>
      <c r="F1682" t="s">
        <v>77</v>
      </c>
      <c r="G1682" t="s">
        <v>746</v>
      </c>
      <c r="H1682">
        <v>1</v>
      </c>
      <c r="I1682">
        <v>5.27</v>
      </c>
      <c r="J1682" t="s">
        <v>839</v>
      </c>
      <c r="K1682" t="s">
        <v>812</v>
      </c>
      <c r="M1682" t="s">
        <v>1307</v>
      </c>
      <c r="Q1682" t="s">
        <v>26</v>
      </c>
      <c r="R1682" t="s">
        <v>81</v>
      </c>
      <c r="W1682">
        <v>3</v>
      </c>
      <c r="X1682" t="s">
        <v>1135</v>
      </c>
      <c r="Z1682" t="s">
        <v>38</v>
      </c>
      <c r="AB1682" t="s">
        <v>921</v>
      </c>
      <c r="AC1682" t="s">
        <v>1199</v>
      </c>
      <c r="AD1682" t="s">
        <v>39</v>
      </c>
    </row>
    <row r="1683" spans="1:30" hidden="1" x14ac:dyDescent="0.25">
      <c r="A1683">
        <v>139</v>
      </c>
      <c r="B1683" t="s">
        <v>212</v>
      </c>
      <c r="C1683">
        <v>6</v>
      </c>
      <c r="D1683">
        <v>188</v>
      </c>
      <c r="E1683">
        <v>2348</v>
      </c>
      <c r="F1683" t="s">
        <v>77</v>
      </c>
      <c r="G1683" t="s">
        <v>746</v>
      </c>
      <c r="H1683">
        <v>6</v>
      </c>
      <c r="I1683">
        <v>123.67</v>
      </c>
      <c r="J1683" t="s">
        <v>839</v>
      </c>
      <c r="K1683" t="s">
        <v>812</v>
      </c>
      <c r="M1683" t="s">
        <v>1307</v>
      </c>
      <c r="R1683" t="s">
        <v>81</v>
      </c>
      <c r="U1683" t="s">
        <v>81</v>
      </c>
      <c r="V1683" t="s">
        <v>81</v>
      </c>
      <c r="W1683">
        <v>3</v>
      </c>
      <c r="X1683" t="s">
        <v>1135</v>
      </c>
      <c r="Z1683" t="s">
        <v>38</v>
      </c>
      <c r="AB1683" t="s">
        <v>921</v>
      </c>
      <c r="AC1683" t="s">
        <v>1201</v>
      </c>
      <c r="AD1683" t="s">
        <v>39</v>
      </c>
    </row>
    <row r="1684" spans="1:30" hidden="1" x14ac:dyDescent="0.25">
      <c r="A1684">
        <v>140</v>
      </c>
      <c r="B1684" t="s">
        <v>215</v>
      </c>
      <c r="C1684">
        <v>6</v>
      </c>
      <c r="D1684">
        <v>188</v>
      </c>
      <c r="E1684">
        <v>2348</v>
      </c>
      <c r="F1684" t="s">
        <v>77</v>
      </c>
      <c r="G1684" t="s">
        <v>746</v>
      </c>
      <c r="H1684">
        <v>6</v>
      </c>
      <c r="I1684">
        <v>123.67</v>
      </c>
      <c r="J1684" t="s">
        <v>839</v>
      </c>
      <c r="K1684" t="s">
        <v>812</v>
      </c>
      <c r="M1684" t="s">
        <v>1307</v>
      </c>
      <c r="R1684" t="s">
        <v>81</v>
      </c>
      <c r="U1684" t="s">
        <v>81</v>
      </c>
      <c r="V1684" t="s">
        <v>81</v>
      </c>
      <c r="W1684">
        <v>3</v>
      </c>
      <c r="X1684" t="s">
        <v>1135</v>
      </c>
      <c r="Z1684" t="s">
        <v>38</v>
      </c>
      <c r="AB1684" t="s">
        <v>921</v>
      </c>
      <c r="AC1684" t="s">
        <v>1201</v>
      </c>
      <c r="AD1684" t="s">
        <v>39</v>
      </c>
    </row>
    <row r="1685" spans="1:30" hidden="1" x14ac:dyDescent="0.25">
      <c r="A1685">
        <v>141</v>
      </c>
      <c r="B1685" t="s">
        <v>216</v>
      </c>
      <c r="C1685">
        <v>6</v>
      </c>
      <c r="D1685">
        <v>188</v>
      </c>
      <c r="E1685">
        <v>2348</v>
      </c>
      <c r="F1685" t="s">
        <v>77</v>
      </c>
      <c r="G1685" t="s">
        <v>746</v>
      </c>
      <c r="H1685">
        <v>8</v>
      </c>
      <c r="I1685">
        <v>164.9</v>
      </c>
      <c r="J1685" t="s">
        <v>839</v>
      </c>
      <c r="K1685" t="s">
        <v>812</v>
      </c>
      <c r="M1685" t="s">
        <v>1307</v>
      </c>
      <c r="R1685" t="s">
        <v>81</v>
      </c>
      <c r="U1685" t="s">
        <v>81</v>
      </c>
      <c r="V1685" t="s">
        <v>81</v>
      </c>
      <c r="W1685">
        <v>3</v>
      </c>
      <c r="X1685" t="s">
        <v>1135</v>
      </c>
      <c r="Z1685" t="s">
        <v>38</v>
      </c>
      <c r="AB1685" t="s">
        <v>921</v>
      </c>
      <c r="AC1685" t="s">
        <v>1201</v>
      </c>
      <c r="AD1685" t="s">
        <v>39</v>
      </c>
    </row>
    <row r="1686" spans="1:30" hidden="1" x14ac:dyDescent="0.25">
      <c r="A1686">
        <v>142</v>
      </c>
      <c r="B1686" t="s">
        <v>195</v>
      </c>
      <c r="C1686">
        <v>6</v>
      </c>
      <c r="D1686">
        <v>328</v>
      </c>
      <c r="E1686">
        <v>934</v>
      </c>
      <c r="F1686" t="s">
        <v>77</v>
      </c>
      <c r="G1686" t="s">
        <v>746</v>
      </c>
      <c r="H1686">
        <v>7</v>
      </c>
      <c r="I1686">
        <v>101</v>
      </c>
      <c r="J1686" t="s">
        <v>839</v>
      </c>
      <c r="K1686" t="s">
        <v>812</v>
      </c>
      <c r="M1686" t="s">
        <v>1307</v>
      </c>
      <c r="R1686" t="s">
        <v>81</v>
      </c>
      <c r="U1686" t="s">
        <v>81</v>
      </c>
      <c r="W1686">
        <v>3</v>
      </c>
      <c r="X1686" t="s">
        <v>1135</v>
      </c>
      <c r="Z1686" t="s">
        <v>38</v>
      </c>
      <c r="AB1686" t="s">
        <v>921</v>
      </c>
      <c r="AC1686" t="s">
        <v>1201</v>
      </c>
      <c r="AD1686" t="s">
        <v>39</v>
      </c>
    </row>
    <row r="1687" spans="1:30" hidden="1" x14ac:dyDescent="0.25">
      <c r="A1687">
        <v>143</v>
      </c>
      <c r="B1687" t="s">
        <v>207</v>
      </c>
      <c r="C1687">
        <v>6</v>
      </c>
      <c r="D1687">
        <v>188</v>
      </c>
      <c r="E1687">
        <v>2348</v>
      </c>
      <c r="F1687" t="s">
        <v>77</v>
      </c>
      <c r="G1687" t="s">
        <v>746</v>
      </c>
      <c r="H1687">
        <v>3</v>
      </c>
      <c r="I1687">
        <v>61.84</v>
      </c>
      <c r="J1687" t="s">
        <v>839</v>
      </c>
      <c r="K1687" t="s">
        <v>812</v>
      </c>
      <c r="M1687" t="s">
        <v>1307</v>
      </c>
      <c r="R1687" t="s">
        <v>81</v>
      </c>
      <c r="U1687" t="s">
        <v>81</v>
      </c>
      <c r="V1687" t="s">
        <v>81</v>
      </c>
      <c r="W1687">
        <v>3</v>
      </c>
      <c r="X1687" t="s">
        <v>1135</v>
      </c>
      <c r="Z1687" t="s">
        <v>38</v>
      </c>
      <c r="AB1687" t="s">
        <v>921</v>
      </c>
      <c r="AC1687" t="s">
        <v>1201</v>
      </c>
      <c r="AD1687" t="s">
        <v>39</v>
      </c>
    </row>
    <row r="1688" spans="1:30" hidden="1" x14ac:dyDescent="0.25">
      <c r="A1688">
        <v>144</v>
      </c>
      <c r="B1688" t="s">
        <v>217</v>
      </c>
      <c r="C1688">
        <v>6</v>
      </c>
      <c r="D1688">
        <v>328</v>
      </c>
      <c r="E1688">
        <v>934</v>
      </c>
      <c r="F1688" t="s">
        <v>77</v>
      </c>
      <c r="G1688" t="s">
        <v>746</v>
      </c>
      <c r="H1688">
        <v>9</v>
      </c>
      <c r="I1688">
        <v>129.86000000000001</v>
      </c>
      <c r="J1688" t="s">
        <v>839</v>
      </c>
      <c r="K1688" t="s">
        <v>812</v>
      </c>
      <c r="M1688" t="s">
        <v>1307</v>
      </c>
      <c r="R1688" t="s">
        <v>81</v>
      </c>
      <c r="U1688" t="s">
        <v>81</v>
      </c>
      <c r="W1688">
        <v>3</v>
      </c>
      <c r="X1688" t="s">
        <v>1135</v>
      </c>
      <c r="Z1688" t="s">
        <v>38</v>
      </c>
      <c r="AB1688" t="s">
        <v>921</v>
      </c>
      <c r="AC1688" t="s">
        <v>1201</v>
      </c>
      <c r="AD1688" t="s">
        <v>39</v>
      </c>
    </row>
    <row r="1689" spans="1:30" hidden="1" x14ac:dyDescent="0.25">
      <c r="A1689">
        <v>145</v>
      </c>
      <c r="B1689" t="s">
        <v>148</v>
      </c>
      <c r="C1689">
        <v>6</v>
      </c>
      <c r="D1689">
        <v>328</v>
      </c>
      <c r="E1689">
        <v>934</v>
      </c>
      <c r="F1689" t="s">
        <v>77</v>
      </c>
      <c r="G1689" t="s">
        <v>746</v>
      </c>
      <c r="H1689">
        <v>4</v>
      </c>
      <c r="I1689">
        <v>57.72</v>
      </c>
      <c r="J1689" t="s">
        <v>839</v>
      </c>
      <c r="K1689" t="s">
        <v>812</v>
      </c>
      <c r="M1689" t="s">
        <v>1307</v>
      </c>
      <c r="R1689" t="s">
        <v>81</v>
      </c>
      <c r="U1689" t="s">
        <v>81</v>
      </c>
      <c r="W1689">
        <v>3</v>
      </c>
      <c r="X1689" t="s">
        <v>1135</v>
      </c>
      <c r="Z1689" t="s">
        <v>38</v>
      </c>
      <c r="AB1689" t="s">
        <v>921</v>
      </c>
      <c r="AC1689" t="s">
        <v>1201</v>
      </c>
      <c r="AD1689" t="s">
        <v>39</v>
      </c>
    </row>
    <row r="1690" spans="1:30" hidden="1" x14ac:dyDescent="0.25">
      <c r="A1690">
        <v>146</v>
      </c>
      <c r="B1690" t="s">
        <v>123</v>
      </c>
      <c r="C1690">
        <v>6</v>
      </c>
      <c r="D1690">
        <v>298</v>
      </c>
      <c r="E1690">
        <v>378</v>
      </c>
      <c r="F1690" t="s">
        <v>77</v>
      </c>
      <c r="G1690" t="s">
        <v>746</v>
      </c>
      <c r="H1690">
        <v>2</v>
      </c>
      <c r="I1690">
        <v>10.54</v>
      </c>
      <c r="J1690" t="s">
        <v>839</v>
      </c>
      <c r="K1690" t="s">
        <v>812</v>
      </c>
      <c r="M1690" t="s">
        <v>1307</v>
      </c>
      <c r="Q1690" t="s">
        <v>26</v>
      </c>
      <c r="R1690" t="s">
        <v>81</v>
      </c>
      <c r="W1690">
        <v>3</v>
      </c>
      <c r="X1690" t="s">
        <v>1135</v>
      </c>
      <c r="Z1690" t="s">
        <v>38</v>
      </c>
      <c r="AB1690" t="s">
        <v>921</v>
      </c>
      <c r="AC1690" t="s">
        <v>1201</v>
      </c>
      <c r="AD1690" t="s">
        <v>39</v>
      </c>
    </row>
    <row r="1691" spans="1:30" hidden="1" x14ac:dyDescent="0.25">
      <c r="A1691">
        <v>147</v>
      </c>
      <c r="B1691" t="s">
        <v>179</v>
      </c>
      <c r="C1691">
        <v>6</v>
      </c>
      <c r="D1691">
        <v>328</v>
      </c>
      <c r="E1691">
        <v>934</v>
      </c>
      <c r="F1691" t="s">
        <v>77</v>
      </c>
      <c r="G1691" t="s">
        <v>746</v>
      </c>
      <c r="H1691">
        <v>1</v>
      </c>
      <c r="I1691">
        <v>14.43</v>
      </c>
      <c r="J1691" t="s">
        <v>839</v>
      </c>
      <c r="K1691" t="s">
        <v>812</v>
      </c>
      <c r="M1691" t="s">
        <v>1307</v>
      </c>
      <c r="S1691" t="s">
        <v>81</v>
      </c>
      <c r="U1691" t="s">
        <v>81</v>
      </c>
      <c r="W1691">
        <v>3</v>
      </c>
      <c r="X1691" t="s">
        <v>1135</v>
      </c>
      <c r="Z1691" t="s">
        <v>38</v>
      </c>
      <c r="AB1691" t="s">
        <v>921</v>
      </c>
      <c r="AC1691" t="s">
        <v>1203</v>
      </c>
      <c r="AD1691" t="s">
        <v>987</v>
      </c>
    </row>
    <row r="1692" spans="1:30" hidden="1" x14ac:dyDescent="0.25">
      <c r="A1692">
        <v>148</v>
      </c>
      <c r="B1692" t="s">
        <v>206</v>
      </c>
      <c r="C1692">
        <v>6</v>
      </c>
      <c r="D1692">
        <v>188</v>
      </c>
      <c r="E1692">
        <v>2348</v>
      </c>
      <c r="F1692" t="s">
        <v>77</v>
      </c>
      <c r="G1692" t="s">
        <v>746</v>
      </c>
      <c r="H1692">
        <v>2</v>
      </c>
      <c r="I1692">
        <v>41.23</v>
      </c>
      <c r="J1692" t="s">
        <v>839</v>
      </c>
      <c r="K1692" t="s">
        <v>812</v>
      </c>
      <c r="M1692" t="s">
        <v>1307</v>
      </c>
      <c r="S1692" t="s">
        <v>81</v>
      </c>
      <c r="U1692" t="s">
        <v>81</v>
      </c>
      <c r="V1692" t="s">
        <v>81</v>
      </c>
      <c r="W1692">
        <v>3</v>
      </c>
      <c r="X1692" t="s">
        <v>1135</v>
      </c>
      <c r="Z1692" t="s">
        <v>38</v>
      </c>
      <c r="AB1692" t="s">
        <v>921</v>
      </c>
      <c r="AC1692" t="s">
        <v>1203</v>
      </c>
      <c r="AD1692" t="s">
        <v>987</v>
      </c>
    </row>
    <row r="1693" spans="1:30" hidden="1" x14ac:dyDescent="0.25">
      <c r="A1693">
        <v>149</v>
      </c>
      <c r="B1693" t="s">
        <v>196</v>
      </c>
      <c r="C1693">
        <v>6</v>
      </c>
      <c r="D1693">
        <v>328</v>
      </c>
      <c r="E1693">
        <v>894</v>
      </c>
      <c r="F1693" t="s">
        <v>77</v>
      </c>
      <c r="G1693" t="s">
        <v>746</v>
      </c>
      <c r="H1693">
        <v>1</v>
      </c>
      <c r="I1693">
        <v>13.81</v>
      </c>
      <c r="J1693" t="s">
        <v>839</v>
      </c>
      <c r="K1693" t="s">
        <v>812</v>
      </c>
      <c r="M1693" t="s">
        <v>1307</v>
      </c>
      <c r="S1693" t="s">
        <v>81</v>
      </c>
      <c r="U1693" t="s">
        <v>81</v>
      </c>
      <c r="W1693">
        <v>3</v>
      </c>
      <c r="X1693" t="s">
        <v>1135</v>
      </c>
      <c r="Z1693" t="s">
        <v>38</v>
      </c>
      <c r="AB1693" t="s">
        <v>921</v>
      </c>
      <c r="AC1693" t="s">
        <v>1203</v>
      </c>
      <c r="AD1693" t="s">
        <v>987</v>
      </c>
    </row>
    <row r="1694" spans="1:30" hidden="1" x14ac:dyDescent="0.25">
      <c r="A1694">
        <v>150</v>
      </c>
      <c r="B1694" t="s">
        <v>220</v>
      </c>
      <c r="C1694">
        <v>6</v>
      </c>
      <c r="D1694">
        <v>188</v>
      </c>
      <c r="E1694">
        <v>2348</v>
      </c>
      <c r="F1694" t="s">
        <v>77</v>
      </c>
      <c r="G1694" t="s">
        <v>746</v>
      </c>
      <c r="H1694">
        <v>12</v>
      </c>
      <c r="I1694">
        <v>247.35</v>
      </c>
      <c r="J1694" t="s">
        <v>839</v>
      </c>
      <c r="K1694" t="s">
        <v>812</v>
      </c>
      <c r="M1694" t="s">
        <v>1307</v>
      </c>
      <c r="S1694" t="s">
        <v>81</v>
      </c>
      <c r="U1694" t="s">
        <v>81</v>
      </c>
      <c r="V1694" t="s">
        <v>81</v>
      </c>
      <c r="W1694">
        <v>3</v>
      </c>
      <c r="X1694" t="s">
        <v>1135</v>
      </c>
      <c r="Z1694" t="s">
        <v>38</v>
      </c>
      <c r="AB1694" t="s">
        <v>921</v>
      </c>
      <c r="AC1694" t="s">
        <v>1203</v>
      </c>
      <c r="AD1694" t="s">
        <v>987</v>
      </c>
    </row>
    <row r="1695" spans="1:30" hidden="1" x14ac:dyDescent="0.25">
      <c r="A1695">
        <v>151</v>
      </c>
      <c r="B1695" t="s">
        <v>116</v>
      </c>
      <c r="C1695">
        <v>6</v>
      </c>
      <c r="D1695">
        <v>298</v>
      </c>
      <c r="E1695">
        <v>378</v>
      </c>
      <c r="F1695" t="s">
        <v>77</v>
      </c>
      <c r="G1695" t="s">
        <v>746</v>
      </c>
      <c r="H1695">
        <v>1</v>
      </c>
      <c r="I1695">
        <v>5.27</v>
      </c>
      <c r="J1695" t="s">
        <v>839</v>
      </c>
      <c r="K1695" t="s">
        <v>812</v>
      </c>
      <c r="M1695" t="s">
        <v>1307</v>
      </c>
      <c r="Q1695" t="s">
        <v>26</v>
      </c>
      <c r="S1695" t="s">
        <v>81</v>
      </c>
      <c r="W1695">
        <v>3</v>
      </c>
      <c r="X1695" t="s">
        <v>1135</v>
      </c>
      <c r="Z1695" t="s">
        <v>38</v>
      </c>
      <c r="AB1695" t="s">
        <v>921</v>
      </c>
      <c r="AC1695" t="s">
        <v>1203</v>
      </c>
      <c r="AD1695" t="s">
        <v>987</v>
      </c>
    </row>
    <row r="1696" spans="1:30" hidden="1" x14ac:dyDescent="0.25">
      <c r="A1696">
        <v>152</v>
      </c>
      <c r="B1696" t="s">
        <v>123</v>
      </c>
      <c r="C1696">
        <v>6</v>
      </c>
      <c r="D1696">
        <v>298</v>
      </c>
      <c r="E1696">
        <v>378</v>
      </c>
      <c r="F1696" t="s">
        <v>77</v>
      </c>
      <c r="G1696" t="s">
        <v>746</v>
      </c>
      <c r="H1696">
        <v>2</v>
      </c>
      <c r="I1696">
        <v>10.54</v>
      </c>
      <c r="J1696" t="s">
        <v>839</v>
      </c>
      <c r="K1696" t="s">
        <v>812</v>
      </c>
      <c r="M1696" t="s">
        <v>1307</v>
      </c>
      <c r="Q1696" t="s">
        <v>26</v>
      </c>
      <c r="S1696" t="s">
        <v>81</v>
      </c>
      <c r="W1696">
        <v>3</v>
      </c>
      <c r="X1696" t="s">
        <v>1135</v>
      </c>
      <c r="Z1696" t="s">
        <v>38</v>
      </c>
      <c r="AB1696" t="s">
        <v>921</v>
      </c>
      <c r="AC1696" t="s">
        <v>1203</v>
      </c>
      <c r="AD1696" t="s">
        <v>987</v>
      </c>
    </row>
    <row r="1697" spans="1:30" hidden="1" x14ac:dyDescent="0.25">
      <c r="A1697">
        <v>153</v>
      </c>
      <c r="B1697" t="s">
        <v>171</v>
      </c>
      <c r="C1697">
        <v>6</v>
      </c>
      <c r="D1697">
        <v>298</v>
      </c>
      <c r="E1697">
        <v>378</v>
      </c>
      <c r="F1697" t="s">
        <v>77</v>
      </c>
      <c r="G1697" t="s">
        <v>746</v>
      </c>
      <c r="H1697">
        <v>2</v>
      </c>
      <c r="I1697">
        <v>10.54</v>
      </c>
      <c r="J1697" t="s">
        <v>839</v>
      </c>
      <c r="K1697" t="s">
        <v>812</v>
      </c>
      <c r="M1697" t="s">
        <v>1307</v>
      </c>
      <c r="Q1697" t="s">
        <v>26</v>
      </c>
      <c r="S1697" t="s">
        <v>81</v>
      </c>
      <c r="W1697">
        <v>3</v>
      </c>
      <c r="X1697" t="s">
        <v>1135</v>
      </c>
      <c r="Z1697" t="s">
        <v>38</v>
      </c>
      <c r="AB1697" t="s">
        <v>921</v>
      </c>
      <c r="AC1697" t="s">
        <v>1203</v>
      </c>
      <c r="AD1697" t="s">
        <v>987</v>
      </c>
    </row>
    <row r="1698" spans="1:30" hidden="1" x14ac:dyDescent="0.25">
      <c r="A1698">
        <v>154</v>
      </c>
      <c r="B1698" t="s">
        <v>221</v>
      </c>
      <c r="C1698">
        <v>8</v>
      </c>
      <c r="D1698">
        <v>334</v>
      </c>
      <c r="E1698">
        <v>11992</v>
      </c>
      <c r="F1698" t="s">
        <v>77</v>
      </c>
      <c r="G1698" t="s">
        <v>746</v>
      </c>
      <c r="H1698">
        <v>4</v>
      </c>
      <c r="I1698">
        <v>981.99</v>
      </c>
      <c r="J1698" t="s">
        <v>839</v>
      </c>
      <c r="K1698" t="s">
        <v>812</v>
      </c>
      <c r="M1698" t="s">
        <v>1307</v>
      </c>
      <c r="Q1698" t="s">
        <v>28</v>
      </c>
      <c r="R1698" t="s">
        <v>81</v>
      </c>
      <c r="W1698">
        <v>3</v>
      </c>
      <c r="X1698" t="s">
        <v>1135</v>
      </c>
      <c r="Z1698" t="s">
        <v>38</v>
      </c>
      <c r="AB1698" t="s">
        <v>921</v>
      </c>
      <c r="AC1698" t="s">
        <v>1205</v>
      </c>
      <c r="AD1698" t="s">
        <v>39</v>
      </c>
    </row>
    <row r="1699" spans="1:30" hidden="1" x14ac:dyDescent="0.25">
      <c r="A1699">
        <v>155</v>
      </c>
      <c r="B1699" t="s">
        <v>226</v>
      </c>
      <c r="C1699">
        <v>8</v>
      </c>
      <c r="D1699">
        <v>334</v>
      </c>
      <c r="E1699">
        <v>11998</v>
      </c>
      <c r="F1699" t="s">
        <v>77</v>
      </c>
      <c r="G1699" t="s">
        <v>746</v>
      </c>
      <c r="H1699">
        <v>1</v>
      </c>
      <c r="I1699">
        <v>244.33</v>
      </c>
      <c r="J1699" t="s">
        <v>839</v>
      </c>
      <c r="K1699" t="s">
        <v>812</v>
      </c>
      <c r="M1699" t="s">
        <v>1307</v>
      </c>
      <c r="O1699" t="s">
        <v>228</v>
      </c>
      <c r="Q1699" t="s">
        <v>28</v>
      </c>
      <c r="R1699" t="s">
        <v>81</v>
      </c>
      <c r="W1699">
        <v>3</v>
      </c>
      <c r="X1699" t="s">
        <v>1135</v>
      </c>
      <c r="Z1699" t="s">
        <v>38</v>
      </c>
      <c r="AB1699" t="s">
        <v>921</v>
      </c>
      <c r="AC1699" t="s">
        <v>1205</v>
      </c>
      <c r="AD1699" t="s">
        <v>39</v>
      </c>
    </row>
    <row r="1700" spans="1:30" hidden="1" x14ac:dyDescent="0.25">
      <c r="A1700">
        <v>156</v>
      </c>
      <c r="B1700" t="s">
        <v>229</v>
      </c>
      <c r="C1700">
        <v>8</v>
      </c>
      <c r="D1700">
        <v>90</v>
      </c>
      <c r="E1700">
        <v>150</v>
      </c>
      <c r="F1700" t="s">
        <v>77</v>
      </c>
      <c r="G1700" t="s">
        <v>746</v>
      </c>
      <c r="H1700">
        <v>1</v>
      </c>
      <c r="I1700">
        <v>0.62</v>
      </c>
      <c r="J1700" t="s">
        <v>839</v>
      </c>
      <c r="K1700" t="s">
        <v>812</v>
      </c>
      <c r="M1700" t="s">
        <v>1307</v>
      </c>
      <c r="Q1700" t="s">
        <v>26</v>
      </c>
      <c r="R1700" t="s">
        <v>81</v>
      </c>
      <c r="W1700">
        <v>3</v>
      </c>
      <c r="X1700" t="s">
        <v>1135</v>
      </c>
      <c r="Z1700" t="s">
        <v>38</v>
      </c>
      <c r="AB1700" t="s">
        <v>921</v>
      </c>
      <c r="AC1700" t="s">
        <v>1205</v>
      </c>
      <c r="AD1700" t="s">
        <v>39</v>
      </c>
    </row>
    <row r="1701" spans="1:30" hidden="1" x14ac:dyDescent="0.25">
      <c r="A1701">
        <v>157</v>
      </c>
      <c r="B1701" t="s">
        <v>231</v>
      </c>
      <c r="C1701">
        <v>8</v>
      </c>
      <c r="D1701">
        <v>150</v>
      </c>
      <c r="E1701">
        <v>4252</v>
      </c>
      <c r="F1701" t="s">
        <v>77</v>
      </c>
      <c r="G1701" t="s">
        <v>746</v>
      </c>
      <c r="H1701">
        <v>2</v>
      </c>
      <c r="I1701">
        <v>80.11</v>
      </c>
      <c r="J1701" t="s">
        <v>839</v>
      </c>
      <c r="K1701" t="s">
        <v>812</v>
      </c>
      <c r="M1701" t="s">
        <v>1307</v>
      </c>
      <c r="Q1701" t="s">
        <v>28</v>
      </c>
      <c r="R1701" t="s">
        <v>81</v>
      </c>
      <c r="W1701">
        <v>3</v>
      </c>
      <c r="X1701" t="s">
        <v>1135</v>
      </c>
      <c r="Z1701" t="s">
        <v>38</v>
      </c>
      <c r="AB1701" t="s">
        <v>921</v>
      </c>
      <c r="AC1701" t="s">
        <v>1205</v>
      </c>
      <c r="AD1701" t="s">
        <v>39</v>
      </c>
    </row>
    <row r="1702" spans="1:30" hidden="1" x14ac:dyDescent="0.25">
      <c r="A1702">
        <v>158</v>
      </c>
      <c r="B1702" t="s">
        <v>233</v>
      </c>
      <c r="C1702">
        <v>8</v>
      </c>
      <c r="D1702">
        <v>150</v>
      </c>
      <c r="E1702">
        <v>6824</v>
      </c>
      <c r="F1702" t="s">
        <v>77</v>
      </c>
      <c r="G1702" t="s">
        <v>746</v>
      </c>
      <c r="H1702">
        <v>2</v>
      </c>
      <c r="I1702">
        <v>128.56</v>
      </c>
      <c r="J1702" t="s">
        <v>839</v>
      </c>
      <c r="K1702" t="s">
        <v>812</v>
      </c>
      <c r="M1702" t="s">
        <v>1307</v>
      </c>
      <c r="Q1702" t="s">
        <v>28</v>
      </c>
      <c r="R1702" t="s">
        <v>81</v>
      </c>
      <c r="W1702">
        <v>3</v>
      </c>
      <c r="X1702" t="s">
        <v>1135</v>
      </c>
      <c r="Z1702" t="s">
        <v>38</v>
      </c>
      <c r="AB1702" t="s">
        <v>921</v>
      </c>
      <c r="AC1702" t="s">
        <v>1205</v>
      </c>
      <c r="AD1702" t="s">
        <v>39</v>
      </c>
    </row>
    <row r="1703" spans="1:30" hidden="1" x14ac:dyDescent="0.25">
      <c r="A1703">
        <v>159</v>
      </c>
      <c r="B1703" t="s">
        <v>235</v>
      </c>
      <c r="C1703">
        <v>8</v>
      </c>
      <c r="D1703">
        <v>150</v>
      </c>
      <c r="E1703">
        <v>792</v>
      </c>
      <c r="F1703" t="s">
        <v>77</v>
      </c>
      <c r="G1703" t="s">
        <v>746</v>
      </c>
      <c r="H1703">
        <v>2</v>
      </c>
      <c r="I1703">
        <v>14.92</v>
      </c>
      <c r="J1703" t="s">
        <v>839</v>
      </c>
      <c r="K1703" t="s">
        <v>812</v>
      </c>
      <c r="M1703" t="s">
        <v>1307</v>
      </c>
      <c r="Q1703" t="s">
        <v>28</v>
      </c>
      <c r="R1703" t="s">
        <v>81</v>
      </c>
      <c r="W1703">
        <v>3</v>
      </c>
      <c r="X1703" t="s">
        <v>1135</v>
      </c>
      <c r="Z1703" t="s">
        <v>38</v>
      </c>
      <c r="AB1703" t="s">
        <v>921</v>
      </c>
      <c r="AC1703" t="s">
        <v>1205</v>
      </c>
      <c r="AD1703" t="s">
        <v>39</v>
      </c>
    </row>
    <row r="1704" spans="1:30" hidden="1" x14ac:dyDescent="0.25">
      <c r="A1704">
        <v>160</v>
      </c>
      <c r="B1704" t="s">
        <v>237</v>
      </c>
      <c r="C1704">
        <v>8</v>
      </c>
      <c r="D1704">
        <v>148</v>
      </c>
      <c r="E1704">
        <v>441</v>
      </c>
      <c r="F1704" t="s">
        <v>77</v>
      </c>
      <c r="G1704" t="s">
        <v>746</v>
      </c>
      <c r="H1704">
        <v>1</v>
      </c>
      <c r="I1704">
        <v>4.0999999999999996</v>
      </c>
      <c r="J1704" t="s">
        <v>839</v>
      </c>
      <c r="K1704" t="s">
        <v>812</v>
      </c>
      <c r="M1704" t="s">
        <v>1307</v>
      </c>
      <c r="Q1704" t="s">
        <v>26</v>
      </c>
      <c r="R1704" t="s">
        <v>81</v>
      </c>
      <c r="W1704">
        <v>3</v>
      </c>
      <c r="X1704" t="s">
        <v>1135</v>
      </c>
      <c r="Z1704" t="s">
        <v>38</v>
      </c>
      <c r="AB1704" t="s">
        <v>921</v>
      </c>
      <c r="AC1704" t="s">
        <v>1207</v>
      </c>
      <c r="AD1704" t="s">
        <v>39</v>
      </c>
    </row>
    <row r="1705" spans="1:30" hidden="1" x14ac:dyDescent="0.25">
      <c r="A1705">
        <v>161</v>
      </c>
      <c r="B1705" t="s">
        <v>241</v>
      </c>
      <c r="C1705">
        <v>8</v>
      </c>
      <c r="D1705">
        <v>156</v>
      </c>
      <c r="E1705">
        <v>465</v>
      </c>
      <c r="F1705" t="s">
        <v>77</v>
      </c>
      <c r="G1705" t="s">
        <v>746</v>
      </c>
      <c r="H1705">
        <v>1</v>
      </c>
      <c r="I1705">
        <v>4.55</v>
      </c>
      <c r="J1705" t="s">
        <v>839</v>
      </c>
      <c r="K1705" t="s">
        <v>812</v>
      </c>
      <c r="M1705" t="s">
        <v>1307</v>
      </c>
      <c r="Q1705" t="s">
        <v>26</v>
      </c>
      <c r="R1705" t="s">
        <v>81</v>
      </c>
      <c r="W1705">
        <v>3</v>
      </c>
      <c r="X1705" t="s">
        <v>1135</v>
      </c>
      <c r="Z1705" t="s">
        <v>38</v>
      </c>
      <c r="AB1705" t="s">
        <v>921</v>
      </c>
      <c r="AC1705" t="s">
        <v>1207</v>
      </c>
      <c r="AD1705" t="s">
        <v>39</v>
      </c>
    </row>
    <row r="1706" spans="1:30" hidden="1" x14ac:dyDescent="0.25">
      <c r="A1706">
        <v>162</v>
      </c>
      <c r="B1706" t="s">
        <v>243</v>
      </c>
      <c r="C1706">
        <v>8</v>
      </c>
      <c r="D1706">
        <v>464</v>
      </c>
      <c r="E1706">
        <v>12000</v>
      </c>
      <c r="F1706" t="s">
        <v>77</v>
      </c>
      <c r="G1706" t="s">
        <v>746</v>
      </c>
      <c r="H1706">
        <v>1</v>
      </c>
      <c r="I1706">
        <v>332.54</v>
      </c>
      <c r="J1706" t="s">
        <v>839</v>
      </c>
      <c r="K1706" t="s">
        <v>812</v>
      </c>
      <c r="M1706" t="s">
        <v>1307</v>
      </c>
      <c r="O1706" t="s">
        <v>228</v>
      </c>
      <c r="Q1706" t="s">
        <v>28</v>
      </c>
      <c r="R1706" t="s">
        <v>81</v>
      </c>
      <c r="W1706">
        <v>3</v>
      </c>
      <c r="X1706" t="s">
        <v>1135</v>
      </c>
      <c r="Z1706" t="s">
        <v>38</v>
      </c>
      <c r="AB1706" t="s">
        <v>921</v>
      </c>
      <c r="AC1706" t="s">
        <v>1207</v>
      </c>
      <c r="AD1706" t="s">
        <v>39</v>
      </c>
    </row>
    <row r="1707" spans="1:30" hidden="1" x14ac:dyDescent="0.25">
      <c r="A1707">
        <v>163</v>
      </c>
      <c r="B1707" t="s">
        <v>245</v>
      </c>
      <c r="C1707">
        <v>8</v>
      </c>
      <c r="D1707">
        <v>342</v>
      </c>
      <c r="E1707">
        <v>11990</v>
      </c>
      <c r="F1707" t="s">
        <v>77</v>
      </c>
      <c r="G1707" t="s">
        <v>746</v>
      </c>
      <c r="H1707">
        <v>1</v>
      </c>
      <c r="I1707">
        <v>244.16</v>
      </c>
      <c r="J1707" t="s">
        <v>839</v>
      </c>
      <c r="K1707" t="s">
        <v>812</v>
      </c>
      <c r="M1707" t="s">
        <v>1307</v>
      </c>
      <c r="O1707" t="s">
        <v>228</v>
      </c>
      <c r="Q1707" t="s">
        <v>28</v>
      </c>
      <c r="R1707" t="s">
        <v>81</v>
      </c>
      <c r="W1707">
        <v>3</v>
      </c>
      <c r="X1707" t="s">
        <v>1135</v>
      </c>
      <c r="Z1707" t="s">
        <v>38</v>
      </c>
      <c r="AB1707" t="s">
        <v>921</v>
      </c>
      <c r="AC1707" t="s">
        <v>1207</v>
      </c>
      <c r="AD1707" t="s">
        <v>39</v>
      </c>
    </row>
    <row r="1708" spans="1:30" hidden="1" x14ac:dyDescent="0.25">
      <c r="A1708">
        <v>164</v>
      </c>
      <c r="B1708" t="s">
        <v>226</v>
      </c>
      <c r="C1708">
        <v>8</v>
      </c>
      <c r="D1708">
        <v>334</v>
      </c>
      <c r="E1708">
        <v>11998</v>
      </c>
      <c r="F1708" t="s">
        <v>77</v>
      </c>
      <c r="G1708" t="s">
        <v>746</v>
      </c>
      <c r="H1708">
        <v>3</v>
      </c>
      <c r="I1708">
        <v>732.99</v>
      </c>
      <c r="J1708" t="s">
        <v>839</v>
      </c>
      <c r="K1708" t="s">
        <v>812</v>
      </c>
      <c r="M1708" t="s">
        <v>1307</v>
      </c>
      <c r="O1708" t="s">
        <v>228</v>
      </c>
      <c r="Q1708" t="s">
        <v>28</v>
      </c>
      <c r="R1708" t="s">
        <v>81</v>
      </c>
      <c r="W1708">
        <v>3</v>
      </c>
      <c r="X1708" t="s">
        <v>1135</v>
      </c>
      <c r="Z1708" t="s">
        <v>38</v>
      </c>
      <c r="AB1708" t="s">
        <v>921</v>
      </c>
      <c r="AC1708" t="s">
        <v>1207</v>
      </c>
      <c r="AD1708" t="s">
        <v>39</v>
      </c>
    </row>
    <row r="1709" spans="1:30" hidden="1" x14ac:dyDescent="0.25">
      <c r="A1709">
        <v>165</v>
      </c>
      <c r="B1709" t="s">
        <v>231</v>
      </c>
      <c r="C1709">
        <v>8</v>
      </c>
      <c r="D1709">
        <v>150</v>
      </c>
      <c r="E1709">
        <v>4252</v>
      </c>
      <c r="F1709" t="s">
        <v>77</v>
      </c>
      <c r="G1709" t="s">
        <v>746</v>
      </c>
      <c r="H1709">
        <v>1</v>
      </c>
      <c r="I1709">
        <v>40.049999999999997</v>
      </c>
      <c r="J1709" t="s">
        <v>839</v>
      </c>
      <c r="K1709" t="s">
        <v>812</v>
      </c>
      <c r="M1709" t="s">
        <v>1307</v>
      </c>
      <c r="Q1709" t="s">
        <v>28</v>
      </c>
      <c r="R1709" t="s">
        <v>81</v>
      </c>
      <c r="W1709">
        <v>3</v>
      </c>
      <c r="X1709" t="s">
        <v>1135</v>
      </c>
      <c r="Z1709" t="s">
        <v>38</v>
      </c>
      <c r="AB1709" t="s">
        <v>921</v>
      </c>
      <c r="AC1709" t="s">
        <v>1207</v>
      </c>
      <c r="AD1709" t="s">
        <v>39</v>
      </c>
    </row>
    <row r="1710" spans="1:30" hidden="1" x14ac:dyDescent="0.25">
      <c r="A1710">
        <v>166</v>
      </c>
      <c r="B1710" t="s">
        <v>233</v>
      </c>
      <c r="C1710">
        <v>8</v>
      </c>
      <c r="D1710">
        <v>150</v>
      </c>
      <c r="E1710">
        <v>6824</v>
      </c>
      <c r="F1710" t="s">
        <v>77</v>
      </c>
      <c r="G1710" t="s">
        <v>746</v>
      </c>
      <c r="H1710">
        <v>1</v>
      </c>
      <c r="I1710">
        <v>64.28</v>
      </c>
      <c r="J1710" t="s">
        <v>839</v>
      </c>
      <c r="K1710" t="s">
        <v>812</v>
      </c>
      <c r="M1710" t="s">
        <v>1307</v>
      </c>
      <c r="Q1710" t="s">
        <v>28</v>
      </c>
      <c r="R1710" t="s">
        <v>81</v>
      </c>
      <c r="W1710">
        <v>3</v>
      </c>
      <c r="X1710" t="s">
        <v>1135</v>
      </c>
      <c r="Z1710" t="s">
        <v>38</v>
      </c>
      <c r="AB1710" t="s">
        <v>921</v>
      </c>
      <c r="AC1710" t="s">
        <v>1207</v>
      </c>
      <c r="AD1710" t="s">
        <v>39</v>
      </c>
    </row>
    <row r="1711" spans="1:30" hidden="1" x14ac:dyDescent="0.25">
      <c r="A1711">
        <v>167</v>
      </c>
      <c r="B1711" t="s">
        <v>243</v>
      </c>
      <c r="C1711">
        <v>8</v>
      </c>
      <c r="D1711">
        <v>464</v>
      </c>
      <c r="E1711">
        <v>12000</v>
      </c>
      <c r="F1711" t="s">
        <v>77</v>
      </c>
      <c r="G1711" t="s">
        <v>746</v>
      </c>
      <c r="H1711">
        <v>1</v>
      </c>
      <c r="I1711">
        <v>332.54</v>
      </c>
      <c r="J1711" t="s">
        <v>839</v>
      </c>
      <c r="K1711" t="s">
        <v>812</v>
      </c>
      <c r="M1711" t="s">
        <v>1307</v>
      </c>
      <c r="O1711" t="s">
        <v>228</v>
      </c>
      <c r="Q1711" t="s">
        <v>28</v>
      </c>
      <c r="R1711" t="s">
        <v>81</v>
      </c>
      <c r="W1711">
        <v>3</v>
      </c>
      <c r="X1711" t="s">
        <v>1135</v>
      </c>
      <c r="Z1711" t="s">
        <v>38</v>
      </c>
      <c r="AB1711" t="s">
        <v>921</v>
      </c>
      <c r="AC1711" t="s">
        <v>1209</v>
      </c>
      <c r="AD1711" t="s">
        <v>39</v>
      </c>
    </row>
    <row r="1712" spans="1:30" hidden="1" x14ac:dyDescent="0.25">
      <c r="A1712">
        <v>168</v>
      </c>
      <c r="B1712" t="s">
        <v>249</v>
      </c>
      <c r="C1712">
        <v>8</v>
      </c>
      <c r="D1712">
        <v>347</v>
      </c>
      <c r="E1712">
        <v>12000</v>
      </c>
      <c r="F1712" t="s">
        <v>77</v>
      </c>
      <c r="G1712" t="s">
        <v>746</v>
      </c>
      <c r="H1712">
        <v>4</v>
      </c>
      <c r="I1712">
        <v>977.5</v>
      </c>
      <c r="J1712" t="s">
        <v>839</v>
      </c>
      <c r="K1712" t="s">
        <v>812</v>
      </c>
      <c r="M1712" t="s">
        <v>1307</v>
      </c>
      <c r="O1712" t="s">
        <v>228</v>
      </c>
      <c r="Q1712" t="s">
        <v>28</v>
      </c>
      <c r="R1712" t="s">
        <v>81</v>
      </c>
      <c r="W1712">
        <v>3</v>
      </c>
      <c r="X1712" t="s">
        <v>1135</v>
      </c>
      <c r="Z1712" t="s">
        <v>38</v>
      </c>
      <c r="AB1712" t="s">
        <v>921</v>
      </c>
      <c r="AC1712" t="s">
        <v>1209</v>
      </c>
      <c r="AD1712" t="s">
        <v>39</v>
      </c>
    </row>
    <row r="1713" spans="1:30" hidden="1" x14ac:dyDescent="0.25">
      <c r="A1713">
        <v>169</v>
      </c>
      <c r="B1713" t="s">
        <v>229</v>
      </c>
      <c r="C1713">
        <v>8</v>
      </c>
      <c r="D1713">
        <v>90</v>
      </c>
      <c r="E1713">
        <v>150</v>
      </c>
      <c r="F1713" t="s">
        <v>77</v>
      </c>
      <c r="G1713" t="s">
        <v>746</v>
      </c>
      <c r="H1713">
        <v>1</v>
      </c>
      <c r="I1713">
        <v>0.62</v>
      </c>
      <c r="J1713" t="s">
        <v>839</v>
      </c>
      <c r="K1713" t="s">
        <v>812</v>
      </c>
      <c r="M1713" t="s">
        <v>1307</v>
      </c>
      <c r="Q1713" t="s">
        <v>26</v>
      </c>
      <c r="R1713" t="s">
        <v>81</v>
      </c>
      <c r="W1713">
        <v>3</v>
      </c>
      <c r="X1713" t="s">
        <v>1135</v>
      </c>
      <c r="Z1713" t="s">
        <v>38</v>
      </c>
      <c r="AB1713" t="s">
        <v>921</v>
      </c>
      <c r="AC1713" t="s">
        <v>1209</v>
      </c>
      <c r="AD1713" t="s">
        <v>39</v>
      </c>
    </row>
    <row r="1714" spans="1:30" hidden="1" x14ac:dyDescent="0.25">
      <c r="A1714">
        <v>170</v>
      </c>
      <c r="B1714" t="s">
        <v>231</v>
      </c>
      <c r="C1714">
        <v>8</v>
      </c>
      <c r="D1714">
        <v>150</v>
      </c>
      <c r="E1714">
        <v>4252</v>
      </c>
      <c r="F1714" t="s">
        <v>77</v>
      </c>
      <c r="G1714" t="s">
        <v>746</v>
      </c>
      <c r="H1714">
        <v>1</v>
      </c>
      <c r="I1714">
        <v>40.049999999999997</v>
      </c>
      <c r="J1714" t="s">
        <v>839</v>
      </c>
      <c r="K1714" t="s">
        <v>812</v>
      </c>
      <c r="M1714" t="s">
        <v>1307</v>
      </c>
      <c r="Q1714" t="s">
        <v>28</v>
      </c>
      <c r="R1714" t="s">
        <v>81</v>
      </c>
      <c r="W1714">
        <v>3</v>
      </c>
      <c r="X1714" t="s">
        <v>1135</v>
      </c>
      <c r="Z1714" t="s">
        <v>38</v>
      </c>
      <c r="AB1714" t="s">
        <v>921</v>
      </c>
      <c r="AC1714" t="s">
        <v>1209</v>
      </c>
      <c r="AD1714" t="s">
        <v>39</v>
      </c>
    </row>
    <row r="1715" spans="1:30" hidden="1" x14ac:dyDescent="0.25">
      <c r="A1715">
        <v>171</v>
      </c>
      <c r="B1715" t="s">
        <v>233</v>
      </c>
      <c r="C1715">
        <v>8</v>
      </c>
      <c r="D1715">
        <v>150</v>
      </c>
      <c r="E1715">
        <v>6824</v>
      </c>
      <c r="F1715" t="s">
        <v>77</v>
      </c>
      <c r="G1715" t="s">
        <v>746</v>
      </c>
      <c r="H1715">
        <v>1</v>
      </c>
      <c r="I1715">
        <v>64.28</v>
      </c>
      <c r="J1715" t="s">
        <v>839</v>
      </c>
      <c r="K1715" t="s">
        <v>812</v>
      </c>
      <c r="M1715" t="s">
        <v>1307</v>
      </c>
      <c r="Q1715" t="s">
        <v>28</v>
      </c>
      <c r="R1715" t="s">
        <v>81</v>
      </c>
      <c r="W1715">
        <v>3</v>
      </c>
      <c r="X1715" t="s">
        <v>1135</v>
      </c>
      <c r="Z1715" t="s">
        <v>38</v>
      </c>
      <c r="AB1715" t="s">
        <v>921</v>
      </c>
      <c r="AC1715" t="s">
        <v>1209</v>
      </c>
      <c r="AD1715" t="s">
        <v>39</v>
      </c>
    </row>
    <row r="1716" spans="1:30" hidden="1" x14ac:dyDescent="0.25">
      <c r="A1716">
        <v>172</v>
      </c>
      <c r="B1716" t="s">
        <v>235</v>
      </c>
      <c r="C1716">
        <v>8</v>
      </c>
      <c r="D1716">
        <v>150</v>
      </c>
      <c r="E1716">
        <v>792</v>
      </c>
      <c r="F1716" t="s">
        <v>77</v>
      </c>
      <c r="G1716" t="s">
        <v>746</v>
      </c>
      <c r="H1716">
        <v>1</v>
      </c>
      <c r="I1716">
        <v>7.46</v>
      </c>
      <c r="J1716" t="s">
        <v>839</v>
      </c>
      <c r="K1716" t="s">
        <v>812</v>
      </c>
      <c r="M1716" t="s">
        <v>1307</v>
      </c>
      <c r="Q1716" t="s">
        <v>28</v>
      </c>
      <c r="R1716" t="s">
        <v>81</v>
      </c>
      <c r="W1716">
        <v>3</v>
      </c>
      <c r="X1716" t="s">
        <v>1135</v>
      </c>
      <c r="Z1716" t="s">
        <v>38</v>
      </c>
      <c r="AB1716" t="s">
        <v>921</v>
      </c>
      <c r="AC1716" t="s">
        <v>1209</v>
      </c>
      <c r="AD1716" t="s">
        <v>39</v>
      </c>
    </row>
    <row r="1717" spans="1:30" hidden="1" x14ac:dyDescent="0.25">
      <c r="A1717">
        <v>173</v>
      </c>
      <c r="B1717" t="s">
        <v>251</v>
      </c>
      <c r="C1717">
        <v>8</v>
      </c>
      <c r="D1717">
        <v>459</v>
      </c>
      <c r="E1717">
        <v>11977</v>
      </c>
      <c r="F1717" t="s">
        <v>77</v>
      </c>
      <c r="G1717" t="s">
        <v>746</v>
      </c>
      <c r="H1717">
        <v>1</v>
      </c>
      <c r="I1717">
        <v>331.9</v>
      </c>
      <c r="J1717" t="s">
        <v>839</v>
      </c>
      <c r="K1717" t="s">
        <v>812</v>
      </c>
      <c r="M1717" t="s">
        <v>1307</v>
      </c>
      <c r="O1717" t="s">
        <v>228</v>
      </c>
      <c r="Q1717" t="s">
        <v>28</v>
      </c>
      <c r="R1717" t="s">
        <v>81</v>
      </c>
      <c r="W1717">
        <v>3</v>
      </c>
      <c r="X1717" t="s">
        <v>1135</v>
      </c>
      <c r="Z1717" t="s">
        <v>38</v>
      </c>
      <c r="AB1717" t="s">
        <v>921</v>
      </c>
      <c r="AC1717" t="s">
        <v>1211</v>
      </c>
      <c r="AD1717" t="s">
        <v>39</v>
      </c>
    </row>
    <row r="1718" spans="1:30" hidden="1" x14ac:dyDescent="0.25">
      <c r="A1718">
        <v>174</v>
      </c>
      <c r="B1718" t="s">
        <v>255</v>
      </c>
      <c r="C1718">
        <v>8</v>
      </c>
      <c r="D1718">
        <v>342</v>
      </c>
      <c r="E1718">
        <v>11990</v>
      </c>
      <c r="F1718" t="s">
        <v>77</v>
      </c>
      <c r="G1718" t="s">
        <v>746</v>
      </c>
      <c r="H1718">
        <v>3</v>
      </c>
      <c r="I1718">
        <v>732.47</v>
      </c>
      <c r="J1718" t="s">
        <v>839</v>
      </c>
      <c r="K1718" t="s">
        <v>812</v>
      </c>
      <c r="M1718" t="s">
        <v>1307</v>
      </c>
      <c r="O1718" t="s">
        <v>228</v>
      </c>
      <c r="Q1718" t="s">
        <v>28</v>
      </c>
      <c r="R1718" t="s">
        <v>81</v>
      </c>
      <c r="W1718">
        <v>3</v>
      </c>
      <c r="X1718" t="s">
        <v>1135</v>
      </c>
      <c r="Z1718" t="s">
        <v>38</v>
      </c>
      <c r="AB1718" t="s">
        <v>921</v>
      </c>
      <c r="AC1718" t="s">
        <v>1211</v>
      </c>
      <c r="AD1718" t="s">
        <v>39</v>
      </c>
    </row>
    <row r="1719" spans="1:30" hidden="1" x14ac:dyDescent="0.25">
      <c r="A1719">
        <v>175</v>
      </c>
      <c r="B1719" t="s">
        <v>256</v>
      </c>
      <c r="C1719">
        <v>8</v>
      </c>
      <c r="D1719">
        <v>458</v>
      </c>
      <c r="E1719">
        <v>11977</v>
      </c>
      <c r="F1719" t="s">
        <v>77</v>
      </c>
      <c r="G1719" t="s">
        <v>746</v>
      </c>
      <c r="H1719">
        <v>1</v>
      </c>
      <c r="I1719">
        <v>331.9</v>
      </c>
      <c r="J1719" t="s">
        <v>839</v>
      </c>
      <c r="K1719" t="s">
        <v>812</v>
      </c>
      <c r="M1719" t="s">
        <v>1307</v>
      </c>
      <c r="O1719" t="s">
        <v>228</v>
      </c>
      <c r="Q1719" t="s">
        <v>28</v>
      </c>
      <c r="R1719" t="s">
        <v>81</v>
      </c>
      <c r="W1719">
        <v>3</v>
      </c>
      <c r="X1719" t="s">
        <v>1135</v>
      </c>
      <c r="Z1719" t="s">
        <v>38</v>
      </c>
      <c r="AB1719" t="s">
        <v>921</v>
      </c>
      <c r="AC1719" t="s">
        <v>1211</v>
      </c>
      <c r="AD1719" t="s">
        <v>39</v>
      </c>
    </row>
    <row r="1720" spans="1:30" hidden="1" x14ac:dyDescent="0.25">
      <c r="A1720">
        <v>176</v>
      </c>
      <c r="B1720" t="s">
        <v>255</v>
      </c>
      <c r="C1720">
        <v>8</v>
      </c>
      <c r="D1720">
        <v>342</v>
      </c>
      <c r="E1720">
        <v>11990</v>
      </c>
      <c r="F1720" t="s">
        <v>77</v>
      </c>
      <c r="G1720" t="s">
        <v>746</v>
      </c>
      <c r="H1720">
        <v>1</v>
      </c>
      <c r="I1720">
        <v>244.16</v>
      </c>
      <c r="J1720" t="s">
        <v>839</v>
      </c>
      <c r="K1720" t="s">
        <v>812</v>
      </c>
      <c r="M1720" t="s">
        <v>1307</v>
      </c>
      <c r="O1720" t="s">
        <v>228</v>
      </c>
      <c r="Q1720" t="s">
        <v>28</v>
      </c>
      <c r="R1720" t="s">
        <v>81</v>
      </c>
      <c r="W1720">
        <v>3</v>
      </c>
      <c r="X1720" t="s">
        <v>1135</v>
      </c>
      <c r="Z1720" t="s">
        <v>38</v>
      </c>
      <c r="AB1720" t="s">
        <v>921</v>
      </c>
      <c r="AC1720" t="s">
        <v>1213</v>
      </c>
      <c r="AD1720" t="s">
        <v>39</v>
      </c>
    </row>
    <row r="1721" spans="1:30" hidden="1" x14ac:dyDescent="0.25">
      <c r="A1721">
        <v>177</v>
      </c>
      <c r="B1721" t="s">
        <v>245</v>
      </c>
      <c r="C1721">
        <v>8</v>
      </c>
      <c r="D1721">
        <v>342</v>
      </c>
      <c r="E1721">
        <v>11990</v>
      </c>
      <c r="F1721" t="s">
        <v>77</v>
      </c>
      <c r="G1721" t="s">
        <v>746</v>
      </c>
      <c r="H1721">
        <v>2</v>
      </c>
      <c r="I1721">
        <v>488.31</v>
      </c>
      <c r="J1721" t="s">
        <v>839</v>
      </c>
      <c r="K1721" t="s">
        <v>812</v>
      </c>
      <c r="M1721" t="s">
        <v>1307</v>
      </c>
      <c r="O1721" t="s">
        <v>228</v>
      </c>
      <c r="Q1721" t="s">
        <v>28</v>
      </c>
      <c r="R1721" t="s">
        <v>81</v>
      </c>
      <c r="W1721">
        <v>3</v>
      </c>
      <c r="X1721" t="s">
        <v>1135</v>
      </c>
      <c r="Z1721" t="s">
        <v>38</v>
      </c>
      <c r="AB1721" t="s">
        <v>921</v>
      </c>
      <c r="AC1721" t="s">
        <v>1213</v>
      </c>
      <c r="AD1721" t="s">
        <v>39</v>
      </c>
    </row>
    <row r="1722" spans="1:30" hidden="1" x14ac:dyDescent="0.25">
      <c r="A1722">
        <v>178</v>
      </c>
      <c r="B1722" t="s">
        <v>260</v>
      </c>
      <c r="C1722">
        <v>8</v>
      </c>
      <c r="D1722">
        <v>451</v>
      </c>
      <c r="E1722">
        <v>12000</v>
      </c>
      <c r="F1722" t="s">
        <v>77</v>
      </c>
      <c r="G1722" t="s">
        <v>746</v>
      </c>
      <c r="H1722">
        <v>2</v>
      </c>
      <c r="I1722">
        <v>665.18</v>
      </c>
      <c r="J1722" t="s">
        <v>839</v>
      </c>
      <c r="K1722" t="s">
        <v>812</v>
      </c>
      <c r="M1722" t="s">
        <v>1307</v>
      </c>
      <c r="O1722" t="s">
        <v>228</v>
      </c>
      <c r="Q1722" t="s">
        <v>28</v>
      </c>
      <c r="R1722" t="s">
        <v>81</v>
      </c>
      <c r="W1722">
        <v>3</v>
      </c>
      <c r="X1722" t="s">
        <v>1135</v>
      </c>
      <c r="Z1722" t="s">
        <v>38</v>
      </c>
      <c r="AB1722" t="s">
        <v>921</v>
      </c>
      <c r="AC1722" t="s">
        <v>1213</v>
      </c>
      <c r="AD1722" t="s">
        <v>39</v>
      </c>
    </row>
    <row r="1723" spans="1:30" hidden="1" x14ac:dyDescent="0.25">
      <c r="A1723">
        <v>179</v>
      </c>
      <c r="B1723" t="s">
        <v>262</v>
      </c>
      <c r="C1723">
        <v>8</v>
      </c>
      <c r="D1723">
        <v>334</v>
      </c>
      <c r="E1723">
        <v>11992</v>
      </c>
      <c r="F1723" t="s">
        <v>77</v>
      </c>
      <c r="G1723" t="s">
        <v>746</v>
      </c>
      <c r="H1723">
        <v>4</v>
      </c>
      <c r="I1723">
        <v>981.99</v>
      </c>
      <c r="J1723" t="s">
        <v>839</v>
      </c>
      <c r="K1723" t="s">
        <v>812</v>
      </c>
      <c r="M1723" t="s">
        <v>1307</v>
      </c>
      <c r="Q1723" t="s">
        <v>28</v>
      </c>
      <c r="R1723" t="s">
        <v>81</v>
      </c>
      <c r="W1723">
        <v>3</v>
      </c>
      <c r="X1723" t="s">
        <v>1135</v>
      </c>
      <c r="Z1723" t="s">
        <v>38</v>
      </c>
      <c r="AB1723" t="s">
        <v>921</v>
      </c>
      <c r="AC1723" t="s">
        <v>1215</v>
      </c>
      <c r="AD1723" t="s">
        <v>39</v>
      </c>
    </row>
    <row r="1724" spans="1:30" hidden="1" x14ac:dyDescent="0.25">
      <c r="A1724">
        <v>180</v>
      </c>
      <c r="B1724" t="s">
        <v>245</v>
      </c>
      <c r="C1724">
        <v>8</v>
      </c>
      <c r="D1724">
        <v>342</v>
      </c>
      <c r="E1724">
        <v>11990</v>
      </c>
      <c r="F1724" t="s">
        <v>77</v>
      </c>
      <c r="G1724" t="s">
        <v>746</v>
      </c>
      <c r="H1724">
        <v>1</v>
      </c>
      <c r="I1724">
        <v>244.16</v>
      </c>
      <c r="J1724" t="s">
        <v>839</v>
      </c>
      <c r="K1724" t="s">
        <v>812</v>
      </c>
      <c r="M1724" t="s">
        <v>1307</v>
      </c>
      <c r="O1724" t="s">
        <v>228</v>
      </c>
      <c r="Q1724" t="s">
        <v>28</v>
      </c>
      <c r="R1724" t="s">
        <v>81</v>
      </c>
      <c r="W1724">
        <v>3</v>
      </c>
      <c r="X1724" t="s">
        <v>1135</v>
      </c>
      <c r="Z1724" t="s">
        <v>38</v>
      </c>
      <c r="AB1724" t="s">
        <v>921</v>
      </c>
      <c r="AC1724" t="s">
        <v>1215</v>
      </c>
      <c r="AD1724" t="s">
        <v>39</v>
      </c>
    </row>
    <row r="1725" spans="1:30" hidden="1" x14ac:dyDescent="0.25">
      <c r="A1725">
        <v>181</v>
      </c>
      <c r="B1725" t="s">
        <v>265</v>
      </c>
      <c r="C1725">
        <v>8</v>
      </c>
      <c r="D1725">
        <v>124</v>
      </c>
      <c r="E1725">
        <v>4252</v>
      </c>
      <c r="F1725" t="s">
        <v>77</v>
      </c>
      <c r="G1725" t="s">
        <v>746</v>
      </c>
      <c r="H1725">
        <v>2</v>
      </c>
      <c r="I1725">
        <v>66.22</v>
      </c>
      <c r="J1725" t="s">
        <v>839</v>
      </c>
      <c r="K1725" t="s">
        <v>812</v>
      </c>
      <c r="M1725" t="s">
        <v>1307</v>
      </c>
      <c r="Q1725" t="s">
        <v>28</v>
      </c>
      <c r="R1725" t="s">
        <v>81</v>
      </c>
      <c r="W1725">
        <v>3</v>
      </c>
      <c r="X1725" t="s">
        <v>1135</v>
      </c>
      <c r="Z1725" t="s">
        <v>38</v>
      </c>
      <c r="AB1725" t="s">
        <v>921</v>
      </c>
      <c r="AC1725" t="s">
        <v>1215</v>
      </c>
      <c r="AD1725" t="s">
        <v>39</v>
      </c>
    </row>
    <row r="1726" spans="1:30" hidden="1" x14ac:dyDescent="0.25">
      <c r="A1726">
        <v>182</v>
      </c>
      <c r="B1726" t="s">
        <v>267</v>
      </c>
      <c r="C1726">
        <v>8</v>
      </c>
      <c r="D1726">
        <v>124</v>
      </c>
      <c r="E1726">
        <v>6824</v>
      </c>
      <c r="F1726" t="s">
        <v>77</v>
      </c>
      <c r="G1726" t="s">
        <v>746</v>
      </c>
      <c r="H1726">
        <v>2</v>
      </c>
      <c r="I1726">
        <v>106.28</v>
      </c>
      <c r="J1726" t="s">
        <v>839</v>
      </c>
      <c r="K1726" t="s">
        <v>812</v>
      </c>
      <c r="M1726" t="s">
        <v>1307</v>
      </c>
      <c r="Q1726" t="s">
        <v>28</v>
      </c>
      <c r="R1726" t="s">
        <v>81</v>
      </c>
      <c r="W1726">
        <v>3</v>
      </c>
      <c r="X1726" t="s">
        <v>1135</v>
      </c>
      <c r="Z1726" t="s">
        <v>38</v>
      </c>
      <c r="AB1726" t="s">
        <v>921</v>
      </c>
      <c r="AC1726" t="s">
        <v>1215</v>
      </c>
      <c r="AD1726" t="s">
        <v>39</v>
      </c>
    </row>
    <row r="1727" spans="1:30" hidden="1" x14ac:dyDescent="0.25">
      <c r="A1727">
        <v>183</v>
      </c>
      <c r="B1727" t="s">
        <v>235</v>
      </c>
      <c r="C1727">
        <v>8</v>
      </c>
      <c r="D1727">
        <v>150</v>
      </c>
      <c r="E1727">
        <v>792</v>
      </c>
      <c r="F1727" t="s">
        <v>77</v>
      </c>
      <c r="G1727" t="s">
        <v>746</v>
      </c>
      <c r="H1727">
        <v>1</v>
      </c>
      <c r="I1727">
        <v>7.46</v>
      </c>
      <c r="J1727" t="s">
        <v>839</v>
      </c>
      <c r="K1727" t="s">
        <v>812</v>
      </c>
      <c r="M1727" t="s">
        <v>1307</v>
      </c>
      <c r="Q1727" t="s">
        <v>28</v>
      </c>
      <c r="R1727" t="s">
        <v>81</v>
      </c>
      <c r="W1727">
        <v>3</v>
      </c>
      <c r="X1727" t="s">
        <v>1135</v>
      </c>
      <c r="Z1727" t="s">
        <v>38</v>
      </c>
      <c r="AB1727" t="s">
        <v>921</v>
      </c>
      <c r="AC1727" t="s">
        <v>1215</v>
      </c>
      <c r="AD1727" t="s">
        <v>39</v>
      </c>
    </row>
    <row r="1728" spans="1:30" hidden="1" x14ac:dyDescent="0.25">
      <c r="A1728">
        <v>184</v>
      </c>
      <c r="B1728" t="s">
        <v>269</v>
      </c>
      <c r="C1728">
        <v>8</v>
      </c>
      <c r="D1728">
        <v>124</v>
      </c>
      <c r="E1728">
        <v>792</v>
      </c>
      <c r="F1728" t="s">
        <v>77</v>
      </c>
      <c r="G1728" t="s">
        <v>746</v>
      </c>
      <c r="H1728">
        <v>1</v>
      </c>
      <c r="I1728">
        <v>6.17</v>
      </c>
      <c r="J1728" t="s">
        <v>839</v>
      </c>
      <c r="K1728" t="s">
        <v>812</v>
      </c>
      <c r="M1728" t="s">
        <v>1307</v>
      </c>
      <c r="Q1728" t="s">
        <v>28</v>
      </c>
      <c r="R1728" t="s">
        <v>81</v>
      </c>
      <c r="W1728">
        <v>3</v>
      </c>
      <c r="X1728" t="s">
        <v>1135</v>
      </c>
      <c r="Z1728" t="s">
        <v>38</v>
      </c>
      <c r="AB1728" t="s">
        <v>921</v>
      </c>
      <c r="AC1728" t="s">
        <v>1215</v>
      </c>
      <c r="AD1728" t="s">
        <v>39</v>
      </c>
    </row>
    <row r="1729" spans="1:30" hidden="1" x14ac:dyDescent="0.25">
      <c r="A1729">
        <v>185</v>
      </c>
      <c r="B1729" t="s">
        <v>251</v>
      </c>
      <c r="C1729">
        <v>8</v>
      </c>
      <c r="D1729">
        <v>459</v>
      </c>
      <c r="E1729">
        <v>11977</v>
      </c>
      <c r="F1729" t="s">
        <v>77</v>
      </c>
      <c r="G1729" t="s">
        <v>746</v>
      </c>
      <c r="H1729">
        <v>1</v>
      </c>
      <c r="I1729">
        <v>331.9</v>
      </c>
      <c r="J1729" t="s">
        <v>839</v>
      </c>
      <c r="K1729" t="s">
        <v>812</v>
      </c>
      <c r="M1729" t="s">
        <v>1307</v>
      </c>
      <c r="O1729" t="s">
        <v>228</v>
      </c>
      <c r="Q1729" t="s">
        <v>28</v>
      </c>
      <c r="R1729" t="s">
        <v>81</v>
      </c>
      <c r="W1729">
        <v>3</v>
      </c>
      <c r="X1729" t="s">
        <v>1135</v>
      </c>
      <c r="Z1729" t="s">
        <v>38</v>
      </c>
      <c r="AB1729" t="s">
        <v>921</v>
      </c>
      <c r="AC1729" t="s">
        <v>1217</v>
      </c>
      <c r="AD1729" t="s">
        <v>39</v>
      </c>
    </row>
    <row r="1730" spans="1:30" hidden="1" x14ac:dyDescent="0.25">
      <c r="A1730">
        <v>186</v>
      </c>
      <c r="B1730" t="s">
        <v>256</v>
      </c>
      <c r="C1730">
        <v>8</v>
      </c>
      <c r="D1730">
        <v>458</v>
      </c>
      <c r="E1730">
        <v>11977</v>
      </c>
      <c r="F1730" t="s">
        <v>77</v>
      </c>
      <c r="G1730" t="s">
        <v>746</v>
      </c>
      <c r="H1730">
        <v>1</v>
      </c>
      <c r="I1730">
        <v>331.9</v>
      </c>
      <c r="J1730" t="s">
        <v>839</v>
      </c>
      <c r="K1730" t="s">
        <v>812</v>
      </c>
      <c r="M1730" t="s">
        <v>1307</v>
      </c>
      <c r="O1730" t="s">
        <v>228</v>
      </c>
      <c r="Q1730" t="s">
        <v>28</v>
      </c>
      <c r="R1730" t="s">
        <v>81</v>
      </c>
      <c r="W1730">
        <v>3</v>
      </c>
      <c r="X1730" t="s">
        <v>1135</v>
      </c>
      <c r="Z1730" t="s">
        <v>38</v>
      </c>
      <c r="AB1730" t="s">
        <v>921</v>
      </c>
      <c r="AC1730" t="s">
        <v>1217</v>
      </c>
      <c r="AD1730" t="s">
        <v>39</v>
      </c>
    </row>
    <row r="1731" spans="1:30" hidden="1" x14ac:dyDescent="0.25">
      <c r="A1731">
        <v>187</v>
      </c>
      <c r="B1731" t="s">
        <v>273</v>
      </c>
      <c r="C1731">
        <v>8</v>
      </c>
      <c r="D1731">
        <v>448</v>
      </c>
      <c r="E1731">
        <v>7587</v>
      </c>
      <c r="F1731" t="s">
        <v>77</v>
      </c>
      <c r="G1731" t="s">
        <v>746</v>
      </c>
      <c r="H1731">
        <v>2</v>
      </c>
      <c r="I1731">
        <v>422.1</v>
      </c>
      <c r="J1731" t="s">
        <v>839</v>
      </c>
      <c r="K1731" t="s">
        <v>812</v>
      </c>
      <c r="M1731" t="s">
        <v>1307</v>
      </c>
      <c r="O1731" t="s">
        <v>228</v>
      </c>
      <c r="Q1731" t="s">
        <v>28</v>
      </c>
      <c r="R1731" t="s">
        <v>81</v>
      </c>
      <c r="W1731">
        <v>3</v>
      </c>
      <c r="X1731" t="s">
        <v>1135</v>
      </c>
      <c r="Z1731" t="s">
        <v>38</v>
      </c>
      <c r="AB1731" t="s">
        <v>921</v>
      </c>
      <c r="AC1731" t="s">
        <v>1217</v>
      </c>
      <c r="AD1731" t="s">
        <v>39</v>
      </c>
    </row>
    <row r="1732" spans="1:30" hidden="1" x14ac:dyDescent="0.25">
      <c r="A1732">
        <v>188</v>
      </c>
      <c r="B1732" t="s">
        <v>265</v>
      </c>
      <c r="C1732">
        <v>8</v>
      </c>
      <c r="D1732">
        <v>124</v>
      </c>
      <c r="E1732">
        <v>4252</v>
      </c>
      <c r="F1732" t="s">
        <v>77</v>
      </c>
      <c r="G1732" t="s">
        <v>746</v>
      </c>
      <c r="H1732">
        <v>2</v>
      </c>
      <c r="I1732">
        <v>66.22</v>
      </c>
      <c r="J1732" t="s">
        <v>839</v>
      </c>
      <c r="K1732" t="s">
        <v>812</v>
      </c>
      <c r="M1732" t="s">
        <v>1307</v>
      </c>
      <c r="Q1732" t="s">
        <v>28</v>
      </c>
      <c r="R1732" t="s">
        <v>81</v>
      </c>
      <c r="W1732">
        <v>3</v>
      </c>
      <c r="X1732" t="s">
        <v>1135</v>
      </c>
      <c r="Z1732" t="s">
        <v>38</v>
      </c>
      <c r="AB1732" t="s">
        <v>921</v>
      </c>
      <c r="AC1732" t="s">
        <v>1217</v>
      </c>
      <c r="AD1732" t="s">
        <v>39</v>
      </c>
    </row>
    <row r="1733" spans="1:30" hidden="1" x14ac:dyDescent="0.25">
      <c r="A1733">
        <v>189</v>
      </c>
      <c r="B1733" t="s">
        <v>275</v>
      </c>
      <c r="C1733">
        <v>8</v>
      </c>
      <c r="D1733">
        <v>150</v>
      </c>
      <c r="E1733">
        <v>2972</v>
      </c>
      <c r="F1733" t="s">
        <v>77</v>
      </c>
      <c r="G1733" t="s">
        <v>746</v>
      </c>
      <c r="H1733">
        <v>1</v>
      </c>
      <c r="I1733">
        <v>28</v>
      </c>
      <c r="J1733" t="s">
        <v>839</v>
      </c>
      <c r="K1733" t="s">
        <v>812</v>
      </c>
      <c r="M1733" t="s">
        <v>1307</v>
      </c>
      <c r="Q1733" t="s">
        <v>28</v>
      </c>
      <c r="R1733" t="s">
        <v>81</v>
      </c>
      <c r="W1733">
        <v>3</v>
      </c>
      <c r="X1733" t="s">
        <v>1135</v>
      </c>
      <c r="Z1733" t="s">
        <v>38</v>
      </c>
      <c r="AB1733" t="s">
        <v>921</v>
      </c>
      <c r="AC1733" t="s">
        <v>1217</v>
      </c>
      <c r="AD1733" t="s">
        <v>39</v>
      </c>
    </row>
    <row r="1734" spans="1:30" hidden="1" x14ac:dyDescent="0.25">
      <c r="A1734">
        <v>190</v>
      </c>
      <c r="B1734" t="s">
        <v>277</v>
      </c>
      <c r="C1734">
        <v>8</v>
      </c>
      <c r="D1734">
        <v>124</v>
      </c>
      <c r="E1734">
        <v>2972</v>
      </c>
      <c r="F1734" t="s">
        <v>77</v>
      </c>
      <c r="G1734" t="s">
        <v>746</v>
      </c>
      <c r="H1734">
        <v>4</v>
      </c>
      <c r="I1734">
        <v>92.57</v>
      </c>
      <c r="J1734" t="s">
        <v>839</v>
      </c>
      <c r="K1734" t="s">
        <v>812</v>
      </c>
      <c r="M1734" t="s">
        <v>1307</v>
      </c>
      <c r="Q1734" t="s">
        <v>28</v>
      </c>
      <c r="R1734" t="s">
        <v>81</v>
      </c>
      <c r="W1734">
        <v>3</v>
      </c>
      <c r="X1734" t="s">
        <v>1135</v>
      </c>
      <c r="Z1734" t="s">
        <v>38</v>
      </c>
      <c r="AB1734" t="s">
        <v>921</v>
      </c>
      <c r="AC1734" t="s">
        <v>1217</v>
      </c>
      <c r="AD1734" t="s">
        <v>39</v>
      </c>
    </row>
    <row r="1735" spans="1:30" hidden="1" x14ac:dyDescent="0.25">
      <c r="A1735">
        <v>191</v>
      </c>
      <c r="B1735" t="s">
        <v>279</v>
      </c>
      <c r="C1735">
        <v>8</v>
      </c>
      <c r="D1735">
        <v>124</v>
      </c>
      <c r="E1735">
        <v>2972</v>
      </c>
      <c r="F1735" t="s">
        <v>77</v>
      </c>
      <c r="G1735" t="s">
        <v>746</v>
      </c>
      <c r="H1735">
        <v>1</v>
      </c>
      <c r="I1735">
        <v>23.14</v>
      </c>
      <c r="J1735" t="s">
        <v>839</v>
      </c>
      <c r="K1735" t="s">
        <v>812</v>
      </c>
      <c r="M1735" t="s">
        <v>1307</v>
      </c>
      <c r="Q1735" t="s">
        <v>28</v>
      </c>
      <c r="R1735" t="s">
        <v>81</v>
      </c>
      <c r="W1735">
        <v>3</v>
      </c>
      <c r="X1735" t="s">
        <v>1135</v>
      </c>
      <c r="Z1735" t="s">
        <v>38</v>
      </c>
      <c r="AB1735" t="s">
        <v>921</v>
      </c>
      <c r="AC1735" t="s">
        <v>1217</v>
      </c>
      <c r="AD1735" t="s">
        <v>39</v>
      </c>
    </row>
    <row r="1736" spans="1:30" hidden="1" x14ac:dyDescent="0.25">
      <c r="A1736">
        <v>192</v>
      </c>
      <c r="B1736" t="s">
        <v>280</v>
      </c>
      <c r="C1736">
        <v>8</v>
      </c>
      <c r="D1736">
        <v>124</v>
      </c>
      <c r="E1736">
        <v>601</v>
      </c>
      <c r="F1736" t="s">
        <v>77</v>
      </c>
      <c r="G1736" t="s">
        <v>746</v>
      </c>
      <c r="H1736">
        <v>1</v>
      </c>
      <c r="I1736">
        <v>4.68</v>
      </c>
      <c r="J1736" t="s">
        <v>839</v>
      </c>
      <c r="K1736" t="s">
        <v>812</v>
      </c>
      <c r="M1736" t="s">
        <v>1307</v>
      </c>
      <c r="Q1736" t="s">
        <v>28</v>
      </c>
      <c r="R1736" t="s">
        <v>81</v>
      </c>
      <c r="W1736">
        <v>3</v>
      </c>
      <c r="X1736" t="s">
        <v>1135</v>
      </c>
      <c r="Z1736" t="s">
        <v>38</v>
      </c>
      <c r="AB1736" t="s">
        <v>921</v>
      </c>
      <c r="AC1736" t="s">
        <v>1217</v>
      </c>
      <c r="AD1736" t="s">
        <v>39</v>
      </c>
    </row>
    <row r="1737" spans="1:30" hidden="1" x14ac:dyDescent="0.25">
      <c r="A1737">
        <v>193</v>
      </c>
      <c r="B1737" t="s">
        <v>282</v>
      </c>
      <c r="C1737">
        <v>8</v>
      </c>
      <c r="D1737">
        <v>150</v>
      </c>
      <c r="E1737">
        <v>1381</v>
      </c>
      <c r="F1737" t="s">
        <v>77</v>
      </c>
      <c r="G1737" t="s">
        <v>746</v>
      </c>
      <c r="H1737">
        <v>1</v>
      </c>
      <c r="I1737">
        <v>13.01</v>
      </c>
      <c r="J1737" t="s">
        <v>839</v>
      </c>
      <c r="K1737" t="s">
        <v>812</v>
      </c>
      <c r="M1737" t="s">
        <v>1307</v>
      </c>
      <c r="Q1737" t="s">
        <v>28</v>
      </c>
      <c r="R1737" t="s">
        <v>81</v>
      </c>
      <c r="W1737">
        <v>3</v>
      </c>
      <c r="X1737" t="s">
        <v>1135</v>
      </c>
      <c r="Z1737" t="s">
        <v>38</v>
      </c>
      <c r="AB1737" t="s">
        <v>921</v>
      </c>
      <c r="AC1737" t="s">
        <v>1217</v>
      </c>
      <c r="AD1737" t="s">
        <v>39</v>
      </c>
    </row>
    <row r="1738" spans="1:30" hidden="1" x14ac:dyDescent="0.25">
      <c r="A1738">
        <v>194</v>
      </c>
      <c r="B1738" t="s">
        <v>284</v>
      </c>
      <c r="C1738">
        <v>8</v>
      </c>
      <c r="D1738">
        <v>124</v>
      </c>
      <c r="E1738">
        <v>1381</v>
      </c>
      <c r="F1738" t="s">
        <v>77</v>
      </c>
      <c r="G1738" t="s">
        <v>746</v>
      </c>
      <c r="H1738">
        <v>4</v>
      </c>
      <c r="I1738">
        <v>43.02</v>
      </c>
      <c r="J1738" t="s">
        <v>839</v>
      </c>
      <c r="K1738" t="s">
        <v>812</v>
      </c>
      <c r="M1738" t="s">
        <v>1307</v>
      </c>
      <c r="Q1738" t="s">
        <v>28</v>
      </c>
      <c r="R1738" t="s">
        <v>81</v>
      </c>
      <c r="W1738">
        <v>3</v>
      </c>
      <c r="X1738" t="s">
        <v>1135</v>
      </c>
      <c r="Z1738" t="s">
        <v>38</v>
      </c>
      <c r="AB1738" t="s">
        <v>921</v>
      </c>
      <c r="AC1738" t="s">
        <v>1217</v>
      </c>
      <c r="AD1738" t="s">
        <v>39</v>
      </c>
    </row>
    <row r="1739" spans="1:30" hidden="1" x14ac:dyDescent="0.25">
      <c r="A1739">
        <v>195</v>
      </c>
      <c r="B1739" t="s">
        <v>267</v>
      </c>
      <c r="C1739">
        <v>8</v>
      </c>
      <c r="D1739">
        <v>124</v>
      </c>
      <c r="E1739">
        <v>6824</v>
      </c>
      <c r="F1739" t="s">
        <v>77</v>
      </c>
      <c r="G1739" t="s">
        <v>746</v>
      </c>
      <c r="H1739">
        <v>1</v>
      </c>
      <c r="I1739">
        <v>53.14</v>
      </c>
      <c r="J1739" t="s">
        <v>839</v>
      </c>
      <c r="K1739" t="s">
        <v>812</v>
      </c>
      <c r="M1739" t="s">
        <v>1307</v>
      </c>
      <c r="Q1739" t="s">
        <v>28</v>
      </c>
      <c r="R1739" t="s">
        <v>81</v>
      </c>
      <c r="W1739">
        <v>3</v>
      </c>
      <c r="X1739" t="s">
        <v>1135</v>
      </c>
      <c r="Z1739" t="s">
        <v>38</v>
      </c>
      <c r="AB1739" t="s">
        <v>921</v>
      </c>
      <c r="AC1739" t="s">
        <v>1217</v>
      </c>
      <c r="AD1739" t="s">
        <v>39</v>
      </c>
    </row>
    <row r="1740" spans="1:30" hidden="1" x14ac:dyDescent="0.25">
      <c r="A1740">
        <v>196</v>
      </c>
      <c r="B1740" t="s">
        <v>269</v>
      </c>
      <c r="C1740">
        <v>8</v>
      </c>
      <c r="D1740">
        <v>124</v>
      </c>
      <c r="E1740">
        <v>792</v>
      </c>
      <c r="F1740" t="s">
        <v>77</v>
      </c>
      <c r="G1740" t="s">
        <v>746</v>
      </c>
      <c r="H1740">
        <v>2</v>
      </c>
      <c r="I1740">
        <v>12.33</v>
      </c>
      <c r="J1740" t="s">
        <v>839</v>
      </c>
      <c r="K1740" t="s">
        <v>812</v>
      </c>
      <c r="M1740" t="s">
        <v>1307</v>
      </c>
      <c r="Q1740" t="s">
        <v>28</v>
      </c>
      <c r="R1740" t="s">
        <v>81</v>
      </c>
      <c r="W1740">
        <v>3</v>
      </c>
      <c r="X1740" t="s">
        <v>1135</v>
      </c>
      <c r="Z1740" t="s">
        <v>38</v>
      </c>
      <c r="AB1740" t="s">
        <v>921</v>
      </c>
      <c r="AC1740" t="s">
        <v>1217</v>
      </c>
      <c r="AD1740" t="s">
        <v>39</v>
      </c>
    </row>
    <row r="1741" spans="1:30" hidden="1" x14ac:dyDescent="0.25">
      <c r="A1741">
        <v>197</v>
      </c>
      <c r="B1741" t="s">
        <v>286</v>
      </c>
      <c r="C1741">
        <v>8</v>
      </c>
      <c r="D1741">
        <v>450</v>
      </c>
      <c r="E1741">
        <v>12007</v>
      </c>
      <c r="F1741" t="s">
        <v>77</v>
      </c>
      <c r="G1741" t="s">
        <v>746</v>
      </c>
      <c r="H1741">
        <v>2</v>
      </c>
      <c r="I1741">
        <v>668.05</v>
      </c>
      <c r="J1741" t="s">
        <v>839</v>
      </c>
      <c r="K1741" t="s">
        <v>812</v>
      </c>
      <c r="M1741" t="s">
        <v>1307</v>
      </c>
      <c r="Q1741" t="s">
        <v>28</v>
      </c>
      <c r="R1741" t="s">
        <v>81</v>
      </c>
      <c r="W1741">
        <v>3</v>
      </c>
      <c r="X1741" t="s">
        <v>1135</v>
      </c>
      <c r="Z1741" t="s">
        <v>38</v>
      </c>
      <c r="AB1741" t="s">
        <v>921</v>
      </c>
      <c r="AC1741" t="s">
        <v>1219</v>
      </c>
      <c r="AD1741" t="s">
        <v>39</v>
      </c>
    </row>
    <row r="1742" spans="1:30" hidden="1" x14ac:dyDescent="0.25">
      <c r="A1742">
        <v>198</v>
      </c>
      <c r="B1742" t="s">
        <v>290</v>
      </c>
      <c r="C1742">
        <v>8</v>
      </c>
      <c r="D1742">
        <v>450</v>
      </c>
      <c r="E1742">
        <v>12007</v>
      </c>
      <c r="F1742" t="s">
        <v>77</v>
      </c>
      <c r="G1742" t="s">
        <v>746</v>
      </c>
      <c r="H1742">
        <v>2</v>
      </c>
      <c r="I1742">
        <v>668.05</v>
      </c>
      <c r="J1742" t="s">
        <v>839</v>
      </c>
      <c r="K1742" t="s">
        <v>812</v>
      </c>
      <c r="M1742" t="s">
        <v>1307</v>
      </c>
      <c r="Q1742" t="s">
        <v>28</v>
      </c>
      <c r="R1742" t="s">
        <v>81</v>
      </c>
      <c r="W1742">
        <v>3</v>
      </c>
      <c r="X1742" t="s">
        <v>1135</v>
      </c>
      <c r="Z1742" t="s">
        <v>38</v>
      </c>
      <c r="AB1742" t="s">
        <v>921</v>
      </c>
      <c r="AC1742" t="s">
        <v>1219</v>
      </c>
      <c r="AD1742" t="s">
        <v>39</v>
      </c>
    </row>
    <row r="1743" spans="1:30" hidden="1" x14ac:dyDescent="0.25">
      <c r="A1743">
        <v>199</v>
      </c>
      <c r="B1743" t="s">
        <v>229</v>
      </c>
      <c r="C1743">
        <v>8</v>
      </c>
      <c r="D1743">
        <v>90</v>
      </c>
      <c r="E1743">
        <v>150</v>
      </c>
      <c r="F1743" t="s">
        <v>77</v>
      </c>
      <c r="G1743" t="s">
        <v>746</v>
      </c>
      <c r="H1743">
        <v>1</v>
      </c>
      <c r="I1743">
        <v>0.62</v>
      </c>
      <c r="J1743" t="s">
        <v>839</v>
      </c>
      <c r="K1743" t="s">
        <v>812</v>
      </c>
      <c r="M1743" t="s">
        <v>1307</v>
      </c>
      <c r="Q1743" t="s">
        <v>26</v>
      </c>
      <c r="R1743" t="s">
        <v>81</v>
      </c>
      <c r="W1743">
        <v>3</v>
      </c>
      <c r="X1743" t="s">
        <v>1135</v>
      </c>
      <c r="Z1743" t="s">
        <v>38</v>
      </c>
      <c r="AB1743" t="s">
        <v>921</v>
      </c>
      <c r="AC1743" t="s">
        <v>1219</v>
      </c>
      <c r="AD1743" t="s">
        <v>39</v>
      </c>
    </row>
    <row r="1744" spans="1:30" hidden="1" x14ac:dyDescent="0.25">
      <c r="A1744">
        <v>200</v>
      </c>
      <c r="B1744" t="s">
        <v>275</v>
      </c>
      <c r="C1744">
        <v>8</v>
      </c>
      <c r="D1744">
        <v>150</v>
      </c>
      <c r="E1744">
        <v>2972</v>
      </c>
      <c r="F1744" t="s">
        <v>77</v>
      </c>
      <c r="G1744" t="s">
        <v>746</v>
      </c>
      <c r="H1744">
        <v>3</v>
      </c>
      <c r="I1744">
        <v>83.99</v>
      </c>
      <c r="J1744" t="s">
        <v>839</v>
      </c>
      <c r="K1744" t="s">
        <v>812</v>
      </c>
      <c r="M1744" t="s">
        <v>1307</v>
      </c>
      <c r="Q1744" t="s">
        <v>28</v>
      </c>
      <c r="R1744" t="s">
        <v>81</v>
      </c>
      <c r="W1744">
        <v>3</v>
      </c>
      <c r="X1744" t="s">
        <v>1135</v>
      </c>
      <c r="Z1744" t="s">
        <v>38</v>
      </c>
      <c r="AB1744" t="s">
        <v>921</v>
      </c>
      <c r="AC1744" t="s">
        <v>1219</v>
      </c>
      <c r="AD1744" t="s">
        <v>39</v>
      </c>
    </row>
    <row r="1745" spans="1:30" hidden="1" x14ac:dyDescent="0.25">
      <c r="A1745">
        <v>201</v>
      </c>
      <c r="B1745" t="s">
        <v>291</v>
      </c>
      <c r="C1745">
        <v>8</v>
      </c>
      <c r="D1745">
        <v>150</v>
      </c>
      <c r="E1745">
        <v>2972</v>
      </c>
      <c r="F1745" t="s">
        <v>77</v>
      </c>
      <c r="G1745" t="s">
        <v>746</v>
      </c>
      <c r="H1745">
        <v>1</v>
      </c>
      <c r="I1745">
        <v>28</v>
      </c>
      <c r="J1745" t="s">
        <v>839</v>
      </c>
      <c r="K1745" t="s">
        <v>812</v>
      </c>
      <c r="M1745" t="s">
        <v>1307</v>
      </c>
      <c r="Q1745" t="s">
        <v>28</v>
      </c>
      <c r="R1745" t="s">
        <v>81</v>
      </c>
      <c r="W1745">
        <v>3</v>
      </c>
      <c r="X1745" t="s">
        <v>1135</v>
      </c>
      <c r="Z1745" t="s">
        <v>38</v>
      </c>
      <c r="AB1745" t="s">
        <v>921</v>
      </c>
      <c r="AC1745" t="s">
        <v>1219</v>
      </c>
      <c r="AD1745" t="s">
        <v>39</v>
      </c>
    </row>
    <row r="1746" spans="1:30" hidden="1" x14ac:dyDescent="0.25">
      <c r="A1746">
        <v>202</v>
      </c>
      <c r="B1746" t="s">
        <v>292</v>
      </c>
      <c r="C1746">
        <v>8</v>
      </c>
      <c r="D1746">
        <v>446</v>
      </c>
      <c r="E1746">
        <v>7588</v>
      </c>
      <c r="F1746" t="s">
        <v>77</v>
      </c>
      <c r="G1746" t="s">
        <v>746</v>
      </c>
      <c r="H1746">
        <v>2</v>
      </c>
      <c r="I1746">
        <v>422.16</v>
      </c>
      <c r="J1746" t="s">
        <v>839</v>
      </c>
      <c r="K1746" t="s">
        <v>812</v>
      </c>
      <c r="M1746" t="s">
        <v>1307</v>
      </c>
      <c r="O1746" t="s">
        <v>228</v>
      </c>
      <c r="Q1746" t="s">
        <v>28</v>
      </c>
      <c r="R1746" t="s">
        <v>81</v>
      </c>
      <c r="W1746">
        <v>3</v>
      </c>
      <c r="X1746" t="s">
        <v>1135</v>
      </c>
      <c r="Z1746" t="s">
        <v>38</v>
      </c>
      <c r="AB1746" t="s">
        <v>921</v>
      </c>
      <c r="AC1746" t="s">
        <v>1221</v>
      </c>
      <c r="AD1746" t="s">
        <v>39</v>
      </c>
    </row>
    <row r="1747" spans="1:30" hidden="1" x14ac:dyDescent="0.25">
      <c r="A1747">
        <v>203</v>
      </c>
      <c r="B1747" t="s">
        <v>296</v>
      </c>
      <c r="C1747">
        <v>8</v>
      </c>
      <c r="D1747">
        <v>329</v>
      </c>
      <c r="E1747">
        <v>7565</v>
      </c>
      <c r="F1747" t="s">
        <v>77</v>
      </c>
      <c r="G1747" t="s">
        <v>746</v>
      </c>
      <c r="H1747">
        <v>2</v>
      </c>
      <c r="I1747">
        <v>309.73</v>
      </c>
      <c r="J1747" t="s">
        <v>839</v>
      </c>
      <c r="K1747" t="s">
        <v>812</v>
      </c>
      <c r="M1747" t="s">
        <v>1307</v>
      </c>
      <c r="O1747" t="s">
        <v>228</v>
      </c>
      <c r="Q1747" t="s">
        <v>28</v>
      </c>
      <c r="R1747" t="s">
        <v>81</v>
      </c>
      <c r="W1747">
        <v>3</v>
      </c>
      <c r="X1747" t="s">
        <v>1135</v>
      </c>
      <c r="Z1747" t="s">
        <v>38</v>
      </c>
      <c r="AB1747" t="s">
        <v>921</v>
      </c>
      <c r="AC1747" t="s">
        <v>1221</v>
      </c>
      <c r="AD1747" t="s">
        <v>39</v>
      </c>
    </row>
    <row r="1748" spans="1:30" hidden="1" x14ac:dyDescent="0.25">
      <c r="A1748">
        <v>204</v>
      </c>
      <c r="B1748" t="s">
        <v>298</v>
      </c>
      <c r="C1748">
        <v>8</v>
      </c>
      <c r="D1748">
        <v>329</v>
      </c>
      <c r="E1748">
        <v>7566</v>
      </c>
      <c r="F1748" t="s">
        <v>77</v>
      </c>
      <c r="G1748" t="s">
        <v>746</v>
      </c>
      <c r="H1748">
        <v>1</v>
      </c>
      <c r="I1748">
        <v>154.88</v>
      </c>
      <c r="J1748" t="s">
        <v>839</v>
      </c>
      <c r="K1748" t="s">
        <v>812</v>
      </c>
      <c r="M1748" t="s">
        <v>1307</v>
      </c>
      <c r="O1748" t="s">
        <v>228</v>
      </c>
      <c r="Q1748" t="s">
        <v>28</v>
      </c>
      <c r="R1748" t="s">
        <v>81</v>
      </c>
      <c r="W1748">
        <v>3</v>
      </c>
      <c r="X1748" t="s">
        <v>1135</v>
      </c>
      <c r="Z1748" t="s">
        <v>38</v>
      </c>
      <c r="AB1748" t="s">
        <v>921</v>
      </c>
      <c r="AC1748" t="s">
        <v>1221</v>
      </c>
      <c r="AD1748" t="s">
        <v>39</v>
      </c>
    </row>
    <row r="1749" spans="1:30" hidden="1" x14ac:dyDescent="0.25">
      <c r="A1749">
        <v>205</v>
      </c>
      <c r="B1749" t="s">
        <v>300</v>
      </c>
      <c r="C1749">
        <v>8</v>
      </c>
      <c r="D1749">
        <v>66</v>
      </c>
      <c r="E1749">
        <v>150</v>
      </c>
      <c r="F1749" t="s">
        <v>77</v>
      </c>
      <c r="G1749" t="s">
        <v>746</v>
      </c>
      <c r="H1749">
        <v>3</v>
      </c>
      <c r="I1749">
        <v>1.38</v>
      </c>
      <c r="J1749" t="s">
        <v>839</v>
      </c>
      <c r="K1749" t="s">
        <v>812</v>
      </c>
      <c r="M1749" t="s">
        <v>1307</v>
      </c>
      <c r="Q1749" t="s">
        <v>26</v>
      </c>
      <c r="R1749" t="s">
        <v>81</v>
      </c>
      <c r="W1749">
        <v>3</v>
      </c>
      <c r="X1749" t="s">
        <v>1135</v>
      </c>
      <c r="Z1749" t="s">
        <v>38</v>
      </c>
      <c r="AB1749" t="s">
        <v>921</v>
      </c>
      <c r="AC1749" t="s">
        <v>1221</v>
      </c>
      <c r="AD1749" t="s">
        <v>39</v>
      </c>
    </row>
    <row r="1750" spans="1:30" hidden="1" x14ac:dyDescent="0.25">
      <c r="A1750">
        <v>206</v>
      </c>
      <c r="B1750" t="s">
        <v>302</v>
      </c>
      <c r="C1750">
        <v>8</v>
      </c>
      <c r="D1750">
        <v>66</v>
      </c>
      <c r="E1750">
        <v>150</v>
      </c>
      <c r="F1750" t="s">
        <v>77</v>
      </c>
      <c r="G1750" t="s">
        <v>746</v>
      </c>
      <c r="H1750">
        <v>6</v>
      </c>
      <c r="I1750">
        <v>2.77</v>
      </c>
      <c r="J1750" t="s">
        <v>839</v>
      </c>
      <c r="K1750" t="s">
        <v>812</v>
      </c>
      <c r="M1750" t="s">
        <v>1307</v>
      </c>
      <c r="Q1750" t="s">
        <v>26</v>
      </c>
      <c r="R1750" t="s">
        <v>81</v>
      </c>
      <c r="W1750">
        <v>3</v>
      </c>
      <c r="X1750" t="s">
        <v>1135</v>
      </c>
      <c r="Z1750" t="s">
        <v>38</v>
      </c>
      <c r="AB1750" t="s">
        <v>921</v>
      </c>
      <c r="AC1750" t="s">
        <v>1221</v>
      </c>
      <c r="AD1750" t="s">
        <v>39</v>
      </c>
    </row>
    <row r="1751" spans="1:30" hidden="1" x14ac:dyDescent="0.25">
      <c r="A1751">
        <v>207</v>
      </c>
      <c r="B1751" t="s">
        <v>303</v>
      </c>
      <c r="C1751">
        <v>8</v>
      </c>
      <c r="D1751">
        <v>66</v>
      </c>
      <c r="E1751">
        <v>150</v>
      </c>
      <c r="F1751" t="s">
        <v>77</v>
      </c>
      <c r="G1751" t="s">
        <v>746</v>
      </c>
      <c r="H1751">
        <v>3</v>
      </c>
      <c r="I1751">
        <v>1.38</v>
      </c>
      <c r="J1751" t="s">
        <v>839</v>
      </c>
      <c r="K1751" t="s">
        <v>812</v>
      </c>
      <c r="M1751" t="s">
        <v>1307</v>
      </c>
      <c r="Q1751" t="s">
        <v>26</v>
      </c>
      <c r="R1751" t="s">
        <v>81</v>
      </c>
      <c r="W1751">
        <v>3</v>
      </c>
      <c r="X1751" t="s">
        <v>1135</v>
      </c>
      <c r="Z1751" t="s">
        <v>38</v>
      </c>
      <c r="AB1751" t="s">
        <v>921</v>
      </c>
      <c r="AC1751" t="s">
        <v>1221</v>
      </c>
      <c r="AD1751" t="s">
        <v>39</v>
      </c>
    </row>
    <row r="1752" spans="1:30" hidden="1" x14ac:dyDescent="0.25">
      <c r="A1752">
        <v>208</v>
      </c>
      <c r="B1752" t="s">
        <v>304</v>
      </c>
      <c r="C1752">
        <v>8</v>
      </c>
      <c r="D1752">
        <v>150</v>
      </c>
      <c r="E1752">
        <v>1882</v>
      </c>
      <c r="F1752" t="s">
        <v>77</v>
      </c>
      <c r="G1752" t="s">
        <v>746</v>
      </c>
      <c r="H1752">
        <v>6</v>
      </c>
      <c r="I1752">
        <v>106.37</v>
      </c>
      <c r="J1752" t="s">
        <v>839</v>
      </c>
      <c r="K1752" t="s">
        <v>812</v>
      </c>
      <c r="M1752" t="s">
        <v>1307</v>
      </c>
      <c r="Q1752" t="s">
        <v>28</v>
      </c>
      <c r="R1752" t="s">
        <v>81</v>
      </c>
      <c r="W1752">
        <v>3</v>
      </c>
      <c r="X1752" t="s">
        <v>1135</v>
      </c>
      <c r="Z1752" t="s">
        <v>38</v>
      </c>
      <c r="AB1752" t="s">
        <v>921</v>
      </c>
      <c r="AC1752" t="s">
        <v>1221</v>
      </c>
      <c r="AD1752" t="s">
        <v>39</v>
      </c>
    </row>
    <row r="1753" spans="1:30" hidden="1" x14ac:dyDescent="0.25">
      <c r="A1753">
        <v>209</v>
      </c>
      <c r="B1753" t="s">
        <v>306</v>
      </c>
      <c r="C1753">
        <v>8</v>
      </c>
      <c r="D1753">
        <v>124</v>
      </c>
      <c r="E1753">
        <v>1882</v>
      </c>
      <c r="F1753" t="s">
        <v>77</v>
      </c>
      <c r="G1753" t="s">
        <v>746</v>
      </c>
      <c r="H1753">
        <v>2</v>
      </c>
      <c r="I1753">
        <v>29.31</v>
      </c>
      <c r="J1753" t="s">
        <v>839</v>
      </c>
      <c r="K1753" t="s">
        <v>812</v>
      </c>
      <c r="M1753" t="s">
        <v>1307</v>
      </c>
      <c r="Q1753" t="s">
        <v>28</v>
      </c>
      <c r="R1753" t="s">
        <v>81</v>
      </c>
      <c r="W1753">
        <v>3</v>
      </c>
      <c r="X1753" t="s">
        <v>1135</v>
      </c>
      <c r="Z1753" t="s">
        <v>38</v>
      </c>
      <c r="AB1753" t="s">
        <v>921</v>
      </c>
      <c r="AC1753" t="s">
        <v>1221</v>
      </c>
      <c r="AD1753" t="s">
        <v>39</v>
      </c>
    </row>
    <row r="1754" spans="1:30" hidden="1" x14ac:dyDescent="0.25">
      <c r="A1754">
        <v>210</v>
      </c>
      <c r="B1754" t="s">
        <v>291</v>
      </c>
      <c r="C1754">
        <v>8</v>
      </c>
      <c r="D1754">
        <v>150</v>
      </c>
      <c r="E1754">
        <v>2972</v>
      </c>
      <c r="F1754" t="s">
        <v>77</v>
      </c>
      <c r="G1754" t="s">
        <v>746</v>
      </c>
      <c r="H1754">
        <v>3</v>
      </c>
      <c r="I1754">
        <v>83.99</v>
      </c>
      <c r="J1754" t="s">
        <v>839</v>
      </c>
      <c r="K1754" t="s">
        <v>812</v>
      </c>
      <c r="M1754" t="s">
        <v>1307</v>
      </c>
      <c r="Q1754" t="s">
        <v>28</v>
      </c>
      <c r="R1754" t="s">
        <v>81</v>
      </c>
      <c r="W1754">
        <v>3</v>
      </c>
      <c r="X1754" t="s">
        <v>1135</v>
      </c>
      <c r="Z1754" t="s">
        <v>38</v>
      </c>
      <c r="AB1754" t="s">
        <v>921</v>
      </c>
      <c r="AC1754" t="s">
        <v>1221</v>
      </c>
      <c r="AD1754" t="s">
        <v>39</v>
      </c>
    </row>
    <row r="1755" spans="1:30" hidden="1" x14ac:dyDescent="0.25">
      <c r="A1755">
        <v>211</v>
      </c>
      <c r="B1755" t="s">
        <v>279</v>
      </c>
      <c r="C1755">
        <v>8</v>
      </c>
      <c r="D1755">
        <v>124</v>
      </c>
      <c r="E1755">
        <v>2972</v>
      </c>
      <c r="F1755" t="s">
        <v>77</v>
      </c>
      <c r="G1755" t="s">
        <v>746</v>
      </c>
      <c r="H1755">
        <v>3</v>
      </c>
      <c r="I1755">
        <v>69.430000000000007</v>
      </c>
      <c r="J1755" t="s">
        <v>839</v>
      </c>
      <c r="K1755" t="s">
        <v>812</v>
      </c>
      <c r="M1755" t="s">
        <v>1307</v>
      </c>
      <c r="Q1755" t="s">
        <v>28</v>
      </c>
      <c r="R1755" t="s">
        <v>81</v>
      </c>
      <c r="W1755">
        <v>3</v>
      </c>
      <c r="X1755" t="s">
        <v>1135</v>
      </c>
      <c r="Z1755" t="s">
        <v>38</v>
      </c>
      <c r="AB1755" t="s">
        <v>921</v>
      </c>
      <c r="AC1755" t="s">
        <v>1221</v>
      </c>
      <c r="AD1755" t="s">
        <v>39</v>
      </c>
    </row>
    <row r="1756" spans="1:30" hidden="1" x14ac:dyDescent="0.25">
      <c r="A1756">
        <v>212</v>
      </c>
      <c r="B1756" t="s">
        <v>308</v>
      </c>
      <c r="C1756">
        <v>8</v>
      </c>
      <c r="D1756">
        <v>150</v>
      </c>
      <c r="E1756">
        <v>2523</v>
      </c>
      <c r="F1756" t="s">
        <v>77</v>
      </c>
      <c r="G1756" t="s">
        <v>746</v>
      </c>
      <c r="H1756">
        <v>2</v>
      </c>
      <c r="I1756">
        <v>47.53</v>
      </c>
      <c r="J1756" t="s">
        <v>839</v>
      </c>
      <c r="K1756" t="s">
        <v>812</v>
      </c>
      <c r="M1756" t="s">
        <v>1307</v>
      </c>
      <c r="Q1756" t="s">
        <v>28</v>
      </c>
      <c r="R1756" t="s">
        <v>81</v>
      </c>
      <c r="W1756">
        <v>3</v>
      </c>
      <c r="X1756" t="s">
        <v>1135</v>
      </c>
      <c r="Z1756" t="s">
        <v>38</v>
      </c>
      <c r="AB1756" t="s">
        <v>921</v>
      </c>
      <c r="AC1756" t="s">
        <v>1221</v>
      </c>
      <c r="AD1756" t="s">
        <v>39</v>
      </c>
    </row>
    <row r="1757" spans="1:30" hidden="1" x14ac:dyDescent="0.25">
      <c r="A1757">
        <v>213</v>
      </c>
      <c r="B1757" t="s">
        <v>310</v>
      </c>
      <c r="C1757">
        <v>8</v>
      </c>
      <c r="D1757">
        <v>124</v>
      </c>
      <c r="E1757">
        <v>2523</v>
      </c>
      <c r="F1757" t="s">
        <v>77</v>
      </c>
      <c r="G1757" t="s">
        <v>746</v>
      </c>
      <c r="H1757">
        <v>2</v>
      </c>
      <c r="I1757">
        <v>39.29</v>
      </c>
      <c r="J1757" t="s">
        <v>839</v>
      </c>
      <c r="K1757" t="s">
        <v>812</v>
      </c>
      <c r="M1757" t="s">
        <v>1307</v>
      </c>
      <c r="Q1757" t="s">
        <v>28</v>
      </c>
      <c r="R1757" t="s">
        <v>81</v>
      </c>
      <c r="W1757">
        <v>3</v>
      </c>
      <c r="X1757" t="s">
        <v>1135</v>
      </c>
      <c r="Z1757" t="s">
        <v>38</v>
      </c>
      <c r="AB1757" t="s">
        <v>921</v>
      </c>
      <c r="AC1757" t="s">
        <v>1221</v>
      </c>
      <c r="AD1757" t="s">
        <v>39</v>
      </c>
    </row>
    <row r="1758" spans="1:30" hidden="1" x14ac:dyDescent="0.25">
      <c r="A1758">
        <v>214</v>
      </c>
      <c r="B1758" t="s">
        <v>312</v>
      </c>
      <c r="C1758">
        <v>8</v>
      </c>
      <c r="D1758">
        <v>150</v>
      </c>
      <c r="E1758">
        <v>2523</v>
      </c>
      <c r="F1758" t="s">
        <v>77</v>
      </c>
      <c r="G1758" t="s">
        <v>746</v>
      </c>
      <c r="H1758">
        <v>4</v>
      </c>
      <c r="I1758">
        <v>95.07</v>
      </c>
      <c r="J1758" t="s">
        <v>839</v>
      </c>
      <c r="K1758" t="s">
        <v>812</v>
      </c>
      <c r="M1758" t="s">
        <v>1307</v>
      </c>
      <c r="Q1758" t="s">
        <v>28</v>
      </c>
      <c r="R1758" t="s">
        <v>81</v>
      </c>
      <c r="W1758">
        <v>3</v>
      </c>
      <c r="X1758" t="s">
        <v>1135</v>
      </c>
      <c r="Z1758" t="s">
        <v>38</v>
      </c>
      <c r="AB1758" t="s">
        <v>921</v>
      </c>
      <c r="AC1758" t="s">
        <v>1221</v>
      </c>
      <c r="AD1758" t="s">
        <v>39</v>
      </c>
    </row>
    <row r="1759" spans="1:30" hidden="1" x14ac:dyDescent="0.25">
      <c r="A1759">
        <v>215</v>
      </c>
      <c r="B1759" t="s">
        <v>280</v>
      </c>
      <c r="C1759">
        <v>8</v>
      </c>
      <c r="D1759">
        <v>124</v>
      </c>
      <c r="E1759">
        <v>601</v>
      </c>
      <c r="F1759" t="s">
        <v>77</v>
      </c>
      <c r="G1759" t="s">
        <v>746</v>
      </c>
      <c r="H1759">
        <v>3</v>
      </c>
      <c r="I1759">
        <v>14.04</v>
      </c>
      <c r="J1759" t="s">
        <v>839</v>
      </c>
      <c r="K1759" t="s">
        <v>812</v>
      </c>
      <c r="M1759" t="s">
        <v>1307</v>
      </c>
      <c r="Q1759" t="s">
        <v>28</v>
      </c>
      <c r="R1759" t="s">
        <v>81</v>
      </c>
      <c r="W1759">
        <v>3</v>
      </c>
      <c r="X1759" t="s">
        <v>1135</v>
      </c>
      <c r="Z1759" t="s">
        <v>38</v>
      </c>
      <c r="AB1759" t="s">
        <v>921</v>
      </c>
      <c r="AC1759" t="s">
        <v>1221</v>
      </c>
      <c r="AD1759" t="s">
        <v>39</v>
      </c>
    </row>
    <row r="1760" spans="1:30" hidden="1" x14ac:dyDescent="0.25">
      <c r="A1760">
        <v>216</v>
      </c>
      <c r="B1760" t="s">
        <v>282</v>
      </c>
      <c r="C1760">
        <v>8</v>
      </c>
      <c r="D1760">
        <v>150</v>
      </c>
      <c r="E1760">
        <v>1381</v>
      </c>
      <c r="F1760" t="s">
        <v>77</v>
      </c>
      <c r="G1760" t="s">
        <v>746</v>
      </c>
      <c r="H1760">
        <v>3</v>
      </c>
      <c r="I1760">
        <v>39.03</v>
      </c>
      <c r="J1760" t="s">
        <v>839</v>
      </c>
      <c r="K1760" t="s">
        <v>812</v>
      </c>
      <c r="M1760" t="s">
        <v>1307</v>
      </c>
      <c r="Q1760" t="s">
        <v>28</v>
      </c>
      <c r="R1760" t="s">
        <v>81</v>
      </c>
      <c r="W1760">
        <v>3</v>
      </c>
      <c r="X1760" t="s">
        <v>1135</v>
      </c>
      <c r="Z1760" t="s">
        <v>38</v>
      </c>
      <c r="AB1760" t="s">
        <v>921</v>
      </c>
      <c r="AC1760" t="s">
        <v>1221</v>
      </c>
      <c r="AD1760" t="s">
        <v>39</v>
      </c>
    </row>
    <row r="1761" spans="1:30" hidden="1" x14ac:dyDescent="0.25">
      <c r="A1761">
        <v>217</v>
      </c>
      <c r="B1761" t="s">
        <v>269</v>
      </c>
      <c r="C1761">
        <v>8</v>
      </c>
      <c r="D1761">
        <v>124</v>
      </c>
      <c r="E1761">
        <v>792</v>
      </c>
      <c r="F1761" t="s">
        <v>77</v>
      </c>
      <c r="G1761" t="s">
        <v>746</v>
      </c>
      <c r="H1761">
        <v>3</v>
      </c>
      <c r="I1761">
        <v>18.5</v>
      </c>
      <c r="J1761" t="s">
        <v>839</v>
      </c>
      <c r="K1761" t="s">
        <v>812</v>
      </c>
      <c r="M1761" t="s">
        <v>1307</v>
      </c>
      <c r="Q1761" t="s">
        <v>28</v>
      </c>
      <c r="R1761" t="s">
        <v>81</v>
      </c>
      <c r="W1761">
        <v>3</v>
      </c>
      <c r="X1761" t="s">
        <v>1135</v>
      </c>
      <c r="Z1761" t="s">
        <v>38</v>
      </c>
      <c r="AB1761" t="s">
        <v>921</v>
      </c>
      <c r="AC1761" t="s">
        <v>1221</v>
      </c>
      <c r="AD1761" t="s">
        <v>39</v>
      </c>
    </row>
    <row r="1762" spans="1:30" hidden="1" x14ac:dyDescent="0.25">
      <c r="A1762">
        <v>218</v>
      </c>
      <c r="B1762" t="s">
        <v>313</v>
      </c>
      <c r="C1762">
        <v>8</v>
      </c>
      <c r="D1762">
        <v>158</v>
      </c>
      <c r="E1762">
        <v>228</v>
      </c>
      <c r="F1762" t="s">
        <v>77</v>
      </c>
      <c r="G1762" t="s">
        <v>746</v>
      </c>
      <c r="H1762">
        <v>18</v>
      </c>
      <c r="I1762">
        <v>40.5</v>
      </c>
      <c r="J1762" t="s">
        <v>839</v>
      </c>
      <c r="K1762" t="s">
        <v>812</v>
      </c>
      <c r="M1762" t="s">
        <v>1307</v>
      </c>
      <c r="Q1762" t="s">
        <v>26</v>
      </c>
      <c r="R1762" t="s">
        <v>81</v>
      </c>
      <c r="W1762">
        <v>3</v>
      </c>
      <c r="X1762" t="s">
        <v>1135</v>
      </c>
      <c r="Z1762" t="s">
        <v>38</v>
      </c>
      <c r="AB1762" t="s">
        <v>921</v>
      </c>
      <c r="AC1762" t="s">
        <v>1223</v>
      </c>
      <c r="AD1762" t="s">
        <v>39</v>
      </c>
    </row>
    <row r="1763" spans="1:30" hidden="1" x14ac:dyDescent="0.25">
      <c r="A1763">
        <v>219</v>
      </c>
      <c r="B1763" t="s">
        <v>317</v>
      </c>
      <c r="C1763">
        <v>8</v>
      </c>
      <c r="D1763">
        <v>206</v>
      </c>
      <c r="E1763">
        <v>465</v>
      </c>
      <c r="F1763" t="s">
        <v>77</v>
      </c>
      <c r="G1763" t="s">
        <v>746</v>
      </c>
      <c r="H1763">
        <v>1</v>
      </c>
      <c r="I1763">
        <v>6.01</v>
      </c>
      <c r="J1763" t="s">
        <v>839</v>
      </c>
      <c r="K1763" t="s">
        <v>812</v>
      </c>
      <c r="M1763" t="s">
        <v>1307</v>
      </c>
      <c r="Q1763" t="s">
        <v>26</v>
      </c>
      <c r="R1763" t="s">
        <v>81</v>
      </c>
      <c r="W1763">
        <v>3</v>
      </c>
      <c r="X1763" t="s">
        <v>1135</v>
      </c>
      <c r="Z1763" t="s">
        <v>38</v>
      </c>
      <c r="AB1763" t="s">
        <v>921</v>
      </c>
      <c r="AC1763" t="s">
        <v>1223</v>
      </c>
      <c r="AD1763" t="s">
        <v>39</v>
      </c>
    </row>
    <row r="1764" spans="1:30" hidden="1" x14ac:dyDescent="0.25">
      <c r="A1764">
        <v>220</v>
      </c>
      <c r="B1764" t="s">
        <v>319</v>
      </c>
      <c r="C1764">
        <v>8</v>
      </c>
      <c r="D1764">
        <v>196</v>
      </c>
      <c r="E1764">
        <v>340</v>
      </c>
      <c r="F1764" t="s">
        <v>77</v>
      </c>
      <c r="G1764" t="s">
        <v>746</v>
      </c>
      <c r="H1764">
        <v>2</v>
      </c>
      <c r="I1764">
        <v>8.36</v>
      </c>
      <c r="J1764" t="s">
        <v>839</v>
      </c>
      <c r="K1764" t="s">
        <v>812</v>
      </c>
      <c r="M1764" t="s">
        <v>1307</v>
      </c>
      <c r="Q1764" t="s">
        <v>26</v>
      </c>
      <c r="R1764" t="s">
        <v>81</v>
      </c>
      <c r="W1764">
        <v>3</v>
      </c>
      <c r="X1764" t="s">
        <v>1135</v>
      </c>
      <c r="Z1764" t="s">
        <v>38</v>
      </c>
      <c r="AB1764" t="s">
        <v>921</v>
      </c>
      <c r="AC1764" t="s">
        <v>1223</v>
      </c>
      <c r="AD1764" t="s">
        <v>39</v>
      </c>
    </row>
    <row r="1765" spans="1:30" hidden="1" x14ac:dyDescent="0.25">
      <c r="A1765">
        <v>221</v>
      </c>
      <c r="B1765" t="s">
        <v>321</v>
      </c>
      <c r="C1765">
        <v>8</v>
      </c>
      <c r="D1765">
        <v>148</v>
      </c>
      <c r="E1765">
        <v>324</v>
      </c>
      <c r="F1765" t="s">
        <v>77</v>
      </c>
      <c r="G1765" t="s">
        <v>746</v>
      </c>
      <c r="H1765">
        <v>2</v>
      </c>
      <c r="I1765">
        <v>6.02</v>
      </c>
      <c r="J1765" t="s">
        <v>839</v>
      </c>
      <c r="K1765" t="s">
        <v>812</v>
      </c>
      <c r="M1765" t="s">
        <v>1307</v>
      </c>
      <c r="Q1765" t="s">
        <v>26</v>
      </c>
      <c r="R1765" t="s">
        <v>81</v>
      </c>
      <c r="W1765">
        <v>3</v>
      </c>
      <c r="X1765" t="s">
        <v>1135</v>
      </c>
      <c r="Z1765" t="s">
        <v>38</v>
      </c>
      <c r="AB1765" t="s">
        <v>921</v>
      </c>
      <c r="AC1765" t="s">
        <v>1223</v>
      </c>
      <c r="AD1765" t="s">
        <v>39</v>
      </c>
    </row>
    <row r="1766" spans="1:30" hidden="1" x14ac:dyDescent="0.25">
      <c r="A1766">
        <v>222</v>
      </c>
      <c r="B1766" t="s">
        <v>323</v>
      </c>
      <c r="C1766">
        <v>8</v>
      </c>
      <c r="D1766">
        <v>160</v>
      </c>
      <c r="E1766">
        <v>340</v>
      </c>
      <c r="F1766" t="s">
        <v>77</v>
      </c>
      <c r="G1766" t="s">
        <v>746</v>
      </c>
      <c r="H1766">
        <v>2</v>
      </c>
      <c r="I1766">
        <v>6.83</v>
      </c>
      <c r="J1766" t="s">
        <v>839</v>
      </c>
      <c r="K1766" t="s">
        <v>812</v>
      </c>
      <c r="M1766" t="s">
        <v>1307</v>
      </c>
      <c r="Q1766" t="s">
        <v>26</v>
      </c>
      <c r="R1766" t="s">
        <v>81</v>
      </c>
      <c r="W1766">
        <v>3</v>
      </c>
      <c r="X1766" t="s">
        <v>1135</v>
      </c>
      <c r="Z1766" t="s">
        <v>38</v>
      </c>
      <c r="AB1766" t="s">
        <v>921</v>
      </c>
      <c r="AC1766" t="s">
        <v>1223</v>
      </c>
      <c r="AD1766" t="s">
        <v>39</v>
      </c>
    </row>
    <row r="1767" spans="1:30" hidden="1" x14ac:dyDescent="0.25">
      <c r="A1767">
        <v>223</v>
      </c>
      <c r="B1767" t="s">
        <v>325</v>
      </c>
      <c r="C1767">
        <v>8</v>
      </c>
      <c r="D1767">
        <v>148</v>
      </c>
      <c r="E1767">
        <v>441</v>
      </c>
      <c r="F1767" t="s">
        <v>77</v>
      </c>
      <c r="G1767" t="s">
        <v>746</v>
      </c>
      <c r="H1767">
        <v>1</v>
      </c>
      <c r="I1767">
        <v>4.0999999999999996</v>
      </c>
      <c r="J1767" t="s">
        <v>839</v>
      </c>
      <c r="K1767" t="s">
        <v>812</v>
      </c>
      <c r="M1767" t="s">
        <v>1307</v>
      </c>
      <c r="Q1767" t="s">
        <v>26</v>
      </c>
      <c r="R1767" t="s">
        <v>81</v>
      </c>
      <c r="W1767">
        <v>3</v>
      </c>
      <c r="X1767" t="s">
        <v>1135</v>
      </c>
      <c r="Z1767" t="s">
        <v>38</v>
      </c>
      <c r="AB1767" t="s">
        <v>921</v>
      </c>
      <c r="AC1767" t="s">
        <v>1223</v>
      </c>
      <c r="AD1767" t="s">
        <v>39</v>
      </c>
    </row>
    <row r="1768" spans="1:30" hidden="1" x14ac:dyDescent="0.25">
      <c r="A1768">
        <v>224</v>
      </c>
      <c r="B1768" t="s">
        <v>326</v>
      </c>
      <c r="C1768">
        <v>8</v>
      </c>
      <c r="D1768">
        <v>148</v>
      </c>
      <c r="E1768">
        <v>324</v>
      </c>
      <c r="F1768" t="s">
        <v>77</v>
      </c>
      <c r="G1768" t="s">
        <v>746</v>
      </c>
      <c r="H1768">
        <v>2</v>
      </c>
      <c r="I1768">
        <v>6.02</v>
      </c>
      <c r="J1768" t="s">
        <v>839</v>
      </c>
      <c r="K1768" t="s">
        <v>812</v>
      </c>
      <c r="M1768" t="s">
        <v>1307</v>
      </c>
      <c r="Q1768" t="s">
        <v>26</v>
      </c>
      <c r="R1768" t="s">
        <v>81</v>
      </c>
      <c r="W1768">
        <v>3</v>
      </c>
      <c r="X1768" t="s">
        <v>1135</v>
      </c>
      <c r="Z1768" t="s">
        <v>38</v>
      </c>
      <c r="AB1768" t="s">
        <v>921</v>
      </c>
      <c r="AC1768" t="s">
        <v>1223</v>
      </c>
      <c r="AD1768" t="s">
        <v>39</v>
      </c>
    </row>
    <row r="1769" spans="1:30" hidden="1" x14ac:dyDescent="0.25">
      <c r="A1769">
        <v>225</v>
      </c>
      <c r="B1769" t="s">
        <v>327</v>
      </c>
      <c r="C1769">
        <v>8</v>
      </c>
      <c r="D1769">
        <v>148</v>
      </c>
      <c r="E1769">
        <v>441</v>
      </c>
      <c r="F1769" t="s">
        <v>77</v>
      </c>
      <c r="G1769" t="s">
        <v>746</v>
      </c>
      <c r="H1769">
        <v>2</v>
      </c>
      <c r="I1769">
        <v>8.19</v>
      </c>
      <c r="J1769" t="s">
        <v>839</v>
      </c>
      <c r="K1769" t="s">
        <v>812</v>
      </c>
      <c r="M1769" t="s">
        <v>1307</v>
      </c>
      <c r="Q1769" t="s">
        <v>26</v>
      </c>
      <c r="R1769" t="s">
        <v>81</v>
      </c>
      <c r="W1769">
        <v>3</v>
      </c>
      <c r="X1769" t="s">
        <v>1135</v>
      </c>
      <c r="Z1769" t="s">
        <v>38</v>
      </c>
      <c r="AB1769" t="s">
        <v>921</v>
      </c>
      <c r="AC1769" t="s">
        <v>1223</v>
      </c>
      <c r="AD1769" t="s">
        <v>39</v>
      </c>
    </row>
    <row r="1770" spans="1:30" hidden="1" x14ac:dyDescent="0.25">
      <c r="A1770">
        <v>226</v>
      </c>
      <c r="B1770" t="s">
        <v>328</v>
      </c>
      <c r="C1770">
        <v>8</v>
      </c>
      <c r="D1770">
        <v>148</v>
      </c>
      <c r="E1770">
        <v>324</v>
      </c>
      <c r="F1770" t="s">
        <v>77</v>
      </c>
      <c r="G1770" t="s">
        <v>746</v>
      </c>
      <c r="H1770">
        <v>4</v>
      </c>
      <c r="I1770">
        <v>12.03</v>
      </c>
      <c r="J1770" t="s">
        <v>839</v>
      </c>
      <c r="K1770" t="s">
        <v>812</v>
      </c>
      <c r="M1770" t="s">
        <v>1307</v>
      </c>
      <c r="Q1770" t="s">
        <v>26</v>
      </c>
      <c r="R1770" t="s">
        <v>81</v>
      </c>
      <c r="W1770">
        <v>3</v>
      </c>
      <c r="X1770" t="s">
        <v>1135</v>
      </c>
      <c r="Z1770" t="s">
        <v>38</v>
      </c>
      <c r="AB1770" t="s">
        <v>921</v>
      </c>
      <c r="AC1770" t="s">
        <v>1223</v>
      </c>
      <c r="AD1770" t="s">
        <v>39</v>
      </c>
    </row>
    <row r="1771" spans="1:30" hidden="1" x14ac:dyDescent="0.25">
      <c r="A1771">
        <v>227</v>
      </c>
      <c r="B1771" t="s">
        <v>296</v>
      </c>
      <c r="C1771">
        <v>8</v>
      </c>
      <c r="D1771">
        <v>329</v>
      </c>
      <c r="E1771">
        <v>7565</v>
      </c>
      <c r="F1771" t="s">
        <v>77</v>
      </c>
      <c r="G1771" t="s">
        <v>746</v>
      </c>
      <c r="H1771">
        <v>2</v>
      </c>
      <c r="I1771">
        <v>309.73</v>
      </c>
      <c r="J1771" t="s">
        <v>839</v>
      </c>
      <c r="K1771" t="s">
        <v>812</v>
      </c>
      <c r="M1771" t="s">
        <v>1307</v>
      </c>
      <c r="O1771" t="s">
        <v>228</v>
      </c>
      <c r="Q1771" t="s">
        <v>28</v>
      </c>
      <c r="R1771" t="s">
        <v>81</v>
      </c>
      <c r="W1771">
        <v>3</v>
      </c>
      <c r="X1771" t="s">
        <v>1135</v>
      </c>
      <c r="Z1771" t="s">
        <v>38</v>
      </c>
      <c r="AB1771" t="s">
        <v>921</v>
      </c>
      <c r="AC1771" t="s">
        <v>1223</v>
      </c>
      <c r="AD1771" t="s">
        <v>39</v>
      </c>
    </row>
    <row r="1772" spans="1:30" hidden="1" x14ac:dyDescent="0.25">
      <c r="A1772">
        <v>228</v>
      </c>
      <c r="B1772" t="s">
        <v>329</v>
      </c>
      <c r="C1772">
        <v>8</v>
      </c>
      <c r="D1772">
        <v>206</v>
      </c>
      <c r="E1772">
        <v>465</v>
      </c>
      <c r="F1772" t="s">
        <v>77</v>
      </c>
      <c r="G1772" t="s">
        <v>746</v>
      </c>
      <c r="H1772">
        <v>1</v>
      </c>
      <c r="I1772">
        <v>6.01</v>
      </c>
      <c r="J1772" t="s">
        <v>839</v>
      </c>
      <c r="K1772" t="s">
        <v>812</v>
      </c>
      <c r="M1772" t="s">
        <v>1307</v>
      </c>
      <c r="Q1772" t="s">
        <v>26</v>
      </c>
      <c r="R1772" t="s">
        <v>81</v>
      </c>
      <c r="W1772">
        <v>3</v>
      </c>
      <c r="X1772" t="s">
        <v>1135</v>
      </c>
      <c r="Z1772" t="s">
        <v>38</v>
      </c>
      <c r="AB1772" t="s">
        <v>921</v>
      </c>
      <c r="AC1772" t="s">
        <v>1223</v>
      </c>
      <c r="AD1772" t="s">
        <v>39</v>
      </c>
    </row>
    <row r="1773" spans="1:30" hidden="1" x14ac:dyDescent="0.25">
      <c r="A1773">
        <v>229</v>
      </c>
      <c r="B1773" t="s">
        <v>330</v>
      </c>
      <c r="C1773">
        <v>8</v>
      </c>
      <c r="D1773">
        <v>196</v>
      </c>
      <c r="E1773">
        <v>340</v>
      </c>
      <c r="F1773" t="s">
        <v>77</v>
      </c>
      <c r="G1773" t="s">
        <v>746</v>
      </c>
      <c r="H1773">
        <v>2</v>
      </c>
      <c r="I1773">
        <v>8.36</v>
      </c>
      <c r="J1773" t="s">
        <v>839</v>
      </c>
      <c r="K1773" t="s">
        <v>812</v>
      </c>
      <c r="M1773" t="s">
        <v>1307</v>
      </c>
      <c r="Q1773" t="s">
        <v>26</v>
      </c>
      <c r="R1773" t="s">
        <v>81</v>
      </c>
      <c r="W1773">
        <v>3</v>
      </c>
      <c r="X1773" t="s">
        <v>1135</v>
      </c>
      <c r="Z1773" t="s">
        <v>38</v>
      </c>
      <c r="AB1773" t="s">
        <v>921</v>
      </c>
      <c r="AC1773" t="s">
        <v>1223</v>
      </c>
      <c r="AD1773" t="s">
        <v>39</v>
      </c>
    </row>
    <row r="1774" spans="1:30" hidden="1" x14ac:dyDescent="0.25">
      <c r="A1774">
        <v>230</v>
      </c>
      <c r="B1774" t="s">
        <v>331</v>
      </c>
      <c r="C1774">
        <v>8</v>
      </c>
      <c r="D1774">
        <v>148</v>
      </c>
      <c r="E1774">
        <v>441</v>
      </c>
      <c r="F1774" t="s">
        <v>77</v>
      </c>
      <c r="G1774" t="s">
        <v>746</v>
      </c>
      <c r="H1774">
        <v>1</v>
      </c>
      <c r="I1774">
        <v>4.0999999999999996</v>
      </c>
      <c r="J1774" t="s">
        <v>839</v>
      </c>
      <c r="K1774" t="s">
        <v>812</v>
      </c>
      <c r="M1774" t="s">
        <v>1307</v>
      </c>
      <c r="Q1774" t="s">
        <v>26</v>
      </c>
      <c r="R1774" t="s">
        <v>81</v>
      </c>
      <c r="W1774">
        <v>3</v>
      </c>
      <c r="X1774" t="s">
        <v>1135</v>
      </c>
      <c r="Z1774" t="s">
        <v>38</v>
      </c>
      <c r="AB1774" t="s">
        <v>921</v>
      </c>
      <c r="AC1774" t="s">
        <v>1223</v>
      </c>
      <c r="AD1774" t="s">
        <v>39</v>
      </c>
    </row>
    <row r="1775" spans="1:30" hidden="1" x14ac:dyDescent="0.25">
      <c r="A1775">
        <v>231</v>
      </c>
      <c r="B1775" t="s">
        <v>332</v>
      </c>
      <c r="C1775">
        <v>8</v>
      </c>
      <c r="D1775">
        <v>148</v>
      </c>
      <c r="E1775">
        <v>324</v>
      </c>
      <c r="F1775" t="s">
        <v>77</v>
      </c>
      <c r="G1775" t="s">
        <v>746</v>
      </c>
      <c r="H1775">
        <v>2</v>
      </c>
      <c r="I1775">
        <v>6.02</v>
      </c>
      <c r="J1775" t="s">
        <v>839</v>
      </c>
      <c r="K1775" t="s">
        <v>812</v>
      </c>
      <c r="M1775" t="s">
        <v>1307</v>
      </c>
      <c r="Q1775" t="s">
        <v>26</v>
      </c>
      <c r="R1775" t="s">
        <v>81</v>
      </c>
      <c r="W1775">
        <v>3</v>
      </c>
      <c r="X1775" t="s">
        <v>1135</v>
      </c>
      <c r="Z1775" t="s">
        <v>38</v>
      </c>
      <c r="AB1775" t="s">
        <v>921</v>
      </c>
      <c r="AC1775" t="s">
        <v>1223</v>
      </c>
      <c r="AD1775" t="s">
        <v>39</v>
      </c>
    </row>
    <row r="1776" spans="1:30" hidden="1" x14ac:dyDescent="0.25">
      <c r="A1776">
        <v>232</v>
      </c>
      <c r="B1776" t="s">
        <v>333</v>
      </c>
      <c r="C1776">
        <v>8</v>
      </c>
      <c r="D1776">
        <v>156</v>
      </c>
      <c r="E1776">
        <v>465</v>
      </c>
      <c r="F1776" t="s">
        <v>77</v>
      </c>
      <c r="G1776" t="s">
        <v>746</v>
      </c>
      <c r="H1776">
        <v>1</v>
      </c>
      <c r="I1776">
        <v>4.55</v>
      </c>
      <c r="J1776" t="s">
        <v>839</v>
      </c>
      <c r="K1776" t="s">
        <v>812</v>
      </c>
      <c r="M1776" t="s">
        <v>1307</v>
      </c>
      <c r="Q1776" t="s">
        <v>26</v>
      </c>
      <c r="R1776" t="s">
        <v>81</v>
      </c>
      <c r="W1776">
        <v>3</v>
      </c>
      <c r="X1776" t="s">
        <v>1135</v>
      </c>
      <c r="Z1776" t="s">
        <v>38</v>
      </c>
      <c r="AB1776" t="s">
        <v>921</v>
      </c>
      <c r="AC1776" t="s">
        <v>1223</v>
      </c>
      <c r="AD1776" t="s">
        <v>39</v>
      </c>
    </row>
    <row r="1777" spans="1:30" hidden="1" x14ac:dyDescent="0.25">
      <c r="A1777">
        <v>233</v>
      </c>
      <c r="B1777" t="s">
        <v>334</v>
      </c>
      <c r="C1777">
        <v>8</v>
      </c>
      <c r="D1777">
        <v>160</v>
      </c>
      <c r="E1777">
        <v>340</v>
      </c>
      <c r="F1777" t="s">
        <v>77</v>
      </c>
      <c r="G1777" t="s">
        <v>746</v>
      </c>
      <c r="H1777">
        <v>2</v>
      </c>
      <c r="I1777">
        <v>6.83</v>
      </c>
      <c r="J1777" t="s">
        <v>839</v>
      </c>
      <c r="K1777" t="s">
        <v>812</v>
      </c>
      <c r="M1777" t="s">
        <v>1307</v>
      </c>
      <c r="Q1777" t="s">
        <v>26</v>
      </c>
      <c r="R1777" t="s">
        <v>81</v>
      </c>
      <c r="W1777">
        <v>3</v>
      </c>
      <c r="X1777" t="s">
        <v>1135</v>
      </c>
      <c r="Z1777" t="s">
        <v>38</v>
      </c>
      <c r="AB1777" t="s">
        <v>921</v>
      </c>
      <c r="AC1777" t="s">
        <v>1223</v>
      </c>
      <c r="AD1777" t="s">
        <v>39</v>
      </c>
    </row>
    <row r="1778" spans="1:30" hidden="1" x14ac:dyDescent="0.25">
      <c r="A1778">
        <v>234</v>
      </c>
      <c r="B1778" t="s">
        <v>335</v>
      </c>
      <c r="C1778">
        <v>8</v>
      </c>
      <c r="D1778">
        <v>148</v>
      </c>
      <c r="E1778">
        <v>441</v>
      </c>
      <c r="F1778" t="s">
        <v>77</v>
      </c>
      <c r="G1778" t="s">
        <v>746</v>
      </c>
      <c r="H1778">
        <v>1</v>
      </c>
      <c r="I1778">
        <v>4.0999999999999996</v>
      </c>
      <c r="J1778" t="s">
        <v>839</v>
      </c>
      <c r="K1778" t="s">
        <v>812</v>
      </c>
      <c r="M1778" t="s">
        <v>1307</v>
      </c>
      <c r="Q1778" t="s">
        <v>26</v>
      </c>
      <c r="R1778" t="s">
        <v>81</v>
      </c>
      <c r="W1778">
        <v>3</v>
      </c>
      <c r="X1778" t="s">
        <v>1135</v>
      </c>
      <c r="Z1778" t="s">
        <v>38</v>
      </c>
      <c r="AB1778" t="s">
        <v>921</v>
      </c>
      <c r="AC1778" t="s">
        <v>1223</v>
      </c>
      <c r="AD1778" t="s">
        <v>39</v>
      </c>
    </row>
    <row r="1779" spans="1:30" hidden="1" x14ac:dyDescent="0.25">
      <c r="A1779">
        <v>235</v>
      </c>
      <c r="B1779" t="s">
        <v>336</v>
      </c>
      <c r="C1779">
        <v>8</v>
      </c>
      <c r="D1779">
        <v>148</v>
      </c>
      <c r="E1779">
        <v>324</v>
      </c>
      <c r="F1779" t="s">
        <v>77</v>
      </c>
      <c r="G1779" t="s">
        <v>746</v>
      </c>
      <c r="H1779">
        <v>2</v>
      </c>
      <c r="I1779">
        <v>6.02</v>
      </c>
      <c r="J1779" t="s">
        <v>839</v>
      </c>
      <c r="K1779" t="s">
        <v>812</v>
      </c>
      <c r="M1779" t="s">
        <v>1307</v>
      </c>
      <c r="Q1779" t="s">
        <v>26</v>
      </c>
      <c r="R1779" t="s">
        <v>81</v>
      </c>
      <c r="W1779">
        <v>3</v>
      </c>
      <c r="X1779" t="s">
        <v>1135</v>
      </c>
      <c r="Z1779" t="s">
        <v>38</v>
      </c>
      <c r="AB1779" t="s">
        <v>921</v>
      </c>
      <c r="AC1779" t="s">
        <v>1223</v>
      </c>
      <c r="AD1779" t="s">
        <v>39</v>
      </c>
    </row>
    <row r="1780" spans="1:30" hidden="1" x14ac:dyDescent="0.25">
      <c r="A1780">
        <v>236</v>
      </c>
      <c r="B1780" t="s">
        <v>337</v>
      </c>
      <c r="C1780">
        <v>8</v>
      </c>
      <c r="D1780">
        <v>148</v>
      </c>
      <c r="E1780">
        <v>441</v>
      </c>
      <c r="F1780" t="s">
        <v>77</v>
      </c>
      <c r="G1780" t="s">
        <v>746</v>
      </c>
      <c r="H1780">
        <v>2</v>
      </c>
      <c r="I1780">
        <v>8.19</v>
      </c>
      <c r="J1780" t="s">
        <v>839</v>
      </c>
      <c r="K1780" t="s">
        <v>812</v>
      </c>
      <c r="M1780" t="s">
        <v>1307</v>
      </c>
      <c r="Q1780" t="s">
        <v>26</v>
      </c>
      <c r="R1780" t="s">
        <v>81</v>
      </c>
      <c r="W1780">
        <v>3</v>
      </c>
      <c r="X1780" t="s">
        <v>1135</v>
      </c>
      <c r="Z1780" t="s">
        <v>38</v>
      </c>
      <c r="AB1780" t="s">
        <v>921</v>
      </c>
      <c r="AC1780" t="s">
        <v>1223</v>
      </c>
      <c r="AD1780" t="s">
        <v>39</v>
      </c>
    </row>
    <row r="1781" spans="1:30" hidden="1" x14ac:dyDescent="0.25">
      <c r="A1781">
        <v>237</v>
      </c>
      <c r="B1781" t="s">
        <v>338</v>
      </c>
      <c r="C1781">
        <v>8</v>
      </c>
      <c r="D1781">
        <v>148</v>
      </c>
      <c r="E1781">
        <v>324</v>
      </c>
      <c r="F1781" t="s">
        <v>77</v>
      </c>
      <c r="G1781" t="s">
        <v>746</v>
      </c>
      <c r="H1781">
        <v>4</v>
      </c>
      <c r="I1781">
        <v>12.03</v>
      </c>
      <c r="J1781" t="s">
        <v>839</v>
      </c>
      <c r="K1781" t="s">
        <v>812</v>
      </c>
      <c r="M1781" t="s">
        <v>1307</v>
      </c>
      <c r="Q1781" t="s">
        <v>26</v>
      </c>
      <c r="R1781" t="s">
        <v>81</v>
      </c>
      <c r="W1781">
        <v>3</v>
      </c>
      <c r="X1781" t="s">
        <v>1135</v>
      </c>
      <c r="Z1781" t="s">
        <v>38</v>
      </c>
      <c r="AB1781" t="s">
        <v>921</v>
      </c>
      <c r="AC1781" t="s">
        <v>1223</v>
      </c>
      <c r="AD1781" t="s">
        <v>39</v>
      </c>
    </row>
    <row r="1782" spans="1:30" hidden="1" x14ac:dyDescent="0.25">
      <c r="A1782">
        <v>238</v>
      </c>
      <c r="B1782" t="s">
        <v>298</v>
      </c>
      <c r="C1782">
        <v>8</v>
      </c>
      <c r="D1782">
        <v>329</v>
      </c>
      <c r="E1782">
        <v>7566</v>
      </c>
      <c r="F1782" t="s">
        <v>77</v>
      </c>
      <c r="G1782" t="s">
        <v>746</v>
      </c>
      <c r="H1782">
        <v>3</v>
      </c>
      <c r="I1782">
        <v>464.63</v>
      </c>
      <c r="J1782" t="s">
        <v>839</v>
      </c>
      <c r="K1782" t="s">
        <v>812</v>
      </c>
      <c r="M1782" t="s">
        <v>1307</v>
      </c>
      <c r="O1782" t="s">
        <v>228</v>
      </c>
      <c r="Q1782" t="s">
        <v>28</v>
      </c>
      <c r="R1782" t="s">
        <v>81</v>
      </c>
      <c r="W1782">
        <v>3</v>
      </c>
      <c r="X1782" t="s">
        <v>1135</v>
      </c>
      <c r="Z1782" t="s">
        <v>38</v>
      </c>
      <c r="AB1782" t="s">
        <v>921</v>
      </c>
      <c r="AC1782" t="s">
        <v>1223</v>
      </c>
      <c r="AD1782" t="s">
        <v>39</v>
      </c>
    </row>
    <row r="1783" spans="1:30" hidden="1" x14ac:dyDescent="0.25">
      <c r="A1783">
        <v>239</v>
      </c>
      <c r="B1783" t="s">
        <v>339</v>
      </c>
      <c r="C1783">
        <v>8</v>
      </c>
      <c r="D1783">
        <v>142</v>
      </c>
      <c r="E1783">
        <v>1799</v>
      </c>
      <c r="F1783" t="s">
        <v>77</v>
      </c>
      <c r="G1783" t="s">
        <v>746</v>
      </c>
      <c r="H1783">
        <v>1</v>
      </c>
      <c r="I1783">
        <v>16.04</v>
      </c>
      <c r="J1783" t="s">
        <v>839</v>
      </c>
      <c r="K1783" t="s">
        <v>812</v>
      </c>
      <c r="M1783" t="s">
        <v>1307</v>
      </c>
      <c r="R1783" t="s">
        <v>81</v>
      </c>
      <c r="U1783" t="s">
        <v>81</v>
      </c>
      <c r="W1783">
        <v>3</v>
      </c>
      <c r="X1783" t="s">
        <v>1135</v>
      </c>
      <c r="Z1783" t="s">
        <v>38</v>
      </c>
      <c r="AB1783" t="s">
        <v>921</v>
      </c>
      <c r="AC1783" t="s">
        <v>1223</v>
      </c>
      <c r="AD1783" t="s">
        <v>39</v>
      </c>
    </row>
    <row r="1784" spans="1:30" hidden="1" x14ac:dyDescent="0.25">
      <c r="A1784">
        <v>240</v>
      </c>
      <c r="B1784" t="s">
        <v>341</v>
      </c>
      <c r="C1784">
        <v>8</v>
      </c>
      <c r="D1784">
        <v>74</v>
      </c>
      <c r="E1784">
        <v>172</v>
      </c>
      <c r="F1784" t="s">
        <v>77</v>
      </c>
      <c r="G1784" t="s">
        <v>746</v>
      </c>
      <c r="H1784">
        <v>2</v>
      </c>
      <c r="I1784">
        <v>1.07</v>
      </c>
      <c r="J1784" t="s">
        <v>839</v>
      </c>
      <c r="K1784" t="s">
        <v>812</v>
      </c>
      <c r="M1784" t="s">
        <v>1307</v>
      </c>
      <c r="Q1784" t="s">
        <v>26</v>
      </c>
      <c r="R1784" t="s">
        <v>81</v>
      </c>
      <c r="W1784">
        <v>3</v>
      </c>
      <c r="X1784" t="s">
        <v>1135</v>
      </c>
      <c r="Z1784" t="s">
        <v>38</v>
      </c>
      <c r="AB1784" t="s">
        <v>921</v>
      </c>
      <c r="AC1784" t="s">
        <v>1223</v>
      </c>
      <c r="AD1784" t="s">
        <v>39</v>
      </c>
    </row>
    <row r="1785" spans="1:30" hidden="1" x14ac:dyDescent="0.25">
      <c r="A1785">
        <v>241</v>
      </c>
      <c r="B1785" t="s">
        <v>343</v>
      </c>
      <c r="C1785">
        <v>8</v>
      </c>
      <c r="D1785">
        <v>90</v>
      </c>
      <c r="E1785">
        <v>150</v>
      </c>
      <c r="F1785" t="s">
        <v>77</v>
      </c>
      <c r="G1785" t="s">
        <v>746</v>
      </c>
      <c r="H1785">
        <v>6</v>
      </c>
      <c r="I1785">
        <v>3.71</v>
      </c>
      <c r="J1785" t="s">
        <v>839</v>
      </c>
      <c r="K1785" t="s">
        <v>812</v>
      </c>
      <c r="M1785" t="s">
        <v>1307</v>
      </c>
      <c r="Q1785" t="s">
        <v>26</v>
      </c>
      <c r="R1785" t="s">
        <v>81</v>
      </c>
      <c r="W1785">
        <v>3</v>
      </c>
      <c r="X1785" t="s">
        <v>1135</v>
      </c>
      <c r="Z1785" t="s">
        <v>38</v>
      </c>
      <c r="AB1785" t="s">
        <v>921</v>
      </c>
      <c r="AC1785" t="s">
        <v>1223</v>
      </c>
      <c r="AD1785" t="s">
        <v>39</v>
      </c>
    </row>
    <row r="1786" spans="1:30" hidden="1" x14ac:dyDescent="0.25">
      <c r="A1786">
        <v>242</v>
      </c>
      <c r="B1786" t="s">
        <v>344</v>
      </c>
      <c r="C1786">
        <v>8</v>
      </c>
      <c r="D1786">
        <v>142</v>
      </c>
      <c r="E1786">
        <v>1799</v>
      </c>
      <c r="F1786" t="s">
        <v>77</v>
      </c>
      <c r="G1786" t="s">
        <v>746</v>
      </c>
      <c r="H1786">
        <v>2</v>
      </c>
      <c r="I1786">
        <v>32.090000000000003</v>
      </c>
      <c r="J1786" t="s">
        <v>839</v>
      </c>
      <c r="K1786" t="s">
        <v>812</v>
      </c>
      <c r="M1786" t="s">
        <v>1307</v>
      </c>
      <c r="R1786" t="s">
        <v>81</v>
      </c>
      <c r="U1786" t="s">
        <v>81</v>
      </c>
      <c r="W1786">
        <v>3</v>
      </c>
      <c r="X1786" t="s">
        <v>1135</v>
      </c>
      <c r="Z1786" t="s">
        <v>38</v>
      </c>
      <c r="AB1786" t="s">
        <v>921</v>
      </c>
      <c r="AC1786" t="s">
        <v>1223</v>
      </c>
      <c r="AD1786" t="s">
        <v>39</v>
      </c>
    </row>
    <row r="1787" spans="1:30" hidden="1" x14ac:dyDescent="0.25">
      <c r="A1787">
        <v>243</v>
      </c>
      <c r="B1787" t="s">
        <v>229</v>
      </c>
      <c r="C1787">
        <v>8</v>
      </c>
      <c r="D1787">
        <v>90</v>
      </c>
      <c r="E1787">
        <v>150</v>
      </c>
      <c r="F1787" t="s">
        <v>77</v>
      </c>
      <c r="G1787" t="s">
        <v>746</v>
      </c>
      <c r="H1787">
        <v>9</v>
      </c>
      <c r="I1787">
        <v>5.57</v>
      </c>
      <c r="J1787" t="s">
        <v>839</v>
      </c>
      <c r="K1787" t="s">
        <v>812</v>
      </c>
      <c r="M1787" t="s">
        <v>1307</v>
      </c>
      <c r="Q1787" t="s">
        <v>26</v>
      </c>
      <c r="R1787" t="s">
        <v>81</v>
      </c>
      <c r="W1787">
        <v>3</v>
      </c>
      <c r="X1787" t="s">
        <v>1135</v>
      </c>
      <c r="Z1787" t="s">
        <v>38</v>
      </c>
      <c r="AB1787" t="s">
        <v>921</v>
      </c>
      <c r="AC1787" t="s">
        <v>1223</v>
      </c>
      <c r="AD1787" t="s">
        <v>39</v>
      </c>
    </row>
    <row r="1788" spans="1:30" hidden="1" x14ac:dyDescent="0.25">
      <c r="A1788">
        <v>244</v>
      </c>
      <c r="B1788" t="s">
        <v>345</v>
      </c>
      <c r="C1788">
        <v>8</v>
      </c>
      <c r="D1788">
        <v>142</v>
      </c>
      <c r="E1788">
        <v>1799</v>
      </c>
      <c r="F1788" t="s">
        <v>77</v>
      </c>
      <c r="G1788" t="s">
        <v>746</v>
      </c>
      <c r="H1788">
        <v>1</v>
      </c>
      <c r="I1788">
        <v>16.04</v>
      </c>
      <c r="J1788" t="s">
        <v>839</v>
      </c>
      <c r="K1788" t="s">
        <v>812</v>
      </c>
      <c r="M1788" t="s">
        <v>1307</v>
      </c>
      <c r="R1788" t="s">
        <v>81</v>
      </c>
      <c r="U1788" t="s">
        <v>81</v>
      </c>
      <c r="W1788">
        <v>3</v>
      </c>
      <c r="X1788" t="s">
        <v>1135</v>
      </c>
      <c r="Z1788" t="s">
        <v>38</v>
      </c>
      <c r="AB1788" t="s">
        <v>921</v>
      </c>
      <c r="AC1788" t="s">
        <v>1223</v>
      </c>
      <c r="AD1788" t="s">
        <v>39</v>
      </c>
    </row>
    <row r="1789" spans="1:30" hidden="1" x14ac:dyDescent="0.25">
      <c r="A1789">
        <v>245</v>
      </c>
      <c r="B1789" t="s">
        <v>346</v>
      </c>
      <c r="C1789">
        <v>8</v>
      </c>
      <c r="D1789">
        <v>74</v>
      </c>
      <c r="E1789">
        <v>172</v>
      </c>
      <c r="F1789" t="s">
        <v>77</v>
      </c>
      <c r="G1789" t="s">
        <v>746</v>
      </c>
      <c r="H1789">
        <v>3</v>
      </c>
      <c r="I1789">
        <v>1.6</v>
      </c>
      <c r="J1789" t="s">
        <v>839</v>
      </c>
      <c r="K1789" t="s">
        <v>812</v>
      </c>
      <c r="M1789" t="s">
        <v>1307</v>
      </c>
      <c r="Q1789" t="s">
        <v>26</v>
      </c>
      <c r="R1789" t="s">
        <v>81</v>
      </c>
      <c r="W1789">
        <v>3</v>
      </c>
      <c r="X1789" t="s">
        <v>1135</v>
      </c>
      <c r="Z1789" t="s">
        <v>38</v>
      </c>
      <c r="AB1789" t="s">
        <v>921</v>
      </c>
      <c r="AC1789" t="s">
        <v>1223</v>
      </c>
      <c r="AD1789" t="s">
        <v>39</v>
      </c>
    </row>
    <row r="1790" spans="1:30" hidden="1" x14ac:dyDescent="0.25">
      <c r="A1790">
        <v>246</v>
      </c>
      <c r="B1790" t="s">
        <v>347</v>
      </c>
      <c r="C1790">
        <v>8</v>
      </c>
      <c r="D1790">
        <v>90</v>
      </c>
      <c r="E1790">
        <v>150</v>
      </c>
      <c r="F1790" t="s">
        <v>77</v>
      </c>
      <c r="G1790" t="s">
        <v>746</v>
      </c>
      <c r="H1790">
        <v>5</v>
      </c>
      <c r="I1790">
        <v>3.09</v>
      </c>
      <c r="J1790" t="s">
        <v>839</v>
      </c>
      <c r="K1790" t="s">
        <v>812</v>
      </c>
      <c r="M1790" t="s">
        <v>1307</v>
      </c>
      <c r="Q1790" t="s">
        <v>26</v>
      </c>
      <c r="R1790" t="s">
        <v>81</v>
      </c>
      <c r="W1790">
        <v>3</v>
      </c>
      <c r="X1790" t="s">
        <v>1135</v>
      </c>
      <c r="Z1790" t="s">
        <v>38</v>
      </c>
      <c r="AB1790" t="s">
        <v>921</v>
      </c>
      <c r="AC1790" t="s">
        <v>1223</v>
      </c>
      <c r="AD1790" t="s">
        <v>39</v>
      </c>
    </row>
    <row r="1791" spans="1:30" hidden="1" x14ac:dyDescent="0.25">
      <c r="A1791">
        <v>247</v>
      </c>
      <c r="B1791" t="s">
        <v>348</v>
      </c>
      <c r="C1791">
        <v>8</v>
      </c>
      <c r="D1791">
        <v>158</v>
      </c>
      <c r="E1791">
        <v>228</v>
      </c>
      <c r="F1791" t="s">
        <v>77</v>
      </c>
      <c r="G1791" t="s">
        <v>746</v>
      </c>
      <c r="H1791">
        <v>27</v>
      </c>
      <c r="I1791">
        <v>59.73</v>
      </c>
      <c r="J1791" t="s">
        <v>839</v>
      </c>
      <c r="K1791" t="s">
        <v>812</v>
      </c>
      <c r="M1791" t="s">
        <v>1307</v>
      </c>
      <c r="Q1791" t="s">
        <v>26</v>
      </c>
      <c r="R1791" t="s">
        <v>81</v>
      </c>
      <c r="W1791">
        <v>3</v>
      </c>
      <c r="X1791" t="s">
        <v>1135</v>
      </c>
      <c r="Z1791" t="s">
        <v>38</v>
      </c>
      <c r="AB1791" t="s">
        <v>921</v>
      </c>
      <c r="AC1791" t="s">
        <v>1223</v>
      </c>
      <c r="AD1791" t="s">
        <v>39</v>
      </c>
    </row>
    <row r="1792" spans="1:30" hidden="1" x14ac:dyDescent="0.25">
      <c r="A1792">
        <v>248</v>
      </c>
      <c r="B1792" t="s">
        <v>306</v>
      </c>
      <c r="C1792">
        <v>8</v>
      </c>
      <c r="D1792">
        <v>124</v>
      </c>
      <c r="E1792">
        <v>1882</v>
      </c>
      <c r="F1792" t="s">
        <v>77</v>
      </c>
      <c r="G1792" t="s">
        <v>746</v>
      </c>
      <c r="H1792">
        <v>4</v>
      </c>
      <c r="I1792">
        <v>58.62</v>
      </c>
      <c r="J1792" t="s">
        <v>839</v>
      </c>
      <c r="K1792" t="s">
        <v>812</v>
      </c>
      <c r="M1792" t="s">
        <v>1307</v>
      </c>
      <c r="Q1792" t="s">
        <v>28</v>
      </c>
      <c r="R1792" t="s">
        <v>81</v>
      </c>
      <c r="W1792">
        <v>3</v>
      </c>
      <c r="X1792" t="s">
        <v>1135</v>
      </c>
      <c r="Z1792" t="s">
        <v>38</v>
      </c>
      <c r="AB1792" t="s">
        <v>921</v>
      </c>
      <c r="AC1792" t="s">
        <v>1223</v>
      </c>
      <c r="AD1792" t="s">
        <v>39</v>
      </c>
    </row>
    <row r="1793" spans="1:30" hidden="1" x14ac:dyDescent="0.25">
      <c r="A1793">
        <v>249</v>
      </c>
      <c r="B1793" t="s">
        <v>308</v>
      </c>
      <c r="C1793">
        <v>8</v>
      </c>
      <c r="D1793">
        <v>150</v>
      </c>
      <c r="E1793">
        <v>2523</v>
      </c>
      <c r="F1793" t="s">
        <v>77</v>
      </c>
      <c r="G1793" t="s">
        <v>746</v>
      </c>
      <c r="H1793">
        <v>2</v>
      </c>
      <c r="I1793">
        <v>47.53</v>
      </c>
      <c r="J1793" t="s">
        <v>839</v>
      </c>
      <c r="K1793" t="s">
        <v>812</v>
      </c>
      <c r="M1793" t="s">
        <v>1307</v>
      </c>
      <c r="Q1793" t="s">
        <v>28</v>
      </c>
      <c r="R1793" t="s">
        <v>81</v>
      </c>
      <c r="W1793">
        <v>3</v>
      </c>
      <c r="X1793" t="s">
        <v>1135</v>
      </c>
      <c r="Z1793" t="s">
        <v>38</v>
      </c>
      <c r="AB1793" t="s">
        <v>921</v>
      </c>
      <c r="AC1793" t="s">
        <v>1223</v>
      </c>
      <c r="AD1793" t="s">
        <v>39</v>
      </c>
    </row>
    <row r="1794" spans="1:30" hidden="1" x14ac:dyDescent="0.25">
      <c r="A1794">
        <v>250</v>
      </c>
      <c r="B1794" t="s">
        <v>310</v>
      </c>
      <c r="C1794">
        <v>8</v>
      </c>
      <c r="D1794">
        <v>124</v>
      </c>
      <c r="E1794">
        <v>2523</v>
      </c>
      <c r="F1794" t="s">
        <v>77</v>
      </c>
      <c r="G1794" t="s">
        <v>746</v>
      </c>
      <c r="H1794">
        <v>2</v>
      </c>
      <c r="I1794">
        <v>39.29</v>
      </c>
      <c r="J1794" t="s">
        <v>839</v>
      </c>
      <c r="K1794" t="s">
        <v>812</v>
      </c>
      <c r="M1794" t="s">
        <v>1307</v>
      </c>
      <c r="Q1794" t="s">
        <v>28</v>
      </c>
      <c r="R1794" t="s">
        <v>81</v>
      </c>
      <c r="W1794">
        <v>3</v>
      </c>
      <c r="X1794" t="s">
        <v>1135</v>
      </c>
      <c r="Z1794" t="s">
        <v>38</v>
      </c>
      <c r="AB1794" t="s">
        <v>921</v>
      </c>
      <c r="AC1794" t="s">
        <v>1223</v>
      </c>
      <c r="AD1794" t="s">
        <v>39</v>
      </c>
    </row>
    <row r="1795" spans="1:30" hidden="1" x14ac:dyDescent="0.25">
      <c r="A1795">
        <v>251</v>
      </c>
      <c r="B1795" t="s">
        <v>349</v>
      </c>
      <c r="C1795">
        <v>8</v>
      </c>
      <c r="D1795">
        <v>124</v>
      </c>
      <c r="E1795">
        <v>2523</v>
      </c>
      <c r="F1795" t="s">
        <v>77</v>
      </c>
      <c r="G1795" t="s">
        <v>746</v>
      </c>
      <c r="H1795">
        <v>4</v>
      </c>
      <c r="I1795">
        <v>78.59</v>
      </c>
      <c r="J1795" t="s">
        <v>839</v>
      </c>
      <c r="K1795" t="s">
        <v>812</v>
      </c>
      <c r="M1795" t="s">
        <v>1307</v>
      </c>
      <c r="Q1795" t="s">
        <v>28</v>
      </c>
      <c r="R1795" t="s">
        <v>81</v>
      </c>
      <c r="W1795">
        <v>3</v>
      </c>
      <c r="X1795" t="s">
        <v>1135</v>
      </c>
      <c r="Z1795" t="s">
        <v>38</v>
      </c>
      <c r="AB1795" t="s">
        <v>921</v>
      </c>
      <c r="AC1795" t="s">
        <v>1223</v>
      </c>
      <c r="AD1795" t="s">
        <v>39</v>
      </c>
    </row>
    <row r="1796" spans="1:30" hidden="1" x14ac:dyDescent="0.25">
      <c r="A1796">
        <v>252</v>
      </c>
      <c r="B1796" t="s">
        <v>350</v>
      </c>
      <c r="C1796">
        <v>8</v>
      </c>
      <c r="D1796">
        <v>150</v>
      </c>
      <c r="E1796">
        <v>601</v>
      </c>
      <c r="F1796" t="s">
        <v>77</v>
      </c>
      <c r="G1796" t="s">
        <v>746</v>
      </c>
      <c r="H1796">
        <v>4</v>
      </c>
      <c r="I1796">
        <v>22.65</v>
      </c>
      <c r="J1796" t="s">
        <v>839</v>
      </c>
      <c r="K1796" t="s">
        <v>812</v>
      </c>
      <c r="M1796" t="s">
        <v>1307</v>
      </c>
      <c r="Q1796" t="s">
        <v>28</v>
      </c>
      <c r="R1796" t="s">
        <v>81</v>
      </c>
      <c r="W1796">
        <v>3</v>
      </c>
      <c r="X1796" t="s">
        <v>1135</v>
      </c>
      <c r="Z1796" t="s">
        <v>38</v>
      </c>
      <c r="AB1796" t="s">
        <v>921</v>
      </c>
      <c r="AC1796" t="s">
        <v>1223</v>
      </c>
      <c r="AD1796" t="s">
        <v>39</v>
      </c>
    </row>
    <row r="1797" spans="1:30" hidden="1" x14ac:dyDescent="0.25">
      <c r="A1797">
        <v>253</v>
      </c>
      <c r="B1797" t="s">
        <v>267</v>
      </c>
      <c r="C1797">
        <v>8</v>
      </c>
      <c r="D1797">
        <v>124</v>
      </c>
      <c r="E1797">
        <v>6824</v>
      </c>
      <c r="F1797" t="s">
        <v>77</v>
      </c>
      <c r="G1797" t="s">
        <v>746</v>
      </c>
      <c r="H1797">
        <v>1</v>
      </c>
      <c r="I1797">
        <v>53.14</v>
      </c>
      <c r="J1797" t="s">
        <v>839</v>
      </c>
      <c r="K1797" t="s">
        <v>812</v>
      </c>
      <c r="M1797" t="s">
        <v>1307</v>
      </c>
      <c r="Q1797" t="s">
        <v>28</v>
      </c>
      <c r="R1797" t="s">
        <v>81</v>
      </c>
      <c r="W1797">
        <v>3</v>
      </c>
      <c r="X1797" t="s">
        <v>1135</v>
      </c>
      <c r="Z1797" t="s">
        <v>38</v>
      </c>
      <c r="AB1797" t="s">
        <v>921</v>
      </c>
      <c r="AC1797" t="s">
        <v>1223</v>
      </c>
      <c r="AD1797" t="s">
        <v>39</v>
      </c>
    </row>
    <row r="1798" spans="1:30" hidden="1" x14ac:dyDescent="0.25">
      <c r="A1798">
        <v>254</v>
      </c>
      <c r="B1798" t="s">
        <v>235</v>
      </c>
      <c r="C1798">
        <v>8</v>
      </c>
      <c r="D1798">
        <v>150</v>
      </c>
      <c r="E1798">
        <v>792</v>
      </c>
      <c r="F1798" t="s">
        <v>77</v>
      </c>
      <c r="G1798" t="s">
        <v>746</v>
      </c>
      <c r="H1798">
        <v>2</v>
      </c>
      <c r="I1798">
        <v>14.92</v>
      </c>
      <c r="J1798" t="s">
        <v>839</v>
      </c>
      <c r="K1798" t="s">
        <v>812</v>
      </c>
      <c r="M1798" t="s">
        <v>1307</v>
      </c>
      <c r="Q1798" t="s">
        <v>28</v>
      </c>
      <c r="R1798" t="s">
        <v>81</v>
      </c>
      <c r="W1798">
        <v>3</v>
      </c>
      <c r="X1798" t="s">
        <v>1135</v>
      </c>
      <c r="Z1798" t="s">
        <v>38</v>
      </c>
      <c r="AB1798" t="s">
        <v>921</v>
      </c>
      <c r="AC1798" t="s">
        <v>1223</v>
      </c>
      <c r="AD1798" t="s">
        <v>39</v>
      </c>
    </row>
    <row r="1799" spans="1:30" hidden="1" x14ac:dyDescent="0.25">
      <c r="A1799">
        <v>255</v>
      </c>
      <c r="B1799" t="s">
        <v>352</v>
      </c>
      <c r="C1799">
        <v>8</v>
      </c>
      <c r="D1799">
        <v>142</v>
      </c>
      <c r="E1799">
        <v>1799</v>
      </c>
      <c r="F1799" t="s">
        <v>77</v>
      </c>
      <c r="G1799" t="s">
        <v>746</v>
      </c>
      <c r="H1799">
        <v>2</v>
      </c>
      <c r="I1799">
        <v>32.090000000000003</v>
      </c>
      <c r="J1799" t="s">
        <v>839</v>
      </c>
      <c r="K1799" t="s">
        <v>812</v>
      </c>
      <c r="M1799" t="s">
        <v>1307</v>
      </c>
      <c r="R1799" t="s">
        <v>81</v>
      </c>
      <c r="U1799" t="s">
        <v>81</v>
      </c>
      <c r="W1799">
        <v>3</v>
      </c>
      <c r="X1799" t="s">
        <v>1135</v>
      </c>
      <c r="Z1799" t="s">
        <v>38</v>
      </c>
      <c r="AB1799" t="s">
        <v>921</v>
      </c>
      <c r="AC1799" t="s">
        <v>1223</v>
      </c>
      <c r="AD1799" t="s">
        <v>39</v>
      </c>
    </row>
    <row r="1800" spans="1:30" hidden="1" x14ac:dyDescent="0.25">
      <c r="A1800">
        <v>256</v>
      </c>
      <c r="B1800" t="s">
        <v>341</v>
      </c>
      <c r="C1800">
        <v>8</v>
      </c>
      <c r="D1800">
        <v>74</v>
      </c>
      <c r="E1800">
        <v>172</v>
      </c>
      <c r="F1800" t="s">
        <v>77</v>
      </c>
      <c r="G1800" t="s">
        <v>746</v>
      </c>
      <c r="H1800">
        <v>1</v>
      </c>
      <c r="I1800">
        <v>0.53</v>
      </c>
      <c r="J1800" t="s">
        <v>839</v>
      </c>
      <c r="K1800" t="s">
        <v>812</v>
      </c>
      <c r="M1800" t="s">
        <v>1307</v>
      </c>
      <c r="Q1800" t="s">
        <v>26</v>
      </c>
      <c r="R1800" t="s">
        <v>81</v>
      </c>
      <c r="W1800">
        <v>3</v>
      </c>
      <c r="X1800" t="s">
        <v>1135</v>
      </c>
      <c r="Z1800" t="s">
        <v>38</v>
      </c>
      <c r="AB1800" t="s">
        <v>921</v>
      </c>
      <c r="AC1800" t="s">
        <v>1223</v>
      </c>
      <c r="AD1800" t="s">
        <v>39</v>
      </c>
    </row>
    <row r="1801" spans="1:30" hidden="1" x14ac:dyDescent="0.25">
      <c r="A1801">
        <v>257</v>
      </c>
      <c r="B1801" t="s">
        <v>357</v>
      </c>
      <c r="C1801">
        <v>8</v>
      </c>
      <c r="D1801">
        <v>74</v>
      </c>
      <c r="E1801">
        <v>172</v>
      </c>
      <c r="F1801" t="s">
        <v>77</v>
      </c>
      <c r="G1801" t="s">
        <v>746</v>
      </c>
      <c r="H1801">
        <v>6</v>
      </c>
      <c r="I1801">
        <v>3.2</v>
      </c>
      <c r="J1801" t="s">
        <v>839</v>
      </c>
      <c r="K1801" t="s">
        <v>812</v>
      </c>
      <c r="M1801" t="s">
        <v>1307</v>
      </c>
      <c r="Q1801" t="s">
        <v>26</v>
      </c>
      <c r="R1801" t="s">
        <v>81</v>
      </c>
      <c r="W1801">
        <v>3</v>
      </c>
      <c r="X1801" t="s">
        <v>1135</v>
      </c>
      <c r="Z1801" t="s">
        <v>38</v>
      </c>
      <c r="AB1801" t="s">
        <v>921</v>
      </c>
      <c r="AC1801" t="s">
        <v>1223</v>
      </c>
      <c r="AD1801" t="s">
        <v>39</v>
      </c>
    </row>
    <row r="1802" spans="1:30" hidden="1" x14ac:dyDescent="0.25">
      <c r="A1802">
        <v>258</v>
      </c>
      <c r="B1802" t="s">
        <v>347</v>
      </c>
      <c r="C1802">
        <v>8</v>
      </c>
      <c r="D1802">
        <v>90</v>
      </c>
      <c r="E1802">
        <v>150</v>
      </c>
      <c r="F1802" t="s">
        <v>77</v>
      </c>
      <c r="G1802" t="s">
        <v>746</v>
      </c>
      <c r="H1802">
        <v>1</v>
      </c>
      <c r="I1802">
        <v>0.62</v>
      </c>
      <c r="J1802" t="s">
        <v>839</v>
      </c>
      <c r="K1802" t="s">
        <v>812</v>
      </c>
      <c r="M1802" t="s">
        <v>1307</v>
      </c>
      <c r="Q1802" t="s">
        <v>26</v>
      </c>
      <c r="R1802" t="s">
        <v>81</v>
      </c>
      <c r="W1802">
        <v>3</v>
      </c>
      <c r="X1802" t="s">
        <v>1135</v>
      </c>
      <c r="Z1802" t="s">
        <v>38</v>
      </c>
      <c r="AB1802" t="s">
        <v>921</v>
      </c>
      <c r="AC1802" t="s">
        <v>1223</v>
      </c>
      <c r="AD1802" t="s">
        <v>39</v>
      </c>
    </row>
    <row r="1803" spans="1:30" hidden="1" x14ac:dyDescent="0.25">
      <c r="A1803">
        <v>259</v>
      </c>
      <c r="B1803" t="s">
        <v>348</v>
      </c>
      <c r="C1803">
        <v>8</v>
      </c>
      <c r="D1803">
        <v>158</v>
      </c>
      <c r="E1803">
        <v>228</v>
      </c>
      <c r="F1803" t="s">
        <v>77</v>
      </c>
      <c r="G1803" t="s">
        <v>746</v>
      </c>
      <c r="H1803">
        <v>3</v>
      </c>
      <c r="I1803">
        <v>6.64</v>
      </c>
      <c r="J1803" t="s">
        <v>839</v>
      </c>
      <c r="K1803" t="s">
        <v>812</v>
      </c>
      <c r="M1803" t="s">
        <v>1307</v>
      </c>
      <c r="Q1803" t="s">
        <v>26</v>
      </c>
      <c r="R1803" t="s">
        <v>81</v>
      </c>
      <c r="W1803">
        <v>3</v>
      </c>
      <c r="X1803" t="s">
        <v>1135</v>
      </c>
      <c r="Z1803" t="s">
        <v>38</v>
      </c>
      <c r="AB1803" t="s">
        <v>921</v>
      </c>
      <c r="AC1803" t="s">
        <v>1223</v>
      </c>
      <c r="AD1803" t="s">
        <v>39</v>
      </c>
    </row>
    <row r="1804" spans="1:30" hidden="1" x14ac:dyDescent="0.25">
      <c r="A1804">
        <v>260</v>
      </c>
      <c r="B1804" t="s">
        <v>1225</v>
      </c>
      <c r="C1804">
        <v>8</v>
      </c>
      <c r="D1804">
        <v>300</v>
      </c>
      <c r="E1804">
        <v>450</v>
      </c>
      <c r="F1804" t="s">
        <v>77</v>
      </c>
      <c r="G1804" t="s">
        <v>746</v>
      </c>
      <c r="H1804">
        <v>1</v>
      </c>
      <c r="I1804">
        <v>8.48</v>
      </c>
      <c r="J1804" t="s">
        <v>839</v>
      </c>
      <c r="K1804" t="s">
        <v>812</v>
      </c>
      <c r="M1804" t="s">
        <v>1307</v>
      </c>
      <c r="R1804" t="s">
        <v>81</v>
      </c>
      <c r="W1804">
        <v>3</v>
      </c>
      <c r="X1804" t="s">
        <v>1135</v>
      </c>
      <c r="Z1804" t="s">
        <v>38</v>
      </c>
      <c r="AB1804" t="s">
        <v>921</v>
      </c>
      <c r="AC1804" t="s">
        <v>1223</v>
      </c>
      <c r="AD1804" t="s">
        <v>39</v>
      </c>
    </row>
    <row r="1805" spans="1:30" hidden="1" x14ac:dyDescent="0.25">
      <c r="A1805">
        <v>261</v>
      </c>
      <c r="B1805" t="s">
        <v>358</v>
      </c>
      <c r="C1805">
        <v>10</v>
      </c>
      <c r="D1805">
        <v>350</v>
      </c>
      <c r="E1805">
        <v>12000</v>
      </c>
      <c r="F1805" t="s">
        <v>77</v>
      </c>
      <c r="G1805" t="s">
        <v>746</v>
      </c>
      <c r="H1805">
        <v>1</v>
      </c>
      <c r="I1805">
        <v>329.7</v>
      </c>
      <c r="J1805" t="s">
        <v>839</v>
      </c>
      <c r="K1805" t="s">
        <v>812</v>
      </c>
      <c r="M1805" t="s">
        <v>1307</v>
      </c>
      <c r="Q1805" t="s">
        <v>28</v>
      </c>
      <c r="R1805" t="s">
        <v>81</v>
      </c>
      <c r="V1805" t="s">
        <v>81</v>
      </c>
      <c r="W1805">
        <v>3</v>
      </c>
      <c r="X1805" t="s">
        <v>1135</v>
      </c>
      <c r="Z1805" t="s">
        <v>38</v>
      </c>
      <c r="AB1805" t="s">
        <v>921</v>
      </c>
      <c r="AC1805" t="s">
        <v>1227</v>
      </c>
      <c r="AD1805" t="s">
        <v>39</v>
      </c>
    </row>
    <row r="1806" spans="1:30" hidden="1" x14ac:dyDescent="0.25">
      <c r="A1806">
        <v>262</v>
      </c>
      <c r="B1806" t="s">
        <v>363</v>
      </c>
      <c r="C1806">
        <v>10</v>
      </c>
      <c r="D1806">
        <v>350</v>
      </c>
      <c r="E1806">
        <v>12000</v>
      </c>
      <c r="F1806" t="s">
        <v>77</v>
      </c>
      <c r="G1806" t="s">
        <v>746</v>
      </c>
      <c r="H1806">
        <v>1</v>
      </c>
      <c r="I1806">
        <v>329.7</v>
      </c>
      <c r="J1806" t="s">
        <v>839</v>
      </c>
      <c r="K1806" t="s">
        <v>812</v>
      </c>
      <c r="M1806" t="s">
        <v>1307</v>
      </c>
      <c r="Q1806" t="s">
        <v>28</v>
      </c>
      <c r="R1806" t="s">
        <v>81</v>
      </c>
      <c r="V1806" t="s">
        <v>81</v>
      </c>
      <c r="W1806">
        <v>3</v>
      </c>
      <c r="X1806" t="s">
        <v>1135</v>
      </c>
      <c r="Z1806" t="s">
        <v>38</v>
      </c>
      <c r="AB1806" t="s">
        <v>921</v>
      </c>
      <c r="AC1806" t="s">
        <v>1227</v>
      </c>
      <c r="AD1806" t="s">
        <v>39</v>
      </c>
    </row>
    <row r="1807" spans="1:30" hidden="1" x14ac:dyDescent="0.25">
      <c r="A1807">
        <v>263</v>
      </c>
      <c r="B1807" t="s">
        <v>364</v>
      </c>
      <c r="C1807">
        <v>10</v>
      </c>
      <c r="D1807">
        <v>380</v>
      </c>
      <c r="E1807">
        <v>12000</v>
      </c>
      <c r="F1807" t="s">
        <v>77</v>
      </c>
      <c r="G1807" t="s">
        <v>746</v>
      </c>
      <c r="H1807">
        <v>2</v>
      </c>
      <c r="I1807">
        <v>715.91</v>
      </c>
      <c r="J1807" t="s">
        <v>839</v>
      </c>
      <c r="K1807" t="s">
        <v>812</v>
      </c>
      <c r="M1807" t="s">
        <v>1307</v>
      </c>
      <c r="Q1807" t="s">
        <v>28</v>
      </c>
      <c r="R1807" t="s">
        <v>81</v>
      </c>
      <c r="W1807">
        <v>3</v>
      </c>
      <c r="X1807" t="s">
        <v>1135</v>
      </c>
      <c r="Z1807" t="s">
        <v>38</v>
      </c>
      <c r="AB1807" t="s">
        <v>921</v>
      </c>
      <c r="AC1807" t="s">
        <v>1227</v>
      </c>
      <c r="AD1807" t="s">
        <v>39</v>
      </c>
    </row>
    <row r="1808" spans="1:30" hidden="1" x14ac:dyDescent="0.25">
      <c r="A1808">
        <v>264</v>
      </c>
      <c r="B1808" t="s">
        <v>366</v>
      </c>
      <c r="C1808">
        <v>10</v>
      </c>
      <c r="D1808">
        <v>380</v>
      </c>
      <c r="E1808">
        <v>12000</v>
      </c>
      <c r="F1808" t="s">
        <v>77</v>
      </c>
      <c r="G1808" t="s">
        <v>746</v>
      </c>
      <c r="H1808">
        <v>2</v>
      </c>
      <c r="I1808">
        <v>715.91</v>
      </c>
      <c r="J1808" t="s">
        <v>839</v>
      </c>
      <c r="K1808" t="s">
        <v>812</v>
      </c>
      <c r="M1808" t="s">
        <v>1307</v>
      </c>
      <c r="Q1808" t="s">
        <v>28</v>
      </c>
      <c r="R1808" t="s">
        <v>81</v>
      </c>
      <c r="W1808">
        <v>3</v>
      </c>
      <c r="X1808" t="s">
        <v>1135</v>
      </c>
      <c r="Z1808" t="s">
        <v>38</v>
      </c>
      <c r="AB1808" t="s">
        <v>921</v>
      </c>
      <c r="AC1808" t="s">
        <v>1229</v>
      </c>
      <c r="AD1808" t="s">
        <v>39</v>
      </c>
    </row>
    <row r="1809" spans="1:30" hidden="1" x14ac:dyDescent="0.25">
      <c r="A1809">
        <v>265</v>
      </c>
      <c r="B1809" t="s">
        <v>369</v>
      </c>
      <c r="C1809">
        <v>10</v>
      </c>
      <c r="D1809">
        <v>350</v>
      </c>
      <c r="E1809">
        <v>12000</v>
      </c>
      <c r="F1809" t="s">
        <v>77</v>
      </c>
      <c r="G1809" t="s">
        <v>746</v>
      </c>
      <c r="H1809">
        <v>1</v>
      </c>
      <c r="I1809">
        <v>329.7</v>
      </c>
      <c r="J1809" t="s">
        <v>839</v>
      </c>
      <c r="K1809" t="s">
        <v>812</v>
      </c>
      <c r="M1809" t="s">
        <v>1307</v>
      </c>
      <c r="Q1809" t="s">
        <v>28</v>
      </c>
      <c r="R1809" t="s">
        <v>81</v>
      </c>
      <c r="V1809" t="s">
        <v>81</v>
      </c>
      <c r="W1809">
        <v>3</v>
      </c>
      <c r="X1809" t="s">
        <v>1135</v>
      </c>
      <c r="Z1809" t="s">
        <v>38</v>
      </c>
      <c r="AB1809" t="s">
        <v>921</v>
      </c>
      <c r="AC1809" t="s">
        <v>1229</v>
      </c>
      <c r="AD1809" t="s">
        <v>39</v>
      </c>
    </row>
    <row r="1810" spans="1:30" hidden="1" x14ac:dyDescent="0.25">
      <c r="A1810">
        <v>266</v>
      </c>
      <c r="B1810" t="s">
        <v>370</v>
      </c>
      <c r="C1810">
        <v>10</v>
      </c>
      <c r="D1810">
        <v>350</v>
      </c>
      <c r="E1810">
        <v>12000</v>
      </c>
      <c r="F1810" t="s">
        <v>77</v>
      </c>
      <c r="G1810" t="s">
        <v>746</v>
      </c>
      <c r="H1810">
        <v>1</v>
      </c>
      <c r="I1810">
        <v>329.7</v>
      </c>
      <c r="J1810" t="s">
        <v>839</v>
      </c>
      <c r="K1810" t="s">
        <v>812</v>
      </c>
      <c r="M1810" t="s">
        <v>1307</v>
      </c>
      <c r="Q1810" t="s">
        <v>28</v>
      </c>
      <c r="R1810" t="s">
        <v>81</v>
      </c>
      <c r="V1810" t="s">
        <v>81</v>
      </c>
      <c r="W1810">
        <v>3</v>
      </c>
      <c r="X1810" t="s">
        <v>1135</v>
      </c>
      <c r="Z1810" t="s">
        <v>38</v>
      </c>
      <c r="AB1810" t="s">
        <v>921</v>
      </c>
      <c r="AC1810" t="s">
        <v>1229</v>
      </c>
      <c r="AD1810" t="s">
        <v>39</v>
      </c>
    </row>
    <row r="1811" spans="1:30" hidden="1" x14ac:dyDescent="0.25">
      <c r="A1811">
        <v>267</v>
      </c>
      <c r="B1811" t="s">
        <v>371</v>
      </c>
      <c r="C1811">
        <v>10</v>
      </c>
      <c r="D1811">
        <v>350</v>
      </c>
      <c r="E1811">
        <v>12000</v>
      </c>
      <c r="F1811" t="s">
        <v>77</v>
      </c>
      <c r="G1811" t="s">
        <v>746</v>
      </c>
      <c r="H1811">
        <v>2</v>
      </c>
      <c r="I1811">
        <v>659.41</v>
      </c>
      <c r="J1811" t="s">
        <v>839</v>
      </c>
      <c r="K1811" t="s">
        <v>812</v>
      </c>
      <c r="M1811" t="s">
        <v>1307</v>
      </c>
      <c r="Q1811" t="s">
        <v>28</v>
      </c>
      <c r="R1811" t="s">
        <v>81</v>
      </c>
      <c r="V1811" t="s">
        <v>81</v>
      </c>
      <c r="W1811">
        <v>3</v>
      </c>
      <c r="X1811" t="s">
        <v>1135</v>
      </c>
      <c r="Z1811" t="s">
        <v>38</v>
      </c>
      <c r="AB1811" t="s">
        <v>921</v>
      </c>
      <c r="AC1811" t="s">
        <v>1231</v>
      </c>
      <c r="AD1811" t="s">
        <v>39</v>
      </c>
    </row>
    <row r="1812" spans="1:30" hidden="1" x14ac:dyDescent="0.25">
      <c r="A1812">
        <v>268</v>
      </c>
      <c r="B1812" t="s">
        <v>366</v>
      </c>
      <c r="C1812">
        <v>10</v>
      </c>
      <c r="D1812">
        <v>380</v>
      </c>
      <c r="E1812">
        <v>12000</v>
      </c>
      <c r="F1812" t="s">
        <v>77</v>
      </c>
      <c r="G1812" t="s">
        <v>746</v>
      </c>
      <c r="H1812">
        <v>2</v>
      </c>
      <c r="I1812">
        <v>715.91</v>
      </c>
      <c r="J1812" t="s">
        <v>839</v>
      </c>
      <c r="K1812" t="s">
        <v>812</v>
      </c>
      <c r="M1812" t="s">
        <v>1307</v>
      </c>
      <c r="Q1812" t="s">
        <v>28</v>
      </c>
      <c r="R1812" t="s">
        <v>81</v>
      </c>
      <c r="W1812">
        <v>3</v>
      </c>
      <c r="X1812" t="s">
        <v>1135</v>
      </c>
      <c r="Z1812" t="s">
        <v>38</v>
      </c>
      <c r="AB1812" t="s">
        <v>921</v>
      </c>
      <c r="AC1812" t="s">
        <v>1231</v>
      </c>
      <c r="AD1812" t="s">
        <v>39</v>
      </c>
    </row>
    <row r="1813" spans="1:30" hidden="1" x14ac:dyDescent="0.25">
      <c r="A1813">
        <v>269</v>
      </c>
      <c r="B1813" t="s">
        <v>374</v>
      </c>
      <c r="C1813">
        <v>10</v>
      </c>
      <c r="D1813">
        <v>380</v>
      </c>
      <c r="E1813">
        <v>12000</v>
      </c>
      <c r="F1813" t="s">
        <v>77</v>
      </c>
      <c r="G1813" t="s">
        <v>746</v>
      </c>
      <c r="H1813">
        <v>2</v>
      </c>
      <c r="I1813">
        <v>715.91</v>
      </c>
      <c r="J1813" t="s">
        <v>839</v>
      </c>
      <c r="K1813" t="s">
        <v>812</v>
      </c>
      <c r="M1813" t="s">
        <v>1307</v>
      </c>
      <c r="Q1813" t="s">
        <v>28</v>
      </c>
      <c r="R1813" t="s">
        <v>81</v>
      </c>
      <c r="W1813">
        <v>3</v>
      </c>
      <c r="X1813" t="s">
        <v>1135</v>
      </c>
      <c r="Z1813" t="s">
        <v>38</v>
      </c>
      <c r="AB1813" t="s">
        <v>921</v>
      </c>
      <c r="AC1813" t="s">
        <v>1233</v>
      </c>
      <c r="AD1813" t="s">
        <v>39</v>
      </c>
    </row>
    <row r="1814" spans="1:30" hidden="1" x14ac:dyDescent="0.25">
      <c r="A1814">
        <v>270</v>
      </c>
      <c r="B1814" t="s">
        <v>377</v>
      </c>
      <c r="C1814">
        <v>10</v>
      </c>
      <c r="D1814">
        <v>230</v>
      </c>
      <c r="E1814">
        <v>12000</v>
      </c>
      <c r="F1814" t="s">
        <v>77</v>
      </c>
      <c r="G1814" t="s">
        <v>746</v>
      </c>
      <c r="H1814">
        <v>3</v>
      </c>
      <c r="I1814">
        <v>649.98</v>
      </c>
      <c r="J1814" t="s">
        <v>839</v>
      </c>
      <c r="K1814" t="s">
        <v>812</v>
      </c>
      <c r="M1814" t="s">
        <v>1307</v>
      </c>
      <c r="Q1814" t="s">
        <v>28</v>
      </c>
      <c r="R1814" t="s">
        <v>81</v>
      </c>
      <c r="W1814">
        <v>3</v>
      </c>
      <c r="X1814" t="s">
        <v>1135</v>
      </c>
      <c r="Z1814" t="s">
        <v>38</v>
      </c>
      <c r="AB1814" t="s">
        <v>921</v>
      </c>
      <c r="AC1814" t="s">
        <v>1233</v>
      </c>
      <c r="AD1814" t="s">
        <v>39</v>
      </c>
    </row>
    <row r="1815" spans="1:30" hidden="1" x14ac:dyDescent="0.25">
      <c r="A1815">
        <v>271</v>
      </c>
      <c r="B1815" t="s">
        <v>379</v>
      </c>
      <c r="C1815">
        <v>10</v>
      </c>
      <c r="D1815">
        <v>230</v>
      </c>
      <c r="E1815">
        <v>9518</v>
      </c>
      <c r="F1815" t="s">
        <v>77</v>
      </c>
      <c r="G1815" t="s">
        <v>746</v>
      </c>
      <c r="H1815">
        <v>2</v>
      </c>
      <c r="I1815">
        <v>343.69</v>
      </c>
      <c r="J1815" t="s">
        <v>839</v>
      </c>
      <c r="K1815" t="s">
        <v>812</v>
      </c>
      <c r="M1815" t="s">
        <v>1307</v>
      </c>
      <c r="Q1815" t="s">
        <v>28</v>
      </c>
      <c r="R1815" t="s">
        <v>81</v>
      </c>
      <c r="W1815">
        <v>3</v>
      </c>
      <c r="X1815" t="s">
        <v>1135</v>
      </c>
      <c r="Z1815" t="s">
        <v>38</v>
      </c>
      <c r="AB1815" t="s">
        <v>921</v>
      </c>
      <c r="AC1815" t="s">
        <v>1235</v>
      </c>
      <c r="AD1815" t="s">
        <v>39</v>
      </c>
    </row>
    <row r="1816" spans="1:30" hidden="1" x14ac:dyDescent="0.25">
      <c r="A1816">
        <v>272</v>
      </c>
      <c r="B1816" t="s">
        <v>383</v>
      </c>
      <c r="C1816">
        <v>10</v>
      </c>
      <c r="D1816">
        <v>375</v>
      </c>
      <c r="E1816">
        <v>500</v>
      </c>
      <c r="F1816" t="s">
        <v>77</v>
      </c>
      <c r="G1816" t="s">
        <v>746</v>
      </c>
      <c r="H1816">
        <v>4</v>
      </c>
      <c r="I1816">
        <v>58.88</v>
      </c>
      <c r="J1816" t="s">
        <v>839</v>
      </c>
      <c r="K1816" t="s">
        <v>812</v>
      </c>
      <c r="M1816" t="s">
        <v>1307</v>
      </c>
      <c r="Q1816" t="s">
        <v>26</v>
      </c>
      <c r="R1816" t="s">
        <v>81</v>
      </c>
      <c r="W1816">
        <v>3</v>
      </c>
      <c r="X1816" t="s">
        <v>1135</v>
      </c>
      <c r="Z1816" t="s">
        <v>38</v>
      </c>
      <c r="AB1816" t="s">
        <v>921</v>
      </c>
      <c r="AC1816" t="s">
        <v>1235</v>
      </c>
      <c r="AD1816" t="s">
        <v>39</v>
      </c>
    </row>
    <row r="1817" spans="1:30" hidden="1" x14ac:dyDescent="0.25">
      <c r="A1817">
        <v>273</v>
      </c>
      <c r="B1817" t="s">
        <v>385</v>
      </c>
      <c r="C1817">
        <v>10</v>
      </c>
      <c r="D1817">
        <v>375</v>
      </c>
      <c r="E1817">
        <v>500</v>
      </c>
      <c r="F1817" t="s">
        <v>77</v>
      </c>
      <c r="G1817" t="s">
        <v>746</v>
      </c>
      <c r="H1817">
        <v>2</v>
      </c>
      <c r="I1817">
        <v>29.44</v>
      </c>
      <c r="J1817" t="s">
        <v>839</v>
      </c>
      <c r="K1817" t="s">
        <v>812</v>
      </c>
      <c r="M1817" t="s">
        <v>1307</v>
      </c>
      <c r="Q1817" t="s">
        <v>26</v>
      </c>
      <c r="R1817" t="s">
        <v>81</v>
      </c>
      <c r="W1817">
        <v>3</v>
      </c>
      <c r="X1817" t="s">
        <v>1135</v>
      </c>
      <c r="Z1817" t="s">
        <v>38</v>
      </c>
      <c r="AB1817" t="s">
        <v>921</v>
      </c>
      <c r="AC1817" t="s">
        <v>1235</v>
      </c>
      <c r="AD1817" t="s">
        <v>39</v>
      </c>
    </row>
    <row r="1818" spans="1:30" hidden="1" x14ac:dyDescent="0.25">
      <c r="A1818">
        <v>274</v>
      </c>
      <c r="B1818" t="s">
        <v>386</v>
      </c>
      <c r="C1818">
        <v>10</v>
      </c>
      <c r="D1818">
        <v>148</v>
      </c>
      <c r="E1818">
        <v>441</v>
      </c>
      <c r="F1818" t="s">
        <v>77</v>
      </c>
      <c r="G1818" t="s">
        <v>746</v>
      </c>
      <c r="H1818">
        <v>1</v>
      </c>
      <c r="I1818">
        <v>5.0599999999999996</v>
      </c>
      <c r="J1818" t="s">
        <v>839</v>
      </c>
      <c r="K1818" t="s">
        <v>812</v>
      </c>
      <c r="M1818" t="s">
        <v>1307</v>
      </c>
      <c r="Q1818" t="s">
        <v>26</v>
      </c>
      <c r="R1818" t="s">
        <v>81</v>
      </c>
      <c r="W1818">
        <v>3</v>
      </c>
      <c r="X1818" t="s">
        <v>1135</v>
      </c>
      <c r="Z1818" t="s">
        <v>38</v>
      </c>
      <c r="AB1818" t="s">
        <v>921</v>
      </c>
      <c r="AC1818" t="s">
        <v>1235</v>
      </c>
      <c r="AD1818" t="s">
        <v>39</v>
      </c>
    </row>
    <row r="1819" spans="1:30" hidden="1" x14ac:dyDescent="0.25">
      <c r="A1819">
        <v>275</v>
      </c>
      <c r="B1819" t="s">
        <v>388</v>
      </c>
      <c r="C1819">
        <v>10</v>
      </c>
      <c r="D1819">
        <v>350</v>
      </c>
      <c r="E1819">
        <v>12000</v>
      </c>
      <c r="F1819" t="s">
        <v>77</v>
      </c>
      <c r="G1819" t="s">
        <v>746</v>
      </c>
      <c r="H1819">
        <v>2</v>
      </c>
      <c r="I1819">
        <v>659.41</v>
      </c>
      <c r="J1819" t="s">
        <v>839</v>
      </c>
      <c r="K1819" t="s">
        <v>812</v>
      </c>
      <c r="M1819" t="s">
        <v>1307</v>
      </c>
      <c r="Q1819" t="s">
        <v>28</v>
      </c>
      <c r="R1819" t="s">
        <v>81</v>
      </c>
      <c r="V1819" t="s">
        <v>81</v>
      </c>
      <c r="W1819">
        <v>3</v>
      </c>
      <c r="X1819" t="s">
        <v>1135</v>
      </c>
      <c r="Z1819" t="s">
        <v>38</v>
      </c>
      <c r="AB1819" t="s">
        <v>921</v>
      </c>
      <c r="AC1819" t="s">
        <v>1235</v>
      </c>
      <c r="AD1819" t="s">
        <v>39</v>
      </c>
    </row>
    <row r="1820" spans="1:30" hidden="1" x14ac:dyDescent="0.25">
      <c r="A1820">
        <v>276</v>
      </c>
      <c r="B1820" t="s">
        <v>377</v>
      </c>
      <c r="C1820">
        <v>10</v>
      </c>
      <c r="D1820">
        <v>230</v>
      </c>
      <c r="E1820">
        <v>12000</v>
      </c>
      <c r="F1820" t="s">
        <v>77</v>
      </c>
      <c r="G1820" t="s">
        <v>746</v>
      </c>
      <c r="H1820">
        <v>1</v>
      </c>
      <c r="I1820">
        <v>216.66</v>
      </c>
      <c r="J1820" t="s">
        <v>839</v>
      </c>
      <c r="K1820" t="s">
        <v>812</v>
      </c>
      <c r="M1820" t="s">
        <v>1307</v>
      </c>
      <c r="Q1820" t="s">
        <v>28</v>
      </c>
      <c r="R1820" t="s">
        <v>81</v>
      </c>
      <c r="W1820">
        <v>3</v>
      </c>
      <c r="X1820" t="s">
        <v>1135</v>
      </c>
      <c r="Z1820" t="s">
        <v>38</v>
      </c>
      <c r="AB1820" t="s">
        <v>921</v>
      </c>
      <c r="AC1820" t="s">
        <v>1235</v>
      </c>
      <c r="AD1820" t="s">
        <v>39</v>
      </c>
    </row>
    <row r="1821" spans="1:30" hidden="1" x14ac:dyDescent="0.25">
      <c r="A1821">
        <v>277</v>
      </c>
      <c r="B1821" t="s">
        <v>389</v>
      </c>
      <c r="C1821">
        <v>10</v>
      </c>
      <c r="D1821">
        <v>200</v>
      </c>
      <c r="E1821">
        <v>9518</v>
      </c>
      <c r="F1821" t="s">
        <v>77</v>
      </c>
      <c r="G1821" t="s">
        <v>746</v>
      </c>
      <c r="H1821">
        <v>3</v>
      </c>
      <c r="I1821">
        <v>448.3</v>
      </c>
      <c r="J1821" t="s">
        <v>839</v>
      </c>
      <c r="K1821" t="s">
        <v>812</v>
      </c>
      <c r="M1821" t="s">
        <v>1307</v>
      </c>
      <c r="Q1821" t="s">
        <v>28</v>
      </c>
      <c r="R1821" t="s">
        <v>81</v>
      </c>
      <c r="W1821">
        <v>3</v>
      </c>
      <c r="X1821" t="s">
        <v>1135</v>
      </c>
      <c r="Z1821" t="s">
        <v>38</v>
      </c>
      <c r="AB1821" t="s">
        <v>921</v>
      </c>
      <c r="AC1821" t="s">
        <v>1237</v>
      </c>
      <c r="AD1821" t="s">
        <v>39</v>
      </c>
    </row>
    <row r="1822" spans="1:30" hidden="1" x14ac:dyDescent="0.25">
      <c r="A1822">
        <v>278</v>
      </c>
      <c r="B1822" t="s">
        <v>379</v>
      </c>
      <c r="C1822">
        <v>10</v>
      </c>
      <c r="D1822">
        <v>230</v>
      </c>
      <c r="E1822">
        <v>9518</v>
      </c>
      <c r="F1822" t="s">
        <v>77</v>
      </c>
      <c r="G1822" t="s">
        <v>746</v>
      </c>
      <c r="H1822">
        <v>2</v>
      </c>
      <c r="I1822">
        <v>343.69</v>
      </c>
      <c r="J1822" t="s">
        <v>839</v>
      </c>
      <c r="K1822" t="s">
        <v>812</v>
      </c>
      <c r="M1822" t="s">
        <v>1307</v>
      </c>
      <c r="Q1822" t="s">
        <v>28</v>
      </c>
      <c r="R1822" t="s">
        <v>81</v>
      </c>
      <c r="W1822">
        <v>3</v>
      </c>
      <c r="X1822" t="s">
        <v>1135</v>
      </c>
      <c r="Z1822" t="s">
        <v>38</v>
      </c>
      <c r="AB1822" t="s">
        <v>921</v>
      </c>
      <c r="AC1822" t="s">
        <v>1237</v>
      </c>
      <c r="AD1822" t="s">
        <v>39</v>
      </c>
    </row>
    <row r="1823" spans="1:30" hidden="1" x14ac:dyDescent="0.25">
      <c r="A1823">
        <v>279</v>
      </c>
      <c r="B1823" t="s">
        <v>393</v>
      </c>
      <c r="C1823">
        <v>10</v>
      </c>
      <c r="D1823">
        <v>240</v>
      </c>
      <c r="E1823">
        <v>375</v>
      </c>
      <c r="F1823" t="s">
        <v>77</v>
      </c>
      <c r="G1823" t="s">
        <v>746</v>
      </c>
      <c r="H1823">
        <v>4</v>
      </c>
      <c r="I1823">
        <v>28.26</v>
      </c>
      <c r="J1823" t="s">
        <v>839</v>
      </c>
      <c r="K1823" t="s">
        <v>812</v>
      </c>
      <c r="M1823" t="s">
        <v>1307</v>
      </c>
      <c r="Q1823" t="s">
        <v>26</v>
      </c>
      <c r="R1823" t="s">
        <v>81</v>
      </c>
      <c r="W1823">
        <v>3</v>
      </c>
      <c r="X1823" t="s">
        <v>1135</v>
      </c>
      <c r="Z1823" t="s">
        <v>38</v>
      </c>
      <c r="AB1823" t="s">
        <v>921</v>
      </c>
      <c r="AC1823" t="s">
        <v>1237</v>
      </c>
      <c r="AD1823" t="s">
        <v>39</v>
      </c>
    </row>
    <row r="1824" spans="1:30" hidden="1" x14ac:dyDescent="0.25">
      <c r="A1824">
        <v>280</v>
      </c>
      <c r="B1824" t="s">
        <v>395</v>
      </c>
      <c r="C1824">
        <v>10</v>
      </c>
      <c r="D1824">
        <v>240</v>
      </c>
      <c r="E1824">
        <v>375</v>
      </c>
      <c r="F1824" t="s">
        <v>77</v>
      </c>
      <c r="G1824" t="s">
        <v>746</v>
      </c>
      <c r="H1824">
        <v>2</v>
      </c>
      <c r="I1824">
        <v>14.13</v>
      </c>
      <c r="J1824" t="s">
        <v>839</v>
      </c>
      <c r="K1824" t="s">
        <v>812</v>
      </c>
      <c r="M1824" t="s">
        <v>1307</v>
      </c>
      <c r="Q1824" t="s">
        <v>26</v>
      </c>
      <c r="R1824" t="s">
        <v>81</v>
      </c>
      <c r="W1824">
        <v>3</v>
      </c>
      <c r="X1824" t="s">
        <v>1135</v>
      </c>
      <c r="Z1824" t="s">
        <v>38</v>
      </c>
      <c r="AB1824" t="s">
        <v>921</v>
      </c>
      <c r="AC1824" t="s">
        <v>1237</v>
      </c>
      <c r="AD1824" t="s">
        <v>39</v>
      </c>
    </row>
    <row r="1825" spans="1:30" hidden="1" x14ac:dyDescent="0.25">
      <c r="A1825">
        <v>281</v>
      </c>
      <c r="B1825" t="s">
        <v>396</v>
      </c>
      <c r="C1825">
        <v>10</v>
      </c>
      <c r="D1825">
        <v>86</v>
      </c>
      <c r="E1825">
        <v>338</v>
      </c>
      <c r="F1825" t="s">
        <v>77</v>
      </c>
      <c r="G1825" t="s">
        <v>746</v>
      </c>
      <c r="H1825">
        <v>4</v>
      </c>
      <c r="I1825">
        <v>9.06</v>
      </c>
      <c r="J1825" t="s">
        <v>839</v>
      </c>
      <c r="K1825" t="s">
        <v>812</v>
      </c>
      <c r="M1825" t="s">
        <v>1307</v>
      </c>
      <c r="Q1825" t="s">
        <v>26</v>
      </c>
      <c r="R1825" t="s">
        <v>81</v>
      </c>
      <c r="W1825">
        <v>3</v>
      </c>
      <c r="X1825" t="s">
        <v>1135</v>
      </c>
      <c r="Z1825" t="s">
        <v>38</v>
      </c>
      <c r="AB1825" t="s">
        <v>921</v>
      </c>
      <c r="AC1825" t="s">
        <v>1237</v>
      </c>
      <c r="AD1825" t="s">
        <v>39</v>
      </c>
    </row>
    <row r="1826" spans="1:30" hidden="1" x14ac:dyDescent="0.25">
      <c r="A1826">
        <v>282</v>
      </c>
      <c r="B1826" t="s">
        <v>386</v>
      </c>
      <c r="C1826">
        <v>10</v>
      </c>
      <c r="D1826">
        <v>148</v>
      </c>
      <c r="E1826">
        <v>441</v>
      </c>
      <c r="F1826" t="s">
        <v>77</v>
      </c>
      <c r="G1826" t="s">
        <v>746</v>
      </c>
      <c r="H1826">
        <v>12</v>
      </c>
      <c r="I1826">
        <v>60.73</v>
      </c>
      <c r="J1826" t="s">
        <v>839</v>
      </c>
      <c r="K1826" t="s">
        <v>812</v>
      </c>
      <c r="M1826" t="s">
        <v>1307</v>
      </c>
      <c r="Q1826" t="s">
        <v>26</v>
      </c>
      <c r="R1826" t="s">
        <v>81</v>
      </c>
      <c r="W1826">
        <v>3</v>
      </c>
      <c r="X1826" t="s">
        <v>1135</v>
      </c>
      <c r="Z1826" t="s">
        <v>38</v>
      </c>
      <c r="AB1826" t="s">
        <v>921</v>
      </c>
      <c r="AC1826" t="s">
        <v>1237</v>
      </c>
      <c r="AD1826" t="s">
        <v>39</v>
      </c>
    </row>
    <row r="1827" spans="1:30" hidden="1" x14ac:dyDescent="0.25">
      <c r="A1827">
        <v>283</v>
      </c>
      <c r="B1827" t="s">
        <v>398</v>
      </c>
      <c r="C1827">
        <v>10</v>
      </c>
      <c r="D1827">
        <v>200</v>
      </c>
      <c r="E1827">
        <v>250</v>
      </c>
      <c r="F1827" t="s">
        <v>77</v>
      </c>
      <c r="G1827" t="s">
        <v>746</v>
      </c>
      <c r="H1827">
        <v>1</v>
      </c>
      <c r="I1827">
        <v>3.93</v>
      </c>
      <c r="J1827" t="s">
        <v>839</v>
      </c>
      <c r="K1827" t="s">
        <v>812</v>
      </c>
      <c r="M1827" t="s">
        <v>1307</v>
      </c>
      <c r="Q1827" t="s">
        <v>26</v>
      </c>
      <c r="R1827" t="s">
        <v>81</v>
      </c>
      <c r="W1827">
        <v>3</v>
      </c>
      <c r="X1827" t="s">
        <v>1135</v>
      </c>
      <c r="Z1827" t="s">
        <v>38</v>
      </c>
      <c r="AB1827" t="s">
        <v>921</v>
      </c>
      <c r="AC1827" t="s">
        <v>1237</v>
      </c>
      <c r="AD1827" t="s">
        <v>39</v>
      </c>
    </row>
    <row r="1828" spans="1:30" hidden="1" x14ac:dyDescent="0.25">
      <c r="A1828">
        <v>284</v>
      </c>
      <c r="B1828" t="s">
        <v>400</v>
      </c>
      <c r="C1828">
        <v>10</v>
      </c>
      <c r="D1828">
        <v>148</v>
      </c>
      <c r="E1828">
        <v>441</v>
      </c>
      <c r="F1828" t="s">
        <v>77</v>
      </c>
      <c r="G1828" t="s">
        <v>746</v>
      </c>
      <c r="H1828">
        <v>10</v>
      </c>
      <c r="I1828">
        <v>50.61</v>
      </c>
      <c r="J1828" t="s">
        <v>839</v>
      </c>
      <c r="K1828" t="s">
        <v>812</v>
      </c>
      <c r="M1828" t="s">
        <v>1307</v>
      </c>
      <c r="Q1828" t="s">
        <v>26</v>
      </c>
      <c r="R1828" t="s">
        <v>81</v>
      </c>
      <c r="W1828">
        <v>3</v>
      </c>
      <c r="X1828" t="s">
        <v>1135</v>
      </c>
      <c r="Z1828" t="s">
        <v>38</v>
      </c>
      <c r="AB1828" t="s">
        <v>921</v>
      </c>
      <c r="AC1828" t="s">
        <v>1237</v>
      </c>
      <c r="AD1828" t="s">
        <v>39</v>
      </c>
    </row>
    <row r="1829" spans="1:30" hidden="1" x14ac:dyDescent="0.25">
      <c r="A1829">
        <v>285</v>
      </c>
      <c r="B1829" t="s">
        <v>401</v>
      </c>
      <c r="C1829">
        <v>10</v>
      </c>
      <c r="D1829">
        <v>80</v>
      </c>
      <c r="E1829">
        <v>120</v>
      </c>
      <c r="F1829" t="s">
        <v>77</v>
      </c>
      <c r="G1829" t="s">
        <v>746</v>
      </c>
      <c r="H1829">
        <v>2</v>
      </c>
      <c r="I1829">
        <v>1.45</v>
      </c>
      <c r="J1829" t="s">
        <v>839</v>
      </c>
      <c r="K1829" t="s">
        <v>812</v>
      </c>
      <c r="M1829" t="s">
        <v>1307</v>
      </c>
      <c r="O1829" t="s">
        <v>228</v>
      </c>
      <c r="Q1829" t="s">
        <v>26</v>
      </c>
      <c r="R1829" t="s">
        <v>81</v>
      </c>
      <c r="W1829">
        <v>3</v>
      </c>
      <c r="X1829" t="s">
        <v>1135</v>
      </c>
      <c r="Z1829" t="s">
        <v>38</v>
      </c>
      <c r="AB1829" t="s">
        <v>921</v>
      </c>
      <c r="AC1829" t="s">
        <v>1237</v>
      </c>
      <c r="AD1829" t="s">
        <v>39</v>
      </c>
    </row>
    <row r="1830" spans="1:30" hidden="1" x14ac:dyDescent="0.25">
      <c r="A1830">
        <v>286</v>
      </c>
      <c r="B1830" t="s">
        <v>403</v>
      </c>
      <c r="C1830">
        <v>10</v>
      </c>
      <c r="D1830">
        <v>148</v>
      </c>
      <c r="E1830">
        <v>441</v>
      </c>
      <c r="F1830" t="s">
        <v>77</v>
      </c>
      <c r="G1830" t="s">
        <v>746</v>
      </c>
      <c r="H1830">
        <v>21</v>
      </c>
      <c r="I1830">
        <v>106.28</v>
      </c>
      <c r="J1830" t="s">
        <v>839</v>
      </c>
      <c r="K1830" t="s">
        <v>812</v>
      </c>
      <c r="M1830" t="s">
        <v>1307</v>
      </c>
      <c r="Q1830" t="s">
        <v>26</v>
      </c>
      <c r="R1830" t="s">
        <v>81</v>
      </c>
      <c r="W1830">
        <v>3</v>
      </c>
      <c r="X1830" t="s">
        <v>1135</v>
      </c>
      <c r="Z1830" t="s">
        <v>38</v>
      </c>
      <c r="AB1830" t="s">
        <v>921</v>
      </c>
      <c r="AC1830" t="s">
        <v>1237</v>
      </c>
      <c r="AD1830" t="s">
        <v>39</v>
      </c>
    </row>
    <row r="1831" spans="1:30" hidden="1" x14ac:dyDescent="0.25">
      <c r="A1831">
        <v>287</v>
      </c>
      <c r="B1831" t="s">
        <v>404</v>
      </c>
      <c r="C1831">
        <v>10</v>
      </c>
      <c r="D1831">
        <v>120</v>
      </c>
      <c r="E1831">
        <v>220</v>
      </c>
      <c r="F1831" t="s">
        <v>77</v>
      </c>
      <c r="G1831" t="s">
        <v>746</v>
      </c>
      <c r="H1831">
        <v>1</v>
      </c>
      <c r="I1831">
        <v>2.0099999999999998</v>
      </c>
      <c r="J1831" t="s">
        <v>839</v>
      </c>
      <c r="K1831" t="s">
        <v>812</v>
      </c>
      <c r="M1831" t="s">
        <v>1307</v>
      </c>
      <c r="O1831" t="s">
        <v>228</v>
      </c>
      <c r="Q1831" t="s">
        <v>26</v>
      </c>
      <c r="R1831" t="s">
        <v>81</v>
      </c>
      <c r="W1831">
        <v>3</v>
      </c>
      <c r="X1831" t="s">
        <v>1135</v>
      </c>
      <c r="Z1831" t="s">
        <v>38</v>
      </c>
      <c r="AB1831" t="s">
        <v>921</v>
      </c>
      <c r="AC1831" t="s">
        <v>1237</v>
      </c>
      <c r="AD1831" t="s">
        <v>39</v>
      </c>
    </row>
    <row r="1832" spans="1:30" hidden="1" x14ac:dyDescent="0.25">
      <c r="A1832">
        <v>288</v>
      </c>
      <c r="B1832" t="s">
        <v>406</v>
      </c>
      <c r="C1832">
        <v>10</v>
      </c>
      <c r="D1832">
        <v>380</v>
      </c>
      <c r="E1832">
        <v>4577</v>
      </c>
      <c r="F1832" t="s">
        <v>77</v>
      </c>
      <c r="G1832" t="s">
        <v>746</v>
      </c>
      <c r="H1832">
        <v>2</v>
      </c>
      <c r="I1832">
        <v>270.14999999999998</v>
      </c>
      <c r="J1832" t="s">
        <v>839</v>
      </c>
      <c r="K1832" t="s">
        <v>812</v>
      </c>
      <c r="M1832" t="s">
        <v>1307</v>
      </c>
      <c r="Q1832" t="s">
        <v>28</v>
      </c>
      <c r="R1832" t="s">
        <v>81</v>
      </c>
      <c r="W1832">
        <v>3</v>
      </c>
      <c r="X1832" t="s">
        <v>1135</v>
      </c>
      <c r="Z1832" t="s">
        <v>38</v>
      </c>
      <c r="AB1832" t="s">
        <v>921</v>
      </c>
      <c r="AC1832" t="s">
        <v>1237</v>
      </c>
      <c r="AD1832" t="s">
        <v>39</v>
      </c>
    </row>
    <row r="1833" spans="1:30" hidden="1" x14ac:dyDescent="0.25">
      <c r="A1833">
        <v>289</v>
      </c>
      <c r="B1833" t="s">
        <v>408</v>
      </c>
      <c r="C1833">
        <v>10</v>
      </c>
      <c r="D1833">
        <v>86</v>
      </c>
      <c r="E1833">
        <v>338</v>
      </c>
      <c r="F1833" t="s">
        <v>77</v>
      </c>
      <c r="G1833" t="s">
        <v>746</v>
      </c>
      <c r="H1833">
        <v>16</v>
      </c>
      <c r="I1833">
        <v>36.229999999999997</v>
      </c>
      <c r="J1833" t="s">
        <v>839</v>
      </c>
      <c r="K1833" t="s">
        <v>812</v>
      </c>
      <c r="M1833" t="s">
        <v>1307</v>
      </c>
      <c r="Q1833" t="s">
        <v>26</v>
      </c>
      <c r="R1833" t="s">
        <v>81</v>
      </c>
      <c r="W1833">
        <v>3</v>
      </c>
      <c r="X1833" t="s">
        <v>1135</v>
      </c>
      <c r="Z1833" t="s">
        <v>38</v>
      </c>
      <c r="AB1833" t="s">
        <v>921</v>
      </c>
      <c r="AC1833" t="s">
        <v>1239</v>
      </c>
      <c r="AD1833" t="s">
        <v>39</v>
      </c>
    </row>
    <row r="1834" spans="1:30" hidden="1" x14ac:dyDescent="0.25">
      <c r="A1834">
        <v>290</v>
      </c>
      <c r="B1834" t="s">
        <v>411</v>
      </c>
      <c r="C1834">
        <v>10</v>
      </c>
      <c r="D1834">
        <v>532</v>
      </c>
      <c r="E1834">
        <v>4080</v>
      </c>
      <c r="F1834" t="s">
        <v>77</v>
      </c>
      <c r="G1834" t="s">
        <v>746</v>
      </c>
      <c r="H1834">
        <v>2</v>
      </c>
      <c r="I1834">
        <v>336.54</v>
      </c>
      <c r="J1834" t="s">
        <v>839</v>
      </c>
      <c r="K1834" t="s">
        <v>812</v>
      </c>
      <c r="M1834" t="s">
        <v>1307</v>
      </c>
      <c r="R1834" t="s">
        <v>81</v>
      </c>
      <c r="U1834" t="s">
        <v>81</v>
      </c>
      <c r="V1834" t="s">
        <v>81</v>
      </c>
      <c r="W1834">
        <v>3</v>
      </c>
      <c r="X1834" t="s">
        <v>1135</v>
      </c>
      <c r="Z1834" t="s">
        <v>38</v>
      </c>
      <c r="AB1834" t="s">
        <v>921</v>
      </c>
      <c r="AC1834" t="s">
        <v>1239</v>
      </c>
      <c r="AD1834" t="s">
        <v>39</v>
      </c>
    </row>
    <row r="1835" spans="1:30" hidden="1" x14ac:dyDescent="0.25">
      <c r="A1835">
        <v>291</v>
      </c>
      <c r="B1835" t="s">
        <v>396</v>
      </c>
      <c r="C1835">
        <v>10</v>
      </c>
      <c r="D1835">
        <v>86</v>
      </c>
      <c r="E1835">
        <v>338</v>
      </c>
      <c r="F1835" t="s">
        <v>77</v>
      </c>
      <c r="G1835" t="s">
        <v>746</v>
      </c>
      <c r="H1835">
        <v>4</v>
      </c>
      <c r="I1835">
        <v>9.06</v>
      </c>
      <c r="J1835" t="s">
        <v>839</v>
      </c>
      <c r="K1835" t="s">
        <v>812</v>
      </c>
      <c r="M1835" t="s">
        <v>1307</v>
      </c>
      <c r="Q1835" t="s">
        <v>26</v>
      </c>
      <c r="R1835" t="s">
        <v>81</v>
      </c>
      <c r="W1835">
        <v>3</v>
      </c>
      <c r="X1835" t="s">
        <v>1135</v>
      </c>
      <c r="Z1835" t="s">
        <v>38</v>
      </c>
      <c r="AB1835" t="s">
        <v>921</v>
      </c>
      <c r="AC1835" t="s">
        <v>1239</v>
      </c>
      <c r="AD1835" t="s">
        <v>39</v>
      </c>
    </row>
    <row r="1836" spans="1:30" hidden="1" x14ac:dyDescent="0.25">
      <c r="A1836">
        <v>292</v>
      </c>
      <c r="B1836" t="s">
        <v>401</v>
      </c>
      <c r="C1836">
        <v>10</v>
      </c>
      <c r="D1836">
        <v>80</v>
      </c>
      <c r="E1836">
        <v>120</v>
      </c>
      <c r="F1836" t="s">
        <v>77</v>
      </c>
      <c r="G1836" t="s">
        <v>746</v>
      </c>
      <c r="H1836">
        <v>1</v>
      </c>
      <c r="I1836">
        <v>0.72</v>
      </c>
      <c r="J1836" t="s">
        <v>839</v>
      </c>
      <c r="K1836" t="s">
        <v>812</v>
      </c>
      <c r="M1836" t="s">
        <v>1307</v>
      </c>
      <c r="O1836" t="s">
        <v>228</v>
      </c>
      <c r="Q1836" t="s">
        <v>26</v>
      </c>
      <c r="R1836" t="s">
        <v>81</v>
      </c>
      <c r="W1836">
        <v>3</v>
      </c>
      <c r="X1836" t="s">
        <v>1135</v>
      </c>
      <c r="Z1836" t="s">
        <v>38</v>
      </c>
      <c r="AB1836" t="s">
        <v>921</v>
      </c>
      <c r="AC1836" t="s">
        <v>1239</v>
      </c>
      <c r="AD1836" t="s">
        <v>39</v>
      </c>
    </row>
    <row r="1837" spans="1:30" hidden="1" x14ac:dyDescent="0.25">
      <c r="A1837">
        <v>293</v>
      </c>
      <c r="B1837" t="s">
        <v>413</v>
      </c>
      <c r="C1837">
        <v>10</v>
      </c>
      <c r="D1837">
        <v>100</v>
      </c>
      <c r="E1837">
        <v>100</v>
      </c>
      <c r="F1837" t="s">
        <v>77</v>
      </c>
      <c r="G1837" t="s">
        <v>746</v>
      </c>
      <c r="H1837">
        <v>2</v>
      </c>
      <c r="I1837">
        <v>0.79</v>
      </c>
      <c r="J1837" t="s">
        <v>839</v>
      </c>
      <c r="K1837" t="s">
        <v>812</v>
      </c>
      <c r="M1837" t="s">
        <v>1307</v>
      </c>
      <c r="O1837" t="s">
        <v>228</v>
      </c>
      <c r="Q1837" t="s">
        <v>27</v>
      </c>
      <c r="R1837" t="s">
        <v>81</v>
      </c>
      <c r="W1837">
        <v>3</v>
      </c>
      <c r="X1837" t="s">
        <v>1135</v>
      </c>
      <c r="Z1837" t="s">
        <v>38</v>
      </c>
      <c r="AB1837" t="s">
        <v>921</v>
      </c>
      <c r="AC1837" t="s">
        <v>1239</v>
      </c>
      <c r="AD1837" t="s">
        <v>39</v>
      </c>
    </row>
    <row r="1838" spans="1:30" hidden="1" x14ac:dyDescent="0.25">
      <c r="A1838">
        <v>294</v>
      </c>
      <c r="B1838" t="s">
        <v>415</v>
      </c>
      <c r="C1838">
        <v>10</v>
      </c>
      <c r="D1838">
        <v>100</v>
      </c>
      <c r="E1838">
        <v>100</v>
      </c>
      <c r="F1838" t="s">
        <v>77</v>
      </c>
      <c r="G1838" t="s">
        <v>746</v>
      </c>
      <c r="H1838">
        <v>4</v>
      </c>
      <c r="I1838">
        <v>1.58</v>
      </c>
      <c r="J1838" t="s">
        <v>839</v>
      </c>
      <c r="K1838" t="s">
        <v>812</v>
      </c>
      <c r="M1838" t="s">
        <v>1307</v>
      </c>
      <c r="O1838" t="s">
        <v>228</v>
      </c>
      <c r="Q1838" t="s">
        <v>27</v>
      </c>
      <c r="R1838" t="s">
        <v>81</v>
      </c>
      <c r="W1838">
        <v>3</v>
      </c>
      <c r="X1838" t="s">
        <v>1135</v>
      </c>
      <c r="Z1838" t="s">
        <v>38</v>
      </c>
      <c r="AB1838" t="s">
        <v>921</v>
      </c>
      <c r="AC1838" t="s">
        <v>1239</v>
      </c>
      <c r="AD1838" t="s">
        <v>39</v>
      </c>
    </row>
    <row r="1839" spans="1:30" hidden="1" x14ac:dyDescent="0.25">
      <c r="A1839">
        <v>295</v>
      </c>
      <c r="B1839" t="s">
        <v>404</v>
      </c>
      <c r="C1839">
        <v>10</v>
      </c>
      <c r="D1839">
        <v>120</v>
      </c>
      <c r="E1839">
        <v>220</v>
      </c>
      <c r="F1839" t="s">
        <v>77</v>
      </c>
      <c r="G1839" t="s">
        <v>746</v>
      </c>
      <c r="H1839">
        <v>5</v>
      </c>
      <c r="I1839">
        <v>10.06</v>
      </c>
      <c r="J1839" t="s">
        <v>839</v>
      </c>
      <c r="K1839" t="s">
        <v>812</v>
      </c>
      <c r="M1839" t="s">
        <v>1307</v>
      </c>
      <c r="O1839" t="s">
        <v>228</v>
      </c>
      <c r="Q1839" t="s">
        <v>26</v>
      </c>
      <c r="R1839" t="s">
        <v>81</v>
      </c>
      <c r="W1839">
        <v>3</v>
      </c>
      <c r="X1839" t="s">
        <v>1135</v>
      </c>
      <c r="Z1839" t="s">
        <v>38</v>
      </c>
      <c r="AB1839" t="s">
        <v>921</v>
      </c>
      <c r="AC1839" t="s">
        <v>1239</v>
      </c>
      <c r="AD1839" t="s">
        <v>39</v>
      </c>
    </row>
    <row r="1840" spans="1:30" hidden="1" x14ac:dyDescent="0.25">
      <c r="A1840">
        <v>296</v>
      </c>
      <c r="B1840" t="s">
        <v>416</v>
      </c>
      <c r="C1840">
        <v>10</v>
      </c>
      <c r="D1840">
        <v>100</v>
      </c>
      <c r="E1840">
        <v>100</v>
      </c>
      <c r="F1840" t="s">
        <v>77</v>
      </c>
      <c r="G1840" t="s">
        <v>746</v>
      </c>
      <c r="H1840">
        <v>1</v>
      </c>
      <c r="I1840">
        <v>0.39</v>
      </c>
      <c r="J1840" t="s">
        <v>839</v>
      </c>
      <c r="K1840" t="s">
        <v>812</v>
      </c>
      <c r="M1840" t="s">
        <v>1307</v>
      </c>
      <c r="O1840" t="s">
        <v>228</v>
      </c>
      <c r="Q1840" t="s">
        <v>27</v>
      </c>
      <c r="R1840" t="s">
        <v>81</v>
      </c>
      <c r="W1840">
        <v>3</v>
      </c>
      <c r="X1840" t="s">
        <v>1135</v>
      </c>
      <c r="Z1840" t="s">
        <v>38</v>
      </c>
      <c r="AB1840" t="s">
        <v>921</v>
      </c>
      <c r="AC1840" t="s">
        <v>1239</v>
      </c>
      <c r="AD1840" t="s">
        <v>39</v>
      </c>
    </row>
    <row r="1841" spans="1:30" hidden="1" x14ac:dyDescent="0.25">
      <c r="A1841">
        <v>297</v>
      </c>
      <c r="B1841" t="s">
        <v>417</v>
      </c>
      <c r="C1841">
        <v>10</v>
      </c>
      <c r="D1841">
        <v>200</v>
      </c>
      <c r="E1841">
        <v>12000</v>
      </c>
      <c r="F1841" t="s">
        <v>77</v>
      </c>
      <c r="G1841" t="s">
        <v>746</v>
      </c>
      <c r="H1841">
        <v>4</v>
      </c>
      <c r="I1841">
        <v>753.62</v>
      </c>
      <c r="J1841" t="s">
        <v>839</v>
      </c>
      <c r="K1841" t="s">
        <v>812</v>
      </c>
      <c r="M1841" t="s">
        <v>1307</v>
      </c>
      <c r="Q1841" t="s">
        <v>28</v>
      </c>
      <c r="R1841" t="s">
        <v>81</v>
      </c>
      <c r="W1841">
        <v>3</v>
      </c>
      <c r="X1841" t="s">
        <v>1135</v>
      </c>
      <c r="Z1841" t="s">
        <v>38</v>
      </c>
      <c r="AB1841" t="s">
        <v>921</v>
      </c>
      <c r="AC1841" t="s">
        <v>1239</v>
      </c>
      <c r="AD1841" t="s">
        <v>39</v>
      </c>
    </row>
    <row r="1842" spans="1:30" hidden="1" x14ac:dyDescent="0.25">
      <c r="A1842">
        <v>298</v>
      </c>
      <c r="B1842" t="s">
        <v>419</v>
      </c>
      <c r="C1842">
        <v>10</v>
      </c>
      <c r="D1842">
        <v>200</v>
      </c>
      <c r="E1842">
        <v>3586</v>
      </c>
      <c r="F1842" t="s">
        <v>77</v>
      </c>
      <c r="G1842" t="s">
        <v>746</v>
      </c>
      <c r="H1842">
        <v>2</v>
      </c>
      <c r="I1842">
        <v>112.6</v>
      </c>
      <c r="J1842" t="s">
        <v>839</v>
      </c>
      <c r="K1842" t="s">
        <v>812</v>
      </c>
      <c r="M1842" t="s">
        <v>1307</v>
      </c>
      <c r="Q1842" t="s">
        <v>28</v>
      </c>
      <c r="R1842" t="s">
        <v>81</v>
      </c>
      <c r="W1842">
        <v>3</v>
      </c>
      <c r="X1842" t="s">
        <v>1135</v>
      </c>
      <c r="Z1842" t="s">
        <v>38</v>
      </c>
      <c r="AB1842" t="s">
        <v>921</v>
      </c>
      <c r="AC1842" t="s">
        <v>1239</v>
      </c>
      <c r="AD1842" t="s">
        <v>39</v>
      </c>
    </row>
    <row r="1843" spans="1:30" hidden="1" x14ac:dyDescent="0.25">
      <c r="A1843">
        <v>299</v>
      </c>
      <c r="B1843" t="s">
        <v>421</v>
      </c>
      <c r="C1843">
        <v>10</v>
      </c>
      <c r="D1843">
        <v>230</v>
      </c>
      <c r="E1843">
        <v>3586</v>
      </c>
      <c r="F1843" t="s">
        <v>77</v>
      </c>
      <c r="G1843" t="s">
        <v>746</v>
      </c>
      <c r="H1843">
        <v>1</v>
      </c>
      <c r="I1843">
        <v>64.75</v>
      </c>
      <c r="J1843" t="s">
        <v>839</v>
      </c>
      <c r="K1843" t="s">
        <v>812</v>
      </c>
      <c r="M1843" t="s">
        <v>1307</v>
      </c>
      <c r="Q1843" t="s">
        <v>28</v>
      </c>
      <c r="R1843" t="s">
        <v>81</v>
      </c>
      <c r="W1843">
        <v>3</v>
      </c>
      <c r="X1843" t="s">
        <v>1135</v>
      </c>
      <c r="Z1843" t="s">
        <v>38</v>
      </c>
      <c r="AB1843" t="s">
        <v>921</v>
      </c>
      <c r="AC1843" t="s">
        <v>1239</v>
      </c>
      <c r="AD1843" t="s">
        <v>39</v>
      </c>
    </row>
    <row r="1844" spans="1:30" hidden="1" x14ac:dyDescent="0.25">
      <c r="A1844">
        <v>300</v>
      </c>
      <c r="B1844" t="s">
        <v>423</v>
      </c>
      <c r="C1844">
        <v>10</v>
      </c>
      <c r="D1844">
        <v>100</v>
      </c>
      <c r="E1844">
        <v>100</v>
      </c>
      <c r="F1844" t="s">
        <v>77</v>
      </c>
      <c r="G1844" t="s">
        <v>746</v>
      </c>
      <c r="H1844">
        <v>4</v>
      </c>
      <c r="I1844">
        <v>1.58</v>
      </c>
      <c r="J1844" t="s">
        <v>839</v>
      </c>
      <c r="K1844" t="s">
        <v>812</v>
      </c>
      <c r="M1844" t="s">
        <v>1307</v>
      </c>
      <c r="O1844" t="s">
        <v>228</v>
      </c>
      <c r="Q1844" t="s">
        <v>27</v>
      </c>
      <c r="R1844" t="s">
        <v>81</v>
      </c>
      <c r="W1844">
        <v>3</v>
      </c>
      <c r="X1844" t="s">
        <v>1135</v>
      </c>
      <c r="Z1844" t="s">
        <v>38</v>
      </c>
      <c r="AB1844" t="s">
        <v>921</v>
      </c>
      <c r="AC1844" t="s">
        <v>1239</v>
      </c>
      <c r="AD1844" t="s">
        <v>39</v>
      </c>
    </row>
    <row r="1845" spans="1:30" hidden="1" x14ac:dyDescent="0.25">
      <c r="A1845">
        <v>301</v>
      </c>
      <c r="B1845" t="s">
        <v>389</v>
      </c>
      <c r="C1845">
        <v>10</v>
      </c>
      <c r="D1845">
        <v>200</v>
      </c>
      <c r="E1845">
        <v>9518</v>
      </c>
      <c r="F1845" t="s">
        <v>77</v>
      </c>
      <c r="G1845" t="s">
        <v>746</v>
      </c>
      <c r="H1845">
        <v>1</v>
      </c>
      <c r="I1845">
        <v>149.43</v>
      </c>
      <c r="J1845" t="s">
        <v>839</v>
      </c>
      <c r="K1845" t="s">
        <v>812</v>
      </c>
      <c r="M1845" t="s">
        <v>1307</v>
      </c>
      <c r="Q1845" t="s">
        <v>28</v>
      </c>
      <c r="R1845" t="s">
        <v>81</v>
      </c>
      <c r="W1845">
        <v>3</v>
      </c>
      <c r="X1845" t="s">
        <v>1135</v>
      </c>
      <c r="Z1845" t="s">
        <v>38</v>
      </c>
      <c r="AB1845" t="s">
        <v>921</v>
      </c>
      <c r="AC1845" t="s">
        <v>1241</v>
      </c>
      <c r="AD1845" t="s">
        <v>39</v>
      </c>
    </row>
    <row r="1846" spans="1:30" hidden="1" x14ac:dyDescent="0.25">
      <c r="A1846">
        <v>302</v>
      </c>
      <c r="B1846" t="s">
        <v>426</v>
      </c>
      <c r="C1846">
        <v>10</v>
      </c>
      <c r="D1846">
        <v>532</v>
      </c>
      <c r="E1846">
        <v>4080</v>
      </c>
      <c r="F1846" t="s">
        <v>77</v>
      </c>
      <c r="G1846" t="s">
        <v>746</v>
      </c>
      <c r="H1846">
        <v>2</v>
      </c>
      <c r="I1846">
        <v>336.54</v>
      </c>
      <c r="J1846" t="s">
        <v>839</v>
      </c>
      <c r="K1846" t="s">
        <v>812</v>
      </c>
      <c r="M1846" t="s">
        <v>1307</v>
      </c>
      <c r="R1846" t="s">
        <v>81</v>
      </c>
      <c r="U1846" t="s">
        <v>81</v>
      </c>
      <c r="V1846" t="s">
        <v>81</v>
      </c>
      <c r="W1846">
        <v>3</v>
      </c>
      <c r="X1846" t="s">
        <v>1135</v>
      </c>
      <c r="Z1846" t="s">
        <v>38</v>
      </c>
      <c r="AB1846" t="s">
        <v>921</v>
      </c>
      <c r="AC1846" t="s">
        <v>1241</v>
      </c>
      <c r="AD1846" t="s">
        <v>39</v>
      </c>
    </row>
    <row r="1847" spans="1:30" hidden="1" x14ac:dyDescent="0.25">
      <c r="A1847">
        <v>303</v>
      </c>
      <c r="B1847" t="s">
        <v>427</v>
      </c>
      <c r="C1847">
        <v>10</v>
      </c>
      <c r="D1847">
        <v>280</v>
      </c>
      <c r="E1847">
        <v>349</v>
      </c>
      <c r="F1847" t="s">
        <v>77</v>
      </c>
      <c r="G1847" t="s">
        <v>746</v>
      </c>
      <c r="H1847">
        <v>8</v>
      </c>
      <c r="I1847">
        <v>42.42</v>
      </c>
      <c r="J1847" t="s">
        <v>839</v>
      </c>
      <c r="K1847" t="s">
        <v>812</v>
      </c>
      <c r="M1847" t="s">
        <v>1307</v>
      </c>
      <c r="Q1847" t="s">
        <v>26</v>
      </c>
      <c r="R1847" t="s">
        <v>81</v>
      </c>
      <c r="W1847">
        <v>3</v>
      </c>
      <c r="X1847" t="s">
        <v>1135</v>
      </c>
      <c r="Z1847" t="s">
        <v>38</v>
      </c>
      <c r="AB1847" t="s">
        <v>921</v>
      </c>
      <c r="AC1847" t="s">
        <v>1241</v>
      </c>
      <c r="AD1847" t="s">
        <v>39</v>
      </c>
    </row>
    <row r="1848" spans="1:30" hidden="1" x14ac:dyDescent="0.25">
      <c r="A1848">
        <v>304</v>
      </c>
      <c r="B1848" t="s">
        <v>429</v>
      </c>
      <c r="C1848">
        <v>10</v>
      </c>
      <c r="D1848">
        <v>80</v>
      </c>
      <c r="E1848">
        <v>120</v>
      </c>
      <c r="F1848" t="s">
        <v>77</v>
      </c>
      <c r="G1848" t="s">
        <v>746</v>
      </c>
      <c r="H1848">
        <v>1</v>
      </c>
      <c r="I1848">
        <v>0.72</v>
      </c>
      <c r="J1848" t="s">
        <v>839</v>
      </c>
      <c r="K1848" t="s">
        <v>812</v>
      </c>
      <c r="M1848" t="s">
        <v>1307</v>
      </c>
      <c r="O1848" t="s">
        <v>228</v>
      </c>
      <c r="Q1848" t="s">
        <v>26</v>
      </c>
      <c r="R1848" t="s">
        <v>81</v>
      </c>
      <c r="W1848">
        <v>3</v>
      </c>
      <c r="X1848" t="s">
        <v>1135</v>
      </c>
      <c r="Z1848" t="s">
        <v>38</v>
      </c>
      <c r="AB1848" t="s">
        <v>921</v>
      </c>
      <c r="AC1848" t="s">
        <v>1241</v>
      </c>
      <c r="AD1848" t="s">
        <v>39</v>
      </c>
    </row>
    <row r="1849" spans="1:30" hidden="1" x14ac:dyDescent="0.25">
      <c r="A1849">
        <v>305</v>
      </c>
      <c r="B1849" t="s">
        <v>430</v>
      </c>
      <c r="C1849">
        <v>10</v>
      </c>
      <c r="D1849">
        <v>120</v>
      </c>
      <c r="E1849">
        <v>250</v>
      </c>
      <c r="F1849" t="s">
        <v>77</v>
      </c>
      <c r="G1849" t="s">
        <v>746</v>
      </c>
      <c r="H1849">
        <v>1</v>
      </c>
      <c r="I1849">
        <v>2.36</v>
      </c>
      <c r="J1849" t="s">
        <v>839</v>
      </c>
      <c r="K1849" t="s">
        <v>812</v>
      </c>
      <c r="M1849" t="s">
        <v>1307</v>
      </c>
      <c r="Q1849" t="s">
        <v>26</v>
      </c>
      <c r="R1849" t="s">
        <v>81</v>
      </c>
      <c r="W1849">
        <v>3</v>
      </c>
      <c r="X1849" t="s">
        <v>1135</v>
      </c>
      <c r="Z1849" t="s">
        <v>38</v>
      </c>
      <c r="AB1849" t="s">
        <v>921</v>
      </c>
      <c r="AC1849" t="s">
        <v>1241</v>
      </c>
      <c r="AD1849" t="s">
        <v>39</v>
      </c>
    </row>
    <row r="1850" spans="1:30" hidden="1" x14ac:dyDescent="0.25">
      <c r="A1850">
        <v>306</v>
      </c>
      <c r="B1850" t="s">
        <v>432</v>
      </c>
      <c r="C1850">
        <v>10</v>
      </c>
      <c r="D1850">
        <v>105</v>
      </c>
      <c r="E1850">
        <v>195</v>
      </c>
      <c r="F1850" t="s">
        <v>77</v>
      </c>
      <c r="G1850" t="s">
        <v>746</v>
      </c>
      <c r="H1850">
        <v>1</v>
      </c>
      <c r="I1850">
        <v>1.02</v>
      </c>
      <c r="J1850" t="s">
        <v>839</v>
      </c>
      <c r="K1850" t="s">
        <v>812</v>
      </c>
      <c r="M1850" t="s">
        <v>1307</v>
      </c>
      <c r="Q1850" t="s">
        <v>26</v>
      </c>
      <c r="R1850" t="s">
        <v>81</v>
      </c>
      <c r="W1850">
        <v>3</v>
      </c>
      <c r="X1850" t="s">
        <v>1135</v>
      </c>
      <c r="Z1850" t="s">
        <v>38</v>
      </c>
      <c r="AB1850" t="s">
        <v>921</v>
      </c>
      <c r="AC1850" t="s">
        <v>1241</v>
      </c>
      <c r="AD1850" t="s">
        <v>39</v>
      </c>
    </row>
    <row r="1851" spans="1:30" hidden="1" x14ac:dyDescent="0.25">
      <c r="A1851">
        <v>307</v>
      </c>
      <c r="B1851" t="s">
        <v>434</v>
      </c>
      <c r="C1851">
        <v>10</v>
      </c>
      <c r="D1851">
        <v>148</v>
      </c>
      <c r="E1851">
        <v>324</v>
      </c>
      <c r="F1851" t="s">
        <v>77</v>
      </c>
      <c r="G1851" t="s">
        <v>746</v>
      </c>
      <c r="H1851">
        <v>2</v>
      </c>
      <c r="I1851">
        <v>7.4</v>
      </c>
      <c r="J1851" t="s">
        <v>839</v>
      </c>
      <c r="K1851" t="s">
        <v>812</v>
      </c>
      <c r="M1851" t="s">
        <v>1307</v>
      </c>
      <c r="Q1851" t="s">
        <v>26</v>
      </c>
      <c r="R1851" t="s">
        <v>81</v>
      </c>
      <c r="W1851">
        <v>3</v>
      </c>
      <c r="X1851" t="s">
        <v>1135</v>
      </c>
      <c r="Z1851" t="s">
        <v>38</v>
      </c>
      <c r="AB1851" t="s">
        <v>921</v>
      </c>
      <c r="AC1851" t="s">
        <v>1241</v>
      </c>
      <c r="AD1851" t="s">
        <v>39</v>
      </c>
    </row>
    <row r="1852" spans="1:30" hidden="1" x14ac:dyDescent="0.25">
      <c r="A1852">
        <v>308</v>
      </c>
      <c r="B1852" t="s">
        <v>436</v>
      </c>
      <c r="C1852">
        <v>10</v>
      </c>
      <c r="D1852">
        <v>148</v>
      </c>
      <c r="E1852">
        <v>441</v>
      </c>
      <c r="F1852" t="s">
        <v>77</v>
      </c>
      <c r="G1852" t="s">
        <v>746</v>
      </c>
      <c r="H1852">
        <v>9</v>
      </c>
      <c r="I1852">
        <v>45.55</v>
      </c>
      <c r="J1852" t="s">
        <v>839</v>
      </c>
      <c r="K1852" t="s">
        <v>812</v>
      </c>
      <c r="M1852" t="s">
        <v>1307</v>
      </c>
      <c r="Q1852" t="s">
        <v>26</v>
      </c>
      <c r="R1852" t="s">
        <v>81</v>
      </c>
      <c r="W1852">
        <v>3</v>
      </c>
      <c r="X1852" t="s">
        <v>1135</v>
      </c>
      <c r="Z1852" t="s">
        <v>38</v>
      </c>
      <c r="AB1852" t="s">
        <v>921</v>
      </c>
      <c r="AC1852" t="s">
        <v>1241</v>
      </c>
      <c r="AD1852" t="s">
        <v>39</v>
      </c>
    </row>
    <row r="1853" spans="1:30" hidden="1" x14ac:dyDescent="0.25">
      <c r="A1853">
        <v>309</v>
      </c>
      <c r="B1853" t="s">
        <v>437</v>
      </c>
      <c r="C1853">
        <v>10</v>
      </c>
      <c r="D1853">
        <v>148</v>
      </c>
      <c r="E1853">
        <v>441</v>
      </c>
      <c r="F1853" t="s">
        <v>77</v>
      </c>
      <c r="G1853" t="s">
        <v>746</v>
      </c>
      <c r="H1853">
        <v>13</v>
      </c>
      <c r="I1853">
        <v>65.790000000000006</v>
      </c>
      <c r="J1853" t="s">
        <v>839</v>
      </c>
      <c r="K1853" t="s">
        <v>812</v>
      </c>
      <c r="M1853" t="s">
        <v>1307</v>
      </c>
      <c r="Q1853" t="s">
        <v>26</v>
      </c>
      <c r="R1853" t="s">
        <v>81</v>
      </c>
      <c r="W1853">
        <v>3</v>
      </c>
      <c r="X1853" t="s">
        <v>1135</v>
      </c>
      <c r="Z1853" t="s">
        <v>38</v>
      </c>
      <c r="AB1853" t="s">
        <v>921</v>
      </c>
      <c r="AC1853" t="s">
        <v>1241</v>
      </c>
      <c r="AD1853" t="s">
        <v>39</v>
      </c>
    </row>
    <row r="1854" spans="1:30" hidden="1" x14ac:dyDescent="0.25">
      <c r="A1854">
        <v>310</v>
      </c>
      <c r="B1854" t="s">
        <v>400</v>
      </c>
      <c r="C1854">
        <v>10</v>
      </c>
      <c r="D1854">
        <v>148</v>
      </c>
      <c r="E1854">
        <v>441</v>
      </c>
      <c r="F1854" t="s">
        <v>77</v>
      </c>
      <c r="G1854" t="s">
        <v>746</v>
      </c>
      <c r="H1854">
        <v>2</v>
      </c>
      <c r="I1854">
        <v>10.119999999999999</v>
      </c>
      <c r="J1854" t="s">
        <v>839</v>
      </c>
      <c r="K1854" t="s">
        <v>812</v>
      </c>
      <c r="M1854" t="s">
        <v>1307</v>
      </c>
      <c r="Q1854" t="s">
        <v>26</v>
      </c>
      <c r="R1854" t="s">
        <v>81</v>
      </c>
      <c r="W1854">
        <v>3</v>
      </c>
      <c r="X1854" t="s">
        <v>1135</v>
      </c>
      <c r="Z1854" t="s">
        <v>38</v>
      </c>
      <c r="AB1854" t="s">
        <v>921</v>
      </c>
      <c r="AC1854" t="s">
        <v>1241</v>
      </c>
      <c r="AD1854" t="s">
        <v>39</v>
      </c>
    </row>
    <row r="1855" spans="1:30" hidden="1" x14ac:dyDescent="0.25">
      <c r="A1855">
        <v>311</v>
      </c>
      <c r="B1855" t="s">
        <v>401</v>
      </c>
      <c r="C1855">
        <v>10</v>
      </c>
      <c r="D1855">
        <v>80</v>
      </c>
      <c r="E1855">
        <v>120</v>
      </c>
      <c r="F1855" t="s">
        <v>77</v>
      </c>
      <c r="G1855" t="s">
        <v>746</v>
      </c>
      <c r="H1855">
        <v>5</v>
      </c>
      <c r="I1855">
        <v>3.62</v>
      </c>
      <c r="J1855" t="s">
        <v>839</v>
      </c>
      <c r="K1855" t="s">
        <v>812</v>
      </c>
      <c r="M1855" t="s">
        <v>1307</v>
      </c>
      <c r="O1855" t="s">
        <v>228</v>
      </c>
      <c r="Q1855" t="s">
        <v>26</v>
      </c>
      <c r="R1855" t="s">
        <v>81</v>
      </c>
      <c r="W1855">
        <v>3</v>
      </c>
      <c r="X1855" t="s">
        <v>1135</v>
      </c>
      <c r="Z1855" t="s">
        <v>38</v>
      </c>
      <c r="AB1855" t="s">
        <v>921</v>
      </c>
      <c r="AC1855" t="s">
        <v>1241</v>
      </c>
      <c r="AD1855" t="s">
        <v>39</v>
      </c>
    </row>
    <row r="1856" spans="1:30" hidden="1" x14ac:dyDescent="0.25">
      <c r="A1856">
        <v>312</v>
      </c>
      <c r="B1856" t="s">
        <v>438</v>
      </c>
      <c r="C1856">
        <v>10</v>
      </c>
      <c r="D1856">
        <v>120</v>
      </c>
      <c r="E1856">
        <v>220</v>
      </c>
      <c r="F1856" t="s">
        <v>77</v>
      </c>
      <c r="G1856" t="s">
        <v>746</v>
      </c>
      <c r="H1856">
        <v>6</v>
      </c>
      <c r="I1856">
        <v>12.08</v>
      </c>
      <c r="J1856" t="s">
        <v>839</v>
      </c>
      <c r="K1856" t="s">
        <v>812</v>
      </c>
      <c r="M1856" t="s">
        <v>1307</v>
      </c>
      <c r="O1856" t="s">
        <v>228</v>
      </c>
      <c r="Q1856" t="s">
        <v>26</v>
      </c>
      <c r="R1856" t="s">
        <v>81</v>
      </c>
      <c r="W1856">
        <v>3</v>
      </c>
      <c r="X1856" t="s">
        <v>1135</v>
      </c>
      <c r="Z1856" t="s">
        <v>38</v>
      </c>
      <c r="AB1856" t="s">
        <v>921</v>
      </c>
      <c r="AC1856" t="s">
        <v>1241</v>
      </c>
      <c r="AD1856" t="s">
        <v>39</v>
      </c>
    </row>
    <row r="1857" spans="1:30" hidden="1" x14ac:dyDescent="0.25">
      <c r="A1857">
        <v>313</v>
      </c>
      <c r="B1857" t="s">
        <v>439</v>
      </c>
      <c r="C1857">
        <v>10</v>
      </c>
      <c r="D1857">
        <v>350</v>
      </c>
      <c r="E1857">
        <v>4580</v>
      </c>
      <c r="F1857" t="s">
        <v>77</v>
      </c>
      <c r="G1857" t="s">
        <v>746</v>
      </c>
      <c r="H1857">
        <v>1</v>
      </c>
      <c r="I1857">
        <v>125.84</v>
      </c>
      <c r="J1857" t="s">
        <v>839</v>
      </c>
      <c r="K1857" t="s">
        <v>812</v>
      </c>
      <c r="M1857" t="s">
        <v>1307</v>
      </c>
      <c r="Q1857" t="s">
        <v>28</v>
      </c>
      <c r="R1857" t="s">
        <v>81</v>
      </c>
      <c r="V1857" t="s">
        <v>81</v>
      </c>
      <c r="W1857">
        <v>3</v>
      </c>
      <c r="X1857" t="s">
        <v>1135</v>
      </c>
      <c r="Z1857" t="s">
        <v>38</v>
      </c>
      <c r="AB1857" t="s">
        <v>921</v>
      </c>
      <c r="AC1857" t="s">
        <v>1241</v>
      </c>
      <c r="AD1857" t="s">
        <v>39</v>
      </c>
    </row>
    <row r="1858" spans="1:30" hidden="1" x14ac:dyDescent="0.25">
      <c r="A1858">
        <v>314</v>
      </c>
      <c r="B1858" t="s">
        <v>441</v>
      </c>
      <c r="C1858">
        <v>10</v>
      </c>
      <c r="D1858">
        <v>380</v>
      </c>
      <c r="E1858">
        <v>4577</v>
      </c>
      <c r="F1858" t="s">
        <v>77</v>
      </c>
      <c r="G1858" t="s">
        <v>746</v>
      </c>
      <c r="H1858">
        <v>2</v>
      </c>
      <c r="I1858">
        <v>270.14999999999998</v>
      </c>
      <c r="J1858" t="s">
        <v>839</v>
      </c>
      <c r="K1858" t="s">
        <v>812</v>
      </c>
      <c r="M1858" t="s">
        <v>1307</v>
      </c>
      <c r="Q1858" t="s">
        <v>28</v>
      </c>
      <c r="R1858" t="s">
        <v>81</v>
      </c>
      <c r="W1858">
        <v>3</v>
      </c>
      <c r="X1858" t="s">
        <v>1135</v>
      </c>
      <c r="Z1858" t="s">
        <v>38</v>
      </c>
      <c r="AB1858" t="s">
        <v>921</v>
      </c>
      <c r="AC1858" t="s">
        <v>1241</v>
      </c>
      <c r="AD1858" t="s">
        <v>39</v>
      </c>
    </row>
    <row r="1859" spans="1:30" hidden="1" x14ac:dyDescent="0.25">
      <c r="A1859">
        <v>315</v>
      </c>
      <c r="B1859" t="s">
        <v>404</v>
      </c>
      <c r="C1859">
        <v>10</v>
      </c>
      <c r="D1859">
        <v>120</v>
      </c>
      <c r="E1859">
        <v>220</v>
      </c>
      <c r="F1859" t="s">
        <v>77</v>
      </c>
      <c r="G1859" t="s">
        <v>746</v>
      </c>
      <c r="H1859">
        <v>5</v>
      </c>
      <c r="I1859">
        <v>10.06</v>
      </c>
      <c r="J1859" t="s">
        <v>839</v>
      </c>
      <c r="K1859" t="s">
        <v>812</v>
      </c>
      <c r="M1859" t="s">
        <v>1307</v>
      </c>
      <c r="O1859" t="s">
        <v>228</v>
      </c>
      <c r="Q1859" t="s">
        <v>26</v>
      </c>
      <c r="R1859" t="s">
        <v>81</v>
      </c>
      <c r="W1859">
        <v>3</v>
      </c>
      <c r="X1859" t="s">
        <v>1135</v>
      </c>
      <c r="Z1859" t="s">
        <v>38</v>
      </c>
      <c r="AB1859" t="s">
        <v>921</v>
      </c>
      <c r="AC1859" t="s">
        <v>1241</v>
      </c>
      <c r="AD1859" t="s">
        <v>39</v>
      </c>
    </row>
    <row r="1860" spans="1:30" hidden="1" x14ac:dyDescent="0.25">
      <c r="A1860">
        <v>316</v>
      </c>
      <c r="B1860" t="s">
        <v>442</v>
      </c>
      <c r="C1860">
        <v>10</v>
      </c>
      <c r="D1860">
        <v>350</v>
      </c>
      <c r="E1860">
        <v>4580</v>
      </c>
      <c r="F1860" t="s">
        <v>77</v>
      </c>
      <c r="G1860" t="s">
        <v>746</v>
      </c>
      <c r="H1860">
        <v>1</v>
      </c>
      <c r="I1860">
        <v>125.84</v>
      </c>
      <c r="J1860" t="s">
        <v>839</v>
      </c>
      <c r="K1860" t="s">
        <v>812</v>
      </c>
      <c r="M1860" t="s">
        <v>1307</v>
      </c>
      <c r="Q1860" t="s">
        <v>28</v>
      </c>
      <c r="R1860" t="s">
        <v>81</v>
      </c>
      <c r="V1860" t="s">
        <v>81</v>
      </c>
      <c r="W1860">
        <v>3</v>
      </c>
      <c r="X1860" t="s">
        <v>1135</v>
      </c>
      <c r="Z1860" t="s">
        <v>38</v>
      </c>
      <c r="AB1860" t="s">
        <v>921</v>
      </c>
      <c r="AC1860" t="s">
        <v>1241</v>
      </c>
      <c r="AD1860" t="s">
        <v>39</v>
      </c>
    </row>
    <row r="1861" spans="1:30" hidden="1" x14ac:dyDescent="0.25">
      <c r="A1861">
        <v>317</v>
      </c>
      <c r="B1861" t="s">
        <v>416</v>
      </c>
      <c r="C1861">
        <v>10</v>
      </c>
      <c r="D1861">
        <v>100</v>
      </c>
      <c r="E1861">
        <v>100</v>
      </c>
      <c r="F1861" t="s">
        <v>77</v>
      </c>
      <c r="G1861" t="s">
        <v>746</v>
      </c>
      <c r="H1861">
        <v>1</v>
      </c>
      <c r="I1861">
        <v>0.39</v>
      </c>
      <c r="J1861" t="s">
        <v>839</v>
      </c>
      <c r="K1861" t="s">
        <v>812</v>
      </c>
      <c r="M1861" t="s">
        <v>1307</v>
      </c>
      <c r="O1861" t="s">
        <v>228</v>
      </c>
      <c r="Q1861" t="s">
        <v>27</v>
      </c>
      <c r="R1861" t="s">
        <v>81</v>
      </c>
      <c r="W1861">
        <v>3</v>
      </c>
      <c r="X1861" t="s">
        <v>1135</v>
      </c>
      <c r="Z1861" t="s">
        <v>38</v>
      </c>
      <c r="AB1861" t="s">
        <v>921</v>
      </c>
      <c r="AC1861" t="s">
        <v>1241</v>
      </c>
      <c r="AD1861" t="s">
        <v>39</v>
      </c>
    </row>
    <row r="1862" spans="1:30" hidden="1" x14ac:dyDescent="0.25">
      <c r="A1862">
        <v>318</v>
      </c>
      <c r="B1862" t="s">
        <v>421</v>
      </c>
      <c r="C1862">
        <v>10</v>
      </c>
      <c r="D1862">
        <v>230</v>
      </c>
      <c r="E1862">
        <v>3586</v>
      </c>
      <c r="F1862" t="s">
        <v>77</v>
      </c>
      <c r="G1862" t="s">
        <v>746</v>
      </c>
      <c r="H1862">
        <v>2</v>
      </c>
      <c r="I1862">
        <v>129.49</v>
      </c>
      <c r="J1862" t="s">
        <v>839</v>
      </c>
      <c r="K1862" t="s">
        <v>812</v>
      </c>
      <c r="M1862" t="s">
        <v>1307</v>
      </c>
      <c r="Q1862" t="s">
        <v>28</v>
      </c>
      <c r="R1862" t="s">
        <v>81</v>
      </c>
      <c r="W1862">
        <v>3</v>
      </c>
      <c r="X1862" t="s">
        <v>1135</v>
      </c>
      <c r="Z1862" t="s">
        <v>38</v>
      </c>
      <c r="AB1862" t="s">
        <v>921</v>
      </c>
      <c r="AC1862" t="s">
        <v>1241</v>
      </c>
      <c r="AD1862" t="s">
        <v>39</v>
      </c>
    </row>
    <row r="1863" spans="1:30" hidden="1" x14ac:dyDescent="0.25">
      <c r="A1863">
        <v>319</v>
      </c>
      <c r="B1863" t="s">
        <v>429</v>
      </c>
      <c r="C1863">
        <v>10</v>
      </c>
      <c r="D1863">
        <v>80</v>
      </c>
      <c r="E1863">
        <v>120</v>
      </c>
      <c r="F1863" t="s">
        <v>77</v>
      </c>
      <c r="G1863" t="s">
        <v>746</v>
      </c>
      <c r="H1863">
        <v>1</v>
      </c>
      <c r="I1863">
        <v>0.72</v>
      </c>
      <c r="J1863" t="s">
        <v>839</v>
      </c>
      <c r="K1863" t="s">
        <v>812</v>
      </c>
      <c r="M1863" t="s">
        <v>1307</v>
      </c>
      <c r="O1863" t="s">
        <v>228</v>
      </c>
      <c r="Q1863" t="s">
        <v>26</v>
      </c>
      <c r="R1863" t="s">
        <v>81</v>
      </c>
      <c r="W1863">
        <v>3</v>
      </c>
      <c r="X1863" t="s">
        <v>1135</v>
      </c>
      <c r="Z1863" t="s">
        <v>38</v>
      </c>
      <c r="AB1863" t="s">
        <v>921</v>
      </c>
      <c r="AC1863" t="s">
        <v>1243</v>
      </c>
      <c r="AD1863" t="s">
        <v>39</v>
      </c>
    </row>
    <row r="1864" spans="1:30" hidden="1" x14ac:dyDescent="0.25">
      <c r="A1864">
        <v>320</v>
      </c>
      <c r="B1864" t="s">
        <v>445</v>
      </c>
      <c r="C1864">
        <v>10</v>
      </c>
      <c r="D1864">
        <v>148</v>
      </c>
      <c r="E1864">
        <v>324</v>
      </c>
      <c r="F1864" t="s">
        <v>77</v>
      </c>
      <c r="G1864" t="s">
        <v>746</v>
      </c>
      <c r="H1864">
        <v>26</v>
      </c>
      <c r="I1864">
        <v>96.24</v>
      </c>
      <c r="J1864" t="s">
        <v>839</v>
      </c>
      <c r="K1864" t="s">
        <v>812</v>
      </c>
      <c r="M1864" t="s">
        <v>1307</v>
      </c>
      <c r="Q1864" t="s">
        <v>26</v>
      </c>
      <c r="R1864" t="s">
        <v>81</v>
      </c>
      <c r="W1864">
        <v>3</v>
      </c>
      <c r="X1864" t="s">
        <v>1135</v>
      </c>
      <c r="Z1864" t="s">
        <v>38</v>
      </c>
      <c r="AB1864" t="s">
        <v>921</v>
      </c>
      <c r="AC1864" t="s">
        <v>1243</v>
      </c>
      <c r="AD1864" t="s">
        <v>39</v>
      </c>
    </row>
    <row r="1865" spans="1:30" hidden="1" x14ac:dyDescent="0.25">
      <c r="A1865">
        <v>321</v>
      </c>
      <c r="B1865" t="s">
        <v>446</v>
      </c>
      <c r="C1865">
        <v>10</v>
      </c>
      <c r="D1865">
        <v>148</v>
      </c>
      <c r="E1865">
        <v>441</v>
      </c>
      <c r="F1865" t="s">
        <v>77</v>
      </c>
      <c r="G1865" t="s">
        <v>746</v>
      </c>
      <c r="H1865">
        <v>8</v>
      </c>
      <c r="I1865">
        <v>40.49</v>
      </c>
      <c r="J1865" t="s">
        <v>839</v>
      </c>
      <c r="K1865" t="s">
        <v>812</v>
      </c>
      <c r="M1865" t="s">
        <v>1307</v>
      </c>
      <c r="Q1865" t="s">
        <v>26</v>
      </c>
      <c r="R1865" t="s">
        <v>81</v>
      </c>
      <c r="W1865">
        <v>3</v>
      </c>
      <c r="X1865" t="s">
        <v>1135</v>
      </c>
      <c r="Z1865" t="s">
        <v>38</v>
      </c>
      <c r="AB1865" t="s">
        <v>921</v>
      </c>
      <c r="AC1865" t="s">
        <v>1243</v>
      </c>
      <c r="AD1865" t="s">
        <v>39</v>
      </c>
    </row>
    <row r="1866" spans="1:30" hidden="1" x14ac:dyDescent="0.25">
      <c r="A1866">
        <v>322</v>
      </c>
      <c r="B1866" t="s">
        <v>434</v>
      </c>
      <c r="C1866">
        <v>10</v>
      </c>
      <c r="D1866">
        <v>148</v>
      </c>
      <c r="E1866">
        <v>324</v>
      </c>
      <c r="F1866" t="s">
        <v>77</v>
      </c>
      <c r="G1866" t="s">
        <v>746</v>
      </c>
      <c r="H1866">
        <v>26</v>
      </c>
      <c r="I1866">
        <v>96.24</v>
      </c>
      <c r="J1866" t="s">
        <v>839</v>
      </c>
      <c r="K1866" t="s">
        <v>812</v>
      </c>
      <c r="M1866" t="s">
        <v>1307</v>
      </c>
      <c r="Q1866" t="s">
        <v>26</v>
      </c>
      <c r="R1866" t="s">
        <v>81</v>
      </c>
      <c r="W1866">
        <v>3</v>
      </c>
      <c r="X1866" t="s">
        <v>1135</v>
      </c>
      <c r="Z1866" t="s">
        <v>38</v>
      </c>
      <c r="AB1866" t="s">
        <v>921</v>
      </c>
      <c r="AC1866" t="s">
        <v>1243</v>
      </c>
      <c r="AD1866" t="s">
        <v>39</v>
      </c>
    </row>
    <row r="1867" spans="1:30" hidden="1" x14ac:dyDescent="0.25">
      <c r="A1867">
        <v>323</v>
      </c>
      <c r="B1867" t="s">
        <v>436</v>
      </c>
      <c r="C1867">
        <v>10</v>
      </c>
      <c r="D1867">
        <v>148</v>
      </c>
      <c r="E1867">
        <v>441</v>
      </c>
      <c r="F1867" t="s">
        <v>77</v>
      </c>
      <c r="G1867" t="s">
        <v>746</v>
      </c>
      <c r="H1867">
        <v>12</v>
      </c>
      <c r="I1867">
        <v>60.73</v>
      </c>
      <c r="J1867" t="s">
        <v>839</v>
      </c>
      <c r="K1867" t="s">
        <v>812</v>
      </c>
      <c r="M1867" t="s">
        <v>1307</v>
      </c>
      <c r="Q1867" t="s">
        <v>26</v>
      </c>
      <c r="R1867" t="s">
        <v>81</v>
      </c>
      <c r="W1867">
        <v>3</v>
      </c>
      <c r="X1867" t="s">
        <v>1135</v>
      </c>
      <c r="Z1867" t="s">
        <v>38</v>
      </c>
      <c r="AB1867" t="s">
        <v>921</v>
      </c>
      <c r="AC1867" t="s">
        <v>1243</v>
      </c>
      <c r="AD1867" t="s">
        <v>39</v>
      </c>
    </row>
    <row r="1868" spans="1:30" hidden="1" x14ac:dyDescent="0.25">
      <c r="A1868">
        <v>324</v>
      </c>
      <c r="B1868" t="s">
        <v>438</v>
      </c>
      <c r="C1868">
        <v>10</v>
      </c>
      <c r="D1868">
        <v>120</v>
      </c>
      <c r="E1868">
        <v>220</v>
      </c>
      <c r="F1868" t="s">
        <v>77</v>
      </c>
      <c r="G1868" t="s">
        <v>746</v>
      </c>
      <c r="H1868">
        <v>2</v>
      </c>
      <c r="I1868">
        <v>4.03</v>
      </c>
      <c r="J1868" t="s">
        <v>839</v>
      </c>
      <c r="K1868" t="s">
        <v>812</v>
      </c>
      <c r="M1868" t="s">
        <v>1307</v>
      </c>
      <c r="O1868" t="s">
        <v>228</v>
      </c>
      <c r="Q1868" t="s">
        <v>26</v>
      </c>
      <c r="R1868" t="s">
        <v>81</v>
      </c>
      <c r="W1868">
        <v>3</v>
      </c>
      <c r="X1868" t="s">
        <v>1135</v>
      </c>
      <c r="Z1868" t="s">
        <v>38</v>
      </c>
      <c r="AB1868" t="s">
        <v>921</v>
      </c>
      <c r="AC1868" t="s">
        <v>1243</v>
      </c>
      <c r="AD1868" t="s">
        <v>39</v>
      </c>
    </row>
    <row r="1869" spans="1:30" hidden="1" x14ac:dyDescent="0.25">
      <c r="A1869">
        <v>325</v>
      </c>
      <c r="B1869" t="s">
        <v>447</v>
      </c>
      <c r="C1869">
        <v>10</v>
      </c>
      <c r="D1869">
        <v>148</v>
      </c>
      <c r="E1869">
        <v>324</v>
      </c>
      <c r="F1869" t="s">
        <v>77</v>
      </c>
      <c r="G1869" t="s">
        <v>746</v>
      </c>
      <c r="H1869">
        <v>2</v>
      </c>
      <c r="I1869">
        <v>7.4</v>
      </c>
      <c r="J1869" t="s">
        <v>839</v>
      </c>
      <c r="K1869" t="s">
        <v>812</v>
      </c>
      <c r="M1869" t="s">
        <v>1307</v>
      </c>
      <c r="Q1869" t="s">
        <v>26</v>
      </c>
      <c r="R1869" t="s">
        <v>81</v>
      </c>
      <c r="W1869">
        <v>3</v>
      </c>
      <c r="X1869" t="s">
        <v>1135</v>
      </c>
      <c r="Z1869" t="s">
        <v>38</v>
      </c>
      <c r="AB1869" t="s">
        <v>921</v>
      </c>
      <c r="AC1869" t="s">
        <v>1243</v>
      </c>
      <c r="AD1869" t="s">
        <v>39</v>
      </c>
    </row>
    <row r="1870" spans="1:30" hidden="1" x14ac:dyDescent="0.25">
      <c r="A1870">
        <v>326</v>
      </c>
      <c r="B1870" t="s">
        <v>448</v>
      </c>
      <c r="C1870">
        <v>10</v>
      </c>
      <c r="D1870">
        <v>380</v>
      </c>
      <c r="E1870">
        <v>4577</v>
      </c>
      <c r="F1870" t="s">
        <v>77</v>
      </c>
      <c r="G1870" t="s">
        <v>746</v>
      </c>
      <c r="H1870">
        <v>2</v>
      </c>
      <c r="I1870">
        <v>270.14999999999998</v>
      </c>
      <c r="J1870" t="s">
        <v>839</v>
      </c>
      <c r="K1870" t="s">
        <v>812</v>
      </c>
      <c r="M1870" t="s">
        <v>1307</v>
      </c>
      <c r="Q1870" t="s">
        <v>28</v>
      </c>
      <c r="R1870" t="s">
        <v>81</v>
      </c>
      <c r="W1870">
        <v>3</v>
      </c>
      <c r="X1870" t="s">
        <v>1135</v>
      </c>
      <c r="Z1870" t="s">
        <v>38</v>
      </c>
      <c r="AB1870" t="s">
        <v>921</v>
      </c>
      <c r="AC1870" t="s">
        <v>1243</v>
      </c>
      <c r="AD1870" t="s">
        <v>39</v>
      </c>
    </row>
    <row r="1871" spans="1:30" hidden="1" x14ac:dyDescent="0.25">
      <c r="A1871">
        <v>327</v>
      </c>
      <c r="B1871" t="s">
        <v>439</v>
      </c>
      <c r="C1871">
        <v>10</v>
      </c>
      <c r="D1871">
        <v>350</v>
      </c>
      <c r="E1871">
        <v>4580</v>
      </c>
      <c r="F1871" t="s">
        <v>77</v>
      </c>
      <c r="G1871" t="s">
        <v>746</v>
      </c>
      <c r="H1871">
        <v>1</v>
      </c>
      <c r="I1871">
        <v>125.84</v>
      </c>
      <c r="J1871" t="s">
        <v>839</v>
      </c>
      <c r="K1871" t="s">
        <v>812</v>
      </c>
      <c r="M1871" t="s">
        <v>1307</v>
      </c>
      <c r="Q1871" t="s">
        <v>28</v>
      </c>
      <c r="R1871" t="s">
        <v>81</v>
      </c>
      <c r="V1871" t="s">
        <v>81</v>
      </c>
      <c r="W1871">
        <v>3</v>
      </c>
      <c r="X1871" t="s">
        <v>1135</v>
      </c>
      <c r="Z1871" t="s">
        <v>38</v>
      </c>
      <c r="AB1871" t="s">
        <v>921</v>
      </c>
      <c r="AC1871" t="s">
        <v>1243</v>
      </c>
      <c r="AD1871" t="s">
        <v>39</v>
      </c>
    </row>
    <row r="1872" spans="1:30" hidden="1" x14ac:dyDescent="0.25">
      <c r="A1872">
        <v>328</v>
      </c>
      <c r="B1872" t="s">
        <v>449</v>
      </c>
      <c r="C1872">
        <v>10</v>
      </c>
      <c r="D1872">
        <v>350</v>
      </c>
      <c r="E1872">
        <v>4480</v>
      </c>
      <c r="F1872" t="s">
        <v>77</v>
      </c>
      <c r="G1872" t="s">
        <v>746</v>
      </c>
      <c r="H1872">
        <v>2</v>
      </c>
      <c r="I1872">
        <v>246.18</v>
      </c>
      <c r="J1872" t="s">
        <v>839</v>
      </c>
      <c r="K1872" t="s">
        <v>812</v>
      </c>
      <c r="M1872" t="s">
        <v>1307</v>
      </c>
      <c r="Q1872" t="s">
        <v>28</v>
      </c>
      <c r="R1872" t="s">
        <v>81</v>
      </c>
      <c r="V1872" t="s">
        <v>81</v>
      </c>
      <c r="W1872">
        <v>3</v>
      </c>
      <c r="X1872" t="s">
        <v>1135</v>
      </c>
      <c r="Z1872" t="s">
        <v>38</v>
      </c>
      <c r="AB1872" t="s">
        <v>921</v>
      </c>
      <c r="AC1872" t="s">
        <v>1243</v>
      </c>
      <c r="AD1872" t="s">
        <v>39</v>
      </c>
    </row>
    <row r="1873" spans="1:30" hidden="1" x14ac:dyDescent="0.25">
      <c r="A1873">
        <v>329</v>
      </c>
      <c r="B1873" t="s">
        <v>441</v>
      </c>
      <c r="C1873">
        <v>10</v>
      </c>
      <c r="D1873">
        <v>380</v>
      </c>
      <c r="E1873">
        <v>4577</v>
      </c>
      <c r="F1873" t="s">
        <v>77</v>
      </c>
      <c r="G1873" t="s">
        <v>746</v>
      </c>
      <c r="H1873">
        <v>2</v>
      </c>
      <c r="I1873">
        <v>270.14999999999998</v>
      </c>
      <c r="J1873" t="s">
        <v>839</v>
      </c>
      <c r="K1873" t="s">
        <v>812</v>
      </c>
      <c r="M1873" t="s">
        <v>1307</v>
      </c>
      <c r="Q1873" t="s">
        <v>28</v>
      </c>
      <c r="R1873" t="s">
        <v>81</v>
      </c>
      <c r="W1873">
        <v>3</v>
      </c>
      <c r="X1873" t="s">
        <v>1135</v>
      </c>
      <c r="Z1873" t="s">
        <v>38</v>
      </c>
      <c r="AB1873" t="s">
        <v>921</v>
      </c>
      <c r="AC1873" t="s">
        <v>1243</v>
      </c>
      <c r="AD1873" t="s">
        <v>39</v>
      </c>
    </row>
    <row r="1874" spans="1:30" hidden="1" x14ac:dyDescent="0.25">
      <c r="A1874">
        <v>330</v>
      </c>
      <c r="B1874" t="s">
        <v>451</v>
      </c>
      <c r="C1874">
        <v>10</v>
      </c>
      <c r="D1874">
        <v>127</v>
      </c>
      <c r="E1874">
        <v>220</v>
      </c>
      <c r="F1874" t="s">
        <v>77</v>
      </c>
      <c r="G1874" t="s">
        <v>746</v>
      </c>
      <c r="H1874">
        <v>1</v>
      </c>
      <c r="I1874">
        <v>2.13</v>
      </c>
      <c r="J1874" t="s">
        <v>839</v>
      </c>
      <c r="K1874" t="s">
        <v>812</v>
      </c>
      <c r="M1874" t="s">
        <v>1307</v>
      </c>
      <c r="O1874" t="s">
        <v>228</v>
      </c>
      <c r="Q1874" t="s">
        <v>26</v>
      </c>
      <c r="R1874" t="s">
        <v>81</v>
      </c>
      <c r="W1874">
        <v>3</v>
      </c>
      <c r="X1874" t="s">
        <v>1135</v>
      </c>
      <c r="Z1874" t="s">
        <v>38</v>
      </c>
      <c r="AB1874" t="s">
        <v>921</v>
      </c>
      <c r="AC1874" t="s">
        <v>1243</v>
      </c>
      <c r="AD1874" t="s">
        <v>39</v>
      </c>
    </row>
    <row r="1875" spans="1:30" hidden="1" x14ac:dyDescent="0.25">
      <c r="A1875">
        <v>331</v>
      </c>
      <c r="B1875" t="s">
        <v>453</v>
      </c>
      <c r="C1875">
        <v>10</v>
      </c>
      <c r="D1875">
        <v>350</v>
      </c>
      <c r="E1875">
        <v>4480</v>
      </c>
      <c r="F1875" t="s">
        <v>77</v>
      </c>
      <c r="G1875" t="s">
        <v>746</v>
      </c>
      <c r="H1875">
        <v>1</v>
      </c>
      <c r="I1875">
        <v>123.09</v>
      </c>
      <c r="J1875" t="s">
        <v>839</v>
      </c>
      <c r="K1875" t="s">
        <v>812</v>
      </c>
      <c r="M1875" t="s">
        <v>1307</v>
      </c>
      <c r="Q1875" t="s">
        <v>28</v>
      </c>
      <c r="R1875" t="s">
        <v>81</v>
      </c>
      <c r="V1875" t="s">
        <v>81</v>
      </c>
      <c r="W1875">
        <v>3</v>
      </c>
      <c r="X1875" t="s">
        <v>1135</v>
      </c>
      <c r="Z1875" t="s">
        <v>38</v>
      </c>
      <c r="AB1875" t="s">
        <v>921</v>
      </c>
      <c r="AC1875" t="s">
        <v>1243</v>
      </c>
      <c r="AD1875" t="s">
        <v>39</v>
      </c>
    </row>
    <row r="1876" spans="1:30" hidden="1" x14ac:dyDescent="0.25">
      <c r="A1876">
        <v>332</v>
      </c>
      <c r="B1876" t="s">
        <v>426</v>
      </c>
      <c r="C1876">
        <v>10</v>
      </c>
      <c r="D1876">
        <v>532</v>
      </c>
      <c r="E1876">
        <v>4080</v>
      </c>
      <c r="F1876" t="s">
        <v>77</v>
      </c>
      <c r="G1876" t="s">
        <v>746</v>
      </c>
      <c r="H1876">
        <v>2</v>
      </c>
      <c r="I1876">
        <v>336.54</v>
      </c>
      <c r="J1876" t="s">
        <v>839</v>
      </c>
      <c r="K1876" t="s">
        <v>812</v>
      </c>
      <c r="M1876" t="s">
        <v>1307</v>
      </c>
      <c r="R1876" t="s">
        <v>81</v>
      </c>
      <c r="U1876" t="s">
        <v>81</v>
      </c>
      <c r="V1876" t="s">
        <v>81</v>
      </c>
      <c r="W1876">
        <v>3</v>
      </c>
      <c r="X1876" t="s">
        <v>1135</v>
      </c>
      <c r="Z1876" t="s">
        <v>38</v>
      </c>
      <c r="AB1876" t="s">
        <v>921</v>
      </c>
      <c r="AC1876" t="s">
        <v>1245</v>
      </c>
      <c r="AD1876" t="s">
        <v>39</v>
      </c>
    </row>
    <row r="1877" spans="1:30" hidden="1" x14ac:dyDescent="0.25">
      <c r="A1877">
        <v>333</v>
      </c>
      <c r="B1877" t="s">
        <v>456</v>
      </c>
      <c r="C1877">
        <v>10</v>
      </c>
      <c r="D1877">
        <v>70</v>
      </c>
      <c r="E1877">
        <v>120</v>
      </c>
      <c r="F1877" t="s">
        <v>77</v>
      </c>
      <c r="G1877" t="s">
        <v>746</v>
      </c>
      <c r="H1877">
        <v>4</v>
      </c>
      <c r="I1877">
        <v>2.52</v>
      </c>
      <c r="J1877" t="s">
        <v>839</v>
      </c>
      <c r="K1877" t="s">
        <v>812</v>
      </c>
      <c r="M1877" t="s">
        <v>1307</v>
      </c>
      <c r="O1877" t="s">
        <v>228</v>
      </c>
      <c r="Q1877" t="s">
        <v>26</v>
      </c>
      <c r="R1877" t="s">
        <v>81</v>
      </c>
      <c r="W1877">
        <v>3</v>
      </c>
      <c r="X1877" t="s">
        <v>1135</v>
      </c>
      <c r="Z1877" t="s">
        <v>38</v>
      </c>
      <c r="AB1877" t="s">
        <v>921</v>
      </c>
      <c r="AC1877" t="s">
        <v>1245</v>
      </c>
      <c r="AD1877" t="s">
        <v>39</v>
      </c>
    </row>
    <row r="1878" spans="1:30" hidden="1" x14ac:dyDescent="0.25">
      <c r="A1878">
        <v>334</v>
      </c>
      <c r="B1878" t="s">
        <v>429</v>
      </c>
      <c r="C1878">
        <v>10</v>
      </c>
      <c r="D1878">
        <v>80</v>
      </c>
      <c r="E1878">
        <v>120</v>
      </c>
      <c r="F1878" t="s">
        <v>77</v>
      </c>
      <c r="G1878" t="s">
        <v>746</v>
      </c>
      <c r="H1878">
        <v>4</v>
      </c>
      <c r="I1878">
        <v>2.9</v>
      </c>
      <c r="J1878" t="s">
        <v>839</v>
      </c>
      <c r="K1878" t="s">
        <v>812</v>
      </c>
      <c r="M1878" t="s">
        <v>1307</v>
      </c>
      <c r="O1878" t="s">
        <v>228</v>
      </c>
      <c r="Q1878" t="s">
        <v>26</v>
      </c>
      <c r="R1878" t="s">
        <v>81</v>
      </c>
      <c r="W1878">
        <v>3</v>
      </c>
      <c r="X1878" t="s">
        <v>1135</v>
      </c>
      <c r="Z1878" t="s">
        <v>38</v>
      </c>
      <c r="AB1878" t="s">
        <v>921</v>
      </c>
      <c r="AC1878" t="s">
        <v>1245</v>
      </c>
      <c r="AD1878" t="s">
        <v>39</v>
      </c>
    </row>
    <row r="1879" spans="1:30" hidden="1" x14ac:dyDescent="0.25">
      <c r="A1879">
        <v>335</v>
      </c>
      <c r="B1879" t="s">
        <v>458</v>
      </c>
      <c r="C1879">
        <v>10</v>
      </c>
      <c r="D1879">
        <v>120</v>
      </c>
      <c r="E1879">
        <v>220</v>
      </c>
      <c r="F1879" t="s">
        <v>77</v>
      </c>
      <c r="G1879" t="s">
        <v>746</v>
      </c>
      <c r="H1879">
        <v>9</v>
      </c>
      <c r="I1879">
        <v>18.11</v>
      </c>
      <c r="J1879" t="s">
        <v>839</v>
      </c>
      <c r="K1879" t="s">
        <v>812</v>
      </c>
      <c r="M1879" t="s">
        <v>1307</v>
      </c>
      <c r="O1879" t="s">
        <v>228</v>
      </c>
      <c r="Q1879" t="s">
        <v>26</v>
      </c>
      <c r="R1879" t="s">
        <v>81</v>
      </c>
      <c r="W1879">
        <v>3</v>
      </c>
      <c r="X1879" t="s">
        <v>1135</v>
      </c>
      <c r="Z1879" t="s">
        <v>38</v>
      </c>
      <c r="AB1879" t="s">
        <v>921</v>
      </c>
      <c r="AC1879" t="s">
        <v>1245</v>
      </c>
      <c r="AD1879" t="s">
        <v>39</v>
      </c>
    </row>
    <row r="1880" spans="1:30" hidden="1" x14ac:dyDescent="0.25">
      <c r="A1880">
        <v>336</v>
      </c>
      <c r="B1880" t="s">
        <v>459</v>
      </c>
      <c r="C1880">
        <v>10</v>
      </c>
      <c r="D1880">
        <v>80</v>
      </c>
      <c r="E1880">
        <v>120</v>
      </c>
      <c r="F1880" t="s">
        <v>77</v>
      </c>
      <c r="G1880" t="s">
        <v>746</v>
      </c>
      <c r="H1880">
        <v>1</v>
      </c>
      <c r="I1880">
        <v>0.72</v>
      </c>
      <c r="J1880" t="s">
        <v>839</v>
      </c>
      <c r="K1880" t="s">
        <v>812</v>
      </c>
      <c r="M1880" t="s">
        <v>1307</v>
      </c>
      <c r="O1880" t="s">
        <v>228</v>
      </c>
      <c r="Q1880" t="s">
        <v>26</v>
      </c>
      <c r="R1880" t="s">
        <v>81</v>
      </c>
      <c r="W1880">
        <v>3</v>
      </c>
      <c r="X1880" t="s">
        <v>1135</v>
      </c>
      <c r="Z1880" t="s">
        <v>38</v>
      </c>
      <c r="AB1880" t="s">
        <v>921</v>
      </c>
      <c r="AC1880" t="s">
        <v>1245</v>
      </c>
      <c r="AD1880" t="s">
        <v>39</v>
      </c>
    </row>
    <row r="1881" spans="1:30" hidden="1" x14ac:dyDescent="0.25">
      <c r="A1881">
        <v>337</v>
      </c>
      <c r="B1881" t="s">
        <v>446</v>
      </c>
      <c r="C1881">
        <v>10</v>
      </c>
      <c r="D1881">
        <v>148</v>
      </c>
      <c r="E1881">
        <v>441</v>
      </c>
      <c r="F1881" t="s">
        <v>77</v>
      </c>
      <c r="G1881" t="s">
        <v>746</v>
      </c>
      <c r="H1881">
        <v>4</v>
      </c>
      <c r="I1881">
        <v>20.239999999999998</v>
      </c>
      <c r="J1881" t="s">
        <v>839</v>
      </c>
      <c r="K1881" t="s">
        <v>812</v>
      </c>
      <c r="M1881" t="s">
        <v>1307</v>
      </c>
      <c r="Q1881" t="s">
        <v>26</v>
      </c>
      <c r="R1881" t="s">
        <v>81</v>
      </c>
      <c r="W1881">
        <v>3</v>
      </c>
      <c r="X1881" t="s">
        <v>1135</v>
      </c>
      <c r="Z1881" t="s">
        <v>38</v>
      </c>
      <c r="AB1881" t="s">
        <v>921</v>
      </c>
      <c r="AC1881" t="s">
        <v>1245</v>
      </c>
      <c r="AD1881" t="s">
        <v>39</v>
      </c>
    </row>
    <row r="1882" spans="1:30" hidden="1" x14ac:dyDescent="0.25">
      <c r="A1882">
        <v>338</v>
      </c>
      <c r="B1882" t="s">
        <v>460</v>
      </c>
      <c r="C1882">
        <v>10</v>
      </c>
      <c r="D1882">
        <v>148</v>
      </c>
      <c r="E1882">
        <v>324</v>
      </c>
      <c r="F1882" t="s">
        <v>77</v>
      </c>
      <c r="G1882" t="s">
        <v>746</v>
      </c>
      <c r="H1882">
        <v>40</v>
      </c>
      <c r="I1882">
        <v>148.06</v>
      </c>
      <c r="J1882" t="s">
        <v>839</v>
      </c>
      <c r="K1882" t="s">
        <v>812</v>
      </c>
      <c r="M1882" t="s">
        <v>1307</v>
      </c>
      <c r="Q1882" t="s">
        <v>26</v>
      </c>
      <c r="R1882" t="s">
        <v>81</v>
      </c>
      <c r="W1882">
        <v>3</v>
      </c>
      <c r="X1882" t="s">
        <v>1135</v>
      </c>
      <c r="Z1882" t="s">
        <v>38</v>
      </c>
      <c r="AB1882" t="s">
        <v>921</v>
      </c>
      <c r="AC1882" t="s">
        <v>1245</v>
      </c>
      <c r="AD1882" t="s">
        <v>39</v>
      </c>
    </row>
    <row r="1883" spans="1:30" hidden="1" x14ac:dyDescent="0.25">
      <c r="A1883">
        <v>339</v>
      </c>
      <c r="B1883" t="s">
        <v>461</v>
      </c>
      <c r="C1883">
        <v>10</v>
      </c>
      <c r="D1883">
        <v>148</v>
      </c>
      <c r="E1883">
        <v>324</v>
      </c>
      <c r="F1883" t="s">
        <v>77</v>
      </c>
      <c r="G1883" t="s">
        <v>746</v>
      </c>
      <c r="H1883">
        <v>26</v>
      </c>
      <c r="I1883">
        <v>96.24</v>
      </c>
      <c r="J1883" t="s">
        <v>839</v>
      </c>
      <c r="K1883" t="s">
        <v>812</v>
      </c>
      <c r="M1883" t="s">
        <v>1307</v>
      </c>
      <c r="Q1883" t="s">
        <v>26</v>
      </c>
      <c r="R1883" t="s">
        <v>81</v>
      </c>
      <c r="W1883">
        <v>3</v>
      </c>
      <c r="X1883" t="s">
        <v>1135</v>
      </c>
      <c r="Z1883" t="s">
        <v>38</v>
      </c>
      <c r="AB1883" t="s">
        <v>921</v>
      </c>
      <c r="AC1883" t="s">
        <v>1245</v>
      </c>
      <c r="AD1883" t="s">
        <v>39</v>
      </c>
    </row>
    <row r="1884" spans="1:30" hidden="1" x14ac:dyDescent="0.25">
      <c r="A1884">
        <v>340</v>
      </c>
      <c r="B1884" t="s">
        <v>462</v>
      </c>
      <c r="C1884">
        <v>10</v>
      </c>
      <c r="D1884">
        <v>148</v>
      </c>
      <c r="E1884">
        <v>324</v>
      </c>
      <c r="F1884" t="s">
        <v>77</v>
      </c>
      <c r="G1884" t="s">
        <v>746</v>
      </c>
      <c r="H1884">
        <v>28</v>
      </c>
      <c r="I1884">
        <v>103.64</v>
      </c>
      <c r="J1884" t="s">
        <v>839</v>
      </c>
      <c r="K1884" t="s">
        <v>812</v>
      </c>
      <c r="M1884" t="s">
        <v>1307</v>
      </c>
      <c r="Q1884" t="s">
        <v>26</v>
      </c>
      <c r="R1884" t="s">
        <v>81</v>
      </c>
      <c r="W1884">
        <v>3</v>
      </c>
      <c r="X1884" t="s">
        <v>1135</v>
      </c>
      <c r="Z1884" t="s">
        <v>38</v>
      </c>
      <c r="AB1884" t="s">
        <v>921</v>
      </c>
      <c r="AC1884" t="s">
        <v>1245</v>
      </c>
      <c r="AD1884" t="s">
        <v>39</v>
      </c>
    </row>
    <row r="1885" spans="1:30" hidden="1" x14ac:dyDescent="0.25">
      <c r="A1885">
        <v>341</v>
      </c>
      <c r="B1885" t="s">
        <v>438</v>
      </c>
      <c r="C1885">
        <v>10</v>
      </c>
      <c r="D1885">
        <v>120</v>
      </c>
      <c r="E1885">
        <v>220</v>
      </c>
      <c r="F1885" t="s">
        <v>77</v>
      </c>
      <c r="G1885" t="s">
        <v>746</v>
      </c>
      <c r="H1885">
        <v>3</v>
      </c>
      <c r="I1885">
        <v>6.04</v>
      </c>
      <c r="J1885" t="s">
        <v>839</v>
      </c>
      <c r="K1885" t="s">
        <v>812</v>
      </c>
      <c r="M1885" t="s">
        <v>1307</v>
      </c>
      <c r="O1885" t="s">
        <v>228</v>
      </c>
      <c r="Q1885" t="s">
        <v>26</v>
      </c>
      <c r="R1885" t="s">
        <v>81</v>
      </c>
      <c r="W1885">
        <v>3</v>
      </c>
      <c r="X1885" t="s">
        <v>1135</v>
      </c>
      <c r="Z1885" t="s">
        <v>38</v>
      </c>
      <c r="AB1885" t="s">
        <v>921</v>
      </c>
      <c r="AC1885" t="s">
        <v>1245</v>
      </c>
      <c r="AD1885" t="s">
        <v>39</v>
      </c>
    </row>
    <row r="1886" spans="1:30" hidden="1" x14ac:dyDescent="0.25">
      <c r="A1886">
        <v>342</v>
      </c>
      <c r="B1886" t="s">
        <v>447</v>
      </c>
      <c r="C1886">
        <v>10</v>
      </c>
      <c r="D1886">
        <v>148</v>
      </c>
      <c r="E1886">
        <v>324</v>
      </c>
      <c r="F1886" t="s">
        <v>77</v>
      </c>
      <c r="G1886" t="s">
        <v>746</v>
      </c>
      <c r="H1886">
        <v>40</v>
      </c>
      <c r="I1886">
        <v>148.06</v>
      </c>
      <c r="J1886" t="s">
        <v>839</v>
      </c>
      <c r="K1886" t="s">
        <v>812</v>
      </c>
      <c r="M1886" t="s">
        <v>1307</v>
      </c>
      <c r="Q1886" t="s">
        <v>26</v>
      </c>
      <c r="R1886" t="s">
        <v>81</v>
      </c>
      <c r="W1886">
        <v>3</v>
      </c>
      <c r="X1886" t="s">
        <v>1135</v>
      </c>
      <c r="Z1886" t="s">
        <v>38</v>
      </c>
      <c r="AB1886" t="s">
        <v>921</v>
      </c>
      <c r="AC1886" t="s">
        <v>1245</v>
      </c>
      <c r="AD1886" t="s">
        <v>39</v>
      </c>
    </row>
    <row r="1887" spans="1:30" hidden="1" x14ac:dyDescent="0.25">
      <c r="A1887">
        <v>343</v>
      </c>
      <c r="B1887" t="s">
        <v>463</v>
      </c>
      <c r="C1887">
        <v>10</v>
      </c>
      <c r="D1887">
        <v>350</v>
      </c>
      <c r="E1887">
        <v>4580</v>
      </c>
      <c r="F1887" t="s">
        <v>77</v>
      </c>
      <c r="G1887" t="s">
        <v>746</v>
      </c>
      <c r="H1887">
        <v>1</v>
      </c>
      <c r="I1887">
        <v>125.84</v>
      </c>
      <c r="J1887" t="s">
        <v>839</v>
      </c>
      <c r="K1887" t="s">
        <v>812</v>
      </c>
      <c r="M1887" t="s">
        <v>1307</v>
      </c>
      <c r="Q1887" t="s">
        <v>28</v>
      </c>
      <c r="R1887" t="s">
        <v>81</v>
      </c>
      <c r="V1887" t="s">
        <v>81</v>
      </c>
      <c r="W1887">
        <v>3</v>
      </c>
      <c r="X1887" t="s">
        <v>1135</v>
      </c>
      <c r="Z1887" t="s">
        <v>38</v>
      </c>
      <c r="AB1887" t="s">
        <v>921</v>
      </c>
      <c r="AC1887" t="s">
        <v>1245</v>
      </c>
      <c r="AD1887" t="s">
        <v>39</v>
      </c>
    </row>
    <row r="1888" spans="1:30" hidden="1" x14ac:dyDescent="0.25">
      <c r="A1888">
        <v>344</v>
      </c>
      <c r="B1888" t="s">
        <v>464</v>
      </c>
      <c r="C1888">
        <v>10</v>
      </c>
      <c r="D1888">
        <v>350</v>
      </c>
      <c r="E1888">
        <v>4480</v>
      </c>
      <c r="F1888" t="s">
        <v>77</v>
      </c>
      <c r="G1888" t="s">
        <v>746</v>
      </c>
      <c r="H1888">
        <v>1</v>
      </c>
      <c r="I1888">
        <v>123.09</v>
      </c>
      <c r="J1888" t="s">
        <v>839</v>
      </c>
      <c r="K1888" t="s">
        <v>812</v>
      </c>
      <c r="M1888" t="s">
        <v>1307</v>
      </c>
      <c r="Q1888" t="s">
        <v>28</v>
      </c>
      <c r="R1888" t="s">
        <v>81</v>
      </c>
      <c r="V1888" t="s">
        <v>81</v>
      </c>
      <c r="W1888">
        <v>3</v>
      </c>
      <c r="X1888" t="s">
        <v>1135</v>
      </c>
      <c r="Z1888" t="s">
        <v>38</v>
      </c>
      <c r="AB1888" t="s">
        <v>921</v>
      </c>
      <c r="AC1888" t="s">
        <v>1245</v>
      </c>
      <c r="AD1888" t="s">
        <v>39</v>
      </c>
    </row>
    <row r="1889" spans="1:30" hidden="1" x14ac:dyDescent="0.25">
      <c r="A1889">
        <v>345</v>
      </c>
      <c r="B1889" t="s">
        <v>419</v>
      </c>
      <c r="C1889">
        <v>10</v>
      </c>
      <c r="D1889">
        <v>200</v>
      </c>
      <c r="E1889">
        <v>3586</v>
      </c>
      <c r="F1889" t="s">
        <v>77</v>
      </c>
      <c r="G1889" t="s">
        <v>746</v>
      </c>
      <c r="H1889">
        <v>2</v>
      </c>
      <c r="I1889">
        <v>112.6</v>
      </c>
      <c r="J1889" t="s">
        <v>839</v>
      </c>
      <c r="K1889" t="s">
        <v>812</v>
      </c>
      <c r="M1889" t="s">
        <v>1307</v>
      </c>
      <c r="Q1889" t="s">
        <v>28</v>
      </c>
      <c r="R1889" t="s">
        <v>81</v>
      </c>
      <c r="W1889">
        <v>3</v>
      </c>
      <c r="X1889" t="s">
        <v>1135</v>
      </c>
      <c r="Z1889" t="s">
        <v>38</v>
      </c>
      <c r="AB1889" t="s">
        <v>921</v>
      </c>
      <c r="AC1889" t="s">
        <v>1245</v>
      </c>
      <c r="AD1889" t="s">
        <v>39</v>
      </c>
    </row>
    <row r="1890" spans="1:30" hidden="1" x14ac:dyDescent="0.25">
      <c r="A1890">
        <v>346</v>
      </c>
      <c r="B1890" t="s">
        <v>421</v>
      </c>
      <c r="C1890">
        <v>10</v>
      </c>
      <c r="D1890">
        <v>230</v>
      </c>
      <c r="E1890">
        <v>3586</v>
      </c>
      <c r="F1890" t="s">
        <v>77</v>
      </c>
      <c r="G1890" t="s">
        <v>746</v>
      </c>
      <c r="H1890">
        <v>1</v>
      </c>
      <c r="I1890">
        <v>64.75</v>
      </c>
      <c r="J1890" t="s">
        <v>839</v>
      </c>
      <c r="K1890" t="s">
        <v>812</v>
      </c>
      <c r="M1890" t="s">
        <v>1307</v>
      </c>
      <c r="Q1890" t="s">
        <v>28</v>
      </c>
      <c r="R1890" t="s">
        <v>81</v>
      </c>
      <c r="W1890">
        <v>3</v>
      </c>
      <c r="X1890" t="s">
        <v>1135</v>
      </c>
      <c r="Z1890" t="s">
        <v>38</v>
      </c>
      <c r="AB1890" t="s">
        <v>921</v>
      </c>
      <c r="AC1890" t="s">
        <v>1245</v>
      </c>
      <c r="AD1890" t="s">
        <v>39</v>
      </c>
    </row>
    <row r="1891" spans="1:30" hidden="1" x14ac:dyDescent="0.25">
      <c r="A1891">
        <v>347</v>
      </c>
      <c r="B1891" t="s">
        <v>456</v>
      </c>
      <c r="C1891">
        <v>10</v>
      </c>
      <c r="D1891">
        <v>70</v>
      </c>
      <c r="E1891">
        <v>120</v>
      </c>
      <c r="F1891" t="s">
        <v>77</v>
      </c>
      <c r="G1891" t="s">
        <v>746</v>
      </c>
      <c r="H1891">
        <v>2</v>
      </c>
      <c r="I1891">
        <v>1.26</v>
      </c>
      <c r="J1891" t="s">
        <v>839</v>
      </c>
      <c r="K1891" t="s">
        <v>812</v>
      </c>
      <c r="M1891" t="s">
        <v>1307</v>
      </c>
      <c r="O1891" t="s">
        <v>228</v>
      </c>
      <c r="Q1891" t="s">
        <v>26</v>
      </c>
      <c r="S1891" t="s">
        <v>81</v>
      </c>
      <c r="W1891">
        <v>3</v>
      </c>
      <c r="X1891" t="s">
        <v>1135</v>
      </c>
      <c r="Z1891" t="s">
        <v>38</v>
      </c>
      <c r="AB1891" t="s">
        <v>921</v>
      </c>
      <c r="AC1891" t="s">
        <v>1248</v>
      </c>
      <c r="AD1891" t="s">
        <v>1249</v>
      </c>
    </row>
    <row r="1892" spans="1:30" hidden="1" x14ac:dyDescent="0.25">
      <c r="A1892">
        <v>348</v>
      </c>
      <c r="B1892" t="s">
        <v>459</v>
      </c>
      <c r="C1892">
        <v>10</v>
      </c>
      <c r="D1892">
        <v>80</v>
      </c>
      <c r="E1892">
        <v>120</v>
      </c>
      <c r="F1892" t="s">
        <v>77</v>
      </c>
      <c r="G1892" t="s">
        <v>746</v>
      </c>
      <c r="H1892">
        <v>3</v>
      </c>
      <c r="I1892">
        <v>2.17</v>
      </c>
      <c r="J1892" t="s">
        <v>839</v>
      </c>
      <c r="K1892" t="s">
        <v>812</v>
      </c>
      <c r="M1892" t="s">
        <v>1307</v>
      </c>
      <c r="O1892" t="s">
        <v>228</v>
      </c>
      <c r="Q1892" t="s">
        <v>26</v>
      </c>
      <c r="S1892" t="s">
        <v>81</v>
      </c>
      <c r="W1892">
        <v>3</v>
      </c>
      <c r="X1892" t="s">
        <v>1135</v>
      </c>
      <c r="Z1892" t="s">
        <v>38</v>
      </c>
      <c r="AB1892" t="s">
        <v>921</v>
      </c>
      <c r="AC1892" t="s">
        <v>1248</v>
      </c>
      <c r="AD1892" t="s">
        <v>1249</v>
      </c>
    </row>
    <row r="1893" spans="1:30" hidden="1" x14ac:dyDescent="0.25">
      <c r="A1893">
        <v>349</v>
      </c>
      <c r="B1893" t="s">
        <v>467</v>
      </c>
      <c r="C1893">
        <v>10</v>
      </c>
      <c r="D1893">
        <v>120</v>
      </c>
      <c r="E1893">
        <v>220</v>
      </c>
      <c r="F1893" t="s">
        <v>77</v>
      </c>
      <c r="G1893" t="s">
        <v>746</v>
      </c>
      <c r="H1893">
        <v>7</v>
      </c>
      <c r="I1893">
        <v>14.09</v>
      </c>
      <c r="J1893" t="s">
        <v>839</v>
      </c>
      <c r="K1893" t="s">
        <v>812</v>
      </c>
      <c r="M1893" t="s">
        <v>1307</v>
      </c>
      <c r="O1893" t="s">
        <v>228</v>
      </c>
      <c r="Q1893" t="s">
        <v>26</v>
      </c>
      <c r="S1893" t="s">
        <v>81</v>
      </c>
      <c r="W1893">
        <v>3</v>
      </c>
      <c r="X1893" t="s">
        <v>1135</v>
      </c>
      <c r="Z1893" t="s">
        <v>38</v>
      </c>
      <c r="AB1893" t="s">
        <v>921</v>
      </c>
      <c r="AC1893" t="s">
        <v>1248</v>
      </c>
      <c r="AD1893" t="s">
        <v>1249</v>
      </c>
    </row>
    <row r="1894" spans="1:30" hidden="1" x14ac:dyDescent="0.25">
      <c r="A1894">
        <v>350</v>
      </c>
      <c r="B1894" t="s">
        <v>460</v>
      </c>
      <c r="C1894">
        <v>10</v>
      </c>
      <c r="D1894">
        <v>148</v>
      </c>
      <c r="E1894">
        <v>324</v>
      </c>
      <c r="F1894" t="s">
        <v>77</v>
      </c>
      <c r="G1894" t="s">
        <v>746</v>
      </c>
      <c r="H1894">
        <v>2</v>
      </c>
      <c r="I1894">
        <v>7.4</v>
      </c>
      <c r="J1894" t="s">
        <v>839</v>
      </c>
      <c r="K1894" t="s">
        <v>812</v>
      </c>
      <c r="M1894" t="s">
        <v>1307</v>
      </c>
      <c r="Q1894" t="s">
        <v>26</v>
      </c>
      <c r="S1894" t="s">
        <v>81</v>
      </c>
      <c r="W1894">
        <v>3</v>
      </c>
      <c r="X1894" t="s">
        <v>1135</v>
      </c>
      <c r="Z1894" t="s">
        <v>38</v>
      </c>
      <c r="AB1894" t="s">
        <v>921</v>
      </c>
      <c r="AC1894" t="s">
        <v>1248</v>
      </c>
      <c r="AD1894" t="s">
        <v>1249</v>
      </c>
    </row>
    <row r="1895" spans="1:30" hidden="1" x14ac:dyDescent="0.25">
      <c r="A1895">
        <v>351</v>
      </c>
      <c r="B1895" t="s">
        <v>468</v>
      </c>
      <c r="C1895">
        <v>10</v>
      </c>
      <c r="D1895">
        <v>160</v>
      </c>
      <c r="E1895">
        <v>160</v>
      </c>
      <c r="F1895" t="s">
        <v>77</v>
      </c>
      <c r="G1895" t="s">
        <v>746</v>
      </c>
      <c r="H1895">
        <v>2</v>
      </c>
      <c r="I1895">
        <v>1.92</v>
      </c>
      <c r="J1895" t="s">
        <v>839</v>
      </c>
      <c r="K1895" t="s">
        <v>812</v>
      </c>
      <c r="M1895" t="s">
        <v>1307</v>
      </c>
      <c r="O1895" t="s">
        <v>228</v>
      </c>
      <c r="Q1895" t="s">
        <v>27</v>
      </c>
      <c r="S1895" t="s">
        <v>81</v>
      </c>
      <c r="W1895">
        <v>3</v>
      </c>
      <c r="X1895" t="s">
        <v>1135</v>
      </c>
      <c r="Z1895" t="s">
        <v>38</v>
      </c>
      <c r="AB1895" t="s">
        <v>921</v>
      </c>
      <c r="AC1895" t="s">
        <v>1248</v>
      </c>
      <c r="AD1895" t="s">
        <v>1249</v>
      </c>
    </row>
    <row r="1896" spans="1:30" hidden="1" x14ac:dyDescent="0.25">
      <c r="A1896">
        <v>352</v>
      </c>
      <c r="B1896" t="s">
        <v>470</v>
      </c>
      <c r="C1896">
        <v>10</v>
      </c>
      <c r="D1896">
        <v>160</v>
      </c>
      <c r="E1896">
        <v>160</v>
      </c>
      <c r="F1896" t="s">
        <v>77</v>
      </c>
      <c r="G1896" t="s">
        <v>746</v>
      </c>
      <c r="H1896">
        <v>4</v>
      </c>
      <c r="I1896">
        <v>3.85</v>
      </c>
      <c r="J1896" t="s">
        <v>839</v>
      </c>
      <c r="K1896" t="s">
        <v>812</v>
      </c>
      <c r="M1896" t="s">
        <v>1307</v>
      </c>
      <c r="O1896" t="s">
        <v>228</v>
      </c>
      <c r="Q1896" t="s">
        <v>27</v>
      </c>
      <c r="S1896" t="s">
        <v>81</v>
      </c>
      <c r="W1896">
        <v>3</v>
      </c>
      <c r="X1896" t="s">
        <v>1135</v>
      </c>
      <c r="Z1896" t="s">
        <v>38</v>
      </c>
      <c r="AB1896" t="s">
        <v>921</v>
      </c>
      <c r="AC1896" t="s">
        <v>1248</v>
      </c>
      <c r="AD1896" t="s">
        <v>1249</v>
      </c>
    </row>
    <row r="1897" spans="1:30" hidden="1" x14ac:dyDescent="0.25">
      <c r="A1897">
        <v>353</v>
      </c>
      <c r="B1897" t="s">
        <v>471</v>
      </c>
      <c r="C1897">
        <v>10</v>
      </c>
      <c r="D1897">
        <v>160</v>
      </c>
      <c r="E1897">
        <v>160</v>
      </c>
      <c r="F1897" t="s">
        <v>77</v>
      </c>
      <c r="G1897" t="s">
        <v>746</v>
      </c>
      <c r="H1897">
        <v>2</v>
      </c>
      <c r="I1897">
        <v>1.92</v>
      </c>
      <c r="J1897" t="s">
        <v>839</v>
      </c>
      <c r="K1897" t="s">
        <v>812</v>
      </c>
      <c r="M1897" t="s">
        <v>1307</v>
      </c>
      <c r="O1897" t="s">
        <v>228</v>
      </c>
      <c r="Q1897" t="s">
        <v>27</v>
      </c>
      <c r="S1897" t="s">
        <v>81</v>
      </c>
      <c r="W1897">
        <v>3</v>
      </c>
      <c r="X1897" t="s">
        <v>1135</v>
      </c>
      <c r="Z1897" t="s">
        <v>38</v>
      </c>
      <c r="AB1897" t="s">
        <v>921</v>
      </c>
      <c r="AC1897" t="s">
        <v>1248</v>
      </c>
      <c r="AD1897" t="s">
        <v>1249</v>
      </c>
    </row>
    <row r="1898" spans="1:30" hidden="1" x14ac:dyDescent="0.25">
      <c r="A1898">
        <v>354</v>
      </c>
      <c r="B1898" t="s">
        <v>472</v>
      </c>
      <c r="C1898">
        <v>10</v>
      </c>
      <c r="D1898">
        <v>160</v>
      </c>
      <c r="E1898">
        <v>160</v>
      </c>
      <c r="F1898" t="s">
        <v>77</v>
      </c>
      <c r="G1898" t="s">
        <v>746</v>
      </c>
      <c r="H1898">
        <v>4</v>
      </c>
      <c r="I1898">
        <v>3.85</v>
      </c>
      <c r="J1898" t="s">
        <v>839</v>
      </c>
      <c r="K1898" t="s">
        <v>812</v>
      </c>
      <c r="M1898" t="s">
        <v>1307</v>
      </c>
      <c r="O1898" t="s">
        <v>228</v>
      </c>
      <c r="Q1898" t="s">
        <v>27</v>
      </c>
      <c r="S1898" t="s">
        <v>81</v>
      </c>
      <c r="W1898">
        <v>3</v>
      </c>
      <c r="X1898" t="s">
        <v>1135</v>
      </c>
      <c r="Z1898" t="s">
        <v>38</v>
      </c>
      <c r="AB1898" t="s">
        <v>921</v>
      </c>
      <c r="AC1898" t="s">
        <v>1248</v>
      </c>
      <c r="AD1898" t="s">
        <v>1249</v>
      </c>
    </row>
    <row r="1899" spans="1:30" hidden="1" x14ac:dyDescent="0.25">
      <c r="A1899">
        <v>355</v>
      </c>
      <c r="B1899" t="s">
        <v>1251</v>
      </c>
      <c r="C1899">
        <v>10</v>
      </c>
      <c r="D1899">
        <v>300</v>
      </c>
      <c r="E1899">
        <v>450</v>
      </c>
      <c r="F1899" t="s">
        <v>77</v>
      </c>
      <c r="G1899" t="s">
        <v>746</v>
      </c>
      <c r="H1899">
        <v>1</v>
      </c>
      <c r="I1899">
        <v>10.6</v>
      </c>
      <c r="J1899" t="s">
        <v>839</v>
      </c>
      <c r="K1899" t="s">
        <v>812</v>
      </c>
      <c r="M1899" t="s">
        <v>1307</v>
      </c>
      <c r="S1899" t="s">
        <v>81</v>
      </c>
      <c r="W1899">
        <v>3</v>
      </c>
      <c r="X1899" t="s">
        <v>1135</v>
      </c>
      <c r="Z1899" t="s">
        <v>38</v>
      </c>
      <c r="AB1899" t="s">
        <v>921</v>
      </c>
      <c r="AC1899" t="s">
        <v>1248</v>
      </c>
      <c r="AD1899" t="s">
        <v>1249</v>
      </c>
    </row>
    <row r="1900" spans="1:30" hidden="1" x14ac:dyDescent="0.25">
      <c r="A1900">
        <v>356</v>
      </c>
      <c r="B1900" t="s">
        <v>473</v>
      </c>
      <c r="C1900">
        <v>12</v>
      </c>
      <c r="D1900">
        <v>220</v>
      </c>
      <c r="E1900">
        <v>12000</v>
      </c>
      <c r="F1900" t="s">
        <v>77</v>
      </c>
      <c r="G1900" t="s">
        <v>746</v>
      </c>
      <c r="H1900">
        <v>2</v>
      </c>
      <c r="I1900">
        <v>497.38</v>
      </c>
      <c r="J1900" t="s">
        <v>839</v>
      </c>
      <c r="K1900" t="s">
        <v>812</v>
      </c>
      <c r="M1900" t="s">
        <v>1307</v>
      </c>
      <c r="Q1900" t="s">
        <v>28</v>
      </c>
      <c r="R1900" t="s">
        <v>81</v>
      </c>
      <c r="U1900" t="s">
        <v>81</v>
      </c>
      <c r="W1900">
        <v>3</v>
      </c>
      <c r="X1900" t="s">
        <v>1135</v>
      </c>
      <c r="Z1900" t="s">
        <v>38</v>
      </c>
      <c r="AB1900" t="s">
        <v>921</v>
      </c>
      <c r="AC1900" t="s">
        <v>1253</v>
      </c>
      <c r="AD1900" t="s">
        <v>39</v>
      </c>
    </row>
    <row r="1901" spans="1:30" hidden="1" x14ac:dyDescent="0.25">
      <c r="A1901">
        <v>357</v>
      </c>
      <c r="B1901" t="s">
        <v>478</v>
      </c>
      <c r="C1901">
        <v>12</v>
      </c>
      <c r="D1901">
        <v>220</v>
      </c>
      <c r="E1901">
        <v>12000</v>
      </c>
      <c r="F1901" t="s">
        <v>77</v>
      </c>
      <c r="G1901" t="s">
        <v>746</v>
      </c>
      <c r="H1901">
        <v>2</v>
      </c>
      <c r="I1901">
        <v>497.38</v>
      </c>
      <c r="J1901" t="s">
        <v>839</v>
      </c>
      <c r="K1901" t="s">
        <v>812</v>
      </c>
      <c r="M1901" t="s">
        <v>1307</v>
      </c>
      <c r="Q1901" t="s">
        <v>28</v>
      </c>
      <c r="R1901" t="s">
        <v>81</v>
      </c>
      <c r="U1901" t="s">
        <v>81</v>
      </c>
      <c r="W1901">
        <v>3</v>
      </c>
      <c r="X1901" t="s">
        <v>1135</v>
      </c>
      <c r="Z1901" t="s">
        <v>38</v>
      </c>
      <c r="AB1901" t="s">
        <v>921</v>
      </c>
      <c r="AC1901" t="s">
        <v>1253</v>
      </c>
      <c r="AD1901" t="s">
        <v>39</v>
      </c>
    </row>
    <row r="1902" spans="1:30" hidden="1" x14ac:dyDescent="0.25">
      <c r="A1902">
        <v>358</v>
      </c>
      <c r="B1902" t="s">
        <v>479</v>
      </c>
      <c r="C1902">
        <v>12</v>
      </c>
      <c r="D1902">
        <v>220</v>
      </c>
      <c r="E1902">
        <v>12000</v>
      </c>
      <c r="F1902" t="s">
        <v>77</v>
      </c>
      <c r="G1902" t="s">
        <v>746</v>
      </c>
      <c r="H1902">
        <v>2</v>
      </c>
      <c r="I1902">
        <v>497.38</v>
      </c>
      <c r="J1902" t="s">
        <v>839</v>
      </c>
      <c r="K1902" t="s">
        <v>812</v>
      </c>
      <c r="M1902" t="s">
        <v>1307</v>
      </c>
      <c r="Q1902" t="s">
        <v>28</v>
      </c>
      <c r="R1902" t="s">
        <v>81</v>
      </c>
      <c r="U1902" t="s">
        <v>81</v>
      </c>
      <c r="W1902">
        <v>3</v>
      </c>
      <c r="X1902" t="s">
        <v>1135</v>
      </c>
      <c r="Z1902" t="s">
        <v>38</v>
      </c>
      <c r="AB1902" t="s">
        <v>921</v>
      </c>
      <c r="AC1902" t="s">
        <v>1253</v>
      </c>
      <c r="AD1902" t="s">
        <v>39</v>
      </c>
    </row>
    <row r="1903" spans="1:30" hidden="1" x14ac:dyDescent="0.25">
      <c r="A1903">
        <v>359</v>
      </c>
      <c r="B1903" t="s">
        <v>480</v>
      </c>
      <c r="C1903">
        <v>12</v>
      </c>
      <c r="D1903">
        <v>220</v>
      </c>
      <c r="E1903">
        <v>11989</v>
      </c>
      <c r="F1903" t="s">
        <v>77</v>
      </c>
      <c r="G1903" t="s">
        <v>746</v>
      </c>
      <c r="H1903">
        <v>2</v>
      </c>
      <c r="I1903">
        <v>496.92</v>
      </c>
      <c r="J1903" t="s">
        <v>839</v>
      </c>
      <c r="K1903" t="s">
        <v>812</v>
      </c>
      <c r="M1903" t="s">
        <v>1307</v>
      </c>
      <c r="Q1903" t="s">
        <v>28</v>
      </c>
      <c r="R1903" t="s">
        <v>81</v>
      </c>
      <c r="U1903" t="s">
        <v>81</v>
      </c>
      <c r="W1903">
        <v>3</v>
      </c>
      <c r="X1903" t="s">
        <v>1135</v>
      </c>
      <c r="Z1903" t="s">
        <v>38</v>
      </c>
      <c r="AB1903" t="s">
        <v>921</v>
      </c>
      <c r="AC1903" t="s">
        <v>1255</v>
      </c>
      <c r="AD1903" t="s">
        <v>39</v>
      </c>
    </row>
    <row r="1904" spans="1:30" hidden="1" x14ac:dyDescent="0.25">
      <c r="A1904">
        <v>360</v>
      </c>
      <c r="B1904" t="s">
        <v>484</v>
      </c>
      <c r="C1904">
        <v>12</v>
      </c>
      <c r="D1904">
        <v>220</v>
      </c>
      <c r="E1904">
        <v>12000</v>
      </c>
      <c r="F1904" t="s">
        <v>77</v>
      </c>
      <c r="G1904" t="s">
        <v>746</v>
      </c>
      <c r="H1904">
        <v>2</v>
      </c>
      <c r="I1904">
        <v>497.39</v>
      </c>
      <c r="J1904" t="s">
        <v>839</v>
      </c>
      <c r="K1904" t="s">
        <v>812</v>
      </c>
      <c r="M1904" t="s">
        <v>1307</v>
      </c>
      <c r="Q1904" t="s">
        <v>28</v>
      </c>
      <c r="R1904" t="s">
        <v>81</v>
      </c>
      <c r="U1904" t="s">
        <v>81</v>
      </c>
      <c r="W1904">
        <v>3</v>
      </c>
      <c r="X1904" t="s">
        <v>1135</v>
      </c>
      <c r="Z1904" t="s">
        <v>38</v>
      </c>
      <c r="AB1904" t="s">
        <v>921</v>
      </c>
      <c r="AC1904" t="s">
        <v>1255</v>
      </c>
      <c r="AD1904" t="s">
        <v>39</v>
      </c>
    </row>
    <row r="1905" spans="1:30" hidden="1" x14ac:dyDescent="0.25">
      <c r="A1905">
        <v>361</v>
      </c>
      <c r="B1905" t="s">
        <v>485</v>
      </c>
      <c r="C1905">
        <v>12</v>
      </c>
      <c r="D1905">
        <v>220</v>
      </c>
      <c r="E1905">
        <v>11989</v>
      </c>
      <c r="F1905" t="s">
        <v>77</v>
      </c>
      <c r="G1905" t="s">
        <v>746</v>
      </c>
      <c r="H1905">
        <v>2</v>
      </c>
      <c r="I1905">
        <v>496.92</v>
      </c>
      <c r="J1905" t="s">
        <v>839</v>
      </c>
      <c r="K1905" t="s">
        <v>812</v>
      </c>
      <c r="M1905" t="s">
        <v>1307</v>
      </c>
      <c r="Q1905" t="s">
        <v>28</v>
      </c>
      <c r="R1905" t="s">
        <v>81</v>
      </c>
      <c r="U1905" t="s">
        <v>81</v>
      </c>
      <c r="W1905">
        <v>3</v>
      </c>
      <c r="X1905" t="s">
        <v>1135</v>
      </c>
      <c r="Z1905" t="s">
        <v>38</v>
      </c>
      <c r="AB1905" t="s">
        <v>921</v>
      </c>
      <c r="AC1905" t="s">
        <v>1255</v>
      </c>
      <c r="AD1905" t="s">
        <v>39</v>
      </c>
    </row>
    <row r="1906" spans="1:30" hidden="1" x14ac:dyDescent="0.25">
      <c r="A1906">
        <v>362</v>
      </c>
      <c r="B1906" t="s">
        <v>486</v>
      </c>
      <c r="C1906">
        <v>12</v>
      </c>
      <c r="D1906">
        <v>220</v>
      </c>
      <c r="E1906">
        <v>7562</v>
      </c>
      <c r="F1906" t="s">
        <v>77</v>
      </c>
      <c r="G1906" t="s">
        <v>746</v>
      </c>
      <c r="H1906">
        <v>2</v>
      </c>
      <c r="I1906">
        <v>313.44</v>
      </c>
      <c r="J1906" t="s">
        <v>839</v>
      </c>
      <c r="K1906" t="s">
        <v>812</v>
      </c>
      <c r="M1906" t="s">
        <v>1307</v>
      </c>
      <c r="Q1906" t="s">
        <v>28</v>
      </c>
      <c r="R1906" t="s">
        <v>81</v>
      </c>
      <c r="U1906" t="s">
        <v>81</v>
      </c>
      <c r="W1906">
        <v>3</v>
      </c>
      <c r="X1906" t="s">
        <v>1135</v>
      </c>
      <c r="Z1906" t="s">
        <v>38</v>
      </c>
      <c r="AB1906" t="s">
        <v>921</v>
      </c>
      <c r="AC1906" t="s">
        <v>1257</v>
      </c>
      <c r="AD1906" t="s">
        <v>39</v>
      </c>
    </row>
    <row r="1907" spans="1:30" hidden="1" x14ac:dyDescent="0.25">
      <c r="A1907">
        <v>363</v>
      </c>
      <c r="B1907" t="s">
        <v>490</v>
      </c>
      <c r="C1907">
        <v>12</v>
      </c>
      <c r="D1907">
        <v>220</v>
      </c>
      <c r="E1907">
        <v>7565</v>
      </c>
      <c r="F1907" t="s">
        <v>77</v>
      </c>
      <c r="G1907" t="s">
        <v>746</v>
      </c>
      <c r="H1907">
        <v>2</v>
      </c>
      <c r="I1907">
        <v>313.56</v>
      </c>
      <c r="J1907" t="s">
        <v>839</v>
      </c>
      <c r="K1907" t="s">
        <v>812</v>
      </c>
      <c r="M1907" t="s">
        <v>1307</v>
      </c>
      <c r="Q1907" t="s">
        <v>28</v>
      </c>
      <c r="R1907" t="s">
        <v>81</v>
      </c>
      <c r="U1907" t="s">
        <v>81</v>
      </c>
      <c r="W1907">
        <v>3</v>
      </c>
      <c r="X1907" t="s">
        <v>1135</v>
      </c>
      <c r="Z1907" t="s">
        <v>38</v>
      </c>
      <c r="AB1907" t="s">
        <v>921</v>
      </c>
      <c r="AC1907" t="s">
        <v>1257</v>
      </c>
      <c r="AD1907" t="s">
        <v>39</v>
      </c>
    </row>
    <row r="1908" spans="1:30" hidden="1" x14ac:dyDescent="0.25">
      <c r="A1908">
        <v>364</v>
      </c>
      <c r="B1908" t="s">
        <v>492</v>
      </c>
      <c r="C1908">
        <v>12</v>
      </c>
      <c r="D1908">
        <v>220</v>
      </c>
      <c r="E1908">
        <v>7561</v>
      </c>
      <c r="F1908" t="s">
        <v>77</v>
      </c>
      <c r="G1908" t="s">
        <v>746</v>
      </c>
      <c r="H1908">
        <v>2</v>
      </c>
      <c r="I1908">
        <v>313.39</v>
      </c>
      <c r="J1908" t="s">
        <v>839</v>
      </c>
      <c r="K1908" t="s">
        <v>812</v>
      </c>
      <c r="M1908" t="s">
        <v>1307</v>
      </c>
      <c r="Q1908" t="s">
        <v>28</v>
      </c>
      <c r="R1908" t="s">
        <v>81</v>
      </c>
      <c r="U1908" t="s">
        <v>81</v>
      </c>
      <c r="W1908">
        <v>3</v>
      </c>
      <c r="X1908" t="s">
        <v>1135</v>
      </c>
      <c r="Z1908" t="s">
        <v>38</v>
      </c>
      <c r="AB1908" t="s">
        <v>921</v>
      </c>
      <c r="AC1908" t="s">
        <v>1257</v>
      </c>
      <c r="AD1908" t="s">
        <v>39</v>
      </c>
    </row>
    <row r="1909" spans="1:30" hidden="1" x14ac:dyDescent="0.25">
      <c r="A1909">
        <v>365</v>
      </c>
      <c r="B1909" t="s">
        <v>494</v>
      </c>
      <c r="C1909">
        <v>12</v>
      </c>
      <c r="D1909">
        <v>220</v>
      </c>
      <c r="E1909">
        <v>11993</v>
      </c>
      <c r="F1909" t="s">
        <v>77</v>
      </c>
      <c r="G1909" t="s">
        <v>746</v>
      </c>
      <c r="H1909">
        <v>2</v>
      </c>
      <c r="I1909">
        <v>497.09</v>
      </c>
      <c r="J1909" t="s">
        <v>839</v>
      </c>
      <c r="K1909" t="s">
        <v>812</v>
      </c>
      <c r="M1909" t="s">
        <v>1307</v>
      </c>
      <c r="Q1909" t="s">
        <v>28</v>
      </c>
      <c r="R1909" t="s">
        <v>81</v>
      </c>
      <c r="U1909" t="s">
        <v>81</v>
      </c>
      <c r="W1909">
        <v>3</v>
      </c>
      <c r="X1909" t="s">
        <v>1135</v>
      </c>
      <c r="Z1909" t="s">
        <v>38</v>
      </c>
      <c r="AB1909" t="s">
        <v>921</v>
      </c>
      <c r="AC1909" t="s">
        <v>1259</v>
      </c>
      <c r="AD1909" t="s">
        <v>39</v>
      </c>
    </row>
    <row r="1910" spans="1:30" hidden="1" x14ac:dyDescent="0.25">
      <c r="A1910">
        <v>366</v>
      </c>
      <c r="B1910" t="s">
        <v>498</v>
      </c>
      <c r="C1910">
        <v>12</v>
      </c>
      <c r="D1910">
        <v>220</v>
      </c>
      <c r="E1910">
        <v>11991</v>
      </c>
      <c r="F1910" t="s">
        <v>77</v>
      </c>
      <c r="G1910" t="s">
        <v>746</v>
      </c>
      <c r="H1910">
        <v>2</v>
      </c>
      <c r="I1910">
        <v>497</v>
      </c>
      <c r="J1910" t="s">
        <v>839</v>
      </c>
      <c r="K1910" t="s">
        <v>812</v>
      </c>
      <c r="M1910" t="s">
        <v>1307</v>
      </c>
      <c r="Q1910" t="s">
        <v>28</v>
      </c>
      <c r="R1910" t="s">
        <v>81</v>
      </c>
      <c r="U1910" t="s">
        <v>81</v>
      </c>
      <c r="W1910">
        <v>3</v>
      </c>
      <c r="X1910" t="s">
        <v>1135</v>
      </c>
      <c r="Z1910" t="s">
        <v>38</v>
      </c>
      <c r="AB1910" t="s">
        <v>921</v>
      </c>
      <c r="AC1910" t="s">
        <v>1259</v>
      </c>
      <c r="AD1910" t="s">
        <v>39</v>
      </c>
    </row>
    <row r="1911" spans="1:30" hidden="1" x14ac:dyDescent="0.25">
      <c r="A1911">
        <v>367</v>
      </c>
      <c r="B1911" t="s">
        <v>500</v>
      </c>
      <c r="C1911">
        <v>12</v>
      </c>
      <c r="D1911">
        <v>220</v>
      </c>
      <c r="E1911">
        <v>11993</v>
      </c>
      <c r="F1911" t="s">
        <v>77</v>
      </c>
      <c r="G1911" t="s">
        <v>746</v>
      </c>
      <c r="H1911">
        <v>2</v>
      </c>
      <c r="I1911">
        <v>497.09</v>
      </c>
      <c r="J1911" t="s">
        <v>839</v>
      </c>
      <c r="K1911" t="s">
        <v>812</v>
      </c>
      <c r="M1911" t="s">
        <v>1307</v>
      </c>
      <c r="Q1911" t="s">
        <v>28</v>
      </c>
      <c r="R1911" t="s">
        <v>81</v>
      </c>
      <c r="U1911" t="s">
        <v>81</v>
      </c>
      <c r="W1911">
        <v>3</v>
      </c>
      <c r="X1911" t="s">
        <v>1135</v>
      </c>
      <c r="Z1911" t="s">
        <v>38</v>
      </c>
      <c r="AB1911" t="s">
        <v>921</v>
      </c>
      <c r="AC1911" t="s">
        <v>1259</v>
      </c>
      <c r="AD1911" t="s">
        <v>39</v>
      </c>
    </row>
    <row r="1912" spans="1:30" hidden="1" x14ac:dyDescent="0.25">
      <c r="A1912">
        <v>368</v>
      </c>
      <c r="B1912" t="s">
        <v>501</v>
      </c>
      <c r="C1912">
        <v>12</v>
      </c>
      <c r="D1912">
        <v>220</v>
      </c>
      <c r="E1912">
        <v>11991</v>
      </c>
      <c r="F1912" t="s">
        <v>77</v>
      </c>
      <c r="G1912" t="s">
        <v>746</v>
      </c>
      <c r="H1912">
        <v>2</v>
      </c>
      <c r="I1912">
        <v>497</v>
      </c>
      <c r="J1912" t="s">
        <v>839</v>
      </c>
      <c r="K1912" t="s">
        <v>812</v>
      </c>
      <c r="M1912" t="s">
        <v>1307</v>
      </c>
      <c r="Q1912" t="s">
        <v>28</v>
      </c>
      <c r="R1912" t="s">
        <v>81</v>
      </c>
      <c r="U1912" t="s">
        <v>81</v>
      </c>
      <c r="W1912">
        <v>3</v>
      </c>
      <c r="X1912" t="s">
        <v>1135</v>
      </c>
      <c r="Z1912" t="s">
        <v>38</v>
      </c>
      <c r="AB1912" t="s">
        <v>921</v>
      </c>
      <c r="AC1912" t="s">
        <v>1261</v>
      </c>
      <c r="AD1912" t="s">
        <v>39</v>
      </c>
    </row>
    <row r="1913" spans="1:30" hidden="1" x14ac:dyDescent="0.25">
      <c r="A1913">
        <v>369</v>
      </c>
      <c r="B1913" t="s">
        <v>504</v>
      </c>
      <c r="C1913">
        <v>12</v>
      </c>
      <c r="D1913">
        <v>220</v>
      </c>
      <c r="E1913">
        <v>11991</v>
      </c>
      <c r="F1913" t="s">
        <v>77</v>
      </c>
      <c r="G1913" t="s">
        <v>746</v>
      </c>
      <c r="H1913">
        <v>2</v>
      </c>
      <c r="I1913">
        <v>497</v>
      </c>
      <c r="J1913" t="s">
        <v>839</v>
      </c>
      <c r="K1913" t="s">
        <v>812</v>
      </c>
      <c r="M1913" t="s">
        <v>1307</v>
      </c>
      <c r="Q1913" t="s">
        <v>28</v>
      </c>
      <c r="R1913" t="s">
        <v>81</v>
      </c>
      <c r="U1913" t="s">
        <v>81</v>
      </c>
      <c r="W1913">
        <v>3</v>
      </c>
      <c r="X1913" t="s">
        <v>1135</v>
      </c>
      <c r="Z1913" t="s">
        <v>38</v>
      </c>
      <c r="AB1913" t="s">
        <v>921</v>
      </c>
      <c r="AC1913" t="s">
        <v>1261</v>
      </c>
      <c r="AD1913" t="s">
        <v>39</v>
      </c>
    </row>
    <row r="1914" spans="1:30" hidden="1" x14ac:dyDescent="0.25">
      <c r="A1914">
        <v>370</v>
      </c>
      <c r="B1914" t="s">
        <v>505</v>
      </c>
      <c r="C1914">
        <v>12</v>
      </c>
      <c r="D1914">
        <v>220</v>
      </c>
      <c r="E1914">
        <v>11991</v>
      </c>
      <c r="F1914" t="s">
        <v>77</v>
      </c>
      <c r="G1914" t="s">
        <v>746</v>
      </c>
      <c r="H1914">
        <v>2</v>
      </c>
      <c r="I1914">
        <v>497</v>
      </c>
      <c r="J1914" t="s">
        <v>839</v>
      </c>
      <c r="K1914" t="s">
        <v>812</v>
      </c>
      <c r="M1914" t="s">
        <v>1307</v>
      </c>
      <c r="Q1914" t="s">
        <v>28</v>
      </c>
      <c r="R1914" t="s">
        <v>81</v>
      </c>
      <c r="U1914" t="s">
        <v>81</v>
      </c>
      <c r="W1914">
        <v>3</v>
      </c>
      <c r="X1914" t="s">
        <v>1135</v>
      </c>
      <c r="Z1914" t="s">
        <v>38</v>
      </c>
      <c r="AB1914" t="s">
        <v>921</v>
      </c>
      <c r="AC1914" t="s">
        <v>1261</v>
      </c>
      <c r="AD1914" t="s">
        <v>39</v>
      </c>
    </row>
    <row r="1915" spans="1:30" hidden="1" x14ac:dyDescent="0.25">
      <c r="A1915">
        <v>371</v>
      </c>
      <c r="B1915" t="s">
        <v>506</v>
      </c>
      <c r="C1915">
        <v>12</v>
      </c>
      <c r="D1915">
        <v>220</v>
      </c>
      <c r="E1915">
        <v>7564</v>
      </c>
      <c r="F1915" t="s">
        <v>77</v>
      </c>
      <c r="G1915" t="s">
        <v>746</v>
      </c>
      <c r="H1915">
        <v>2</v>
      </c>
      <c r="I1915">
        <v>313.51</v>
      </c>
      <c r="J1915" t="s">
        <v>839</v>
      </c>
      <c r="K1915" t="s">
        <v>812</v>
      </c>
      <c r="M1915" t="s">
        <v>1307</v>
      </c>
      <c r="Q1915" t="s">
        <v>28</v>
      </c>
      <c r="S1915" t="s">
        <v>81</v>
      </c>
      <c r="U1915" t="s">
        <v>81</v>
      </c>
      <c r="W1915">
        <v>3</v>
      </c>
      <c r="X1915" t="s">
        <v>1135</v>
      </c>
      <c r="Z1915" t="s">
        <v>38</v>
      </c>
      <c r="AB1915" t="s">
        <v>921</v>
      </c>
      <c r="AC1915" t="s">
        <v>1263</v>
      </c>
      <c r="AD1915" t="s">
        <v>1264</v>
      </c>
    </row>
    <row r="1916" spans="1:30" hidden="1" x14ac:dyDescent="0.25">
      <c r="A1916">
        <v>372</v>
      </c>
      <c r="B1916" t="s">
        <v>1266</v>
      </c>
      <c r="C1916">
        <v>12</v>
      </c>
      <c r="D1916">
        <v>300</v>
      </c>
      <c r="E1916">
        <v>450</v>
      </c>
      <c r="F1916" t="s">
        <v>77</v>
      </c>
      <c r="G1916" t="s">
        <v>746</v>
      </c>
      <c r="H1916">
        <v>1</v>
      </c>
      <c r="I1916">
        <v>12.72</v>
      </c>
      <c r="J1916" t="s">
        <v>839</v>
      </c>
      <c r="K1916" t="s">
        <v>812</v>
      </c>
      <c r="M1916" t="s">
        <v>1307</v>
      </c>
      <c r="S1916" t="s">
        <v>81</v>
      </c>
      <c r="W1916">
        <v>3</v>
      </c>
      <c r="X1916" t="s">
        <v>1135</v>
      </c>
      <c r="Z1916" t="s">
        <v>38</v>
      </c>
      <c r="AB1916" t="s">
        <v>921</v>
      </c>
      <c r="AC1916" t="s">
        <v>1263</v>
      </c>
      <c r="AD1916" t="s">
        <v>1264</v>
      </c>
    </row>
    <row r="1917" spans="1:30" hidden="1" x14ac:dyDescent="0.25">
      <c r="A1917">
        <v>373</v>
      </c>
      <c r="B1917" t="s">
        <v>510</v>
      </c>
      <c r="C1917">
        <v>16</v>
      </c>
      <c r="D1917">
        <v>50</v>
      </c>
      <c r="E1917">
        <v>120</v>
      </c>
      <c r="F1917" t="s">
        <v>77</v>
      </c>
      <c r="G1917" t="s">
        <v>746</v>
      </c>
      <c r="H1917">
        <v>16</v>
      </c>
      <c r="I1917">
        <v>11.15</v>
      </c>
      <c r="J1917" t="s">
        <v>839</v>
      </c>
      <c r="K1917" t="s">
        <v>812</v>
      </c>
      <c r="M1917" t="s">
        <v>1307</v>
      </c>
      <c r="O1917" t="s">
        <v>228</v>
      </c>
      <c r="Q1917" t="s">
        <v>27</v>
      </c>
      <c r="R1917" t="s">
        <v>81</v>
      </c>
      <c r="W1917">
        <v>3</v>
      </c>
      <c r="X1917" t="s">
        <v>1135</v>
      </c>
      <c r="Z1917" t="s">
        <v>38</v>
      </c>
      <c r="AB1917" t="s">
        <v>921</v>
      </c>
      <c r="AC1917" t="s">
        <v>1268</v>
      </c>
      <c r="AD1917" t="s">
        <v>39</v>
      </c>
    </row>
    <row r="1918" spans="1:30" hidden="1" x14ac:dyDescent="0.25">
      <c r="A1918">
        <v>374</v>
      </c>
      <c r="B1918" t="s">
        <v>515</v>
      </c>
      <c r="C1918">
        <v>16</v>
      </c>
      <c r="D1918">
        <v>220</v>
      </c>
      <c r="E1918">
        <v>280</v>
      </c>
      <c r="F1918" t="s">
        <v>77</v>
      </c>
      <c r="G1918" t="s">
        <v>746</v>
      </c>
      <c r="H1918">
        <v>4</v>
      </c>
      <c r="I1918">
        <v>30.85</v>
      </c>
      <c r="J1918" t="s">
        <v>839</v>
      </c>
      <c r="K1918" t="s">
        <v>812</v>
      </c>
      <c r="M1918" t="s">
        <v>1307</v>
      </c>
      <c r="Q1918" t="s">
        <v>26</v>
      </c>
      <c r="R1918" t="s">
        <v>81</v>
      </c>
      <c r="W1918">
        <v>3</v>
      </c>
      <c r="X1918" t="s">
        <v>1135</v>
      </c>
      <c r="Z1918" t="s">
        <v>38</v>
      </c>
      <c r="AB1918" t="s">
        <v>921</v>
      </c>
      <c r="AC1918" t="s">
        <v>1268</v>
      </c>
      <c r="AD1918" t="s">
        <v>39</v>
      </c>
    </row>
    <row r="1919" spans="1:30" hidden="1" x14ac:dyDescent="0.25">
      <c r="A1919">
        <v>375</v>
      </c>
      <c r="B1919" t="s">
        <v>517</v>
      </c>
      <c r="C1919">
        <v>16</v>
      </c>
      <c r="D1919">
        <v>200</v>
      </c>
      <c r="E1919">
        <v>300</v>
      </c>
      <c r="F1919" t="s">
        <v>77</v>
      </c>
      <c r="G1919" t="s">
        <v>746</v>
      </c>
      <c r="H1919">
        <v>2</v>
      </c>
      <c r="I1919">
        <v>9.73</v>
      </c>
      <c r="J1919" t="s">
        <v>839</v>
      </c>
      <c r="K1919" t="s">
        <v>812</v>
      </c>
      <c r="M1919" t="s">
        <v>1307</v>
      </c>
      <c r="Q1919" t="s">
        <v>26</v>
      </c>
      <c r="R1919" t="s">
        <v>81</v>
      </c>
      <c r="W1919">
        <v>3</v>
      </c>
      <c r="X1919" t="s">
        <v>1135</v>
      </c>
      <c r="Z1919" t="s">
        <v>38</v>
      </c>
      <c r="AB1919" t="s">
        <v>921</v>
      </c>
      <c r="AC1919" t="s">
        <v>1268</v>
      </c>
      <c r="AD1919" t="s">
        <v>39</v>
      </c>
    </row>
    <row r="1920" spans="1:30" hidden="1" x14ac:dyDescent="0.25">
      <c r="A1920">
        <v>376</v>
      </c>
      <c r="B1920" t="s">
        <v>519</v>
      </c>
      <c r="C1920">
        <v>16</v>
      </c>
      <c r="D1920">
        <v>200</v>
      </c>
      <c r="E1920">
        <v>300</v>
      </c>
      <c r="F1920" t="s">
        <v>77</v>
      </c>
      <c r="G1920" t="s">
        <v>746</v>
      </c>
      <c r="H1920">
        <v>2</v>
      </c>
      <c r="I1920">
        <v>9.73</v>
      </c>
      <c r="J1920" t="s">
        <v>839</v>
      </c>
      <c r="K1920" t="s">
        <v>812</v>
      </c>
      <c r="M1920" t="s">
        <v>1307</v>
      </c>
      <c r="Q1920" t="s">
        <v>26</v>
      </c>
      <c r="R1920" t="s">
        <v>81</v>
      </c>
      <c r="W1920">
        <v>3</v>
      </c>
      <c r="X1920" t="s">
        <v>1135</v>
      </c>
      <c r="Z1920" t="s">
        <v>38</v>
      </c>
      <c r="AB1920" t="s">
        <v>921</v>
      </c>
      <c r="AC1920" t="s">
        <v>1268</v>
      </c>
      <c r="AD1920" t="s">
        <v>39</v>
      </c>
    </row>
    <row r="1921" spans="1:30" hidden="1" x14ac:dyDescent="0.25">
      <c r="A1921">
        <v>377</v>
      </c>
      <c r="B1921" t="s">
        <v>520</v>
      </c>
      <c r="C1921">
        <v>16</v>
      </c>
      <c r="D1921">
        <v>275</v>
      </c>
      <c r="E1921">
        <v>12000</v>
      </c>
      <c r="F1921" t="s">
        <v>77</v>
      </c>
      <c r="G1921" t="s">
        <v>746</v>
      </c>
      <c r="H1921">
        <v>1</v>
      </c>
      <c r="I1921">
        <v>414.49</v>
      </c>
      <c r="J1921" t="s">
        <v>839</v>
      </c>
      <c r="K1921" t="s">
        <v>812</v>
      </c>
      <c r="M1921" t="s">
        <v>1307</v>
      </c>
      <c r="Q1921" t="s">
        <v>28</v>
      </c>
      <c r="R1921" t="s">
        <v>81</v>
      </c>
      <c r="U1921" t="s">
        <v>81</v>
      </c>
      <c r="W1921">
        <v>3</v>
      </c>
      <c r="X1921" t="s">
        <v>1135</v>
      </c>
      <c r="Z1921" t="s">
        <v>38</v>
      </c>
      <c r="AB1921" t="s">
        <v>921</v>
      </c>
      <c r="AC1921" t="s">
        <v>1268</v>
      </c>
      <c r="AD1921" t="s">
        <v>39</v>
      </c>
    </row>
    <row r="1922" spans="1:30" hidden="1" x14ac:dyDescent="0.25">
      <c r="A1922">
        <v>378</v>
      </c>
      <c r="B1922" t="s">
        <v>522</v>
      </c>
      <c r="C1922">
        <v>16</v>
      </c>
      <c r="D1922">
        <v>275</v>
      </c>
      <c r="E1922">
        <v>12000</v>
      </c>
      <c r="F1922" t="s">
        <v>77</v>
      </c>
      <c r="G1922" t="s">
        <v>746</v>
      </c>
      <c r="H1922">
        <v>1</v>
      </c>
      <c r="I1922">
        <v>414.48</v>
      </c>
      <c r="J1922" t="s">
        <v>839</v>
      </c>
      <c r="K1922" t="s">
        <v>812</v>
      </c>
      <c r="M1922" t="s">
        <v>1307</v>
      </c>
      <c r="Q1922" t="s">
        <v>28</v>
      </c>
      <c r="R1922" t="s">
        <v>81</v>
      </c>
      <c r="U1922" t="s">
        <v>81</v>
      </c>
      <c r="W1922">
        <v>3</v>
      </c>
      <c r="X1922" t="s">
        <v>1135</v>
      </c>
      <c r="Z1922" t="s">
        <v>38</v>
      </c>
      <c r="AB1922" t="s">
        <v>921</v>
      </c>
      <c r="AC1922" t="s">
        <v>1268</v>
      </c>
      <c r="AD1922" t="s">
        <v>39</v>
      </c>
    </row>
    <row r="1923" spans="1:30" hidden="1" x14ac:dyDescent="0.25">
      <c r="A1923">
        <v>379</v>
      </c>
      <c r="B1923" t="s">
        <v>523</v>
      </c>
      <c r="C1923">
        <v>16</v>
      </c>
      <c r="D1923">
        <v>275</v>
      </c>
      <c r="E1923">
        <v>11976</v>
      </c>
      <c r="F1923" t="s">
        <v>77</v>
      </c>
      <c r="G1923" t="s">
        <v>746</v>
      </c>
      <c r="H1923">
        <v>1</v>
      </c>
      <c r="I1923">
        <v>413.65</v>
      </c>
      <c r="J1923" t="s">
        <v>839</v>
      </c>
      <c r="K1923" t="s">
        <v>812</v>
      </c>
      <c r="M1923" t="s">
        <v>1307</v>
      </c>
      <c r="Q1923" t="s">
        <v>28</v>
      </c>
      <c r="R1923" t="s">
        <v>81</v>
      </c>
      <c r="U1923" t="s">
        <v>81</v>
      </c>
      <c r="W1923">
        <v>3</v>
      </c>
      <c r="X1923" t="s">
        <v>1135</v>
      </c>
      <c r="Z1923" t="s">
        <v>38</v>
      </c>
      <c r="AB1923" t="s">
        <v>921</v>
      </c>
      <c r="AC1923" t="s">
        <v>1268</v>
      </c>
      <c r="AD1923" t="s">
        <v>39</v>
      </c>
    </row>
    <row r="1924" spans="1:30" hidden="1" x14ac:dyDescent="0.25">
      <c r="A1924">
        <v>380</v>
      </c>
      <c r="B1924" t="s">
        <v>525</v>
      </c>
      <c r="C1924">
        <v>16</v>
      </c>
      <c r="D1924">
        <v>200</v>
      </c>
      <c r="E1924">
        <v>300</v>
      </c>
      <c r="F1924" t="s">
        <v>77</v>
      </c>
      <c r="G1924" t="s">
        <v>746</v>
      </c>
      <c r="H1924">
        <v>2</v>
      </c>
      <c r="I1924">
        <v>9.73</v>
      </c>
      <c r="J1924" t="s">
        <v>839</v>
      </c>
      <c r="K1924" t="s">
        <v>812</v>
      </c>
      <c r="M1924" t="s">
        <v>1307</v>
      </c>
      <c r="Q1924" t="s">
        <v>26</v>
      </c>
      <c r="R1924" t="s">
        <v>81</v>
      </c>
      <c r="W1924">
        <v>3</v>
      </c>
      <c r="X1924" t="s">
        <v>1135</v>
      </c>
      <c r="Z1924" t="s">
        <v>38</v>
      </c>
      <c r="AB1924" t="s">
        <v>921</v>
      </c>
      <c r="AC1924" t="s">
        <v>1268</v>
      </c>
      <c r="AD1924" t="s">
        <v>39</v>
      </c>
    </row>
    <row r="1925" spans="1:30" hidden="1" x14ac:dyDescent="0.25">
      <c r="A1925">
        <v>381</v>
      </c>
      <c r="B1925" t="s">
        <v>526</v>
      </c>
      <c r="C1925">
        <v>16</v>
      </c>
      <c r="D1925">
        <v>200</v>
      </c>
      <c r="E1925">
        <v>300</v>
      </c>
      <c r="F1925" t="s">
        <v>77</v>
      </c>
      <c r="G1925" t="s">
        <v>746</v>
      </c>
      <c r="H1925">
        <v>2</v>
      </c>
      <c r="I1925">
        <v>9.73</v>
      </c>
      <c r="J1925" t="s">
        <v>839</v>
      </c>
      <c r="K1925" t="s">
        <v>812</v>
      </c>
      <c r="M1925" t="s">
        <v>1307</v>
      </c>
      <c r="Q1925" t="s">
        <v>26</v>
      </c>
      <c r="R1925" t="s">
        <v>81</v>
      </c>
      <c r="W1925">
        <v>3</v>
      </c>
      <c r="X1925" t="s">
        <v>1135</v>
      </c>
      <c r="Z1925" t="s">
        <v>38</v>
      </c>
      <c r="AB1925" t="s">
        <v>921</v>
      </c>
      <c r="AC1925" t="s">
        <v>1268</v>
      </c>
      <c r="AD1925" t="s">
        <v>39</v>
      </c>
    </row>
    <row r="1926" spans="1:30" hidden="1" x14ac:dyDescent="0.25">
      <c r="A1926">
        <v>382</v>
      </c>
      <c r="B1926" t="s">
        <v>527</v>
      </c>
      <c r="C1926">
        <v>16</v>
      </c>
      <c r="D1926">
        <v>275</v>
      </c>
      <c r="E1926">
        <v>12000</v>
      </c>
      <c r="F1926" t="s">
        <v>77</v>
      </c>
      <c r="G1926" t="s">
        <v>746</v>
      </c>
      <c r="H1926">
        <v>1</v>
      </c>
      <c r="I1926">
        <v>414.48</v>
      </c>
      <c r="J1926" t="s">
        <v>839</v>
      </c>
      <c r="K1926" t="s">
        <v>812</v>
      </c>
      <c r="M1926" t="s">
        <v>1307</v>
      </c>
      <c r="Q1926" t="s">
        <v>28</v>
      </c>
      <c r="R1926" t="s">
        <v>81</v>
      </c>
      <c r="U1926" t="s">
        <v>81</v>
      </c>
      <c r="W1926">
        <v>3</v>
      </c>
      <c r="X1926" t="s">
        <v>1135</v>
      </c>
      <c r="Z1926" t="s">
        <v>38</v>
      </c>
      <c r="AB1926" t="s">
        <v>921</v>
      </c>
      <c r="AC1926" t="s">
        <v>1268</v>
      </c>
      <c r="AD1926" t="s">
        <v>39</v>
      </c>
    </row>
    <row r="1927" spans="1:30" hidden="1" x14ac:dyDescent="0.25">
      <c r="A1927">
        <v>383</v>
      </c>
      <c r="B1927" t="s">
        <v>528</v>
      </c>
      <c r="C1927">
        <v>16</v>
      </c>
      <c r="D1927">
        <v>275</v>
      </c>
      <c r="E1927">
        <v>7587</v>
      </c>
      <c r="F1927" t="s">
        <v>77</v>
      </c>
      <c r="G1927" t="s">
        <v>746</v>
      </c>
      <c r="H1927">
        <v>1</v>
      </c>
      <c r="I1927">
        <v>262.06</v>
      </c>
      <c r="J1927" t="s">
        <v>839</v>
      </c>
      <c r="K1927" t="s">
        <v>812</v>
      </c>
      <c r="M1927" t="s">
        <v>1307</v>
      </c>
      <c r="Q1927" t="s">
        <v>28</v>
      </c>
      <c r="R1927" t="s">
        <v>81</v>
      </c>
      <c r="U1927" t="s">
        <v>81</v>
      </c>
      <c r="W1927">
        <v>3</v>
      </c>
      <c r="X1927" t="s">
        <v>1135</v>
      </c>
      <c r="Z1927" t="s">
        <v>38</v>
      </c>
      <c r="AB1927" t="s">
        <v>921</v>
      </c>
      <c r="AC1927" t="s">
        <v>1268</v>
      </c>
      <c r="AD1927" t="s">
        <v>39</v>
      </c>
    </row>
    <row r="1928" spans="1:30" hidden="1" x14ac:dyDescent="0.25">
      <c r="A1928">
        <v>384</v>
      </c>
      <c r="B1928" t="s">
        <v>530</v>
      </c>
      <c r="C1928">
        <v>16</v>
      </c>
      <c r="D1928">
        <v>275</v>
      </c>
      <c r="E1928">
        <v>12000</v>
      </c>
      <c r="F1928" t="s">
        <v>77</v>
      </c>
      <c r="G1928" t="s">
        <v>746</v>
      </c>
      <c r="H1928">
        <v>1</v>
      </c>
      <c r="I1928">
        <v>414.48</v>
      </c>
      <c r="J1928" t="s">
        <v>839</v>
      </c>
      <c r="K1928" t="s">
        <v>812</v>
      </c>
      <c r="M1928" t="s">
        <v>1307</v>
      </c>
      <c r="Q1928" t="s">
        <v>28</v>
      </c>
      <c r="R1928" t="s">
        <v>81</v>
      </c>
      <c r="U1928" t="s">
        <v>81</v>
      </c>
      <c r="W1928">
        <v>3</v>
      </c>
      <c r="X1928" t="s">
        <v>1135</v>
      </c>
      <c r="Z1928" t="s">
        <v>38</v>
      </c>
      <c r="AB1928" t="s">
        <v>921</v>
      </c>
      <c r="AC1928" t="s">
        <v>1268</v>
      </c>
      <c r="AD1928" t="s">
        <v>39</v>
      </c>
    </row>
    <row r="1929" spans="1:30" hidden="1" x14ac:dyDescent="0.25">
      <c r="A1929">
        <v>385</v>
      </c>
      <c r="B1929" t="s">
        <v>531</v>
      </c>
      <c r="C1929">
        <v>16</v>
      </c>
      <c r="D1929">
        <v>275</v>
      </c>
      <c r="E1929">
        <v>7583</v>
      </c>
      <c r="F1929" t="s">
        <v>77</v>
      </c>
      <c r="G1929" t="s">
        <v>746</v>
      </c>
      <c r="H1929">
        <v>1</v>
      </c>
      <c r="I1929">
        <v>261.92</v>
      </c>
      <c r="J1929" t="s">
        <v>839</v>
      </c>
      <c r="K1929" t="s">
        <v>812</v>
      </c>
      <c r="M1929" t="s">
        <v>1307</v>
      </c>
      <c r="Q1929" t="s">
        <v>28</v>
      </c>
      <c r="R1929" t="s">
        <v>81</v>
      </c>
      <c r="U1929" t="s">
        <v>81</v>
      </c>
      <c r="W1929">
        <v>3</v>
      </c>
      <c r="X1929" t="s">
        <v>1135</v>
      </c>
      <c r="Z1929" t="s">
        <v>38</v>
      </c>
      <c r="AB1929" t="s">
        <v>921</v>
      </c>
      <c r="AC1929" t="s">
        <v>1268</v>
      </c>
      <c r="AD1929" t="s">
        <v>39</v>
      </c>
    </row>
    <row r="1930" spans="1:30" hidden="1" x14ac:dyDescent="0.25">
      <c r="A1930">
        <v>386</v>
      </c>
      <c r="B1930" t="s">
        <v>535</v>
      </c>
      <c r="C1930">
        <v>16</v>
      </c>
      <c r="D1930">
        <v>220</v>
      </c>
      <c r="E1930">
        <v>280</v>
      </c>
      <c r="F1930" t="s">
        <v>77</v>
      </c>
      <c r="G1930" t="s">
        <v>746</v>
      </c>
      <c r="H1930">
        <v>4</v>
      </c>
      <c r="I1930">
        <v>30.85</v>
      </c>
      <c r="J1930" t="s">
        <v>839</v>
      </c>
      <c r="K1930" t="s">
        <v>812</v>
      </c>
      <c r="M1930" t="s">
        <v>1307</v>
      </c>
      <c r="Q1930" t="s">
        <v>26</v>
      </c>
      <c r="R1930" t="s">
        <v>81</v>
      </c>
      <c r="W1930">
        <v>3</v>
      </c>
      <c r="X1930" t="s">
        <v>1135</v>
      </c>
      <c r="Z1930" t="s">
        <v>38</v>
      </c>
      <c r="AB1930" t="s">
        <v>921</v>
      </c>
      <c r="AC1930" t="s">
        <v>1268</v>
      </c>
      <c r="AD1930" t="s">
        <v>39</v>
      </c>
    </row>
    <row r="1931" spans="1:30" hidden="1" x14ac:dyDescent="0.25">
      <c r="A1931">
        <v>387</v>
      </c>
      <c r="B1931" t="s">
        <v>536</v>
      </c>
      <c r="C1931">
        <v>16</v>
      </c>
      <c r="D1931">
        <v>170</v>
      </c>
      <c r="E1931">
        <v>170</v>
      </c>
      <c r="F1931" t="s">
        <v>77</v>
      </c>
      <c r="G1931" t="s">
        <v>746</v>
      </c>
      <c r="H1931">
        <v>6</v>
      </c>
      <c r="I1931">
        <v>21.63</v>
      </c>
      <c r="J1931" t="s">
        <v>839</v>
      </c>
      <c r="K1931" t="s">
        <v>812</v>
      </c>
      <c r="M1931" t="s">
        <v>1307</v>
      </c>
      <c r="Q1931" t="s">
        <v>26</v>
      </c>
      <c r="R1931" t="s">
        <v>81</v>
      </c>
      <c r="W1931">
        <v>3</v>
      </c>
      <c r="X1931" t="s">
        <v>1135</v>
      </c>
      <c r="Z1931" t="s">
        <v>38</v>
      </c>
      <c r="AB1931" t="s">
        <v>921</v>
      </c>
      <c r="AC1931" t="s">
        <v>1268</v>
      </c>
      <c r="AD1931" t="s">
        <v>39</v>
      </c>
    </row>
    <row r="1932" spans="1:30" hidden="1" x14ac:dyDescent="0.25">
      <c r="A1932">
        <v>388</v>
      </c>
      <c r="B1932" t="s">
        <v>538</v>
      </c>
      <c r="C1932">
        <v>16</v>
      </c>
      <c r="D1932">
        <v>170</v>
      </c>
      <c r="E1932">
        <v>170</v>
      </c>
      <c r="F1932" t="s">
        <v>77</v>
      </c>
      <c r="G1932" t="s">
        <v>746</v>
      </c>
      <c r="H1932">
        <v>4</v>
      </c>
      <c r="I1932">
        <v>14.42</v>
      </c>
      <c r="J1932" t="s">
        <v>839</v>
      </c>
      <c r="K1932" t="s">
        <v>812</v>
      </c>
      <c r="M1932" t="s">
        <v>1307</v>
      </c>
      <c r="Q1932" t="s">
        <v>26</v>
      </c>
      <c r="R1932" t="s">
        <v>81</v>
      </c>
      <c r="W1932">
        <v>3</v>
      </c>
      <c r="X1932" t="s">
        <v>1135</v>
      </c>
      <c r="Z1932" t="s">
        <v>38</v>
      </c>
      <c r="AB1932" t="s">
        <v>921</v>
      </c>
      <c r="AC1932" t="s">
        <v>1268</v>
      </c>
      <c r="AD1932" t="s">
        <v>39</v>
      </c>
    </row>
    <row r="1933" spans="1:30" hidden="1" x14ac:dyDescent="0.25">
      <c r="A1933">
        <v>389</v>
      </c>
      <c r="B1933" t="s">
        <v>539</v>
      </c>
      <c r="C1933">
        <v>16</v>
      </c>
      <c r="D1933">
        <v>170</v>
      </c>
      <c r="E1933">
        <v>170</v>
      </c>
      <c r="F1933" t="s">
        <v>77</v>
      </c>
      <c r="G1933" t="s">
        <v>746</v>
      </c>
      <c r="H1933">
        <v>4</v>
      </c>
      <c r="I1933">
        <v>14.42</v>
      </c>
      <c r="J1933" t="s">
        <v>839</v>
      </c>
      <c r="K1933" t="s">
        <v>812</v>
      </c>
      <c r="M1933" t="s">
        <v>1307</v>
      </c>
      <c r="Q1933" t="s">
        <v>26</v>
      </c>
      <c r="R1933" t="s">
        <v>81</v>
      </c>
      <c r="W1933">
        <v>3</v>
      </c>
      <c r="X1933" t="s">
        <v>1135</v>
      </c>
      <c r="Z1933" t="s">
        <v>38</v>
      </c>
      <c r="AB1933" t="s">
        <v>921</v>
      </c>
      <c r="AC1933" t="s">
        <v>1268</v>
      </c>
      <c r="AD1933" t="s">
        <v>39</v>
      </c>
    </row>
    <row r="1934" spans="1:30" hidden="1" x14ac:dyDescent="0.25">
      <c r="A1934">
        <v>390</v>
      </c>
      <c r="B1934" t="s">
        <v>540</v>
      </c>
      <c r="C1934">
        <v>16</v>
      </c>
      <c r="D1934">
        <v>170</v>
      </c>
      <c r="E1934">
        <v>170</v>
      </c>
      <c r="F1934" t="s">
        <v>77</v>
      </c>
      <c r="G1934" t="s">
        <v>746</v>
      </c>
      <c r="H1934">
        <v>4</v>
      </c>
      <c r="I1934">
        <v>14.42</v>
      </c>
      <c r="J1934" t="s">
        <v>839</v>
      </c>
      <c r="K1934" t="s">
        <v>812</v>
      </c>
      <c r="M1934" t="s">
        <v>1307</v>
      </c>
      <c r="Q1934" t="s">
        <v>26</v>
      </c>
      <c r="R1934" t="s">
        <v>81</v>
      </c>
      <c r="W1934">
        <v>3</v>
      </c>
      <c r="X1934" t="s">
        <v>1135</v>
      </c>
      <c r="Z1934" t="s">
        <v>38</v>
      </c>
      <c r="AB1934" t="s">
        <v>921</v>
      </c>
      <c r="AC1934" t="s">
        <v>1268</v>
      </c>
      <c r="AD1934" t="s">
        <v>39</v>
      </c>
    </row>
    <row r="1935" spans="1:30" hidden="1" x14ac:dyDescent="0.25">
      <c r="A1935">
        <v>391</v>
      </c>
      <c r="B1935" t="s">
        <v>541</v>
      </c>
      <c r="C1935">
        <v>16</v>
      </c>
      <c r="D1935">
        <v>170</v>
      </c>
      <c r="E1935">
        <v>170</v>
      </c>
      <c r="F1935" t="s">
        <v>77</v>
      </c>
      <c r="G1935" t="s">
        <v>746</v>
      </c>
      <c r="H1935">
        <v>4</v>
      </c>
      <c r="I1935">
        <v>14.42</v>
      </c>
      <c r="J1935" t="s">
        <v>839</v>
      </c>
      <c r="K1935" t="s">
        <v>812</v>
      </c>
      <c r="M1935" t="s">
        <v>1307</v>
      </c>
      <c r="Q1935" t="s">
        <v>26</v>
      </c>
      <c r="R1935" t="s">
        <v>81</v>
      </c>
      <c r="W1935">
        <v>3</v>
      </c>
      <c r="X1935" t="s">
        <v>1135</v>
      </c>
      <c r="Z1935" t="s">
        <v>38</v>
      </c>
      <c r="AB1935" t="s">
        <v>921</v>
      </c>
      <c r="AC1935" t="s">
        <v>1268</v>
      </c>
      <c r="AD1935" t="s">
        <v>39</v>
      </c>
    </row>
    <row r="1936" spans="1:30" hidden="1" x14ac:dyDescent="0.25">
      <c r="A1936">
        <v>392</v>
      </c>
      <c r="B1936" t="s">
        <v>542</v>
      </c>
      <c r="C1936">
        <v>16</v>
      </c>
      <c r="D1936">
        <v>170</v>
      </c>
      <c r="E1936">
        <v>170</v>
      </c>
      <c r="F1936" t="s">
        <v>77</v>
      </c>
      <c r="G1936" t="s">
        <v>746</v>
      </c>
      <c r="H1936">
        <v>4</v>
      </c>
      <c r="I1936">
        <v>14.42</v>
      </c>
      <c r="J1936" t="s">
        <v>839</v>
      </c>
      <c r="K1936" t="s">
        <v>812</v>
      </c>
      <c r="M1936" t="s">
        <v>1307</v>
      </c>
      <c r="Q1936" t="s">
        <v>26</v>
      </c>
      <c r="R1936" t="s">
        <v>81</v>
      </c>
      <c r="W1936">
        <v>3</v>
      </c>
      <c r="X1936" t="s">
        <v>1135</v>
      </c>
      <c r="Z1936" t="s">
        <v>38</v>
      </c>
      <c r="AB1936" t="s">
        <v>921</v>
      </c>
      <c r="AC1936" t="s">
        <v>1268</v>
      </c>
      <c r="AD1936" t="s">
        <v>39</v>
      </c>
    </row>
    <row r="1937" spans="1:30" hidden="1" x14ac:dyDescent="0.25">
      <c r="A1937">
        <v>393</v>
      </c>
      <c r="B1937" t="s">
        <v>543</v>
      </c>
      <c r="C1937">
        <v>16</v>
      </c>
      <c r="D1937">
        <v>170</v>
      </c>
      <c r="E1937">
        <v>170</v>
      </c>
      <c r="F1937" t="s">
        <v>77</v>
      </c>
      <c r="G1937" t="s">
        <v>746</v>
      </c>
      <c r="H1937">
        <v>4</v>
      </c>
      <c r="I1937">
        <v>14.42</v>
      </c>
      <c r="J1937" t="s">
        <v>839</v>
      </c>
      <c r="K1937" t="s">
        <v>812</v>
      </c>
      <c r="M1937" t="s">
        <v>1307</v>
      </c>
      <c r="Q1937" t="s">
        <v>26</v>
      </c>
      <c r="R1937" t="s">
        <v>81</v>
      </c>
      <c r="W1937">
        <v>3</v>
      </c>
      <c r="X1937" t="s">
        <v>1135</v>
      </c>
      <c r="Z1937" t="s">
        <v>38</v>
      </c>
      <c r="AB1937" t="s">
        <v>921</v>
      </c>
      <c r="AC1937" t="s">
        <v>1268</v>
      </c>
      <c r="AD1937" t="s">
        <v>39</v>
      </c>
    </row>
    <row r="1938" spans="1:30" hidden="1" x14ac:dyDescent="0.25">
      <c r="A1938">
        <v>394</v>
      </c>
      <c r="B1938" t="s">
        <v>544</v>
      </c>
      <c r="C1938">
        <v>16</v>
      </c>
      <c r="D1938">
        <v>170</v>
      </c>
      <c r="E1938">
        <v>170</v>
      </c>
      <c r="F1938" t="s">
        <v>77</v>
      </c>
      <c r="G1938" t="s">
        <v>746</v>
      </c>
      <c r="H1938">
        <v>4</v>
      </c>
      <c r="I1938">
        <v>14.42</v>
      </c>
      <c r="J1938" t="s">
        <v>839</v>
      </c>
      <c r="K1938" t="s">
        <v>812</v>
      </c>
      <c r="M1938" t="s">
        <v>1307</v>
      </c>
      <c r="Q1938" t="s">
        <v>26</v>
      </c>
      <c r="R1938" t="s">
        <v>81</v>
      </c>
      <c r="W1938">
        <v>3</v>
      </c>
      <c r="X1938" t="s">
        <v>1135</v>
      </c>
      <c r="Z1938" t="s">
        <v>38</v>
      </c>
      <c r="AB1938" t="s">
        <v>921</v>
      </c>
      <c r="AC1938" t="s">
        <v>1268</v>
      </c>
      <c r="AD1938" t="s">
        <v>39</v>
      </c>
    </row>
    <row r="1939" spans="1:30" hidden="1" x14ac:dyDescent="0.25">
      <c r="A1939">
        <v>395</v>
      </c>
      <c r="B1939" t="s">
        <v>545</v>
      </c>
      <c r="C1939">
        <v>16</v>
      </c>
      <c r="D1939">
        <v>170</v>
      </c>
      <c r="E1939">
        <v>170</v>
      </c>
      <c r="F1939" t="s">
        <v>77</v>
      </c>
      <c r="G1939" t="s">
        <v>746</v>
      </c>
      <c r="H1939">
        <v>4</v>
      </c>
      <c r="I1939">
        <v>14.42</v>
      </c>
      <c r="J1939" t="s">
        <v>839</v>
      </c>
      <c r="K1939" t="s">
        <v>812</v>
      </c>
      <c r="M1939" t="s">
        <v>1307</v>
      </c>
      <c r="Q1939" t="s">
        <v>26</v>
      </c>
      <c r="R1939" t="s">
        <v>81</v>
      </c>
      <c r="W1939">
        <v>3</v>
      </c>
      <c r="X1939" t="s">
        <v>1135</v>
      </c>
      <c r="Z1939" t="s">
        <v>38</v>
      </c>
      <c r="AB1939" t="s">
        <v>921</v>
      </c>
      <c r="AC1939" t="s">
        <v>1268</v>
      </c>
      <c r="AD1939" t="s">
        <v>39</v>
      </c>
    </row>
    <row r="1940" spans="1:30" hidden="1" x14ac:dyDescent="0.25">
      <c r="A1940">
        <v>396</v>
      </c>
      <c r="B1940" t="s">
        <v>546</v>
      </c>
      <c r="C1940">
        <v>16</v>
      </c>
      <c r="D1940">
        <v>170</v>
      </c>
      <c r="E1940">
        <v>170</v>
      </c>
      <c r="F1940" t="s">
        <v>77</v>
      </c>
      <c r="G1940" t="s">
        <v>746</v>
      </c>
      <c r="H1940">
        <v>6</v>
      </c>
      <c r="I1940">
        <v>21.63</v>
      </c>
      <c r="J1940" t="s">
        <v>839</v>
      </c>
      <c r="K1940" t="s">
        <v>812</v>
      </c>
      <c r="M1940" t="s">
        <v>1307</v>
      </c>
      <c r="Q1940" t="s">
        <v>26</v>
      </c>
      <c r="R1940" t="s">
        <v>81</v>
      </c>
      <c r="W1940">
        <v>3</v>
      </c>
      <c r="X1940" t="s">
        <v>1135</v>
      </c>
      <c r="Z1940" t="s">
        <v>38</v>
      </c>
      <c r="AB1940" t="s">
        <v>921</v>
      </c>
      <c r="AC1940" t="s">
        <v>1268</v>
      </c>
      <c r="AD1940" t="s">
        <v>39</v>
      </c>
    </row>
    <row r="1941" spans="1:30" hidden="1" x14ac:dyDescent="0.25">
      <c r="A1941">
        <v>397</v>
      </c>
      <c r="B1941" t="s">
        <v>533</v>
      </c>
      <c r="C1941">
        <v>16</v>
      </c>
      <c r="D1941">
        <v>240</v>
      </c>
      <c r="E1941">
        <v>240</v>
      </c>
      <c r="F1941" t="s">
        <v>77</v>
      </c>
      <c r="G1941" t="s">
        <v>746</v>
      </c>
      <c r="H1941">
        <v>2</v>
      </c>
      <c r="I1941">
        <v>8.0299999999999994</v>
      </c>
      <c r="J1941" t="s">
        <v>839</v>
      </c>
      <c r="K1941" t="s">
        <v>812</v>
      </c>
      <c r="M1941" t="s">
        <v>1307</v>
      </c>
      <c r="O1941" t="s">
        <v>228</v>
      </c>
      <c r="Q1941" t="s">
        <v>27</v>
      </c>
      <c r="R1941" t="s">
        <v>81</v>
      </c>
      <c r="W1941">
        <v>3</v>
      </c>
      <c r="X1941" t="s">
        <v>1135</v>
      </c>
      <c r="Z1941" t="s">
        <v>38</v>
      </c>
      <c r="AB1941" t="s">
        <v>921</v>
      </c>
      <c r="AC1941" t="s">
        <v>1268</v>
      </c>
      <c r="AD1941" t="s">
        <v>39</v>
      </c>
    </row>
    <row r="1942" spans="1:30" hidden="1" x14ac:dyDescent="0.25">
      <c r="A1942">
        <v>398</v>
      </c>
      <c r="B1942" t="s">
        <v>547</v>
      </c>
      <c r="C1942">
        <v>16</v>
      </c>
      <c r="D1942">
        <v>275</v>
      </c>
      <c r="E1942">
        <v>11976</v>
      </c>
      <c r="F1942" t="s">
        <v>77</v>
      </c>
      <c r="G1942" t="s">
        <v>746</v>
      </c>
      <c r="H1942">
        <v>1</v>
      </c>
      <c r="I1942">
        <v>413.65</v>
      </c>
      <c r="J1942" t="s">
        <v>839</v>
      </c>
      <c r="K1942" t="s">
        <v>812</v>
      </c>
      <c r="M1942" t="s">
        <v>1307</v>
      </c>
      <c r="Q1942" t="s">
        <v>28</v>
      </c>
      <c r="R1942" t="s">
        <v>81</v>
      </c>
      <c r="U1942" t="s">
        <v>81</v>
      </c>
      <c r="W1942">
        <v>3</v>
      </c>
      <c r="X1942" t="s">
        <v>1135</v>
      </c>
      <c r="Z1942" t="s">
        <v>38</v>
      </c>
      <c r="AB1942" t="s">
        <v>921</v>
      </c>
      <c r="AC1942" t="s">
        <v>1270</v>
      </c>
      <c r="AD1942" t="s">
        <v>39</v>
      </c>
    </row>
    <row r="1943" spans="1:30" hidden="1" x14ac:dyDescent="0.25">
      <c r="A1943">
        <v>399</v>
      </c>
      <c r="B1943" t="s">
        <v>550</v>
      </c>
      <c r="C1943">
        <v>16</v>
      </c>
      <c r="D1943">
        <v>275</v>
      </c>
      <c r="E1943">
        <v>11978</v>
      </c>
      <c r="F1943" t="s">
        <v>77</v>
      </c>
      <c r="G1943" t="s">
        <v>746</v>
      </c>
      <c r="H1943">
        <v>1</v>
      </c>
      <c r="I1943">
        <v>413.72</v>
      </c>
      <c r="J1943" t="s">
        <v>839</v>
      </c>
      <c r="K1943" t="s">
        <v>812</v>
      </c>
      <c r="M1943" t="s">
        <v>1307</v>
      </c>
      <c r="Q1943" t="s">
        <v>28</v>
      </c>
      <c r="R1943" t="s">
        <v>81</v>
      </c>
      <c r="U1943" t="s">
        <v>81</v>
      </c>
      <c r="W1943">
        <v>3</v>
      </c>
      <c r="X1943" t="s">
        <v>1135</v>
      </c>
      <c r="Z1943" t="s">
        <v>38</v>
      </c>
      <c r="AB1943" t="s">
        <v>921</v>
      </c>
      <c r="AC1943" t="s">
        <v>1270</v>
      </c>
      <c r="AD1943" t="s">
        <v>39</v>
      </c>
    </row>
    <row r="1944" spans="1:30" hidden="1" x14ac:dyDescent="0.25">
      <c r="A1944">
        <v>400</v>
      </c>
      <c r="B1944" t="s">
        <v>552</v>
      </c>
      <c r="C1944">
        <v>16</v>
      </c>
      <c r="D1944">
        <v>275</v>
      </c>
      <c r="E1944">
        <v>12007</v>
      </c>
      <c r="F1944" t="s">
        <v>77</v>
      </c>
      <c r="G1944" t="s">
        <v>746</v>
      </c>
      <c r="H1944">
        <v>1</v>
      </c>
      <c r="I1944">
        <v>414.72</v>
      </c>
      <c r="J1944" t="s">
        <v>839</v>
      </c>
      <c r="K1944" t="s">
        <v>812</v>
      </c>
      <c r="M1944" t="s">
        <v>1307</v>
      </c>
      <c r="Q1944" t="s">
        <v>28</v>
      </c>
      <c r="R1944" t="s">
        <v>81</v>
      </c>
      <c r="U1944" t="s">
        <v>81</v>
      </c>
      <c r="W1944">
        <v>3</v>
      </c>
      <c r="X1944" t="s">
        <v>1135</v>
      </c>
      <c r="Z1944" t="s">
        <v>38</v>
      </c>
      <c r="AB1944" t="s">
        <v>921</v>
      </c>
      <c r="AC1944" t="s">
        <v>1270</v>
      </c>
      <c r="AD1944" t="s">
        <v>39</v>
      </c>
    </row>
    <row r="1945" spans="1:30" hidden="1" x14ac:dyDescent="0.25">
      <c r="A1945">
        <v>401</v>
      </c>
      <c r="B1945" t="s">
        <v>554</v>
      </c>
      <c r="C1945">
        <v>16</v>
      </c>
      <c r="D1945">
        <v>275</v>
      </c>
      <c r="E1945">
        <v>12005</v>
      </c>
      <c r="F1945" t="s">
        <v>77</v>
      </c>
      <c r="G1945" t="s">
        <v>746</v>
      </c>
      <c r="H1945">
        <v>1</v>
      </c>
      <c r="I1945">
        <v>414.65</v>
      </c>
      <c r="J1945" t="s">
        <v>839</v>
      </c>
      <c r="K1945" t="s">
        <v>812</v>
      </c>
      <c r="M1945" t="s">
        <v>1307</v>
      </c>
      <c r="Q1945" t="s">
        <v>28</v>
      </c>
      <c r="R1945" t="s">
        <v>81</v>
      </c>
      <c r="U1945" t="s">
        <v>81</v>
      </c>
      <c r="W1945">
        <v>3</v>
      </c>
      <c r="X1945" t="s">
        <v>1135</v>
      </c>
      <c r="Z1945" t="s">
        <v>38</v>
      </c>
      <c r="AB1945" t="s">
        <v>921</v>
      </c>
      <c r="AC1945" t="s">
        <v>1270</v>
      </c>
      <c r="AD1945" t="s">
        <v>39</v>
      </c>
    </row>
    <row r="1946" spans="1:30" hidden="1" x14ac:dyDescent="0.25">
      <c r="A1946">
        <v>402</v>
      </c>
      <c r="B1946" t="s">
        <v>556</v>
      </c>
      <c r="C1946">
        <v>16</v>
      </c>
      <c r="D1946">
        <v>275</v>
      </c>
      <c r="E1946">
        <v>11978</v>
      </c>
      <c r="F1946" t="s">
        <v>77</v>
      </c>
      <c r="G1946" t="s">
        <v>746</v>
      </c>
      <c r="H1946">
        <v>1</v>
      </c>
      <c r="I1946">
        <v>413.72</v>
      </c>
      <c r="J1946" t="s">
        <v>839</v>
      </c>
      <c r="K1946" t="s">
        <v>812</v>
      </c>
      <c r="M1946" t="s">
        <v>1307</v>
      </c>
      <c r="Q1946" t="s">
        <v>28</v>
      </c>
      <c r="R1946" t="s">
        <v>81</v>
      </c>
      <c r="U1946" t="s">
        <v>81</v>
      </c>
      <c r="W1946">
        <v>3</v>
      </c>
      <c r="X1946" t="s">
        <v>1135</v>
      </c>
      <c r="Z1946" t="s">
        <v>38</v>
      </c>
      <c r="AB1946" t="s">
        <v>921</v>
      </c>
      <c r="AC1946" t="s">
        <v>1270</v>
      </c>
      <c r="AD1946" t="s">
        <v>39</v>
      </c>
    </row>
    <row r="1947" spans="1:30" hidden="1" x14ac:dyDescent="0.25">
      <c r="A1947">
        <v>403</v>
      </c>
      <c r="B1947" t="s">
        <v>557</v>
      </c>
      <c r="C1947">
        <v>16</v>
      </c>
      <c r="D1947">
        <v>275</v>
      </c>
      <c r="E1947">
        <v>12007</v>
      </c>
      <c r="F1947" t="s">
        <v>77</v>
      </c>
      <c r="G1947" t="s">
        <v>746</v>
      </c>
      <c r="H1947">
        <v>1</v>
      </c>
      <c r="I1947">
        <v>414.72</v>
      </c>
      <c r="J1947" t="s">
        <v>839</v>
      </c>
      <c r="K1947" t="s">
        <v>812</v>
      </c>
      <c r="M1947" t="s">
        <v>1307</v>
      </c>
      <c r="Q1947" t="s">
        <v>28</v>
      </c>
      <c r="R1947" t="s">
        <v>81</v>
      </c>
      <c r="U1947" t="s">
        <v>81</v>
      </c>
      <c r="W1947">
        <v>3</v>
      </c>
      <c r="X1947" t="s">
        <v>1135</v>
      </c>
      <c r="Z1947" t="s">
        <v>38</v>
      </c>
      <c r="AB1947" t="s">
        <v>921</v>
      </c>
      <c r="AC1947" t="s">
        <v>1270</v>
      </c>
      <c r="AD1947" t="s">
        <v>39</v>
      </c>
    </row>
    <row r="1948" spans="1:30" hidden="1" x14ac:dyDescent="0.25">
      <c r="A1948">
        <v>404</v>
      </c>
      <c r="B1948" t="s">
        <v>558</v>
      </c>
      <c r="C1948">
        <v>16</v>
      </c>
      <c r="D1948">
        <v>275</v>
      </c>
      <c r="E1948">
        <v>12005</v>
      </c>
      <c r="F1948" t="s">
        <v>77</v>
      </c>
      <c r="G1948" t="s">
        <v>746</v>
      </c>
      <c r="H1948">
        <v>1</v>
      </c>
      <c r="I1948">
        <v>414.65</v>
      </c>
      <c r="J1948" t="s">
        <v>839</v>
      </c>
      <c r="K1948" t="s">
        <v>812</v>
      </c>
      <c r="M1948" t="s">
        <v>1307</v>
      </c>
      <c r="Q1948" t="s">
        <v>28</v>
      </c>
      <c r="R1948" t="s">
        <v>81</v>
      </c>
      <c r="U1948" t="s">
        <v>81</v>
      </c>
      <c r="W1948">
        <v>3</v>
      </c>
      <c r="X1948" t="s">
        <v>1135</v>
      </c>
      <c r="Z1948" t="s">
        <v>38</v>
      </c>
      <c r="AB1948" t="s">
        <v>921</v>
      </c>
      <c r="AC1948" t="s">
        <v>1270</v>
      </c>
      <c r="AD1948" t="s">
        <v>39</v>
      </c>
    </row>
    <row r="1949" spans="1:30" hidden="1" x14ac:dyDescent="0.25">
      <c r="A1949">
        <v>405</v>
      </c>
      <c r="B1949" t="s">
        <v>559</v>
      </c>
      <c r="C1949">
        <v>16</v>
      </c>
      <c r="D1949">
        <v>275</v>
      </c>
      <c r="E1949">
        <v>7588</v>
      </c>
      <c r="F1949" t="s">
        <v>77</v>
      </c>
      <c r="G1949" t="s">
        <v>746</v>
      </c>
      <c r="H1949">
        <v>1</v>
      </c>
      <c r="I1949">
        <v>262.08999999999997</v>
      </c>
      <c r="J1949" t="s">
        <v>839</v>
      </c>
      <c r="K1949" t="s">
        <v>812</v>
      </c>
      <c r="M1949" t="s">
        <v>1307</v>
      </c>
      <c r="Q1949" t="s">
        <v>28</v>
      </c>
      <c r="S1949" t="s">
        <v>81</v>
      </c>
      <c r="U1949" t="s">
        <v>81</v>
      </c>
      <c r="W1949">
        <v>3</v>
      </c>
      <c r="X1949" t="s">
        <v>1135</v>
      </c>
      <c r="Z1949" t="s">
        <v>38</v>
      </c>
      <c r="AB1949" t="s">
        <v>921</v>
      </c>
      <c r="AC1949" t="s">
        <v>1272</v>
      </c>
      <c r="AD1949" t="s">
        <v>1273</v>
      </c>
    </row>
    <row r="1950" spans="1:30" hidden="1" x14ac:dyDescent="0.25">
      <c r="A1950">
        <v>406</v>
      </c>
      <c r="B1950" t="s">
        <v>563</v>
      </c>
      <c r="C1950">
        <v>16</v>
      </c>
      <c r="D1950">
        <v>275</v>
      </c>
      <c r="E1950">
        <v>7583</v>
      </c>
      <c r="F1950" t="s">
        <v>77</v>
      </c>
      <c r="G1950" t="s">
        <v>746</v>
      </c>
      <c r="H1950">
        <v>1</v>
      </c>
      <c r="I1950">
        <v>261.92</v>
      </c>
      <c r="J1950" t="s">
        <v>839</v>
      </c>
      <c r="K1950" t="s">
        <v>812</v>
      </c>
      <c r="M1950" t="s">
        <v>1307</v>
      </c>
      <c r="Q1950" t="s">
        <v>28</v>
      </c>
      <c r="S1950" t="s">
        <v>81</v>
      </c>
      <c r="U1950" t="s">
        <v>81</v>
      </c>
      <c r="W1950">
        <v>3</v>
      </c>
      <c r="X1950" t="s">
        <v>1135</v>
      </c>
      <c r="Z1950" t="s">
        <v>38</v>
      </c>
      <c r="AB1950" t="s">
        <v>921</v>
      </c>
      <c r="AC1950" t="s">
        <v>1272</v>
      </c>
      <c r="AD1950" t="s">
        <v>1273</v>
      </c>
    </row>
    <row r="1951" spans="1:30" hidden="1" x14ac:dyDescent="0.25">
      <c r="A1951">
        <v>407</v>
      </c>
      <c r="B1951" t="s">
        <v>1275</v>
      </c>
      <c r="C1951">
        <v>16</v>
      </c>
      <c r="D1951">
        <v>300</v>
      </c>
      <c r="E1951">
        <v>450</v>
      </c>
      <c r="F1951" t="s">
        <v>77</v>
      </c>
      <c r="G1951" t="s">
        <v>746</v>
      </c>
      <c r="H1951">
        <v>1</v>
      </c>
      <c r="I1951">
        <v>16.96</v>
      </c>
      <c r="J1951" t="s">
        <v>839</v>
      </c>
      <c r="K1951" t="s">
        <v>812</v>
      </c>
      <c r="M1951" t="s">
        <v>1307</v>
      </c>
      <c r="S1951" t="s">
        <v>81</v>
      </c>
      <c r="W1951">
        <v>3</v>
      </c>
      <c r="X1951" t="s">
        <v>1135</v>
      </c>
      <c r="Z1951" t="s">
        <v>38</v>
      </c>
      <c r="AB1951" t="s">
        <v>921</v>
      </c>
      <c r="AC1951" t="s">
        <v>1272</v>
      </c>
      <c r="AD1951" t="s">
        <v>1273</v>
      </c>
    </row>
    <row r="1952" spans="1:30" hidden="1" x14ac:dyDescent="0.25">
      <c r="A1952">
        <v>408</v>
      </c>
      <c r="B1952" t="s">
        <v>564</v>
      </c>
      <c r="C1952">
        <v>16</v>
      </c>
      <c r="D1952">
        <v>240</v>
      </c>
      <c r="E1952">
        <v>240</v>
      </c>
      <c r="F1952" t="s">
        <v>77</v>
      </c>
      <c r="G1952" t="s">
        <v>746</v>
      </c>
      <c r="H1952">
        <v>2</v>
      </c>
      <c r="I1952">
        <v>8.0299999999999994</v>
      </c>
      <c r="J1952" t="s">
        <v>839</v>
      </c>
      <c r="K1952" t="s">
        <v>812</v>
      </c>
      <c r="M1952" t="s">
        <v>1307</v>
      </c>
      <c r="O1952" t="s">
        <v>228</v>
      </c>
      <c r="Q1952" t="s">
        <v>27</v>
      </c>
      <c r="S1952" t="s">
        <v>81</v>
      </c>
      <c r="W1952">
        <v>3</v>
      </c>
      <c r="X1952" t="s">
        <v>1135</v>
      </c>
      <c r="Z1952" t="s">
        <v>38</v>
      </c>
      <c r="AB1952" t="s">
        <v>921</v>
      </c>
      <c r="AC1952" t="s">
        <v>1272</v>
      </c>
      <c r="AD1952" t="s">
        <v>1273</v>
      </c>
    </row>
    <row r="1953" spans="1:30" hidden="1" x14ac:dyDescent="0.25">
      <c r="A1953">
        <v>409</v>
      </c>
      <c r="B1953" t="s">
        <v>565</v>
      </c>
      <c r="C1953">
        <v>16</v>
      </c>
      <c r="D1953">
        <v>240</v>
      </c>
      <c r="E1953">
        <v>240</v>
      </c>
      <c r="F1953" t="s">
        <v>77</v>
      </c>
      <c r="G1953" t="s">
        <v>746</v>
      </c>
      <c r="H1953">
        <v>4</v>
      </c>
      <c r="I1953">
        <v>16.05</v>
      </c>
      <c r="J1953" t="s">
        <v>839</v>
      </c>
      <c r="K1953" t="s">
        <v>812</v>
      </c>
      <c r="M1953" t="s">
        <v>1307</v>
      </c>
      <c r="O1953" t="s">
        <v>228</v>
      </c>
      <c r="Q1953" t="s">
        <v>27</v>
      </c>
      <c r="S1953" t="s">
        <v>81</v>
      </c>
      <c r="W1953">
        <v>3</v>
      </c>
      <c r="X1953" t="s">
        <v>1135</v>
      </c>
      <c r="Z1953" t="s">
        <v>38</v>
      </c>
      <c r="AB1953" t="s">
        <v>921</v>
      </c>
      <c r="AC1953" t="s">
        <v>1272</v>
      </c>
      <c r="AD1953" t="s">
        <v>1273</v>
      </c>
    </row>
    <row r="1954" spans="1:30" hidden="1" x14ac:dyDescent="0.25">
      <c r="A1954">
        <v>410</v>
      </c>
      <c r="B1954" t="s">
        <v>566</v>
      </c>
      <c r="C1954">
        <v>20</v>
      </c>
      <c r="D1954">
        <v>240</v>
      </c>
      <c r="E1954">
        <v>250</v>
      </c>
      <c r="F1954" t="s">
        <v>77</v>
      </c>
      <c r="G1954" t="s">
        <v>746</v>
      </c>
      <c r="H1954">
        <v>8</v>
      </c>
      <c r="I1954">
        <v>53.41</v>
      </c>
      <c r="J1954" t="s">
        <v>839</v>
      </c>
      <c r="K1954" t="s">
        <v>812</v>
      </c>
      <c r="M1954" t="s">
        <v>1307</v>
      </c>
      <c r="O1954" t="s">
        <v>228</v>
      </c>
      <c r="Q1954" t="s">
        <v>27</v>
      </c>
      <c r="R1954" t="s">
        <v>81</v>
      </c>
      <c r="W1954">
        <v>3</v>
      </c>
      <c r="X1954" t="s">
        <v>1135</v>
      </c>
      <c r="Z1954" t="s">
        <v>38</v>
      </c>
      <c r="AB1954" t="s">
        <v>921</v>
      </c>
      <c r="AC1954" t="s">
        <v>1277</v>
      </c>
      <c r="AD1954" t="s">
        <v>39</v>
      </c>
    </row>
    <row r="1955" spans="1:30" hidden="1" x14ac:dyDescent="0.25">
      <c r="A1955">
        <v>411</v>
      </c>
      <c r="B1955" t="s">
        <v>571</v>
      </c>
      <c r="C1955">
        <v>20</v>
      </c>
      <c r="D1955">
        <v>400</v>
      </c>
      <c r="E1955">
        <v>780</v>
      </c>
      <c r="F1955" t="s">
        <v>77</v>
      </c>
      <c r="G1955" t="s">
        <v>746</v>
      </c>
      <c r="H1955">
        <v>8</v>
      </c>
      <c r="I1955">
        <v>391.87</v>
      </c>
      <c r="J1955" t="s">
        <v>839</v>
      </c>
      <c r="K1955" t="s">
        <v>812</v>
      </c>
      <c r="M1955" t="s">
        <v>1307</v>
      </c>
      <c r="O1955" t="s">
        <v>228</v>
      </c>
      <c r="Q1955" t="s">
        <v>27</v>
      </c>
      <c r="R1955" t="s">
        <v>81</v>
      </c>
      <c r="W1955">
        <v>3</v>
      </c>
      <c r="X1955" t="s">
        <v>1135</v>
      </c>
      <c r="Z1955" t="s">
        <v>38</v>
      </c>
      <c r="AB1955" t="s">
        <v>921</v>
      </c>
      <c r="AC1955" t="s">
        <v>1277</v>
      </c>
      <c r="AD1955" t="s">
        <v>39</v>
      </c>
    </row>
    <row r="1956" spans="1:30" hidden="1" x14ac:dyDescent="0.25">
      <c r="A1956">
        <v>412</v>
      </c>
      <c r="B1956" t="s">
        <v>573</v>
      </c>
      <c r="C1956">
        <v>20</v>
      </c>
      <c r="D1956">
        <v>400</v>
      </c>
      <c r="E1956">
        <v>780</v>
      </c>
      <c r="F1956" t="s">
        <v>77</v>
      </c>
      <c r="G1956" t="s">
        <v>746</v>
      </c>
      <c r="H1956">
        <v>4</v>
      </c>
      <c r="I1956">
        <v>195.94</v>
      </c>
      <c r="J1956" t="s">
        <v>839</v>
      </c>
      <c r="K1956" t="s">
        <v>812</v>
      </c>
      <c r="M1956" t="s">
        <v>1307</v>
      </c>
      <c r="O1956" t="s">
        <v>228</v>
      </c>
      <c r="Q1956" t="s">
        <v>27</v>
      </c>
      <c r="R1956" t="s">
        <v>81</v>
      </c>
      <c r="W1956">
        <v>3</v>
      </c>
      <c r="X1956" t="s">
        <v>1135</v>
      </c>
      <c r="Z1956" t="s">
        <v>38</v>
      </c>
      <c r="AB1956" t="s">
        <v>921</v>
      </c>
      <c r="AC1956" t="s">
        <v>1277</v>
      </c>
      <c r="AD1956" t="s">
        <v>39</v>
      </c>
    </row>
    <row r="1957" spans="1:30" hidden="1" x14ac:dyDescent="0.25">
      <c r="A1957">
        <v>413</v>
      </c>
      <c r="B1957" t="s">
        <v>574</v>
      </c>
      <c r="C1957">
        <v>20</v>
      </c>
      <c r="D1957">
        <v>400</v>
      </c>
      <c r="E1957">
        <v>780</v>
      </c>
      <c r="F1957" t="s">
        <v>77</v>
      </c>
      <c r="G1957" t="s">
        <v>746</v>
      </c>
      <c r="H1957">
        <v>4</v>
      </c>
      <c r="I1957">
        <v>195.94</v>
      </c>
      <c r="J1957" t="s">
        <v>839</v>
      </c>
      <c r="K1957" t="s">
        <v>812</v>
      </c>
      <c r="M1957" t="s">
        <v>1307</v>
      </c>
      <c r="O1957" t="s">
        <v>228</v>
      </c>
      <c r="Q1957" t="s">
        <v>27</v>
      </c>
      <c r="R1957" t="s">
        <v>81</v>
      </c>
      <c r="W1957">
        <v>3</v>
      </c>
      <c r="X1957" t="s">
        <v>1135</v>
      </c>
      <c r="Z1957" t="s">
        <v>38</v>
      </c>
      <c r="AB1957" t="s">
        <v>921</v>
      </c>
      <c r="AC1957" t="s">
        <v>1277</v>
      </c>
      <c r="AD1957" t="s">
        <v>39</v>
      </c>
    </row>
    <row r="1958" spans="1:30" hidden="1" x14ac:dyDescent="0.25">
      <c r="A1958">
        <v>414</v>
      </c>
      <c r="B1958" t="s">
        <v>575</v>
      </c>
      <c r="C1958">
        <v>20</v>
      </c>
      <c r="D1958">
        <v>326</v>
      </c>
      <c r="E1958">
        <v>525</v>
      </c>
      <c r="F1958" t="s">
        <v>77</v>
      </c>
      <c r="G1958" t="s">
        <v>746</v>
      </c>
      <c r="H1958">
        <v>4</v>
      </c>
      <c r="I1958">
        <v>94.66</v>
      </c>
      <c r="J1958" t="s">
        <v>839</v>
      </c>
      <c r="K1958" t="s">
        <v>812</v>
      </c>
      <c r="M1958" t="s">
        <v>1307</v>
      </c>
      <c r="O1958" t="s">
        <v>228</v>
      </c>
      <c r="Q1958" t="s">
        <v>27</v>
      </c>
      <c r="R1958" t="s">
        <v>81</v>
      </c>
      <c r="W1958">
        <v>3</v>
      </c>
      <c r="X1958" t="s">
        <v>1135</v>
      </c>
      <c r="Z1958" t="s">
        <v>38</v>
      </c>
      <c r="AB1958" t="s">
        <v>921</v>
      </c>
      <c r="AC1958" t="s">
        <v>1277</v>
      </c>
      <c r="AD1958" t="s">
        <v>39</v>
      </c>
    </row>
    <row r="1959" spans="1:30" hidden="1" x14ac:dyDescent="0.25">
      <c r="A1959">
        <v>415</v>
      </c>
      <c r="B1959" t="s">
        <v>577</v>
      </c>
      <c r="C1959">
        <v>20</v>
      </c>
      <c r="D1959">
        <v>175</v>
      </c>
      <c r="E1959">
        <v>180</v>
      </c>
      <c r="F1959" t="s">
        <v>77</v>
      </c>
      <c r="G1959" t="s">
        <v>746</v>
      </c>
      <c r="H1959">
        <v>8</v>
      </c>
      <c r="I1959">
        <v>36.6</v>
      </c>
      <c r="J1959" t="s">
        <v>839</v>
      </c>
      <c r="K1959" t="s">
        <v>812</v>
      </c>
      <c r="M1959" t="s">
        <v>1307</v>
      </c>
      <c r="O1959" t="s">
        <v>228</v>
      </c>
      <c r="Q1959" t="s">
        <v>27</v>
      </c>
      <c r="R1959" t="s">
        <v>81</v>
      </c>
      <c r="W1959">
        <v>3</v>
      </c>
      <c r="X1959" t="s">
        <v>1135</v>
      </c>
      <c r="Z1959" t="s">
        <v>38</v>
      </c>
      <c r="AB1959" t="s">
        <v>921</v>
      </c>
      <c r="AC1959" t="s">
        <v>1277</v>
      </c>
      <c r="AD1959" t="s">
        <v>39</v>
      </c>
    </row>
    <row r="1960" spans="1:30" hidden="1" x14ac:dyDescent="0.25">
      <c r="A1960">
        <v>416</v>
      </c>
      <c r="B1960" t="s">
        <v>579</v>
      </c>
      <c r="C1960">
        <v>20</v>
      </c>
      <c r="D1960">
        <v>180</v>
      </c>
      <c r="E1960">
        <v>300</v>
      </c>
      <c r="F1960" t="s">
        <v>77</v>
      </c>
      <c r="G1960" t="s">
        <v>746</v>
      </c>
      <c r="H1960">
        <v>1</v>
      </c>
      <c r="I1960">
        <v>8.48</v>
      </c>
      <c r="J1960" t="s">
        <v>839</v>
      </c>
      <c r="K1960" t="s">
        <v>812</v>
      </c>
      <c r="M1960" t="s">
        <v>1307</v>
      </c>
      <c r="Q1960" t="s">
        <v>26</v>
      </c>
      <c r="R1960" t="s">
        <v>81</v>
      </c>
      <c r="W1960">
        <v>3</v>
      </c>
      <c r="X1960" t="s">
        <v>1135</v>
      </c>
      <c r="Z1960" t="s">
        <v>38</v>
      </c>
      <c r="AB1960" t="s">
        <v>921</v>
      </c>
      <c r="AC1960" t="s">
        <v>1277</v>
      </c>
      <c r="AD1960" t="s">
        <v>39</v>
      </c>
    </row>
    <row r="1961" spans="1:30" hidden="1" x14ac:dyDescent="0.25">
      <c r="A1961">
        <v>417</v>
      </c>
      <c r="B1961" t="s">
        <v>581</v>
      </c>
      <c r="C1961">
        <v>20</v>
      </c>
      <c r="D1961">
        <v>326</v>
      </c>
      <c r="E1961">
        <v>525</v>
      </c>
      <c r="F1961" t="s">
        <v>77</v>
      </c>
      <c r="G1961" t="s">
        <v>746</v>
      </c>
      <c r="H1961">
        <v>4</v>
      </c>
      <c r="I1961">
        <v>107.48</v>
      </c>
      <c r="J1961" t="s">
        <v>839</v>
      </c>
      <c r="K1961" t="s">
        <v>812</v>
      </c>
      <c r="M1961" t="s">
        <v>1307</v>
      </c>
      <c r="Q1961" t="s">
        <v>26</v>
      </c>
      <c r="R1961" t="s">
        <v>81</v>
      </c>
      <c r="W1961">
        <v>3</v>
      </c>
      <c r="X1961" t="s">
        <v>1135</v>
      </c>
      <c r="Z1961" t="s">
        <v>38</v>
      </c>
      <c r="AB1961" t="s">
        <v>921</v>
      </c>
      <c r="AC1961" t="s">
        <v>1277</v>
      </c>
      <c r="AD1961" t="s">
        <v>39</v>
      </c>
    </row>
    <row r="1962" spans="1:30" hidden="1" x14ac:dyDescent="0.25">
      <c r="A1962">
        <v>418</v>
      </c>
      <c r="B1962" t="s">
        <v>582</v>
      </c>
      <c r="C1962">
        <v>20</v>
      </c>
      <c r="D1962">
        <v>200</v>
      </c>
      <c r="E1962">
        <v>200</v>
      </c>
      <c r="F1962" t="s">
        <v>77</v>
      </c>
      <c r="G1962" t="s">
        <v>746</v>
      </c>
      <c r="H1962">
        <v>2</v>
      </c>
      <c r="I1962">
        <v>12.56</v>
      </c>
      <c r="J1962" t="s">
        <v>839</v>
      </c>
      <c r="K1962" t="s">
        <v>812</v>
      </c>
      <c r="M1962" t="s">
        <v>1307</v>
      </c>
      <c r="Q1962" t="s">
        <v>26</v>
      </c>
      <c r="R1962" t="s">
        <v>81</v>
      </c>
      <c r="W1962">
        <v>3</v>
      </c>
      <c r="X1962" t="s">
        <v>1135</v>
      </c>
      <c r="Z1962" t="s">
        <v>38</v>
      </c>
      <c r="AB1962" t="s">
        <v>921</v>
      </c>
      <c r="AC1962" t="s">
        <v>1277</v>
      </c>
      <c r="AD1962" t="s">
        <v>39</v>
      </c>
    </row>
    <row r="1963" spans="1:30" hidden="1" x14ac:dyDescent="0.25">
      <c r="A1963">
        <v>419</v>
      </c>
      <c r="B1963" t="s">
        <v>584</v>
      </c>
      <c r="C1963">
        <v>20</v>
      </c>
      <c r="D1963">
        <v>400</v>
      </c>
      <c r="E1963">
        <v>780</v>
      </c>
      <c r="F1963" t="s">
        <v>77</v>
      </c>
      <c r="G1963" t="s">
        <v>746</v>
      </c>
      <c r="H1963">
        <v>2</v>
      </c>
      <c r="I1963">
        <v>97.97</v>
      </c>
      <c r="J1963" t="s">
        <v>839</v>
      </c>
      <c r="K1963" t="s">
        <v>812</v>
      </c>
      <c r="M1963" t="s">
        <v>1307</v>
      </c>
      <c r="O1963" t="s">
        <v>228</v>
      </c>
      <c r="Q1963" t="s">
        <v>27</v>
      </c>
      <c r="R1963" t="s">
        <v>81</v>
      </c>
      <c r="W1963">
        <v>3</v>
      </c>
      <c r="X1963" t="s">
        <v>1135</v>
      </c>
      <c r="Z1963" t="s">
        <v>38</v>
      </c>
      <c r="AB1963" t="s">
        <v>921</v>
      </c>
      <c r="AC1963" t="s">
        <v>1277</v>
      </c>
      <c r="AD1963" t="s">
        <v>39</v>
      </c>
    </row>
    <row r="1964" spans="1:30" hidden="1" x14ac:dyDescent="0.25">
      <c r="A1964">
        <v>420</v>
      </c>
      <c r="B1964" t="s">
        <v>585</v>
      </c>
      <c r="C1964">
        <v>20</v>
      </c>
      <c r="D1964">
        <v>175</v>
      </c>
      <c r="E1964">
        <v>180</v>
      </c>
      <c r="F1964" t="s">
        <v>77</v>
      </c>
      <c r="G1964" t="s">
        <v>746</v>
      </c>
      <c r="H1964">
        <v>4</v>
      </c>
      <c r="I1964">
        <v>18.3</v>
      </c>
      <c r="J1964" t="s">
        <v>839</v>
      </c>
      <c r="K1964" t="s">
        <v>812</v>
      </c>
      <c r="M1964" t="s">
        <v>1307</v>
      </c>
      <c r="O1964" t="s">
        <v>228</v>
      </c>
      <c r="Q1964" t="s">
        <v>27</v>
      </c>
      <c r="R1964" t="s">
        <v>81</v>
      </c>
      <c r="W1964">
        <v>3</v>
      </c>
      <c r="X1964" t="s">
        <v>1135</v>
      </c>
      <c r="Z1964" t="s">
        <v>38</v>
      </c>
      <c r="AB1964" t="s">
        <v>921</v>
      </c>
      <c r="AC1964" t="s">
        <v>1277</v>
      </c>
      <c r="AD1964" t="s">
        <v>39</v>
      </c>
    </row>
    <row r="1965" spans="1:30" hidden="1" x14ac:dyDescent="0.25">
      <c r="A1965">
        <v>421</v>
      </c>
      <c r="B1965" t="s">
        <v>586</v>
      </c>
      <c r="C1965">
        <v>20</v>
      </c>
      <c r="D1965">
        <v>180</v>
      </c>
      <c r="E1965">
        <v>300</v>
      </c>
      <c r="F1965" t="s">
        <v>77</v>
      </c>
      <c r="G1965" t="s">
        <v>746</v>
      </c>
      <c r="H1965">
        <v>1</v>
      </c>
      <c r="I1965">
        <v>8.48</v>
      </c>
      <c r="J1965" t="s">
        <v>839</v>
      </c>
      <c r="K1965" t="s">
        <v>812</v>
      </c>
      <c r="M1965" t="s">
        <v>1307</v>
      </c>
      <c r="Q1965" t="s">
        <v>26</v>
      </c>
      <c r="R1965" t="s">
        <v>81</v>
      </c>
      <c r="W1965">
        <v>3</v>
      </c>
      <c r="X1965" t="s">
        <v>1135</v>
      </c>
      <c r="Z1965" t="s">
        <v>38</v>
      </c>
      <c r="AB1965" t="s">
        <v>921</v>
      </c>
      <c r="AC1965" t="s">
        <v>1277</v>
      </c>
      <c r="AD1965" t="s">
        <v>39</v>
      </c>
    </row>
    <row r="1966" spans="1:30" hidden="1" x14ac:dyDescent="0.25">
      <c r="A1966">
        <v>422</v>
      </c>
      <c r="B1966" t="s">
        <v>1058</v>
      </c>
      <c r="C1966">
        <v>20</v>
      </c>
      <c r="D1966">
        <v>326</v>
      </c>
      <c r="E1966">
        <v>500</v>
      </c>
      <c r="F1966" t="s">
        <v>77</v>
      </c>
      <c r="G1966" t="s">
        <v>746</v>
      </c>
      <c r="H1966">
        <v>2</v>
      </c>
      <c r="I1966">
        <v>42.39</v>
      </c>
      <c r="J1966" t="s">
        <v>839</v>
      </c>
      <c r="K1966" t="s">
        <v>812</v>
      </c>
      <c r="M1966" t="s">
        <v>1307</v>
      </c>
      <c r="O1966" t="s">
        <v>228</v>
      </c>
      <c r="Q1966" t="s">
        <v>26</v>
      </c>
      <c r="R1966" t="s">
        <v>81</v>
      </c>
      <c r="W1966">
        <v>3</v>
      </c>
      <c r="X1966" t="s">
        <v>1135</v>
      </c>
      <c r="Z1966" t="s">
        <v>38</v>
      </c>
      <c r="AB1966" t="s">
        <v>921</v>
      </c>
      <c r="AC1966" t="s">
        <v>1277</v>
      </c>
      <c r="AD1966" t="s">
        <v>39</v>
      </c>
    </row>
    <row r="1967" spans="1:30" hidden="1" x14ac:dyDescent="0.25">
      <c r="A1967">
        <v>423</v>
      </c>
      <c r="B1967" t="s">
        <v>589</v>
      </c>
      <c r="C1967">
        <v>20</v>
      </c>
      <c r="D1967">
        <v>326</v>
      </c>
      <c r="E1967">
        <v>500</v>
      </c>
      <c r="F1967" t="s">
        <v>77</v>
      </c>
      <c r="G1967" t="s">
        <v>746</v>
      </c>
      <c r="H1967">
        <v>2</v>
      </c>
      <c r="I1967">
        <v>51.18</v>
      </c>
      <c r="J1967" t="s">
        <v>839</v>
      </c>
      <c r="K1967" t="s">
        <v>812</v>
      </c>
      <c r="M1967" t="s">
        <v>1307</v>
      </c>
      <c r="Q1967" t="s">
        <v>26</v>
      </c>
      <c r="R1967" t="s">
        <v>81</v>
      </c>
      <c r="W1967">
        <v>3</v>
      </c>
      <c r="X1967" t="s">
        <v>1135</v>
      </c>
      <c r="Z1967" t="s">
        <v>38</v>
      </c>
      <c r="AB1967" t="s">
        <v>921</v>
      </c>
      <c r="AC1967" t="s">
        <v>1277</v>
      </c>
      <c r="AD1967" t="s">
        <v>39</v>
      </c>
    </row>
    <row r="1968" spans="1:30" hidden="1" x14ac:dyDescent="0.25">
      <c r="A1968">
        <v>424</v>
      </c>
      <c r="B1968" t="s">
        <v>590</v>
      </c>
      <c r="C1968">
        <v>20</v>
      </c>
      <c r="D1968">
        <v>200</v>
      </c>
      <c r="E1968">
        <v>200</v>
      </c>
      <c r="F1968" t="s">
        <v>77</v>
      </c>
      <c r="G1968" t="s">
        <v>746</v>
      </c>
      <c r="H1968">
        <v>2</v>
      </c>
      <c r="I1968">
        <v>12.56</v>
      </c>
      <c r="J1968" t="s">
        <v>839</v>
      </c>
      <c r="K1968" t="s">
        <v>812</v>
      </c>
      <c r="M1968" t="s">
        <v>1307</v>
      </c>
      <c r="Q1968" t="s">
        <v>26</v>
      </c>
      <c r="R1968" t="s">
        <v>81</v>
      </c>
      <c r="W1968">
        <v>3</v>
      </c>
      <c r="X1968" t="s">
        <v>1135</v>
      </c>
      <c r="Z1968" t="s">
        <v>38</v>
      </c>
      <c r="AB1968" t="s">
        <v>921</v>
      </c>
      <c r="AC1968" t="s">
        <v>1277</v>
      </c>
      <c r="AD1968" t="s">
        <v>39</v>
      </c>
    </row>
    <row r="1969" spans="1:30" hidden="1" x14ac:dyDescent="0.25">
      <c r="A1969">
        <v>425</v>
      </c>
      <c r="B1969" t="s">
        <v>591</v>
      </c>
      <c r="C1969">
        <v>20</v>
      </c>
      <c r="D1969">
        <v>326</v>
      </c>
      <c r="E1969">
        <v>550</v>
      </c>
      <c r="F1969" t="s">
        <v>77</v>
      </c>
      <c r="G1969" t="s">
        <v>746</v>
      </c>
      <c r="H1969">
        <v>4</v>
      </c>
      <c r="I1969">
        <v>99.78</v>
      </c>
      <c r="J1969" t="s">
        <v>839</v>
      </c>
      <c r="K1969" t="s">
        <v>812</v>
      </c>
      <c r="M1969" t="s">
        <v>1307</v>
      </c>
      <c r="O1969" t="s">
        <v>228</v>
      </c>
      <c r="Q1969" t="s">
        <v>27</v>
      </c>
      <c r="R1969" t="s">
        <v>81</v>
      </c>
      <c r="W1969">
        <v>3</v>
      </c>
      <c r="X1969" t="s">
        <v>1135</v>
      </c>
      <c r="Z1969" t="s">
        <v>38</v>
      </c>
      <c r="AB1969" t="s">
        <v>921</v>
      </c>
      <c r="AC1969" t="s">
        <v>1277</v>
      </c>
      <c r="AD1969" t="s">
        <v>39</v>
      </c>
    </row>
    <row r="1970" spans="1:30" hidden="1" x14ac:dyDescent="0.25">
      <c r="A1970">
        <v>426</v>
      </c>
      <c r="B1970" t="s">
        <v>593</v>
      </c>
      <c r="C1970">
        <v>20</v>
      </c>
      <c r="D1970">
        <v>326</v>
      </c>
      <c r="E1970">
        <v>550</v>
      </c>
      <c r="F1970" t="s">
        <v>77</v>
      </c>
      <c r="G1970" t="s">
        <v>746</v>
      </c>
      <c r="H1970">
        <v>4</v>
      </c>
      <c r="I1970">
        <v>112.6</v>
      </c>
      <c r="J1970" t="s">
        <v>839</v>
      </c>
      <c r="K1970" t="s">
        <v>812</v>
      </c>
      <c r="M1970" t="s">
        <v>1307</v>
      </c>
      <c r="Q1970" t="s">
        <v>26</v>
      </c>
      <c r="R1970" t="s">
        <v>81</v>
      </c>
      <c r="W1970">
        <v>3</v>
      </c>
      <c r="X1970" t="s">
        <v>1135</v>
      </c>
      <c r="Z1970" t="s">
        <v>38</v>
      </c>
      <c r="AB1970" t="s">
        <v>921</v>
      </c>
      <c r="AC1970" t="s">
        <v>1277</v>
      </c>
      <c r="AD1970" t="s">
        <v>39</v>
      </c>
    </row>
    <row r="1971" spans="1:30" hidden="1" x14ac:dyDescent="0.25">
      <c r="A1971">
        <v>427</v>
      </c>
      <c r="B1971" t="s">
        <v>594</v>
      </c>
      <c r="C1971">
        <v>20</v>
      </c>
      <c r="D1971">
        <v>400</v>
      </c>
      <c r="E1971">
        <v>780</v>
      </c>
      <c r="F1971" t="s">
        <v>77</v>
      </c>
      <c r="G1971" t="s">
        <v>746</v>
      </c>
      <c r="H1971">
        <v>4</v>
      </c>
      <c r="I1971">
        <v>195.94</v>
      </c>
      <c r="J1971" t="s">
        <v>839</v>
      </c>
      <c r="K1971" t="s">
        <v>812</v>
      </c>
      <c r="M1971" t="s">
        <v>1307</v>
      </c>
      <c r="O1971" t="s">
        <v>228</v>
      </c>
      <c r="Q1971" t="s">
        <v>27</v>
      </c>
      <c r="R1971" t="s">
        <v>81</v>
      </c>
      <c r="W1971">
        <v>3</v>
      </c>
      <c r="X1971" t="s">
        <v>1135</v>
      </c>
      <c r="Z1971" t="s">
        <v>38</v>
      </c>
      <c r="AB1971" t="s">
        <v>921</v>
      </c>
      <c r="AC1971" t="s">
        <v>1277</v>
      </c>
      <c r="AD1971" t="s">
        <v>39</v>
      </c>
    </row>
    <row r="1972" spans="1:30" hidden="1" x14ac:dyDescent="0.25">
      <c r="A1972">
        <v>428</v>
      </c>
      <c r="B1972" t="s">
        <v>595</v>
      </c>
      <c r="C1972">
        <v>20</v>
      </c>
      <c r="D1972">
        <v>326</v>
      </c>
      <c r="E1972">
        <v>525</v>
      </c>
      <c r="F1972" t="s">
        <v>77</v>
      </c>
      <c r="G1972" t="s">
        <v>746</v>
      </c>
      <c r="H1972">
        <v>4</v>
      </c>
      <c r="I1972">
        <v>94.66</v>
      </c>
      <c r="J1972" t="s">
        <v>839</v>
      </c>
      <c r="K1972" t="s">
        <v>812</v>
      </c>
      <c r="M1972" t="s">
        <v>1307</v>
      </c>
      <c r="O1972" t="s">
        <v>228</v>
      </c>
      <c r="Q1972" t="s">
        <v>27</v>
      </c>
      <c r="R1972" t="s">
        <v>81</v>
      </c>
      <c r="W1972">
        <v>3</v>
      </c>
      <c r="X1972" t="s">
        <v>1135</v>
      </c>
      <c r="Z1972" t="s">
        <v>38</v>
      </c>
      <c r="AB1972" t="s">
        <v>921</v>
      </c>
      <c r="AC1972" t="s">
        <v>1277</v>
      </c>
      <c r="AD1972" t="s">
        <v>39</v>
      </c>
    </row>
    <row r="1973" spans="1:30" hidden="1" x14ac:dyDescent="0.25">
      <c r="A1973">
        <v>429</v>
      </c>
      <c r="B1973" t="s">
        <v>596</v>
      </c>
      <c r="C1973">
        <v>20</v>
      </c>
      <c r="D1973">
        <v>175</v>
      </c>
      <c r="E1973">
        <v>180</v>
      </c>
      <c r="F1973" t="s">
        <v>77</v>
      </c>
      <c r="G1973" t="s">
        <v>746</v>
      </c>
      <c r="H1973">
        <v>8</v>
      </c>
      <c r="I1973">
        <v>36.6</v>
      </c>
      <c r="J1973" t="s">
        <v>839</v>
      </c>
      <c r="K1973" t="s">
        <v>812</v>
      </c>
      <c r="M1973" t="s">
        <v>1307</v>
      </c>
      <c r="O1973" t="s">
        <v>228</v>
      </c>
      <c r="Q1973" t="s">
        <v>27</v>
      </c>
      <c r="R1973" t="s">
        <v>81</v>
      </c>
      <c r="W1973">
        <v>3</v>
      </c>
      <c r="X1973" t="s">
        <v>1135</v>
      </c>
      <c r="Z1973" t="s">
        <v>38</v>
      </c>
      <c r="AB1973" t="s">
        <v>921</v>
      </c>
      <c r="AC1973" t="s">
        <v>1277</v>
      </c>
      <c r="AD1973" t="s">
        <v>39</v>
      </c>
    </row>
    <row r="1974" spans="1:30" hidden="1" x14ac:dyDescent="0.25">
      <c r="A1974">
        <v>430</v>
      </c>
      <c r="B1974" t="s">
        <v>597</v>
      </c>
      <c r="C1974">
        <v>20</v>
      </c>
      <c r="D1974">
        <v>180</v>
      </c>
      <c r="E1974">
        <v>300</v>
      </c>
      <c r="F1974" t="s">
        <v>77</v>
      </c>
      <c r="G1974" t="s">
        <v>746</v>
      </c>
      <c r="H1974">
        <v>1</v>
      </c>
      <c r="I1974">
        <v>8.48</v>
      </c>
      <c r="J1974" t="s">
        <v>839</v>
      </c>
      <c r="K1974" t="s">
        <v>812</v>
      </c>
      <c r="M1974" t="s">
        <v>1307</v>
      </c>
      <c r="Q1974" t="s">
        <v>26</v>
      </c>
      <c r="R1974" t="s">
        <v>81</v>
      </c>
      <c r="W1974">
        <v>3</v>
      </c>
      <c r="X1974" t="s">
        <v>1135</v>
      </c>
      <c r="Z1974" t="s">
        <v>38</v>
      </c>
      <c r="AB1974" t="s">
        <v>921</v>
      </c>
      <c r="AC1974" t="s">
        <v>1277</v>
      </c>
      <c r="AD1974" t="s">
        <v>39</v>
      </c>
    </row>
    <row r="1975" spans="1:30" hidden="1" x14ac:dyDescent="0.25">
      <c r="A1975">
        <v>431</v>
      </c>
      <c r="B1975" t="s">
        <v>598</v>
      </c>
      <c r="C1975">
        <v>20</v>
      </c>
      <c r="D1975">
        <v>326</v>
      </c>
      <c r="E1975">
        <v>525</v>
      </c>
      <c r="F1975" t="s">
        <v>77</v>
      </c>
      <c r="G1975" t="s">
        <v>746</v>
      </c>
      <c r="H1975">
        <v>4</v>
      </c>
      <c r="I1975">
        <v>107.48</v>
      </c>
      <c r="J1975" t="s">
        <v>839</v>
      </c>
      <c r="K1975" t="s">
        <v>812</v>
      </c>
      <c r="M1975" t="s">
        <v>1307</v>
      </c>
      <c r="Q1975" t="s">
        <v>26</v>
      </c>
      <c r="R1975" t="s">
        <v>81</v>
      </c>
      <c r="W1975">
        <v>3</v>
      </c>
      <c r="X1975" t="s">
        <v>1135</v>
      </c>
      <c r="Z1975" t="s">
        <v>38</v>
      </c>
      <c r="AB1975" t="s">
        <v>921</v>
      </c>
      <c r="AC1975" t="s">
        <v>1277</v>
      </c>
      <c r="AD1975" t="s">
        <v>39</v>
      </c>
    </row>
    <row r="1976" spans="1:30" hidden="1" x14ac:dyDescent="0.25">
      <c r="A1976">
        <v>432</v>
      </c>
      <c r="B1976" t="s">
        <v>599</v>
      </c>
      <c r="C1976">
        <v>20</v>
      </c>
      <c r="D1976">
        <v>200</v>
      </c>
      <c r="E1976">
        <v>200</v>
      </c>
      <c r="F1976" t="s">
        <v>77</v>
      </c>
      <c r="G1976" t="s">
        <v>746</v>
      </c>
      <c r="H1976">
        <v>2</v>
      </c>
      <c r="I1976">
        <v>12.56</v>
      </c>
      <c r="J1976" t="s">
        <v>839</v>
      </c>
      <c r="K1976" t="s">
        <v>812</v>
      </c>
      <c r="M1976" t="s">
        <v>1307</v>
      </c>
      <c r="Q1976" t="s">
        <v>26</v>
      </c>
      <c r="R1976" t="s">
        <v>81</v>
      </c>
      <c r="W1976">
        <v>3</v>
      </c>
      <c r="X1976" t="s">
        <v>1135</v>
      </c>
      <c r="Z1976" t="s">
        <v>38</v>
      </c>
      <c r="AB1976" t="s">
        <v>921</v>
      </c>
      <c r="AC1976" t="s">
        <v>1277</v>
      </c>
      <c r="AD1976" t="s">
        <v>39</v>
      </c>
    </row>
    <row r="1977" spans="1:30" hidden="1" x14ac:dyDescent="0.25">
      <c r="A1977">
        <v>433</v>
      </c>
      <c r="B1977" t="s">
        <v>600</v>
      </c>
      <c r="C1977">
        <v>20</v>
      </c>
      <c r="D1977">
        <v>400</v>
      </c>
      <c r="E1977">
        <v>780</v>
      </c>
      <c r="F1977" t="s">
        <v>77</v>
      </c>
      <c r="G1977" t="s">
        <v>746</v>
      </c>
      <c r="H1977">
        <v>2</v>
      </c>
      <c r="I1977">
        <v>97.97</v>
      </c>
      <c r="J1977" t="s">
        <v>839</v>
      </c>
      <c r="K1977" t="s">
        <v>812</v>
      </c>
      <c r="M1977" t="s">
        <v>1307</v>
      </c>
      <c r="O1977" t="s">
        <v>228</v>
      </c>
      <c r="Q1977" t="s">
        <v>27</v>
      </c>
      <c r="R1977" t="s">
        <v>81</v>
      </c>
      <c r="W1977">
        <v>3</v>
      </c>
      <c r="X1977" t="s">
        <v>1135</v>
      </c>
      <c r="Z1977" t="s">
        <v>38</v>
      </c>
      <c r="AB1977" t="s">
        <v>921</v>
      </c>
      <c r="AC1977" t="s">
        <v>1277</v>
      </c>
      <c r="AD1977" t="s">
        <v>39</v>
      </c>
    </row>
    <row r="1978" spans="1:30" hidden="1" x14ac:dyDescent="0.25">
      <c r="A1978">
        <v>434</v>
      </c>
      <c r="B1978" t="s">
        <v>601</v>
      </c>
      <c r="C1978">
        <v>20</v>
      </c>
      <c r="D1978">
        <v>175</v>
      </c>
      <c r="E1978">
        <v>180</v>
      </c>
      <c r="F1978" t="s">
        <v>77</v>
      </c>
      <c r="G1978" t="s">
        <v>746</v>
      </c>
      <c r="H1978">
        <v>4</v>
      </c>
      <c r="I1978">
        <v>18.3</v>
      </c>
      <c r="J1978" t="s">
        <v>839</v>
      </c>
      <c r="K1978" t="s">
        <v>812</v>
      </c>
      <c r="M1978" t="s">
        <v>1307</v>
      </c>
      <c r="O1978" t="s">
        <v>228</v>
      </c>
      <c r="Q1978" t="s">
        <v>27</v>
      </c>
      <c r="R1978" t="s">
        <v>81</v>
      </c>
      <c r="W1978">
        <v>3</v>
      </c>
      <c r="X1978" t="s">
        <v>1135</v>
      </c>
      <c r="Z1978" t="s">
        <v>38</v>
      </c>
      <c r="AB1978" t="s">
        <v>921</v>
      </c>
      <c r="AC1978" t="s">
        <v>1277</v>
      </c>
      <c r="AD1978" t="s">
        <v>39</v>
      </c>
    </row>
    <row r="1979" spans="1:30" hidden="1" x14ac:dyDescent="0.25">
      <c r="A1979">
        <v>435</v>
      </c>
      <c r="B1979" t="s">
        <v>602</v>
      </c>
      <c r="C1979">
        <v>20</v>
      </c>
      <c r="D1979">
        <v>180</v>
      </c>
      <c r="E1979">
        <v>300</v>
      </c>
      <c r="F1979" t="s">
        <v>77</v>
      </c>
      <c r="G1979" t="s">
        <v>746</v>
      </c>
      <c r="H1979">
        <v>1</v>
      </c>
      <c r="I1979">
        <v>8.48</v>
      </c>
      <c r="J1979" t="s">
        <v>839</v>
      </c>
      <c r="K1979" t="s">
        <v>812</v>
      </c>
      <c r="M1979" t="s">
        <v>1307</v>
      </c>
      <c r="Q1979" t="s">
        <v>26</v>
      </c>
      <c r="R1979" t="s">
        <v>81</v>
      </c>
      <c r="W1979">
        <v>3</v>
      </c>
      <c r="X1979" t="s">
        <v>1135</v>
      </c>
      <c r="Z1979" t="s">
        <v>38</v>
      </c>
      <c r="AB1979" t="s">
        <v>921</v>
      </c>
      <c r="AC1979" t="s">
        <v>1277</v>
      </c>
      <c r="AD1979" t="s">
        <v>39</v>
      </c>
    </row>
    <row r="1980" spans="1:30" hidden="1" x14ac:dyDescent="0.25">
      <c r="A1980">
        <v>436</v>
      </c>
      <c r="B1980" t="s">
        <v>1059</v>
      </c>
      <c r="C1980">
        <v>20</v>
      </c>
      <c r="D1980">
        <v>326</v>
      </c>
      <c r="E1980">
        <v>500</v>
      </c>
      <c r="F1980" t="s">
        <v>77</v>
      </c>
      <c r="G1980" t="s">
        <v>746</v>
      </c>
      <c r="H1980">
        <v>2</v>
      </c>
      <c r="I1980">
        <v>42.39</v>
      </c>
      <c r="J1980" t="s">
        <v>839</v>
      </c>
      <c r="K1980" t="s">
        <v>812</v>
      </c>
      <c r="M1980" t="s">
        <v>1307</v>
      </c>
      <c r="O1980" t="s">
        <v>228</v>
      </c>
      <c r="Q1980" t="s">
        <v>26</v>
      </c>
      <c r="R1980" t="s">
        <v>81</v>
      </c>
      <c r="W1980">
        <v>3</v>
      </c>
      <c r="X1980" t="s">
        <v>1135</v>
      </c>
      <c r="Z1980" t="s">
        <v>38</v>
      </c>
      <c r="AB1980" t="s">
        <v>921</v>
      </c>
      <c r="AC1980" t="s">
        <v>1277</v>
      </c>
      <c r="AD1980" t="s">
        <v>39</v>
      </c>
    </row>
    <row r="1981" spans="1:30" hidden="1" x14ac:dyDescent="0.25">
      <c r="A1981">
        <v>437</v>
      </c>
      <c r="B1981" t="s">
        <v>604</v>
      </c>
      <c r="C1981">
        <v>20</v>
      </c>
      <c r="D1981">
        <v>326</v>
      </c>
      <c r="E1981">
        <v>500</v>
      </c>
      <c r="F1981" t="s">
        <v>77</v>
      </c>
      <c r="G1981" t="s">
        <v>746</v>
      </c>
      <c r="H1981">
        <v>2</v>
      </c>
      <c r="I1981">
        <v>51.18</v>
      </c>
      <c r="J1981" t="s">
        <v>839</v>
      </c>
      <c r="K1981" t="s">
        <v>812</v>
      </c>
      <c r="M1981" t="s">
        <v>1307</v>
      </c>
      <c r="Q1981" t="s">
        <v>26</v>
      </c>
      <c r="R1981" t="s">
        <v>81</v>
      </c>
      <c r="W1981">
        <v>3</v>
      </c>
      <c r="X1981" t="s">
        <v>1135</v>
      </c>
      <c r="Z1981" t="s">
        <v>38</v>
      </c>
      <c r="AB1981" t="s">
        <v>921</v>
      </c>
      <c r="AC1981" t="s">
        <v>1277</v>
      </c>
      <c r="AD1981" t="s">
        <v>39</v>
      </c>
    </row>
    <row r="1982" spans="1:30" hidden="1" x14ac:dyDescent="0.25">
      <c r="A1982">
        <v>438</v>
      </c>
      <c r="B1982" t="s">
        <v>605</v>
      </c>
      <c r="C1982">
        <v>20</v>
      </c>
      <c r="D1982">
        <v>200</v>
      </c>
      <c r="E1982">
        <v>200</v>
      </c>
      <c r="F1982" t="s">
        <v>77</v>
      </c>
      <c r="G1982" t="s">
        <v>746</v>
      </c>
      <c r="H1982">
        <v>2</v>
      </c>
      <c r="I1982">
        <v>12.56</v>
      </c>
      <c r="J1982" t="s">
        <v>839</v>
      </c>
      <c r="K1982" t="s">
        <v>812</v>
      </c>
      <c r="M1982" t="s">
        <v>1307</v>
      </c>
      <c r="Q1982" t="s">
        <v>26</v>
      </c>
      <c r="R1982" t="s">
        <v>81</v>
      </c>
      <c r="W1982">
        <v>3</v>
      </c>
      <c r="X1982" t="s">
        <v>1135</v>
      </c>
      <c r="Z1982" t="s">
        <v>38</v>
      </c>
      <c r="AB1982" t="s">
        <v>921</v>
      </c>
      <c r="AC1982" t="s">
        <v>1277</v>
      </c>
      <c r="AD1982" t="s">
        <v>39</v>
      </c>
    </row>
    <row r="1983" spans="1:30" hidden="1" x14ac:dyDescent="0.25">
      <c r="A1983">
        <v>439</v>
      </c>
      <c r="B1983" t="s">
        <v>606</v>
      </c>
      <c r="C1983">
        <v>20</v>
      </c>
      <c r="D1983">
        <v>326</v>
      </c>
      <c r="E1983">
        <v>550</v>
      </c>
      <c r="F1983" t="s">
        <v>77</v>
      </c>
      <c r="G1983" t="s">
        <v>746</v>
      </c>
      <c r="H1983">
        <v>4</v>
      </c>
      <c r="I1983">
        <v>99.78</v>
      </c>
      <c r="J1983" t="s">
        <v>839</v>
      </c>
      <c r="K1983" t="s">
        <v>812</v>
      </c>
      <c r="M1983" t="s">
        <v>1307</v>
      </c>
      <c r="O1983" t="s">
        <v>228</v>
      </c>
      <c r="Q1983" t="s">
        <v>27</v>
      </c>
      <c r="R1983" t="s">
        <v>81</v>
      </c>
      <c r="W1983">
        <v>3</v>
      </c>
      <c r="X1983" t="s">
        <v>1135</v>
      </c>
      <c r="Z1983" t="s">
        <v>38</v>
      </c>
      <c r="AB1983" t="s">
        <v>921</v>
      </c>
      <c r="AC1983" t="s">
        <v>1277</v>
      </c>
      <c r="AD1983" t="s">
        <v>39</v>
      </c>
    </row>
    <row r="1984" spans="1:30" hidden="1" x14ac:dyDescent="0.25">
      <c r="A1984">
        <v>440</v>
      </c>
      <c r="B1984" t="s">
        <v>607</v>
      </c>
      <c r="C1984">
        <v>20</v>
      </c>
      <c r="D1984">
        <v>326</v>
      </c>
      <c r="E1984">
        <v>550</v>
      </c>
      <c r="F1984" t="s">
        <v>77</v>
      </c>
      <c r="G1984" t="s">
        <v>746</v>
      </c>
      <c r="H1984">
        <v>4</v>
      </c>
      <c r="I1984">
        <v>112.6</v>
      </c>
      <c r="J1984" t="s">
        <v>839</v>
      </c>
      <c r="K1984" t="s">
        <v>812</v>
      </c>
      <c r="M1984" t="s">
        <v>1307</v>
      </c>
      <c r="Q1984" t="s">
        <v>26</v>
      </c>
      <c r="R1984" t="s">
        <v>81</v>
      </c>
      <c r="W1984">
        <v>3</v>
      </c>
      <c r="X1984" t="s">
        <v>1135</v>
      </c>
      <c r="Z1984" t="s">
        <v>38</v>
      </c>
      <c r="AB1984" t="s">
        <v>921</v>
      </c>
      <c r="AC1984" t="s">
        <v>1277</v>
      </c>
      <c r="AD1984" t="s">
        <v>39</v>
      </c>
    </row>
    <row r="1985" spans="1:30" hidden="1" x14ac:dyDescent="0.25">
      <c r="A1985">
        <v>441</v>
      </c>
      <c r="B1985" t="s">
        <v>608</v>
      </c>
      <c r="C1985">
        <v>20</v>
      </c>
      <c r="D1985">
        <v>348</v>
      </c>
      <c r="E1985">
        <v>350</v>
      </c>
      <c r="F1985" t="s">
        <v>77</v>
      </c>
      <c r="G1985" t="s">
        <v>746</v>
      </c>
      <c r="H1985">
        <v>2</v>
      </c>
      <c r="I1985">
        <v>28.83</v>
      </c>
      <c r="J1985" t="s">
        <v>839</v>
      </c>
      <c r="K1985" t="s">
        <v>812</v>
      </c>
      <c r="M1985" t="s">
        <v>1307</v>
      </c>
      <c r="O1985" t="s">
        <v>228</v>
      </c>
      <c r="Q1985" t="s">
        <v>27</v>
      </c>
      <c r="R1985" t="s">
        <v>81</v>
      </c>
      <c r="W1985">
        <v>3</v>
      </c>
      <c r="X1985" t="s">
        <v>1135</v>
      </c>
      <c r="Z1985" t="s">
        <v>38</v>
      </c>
      <c r="AB1985" t="s">
        <v>921</v>
      </c>
      <c r="AC1985" t="s">
        <v>1277</v>
      </c>
      <c r="AD1985" t="s">
        <v>39</v>
      </c>
    </row>
    <row r="1986" spans="1:30" hidden="1" x14ac:dyDescent="0.25">
      <c r="A1986">
        <v>442</v>
      </c>
      <c r="B1986" t="s">
        <v>610</v>
      </c>
      <c r="C1986">
        <v>20</v>
      </c>
      <c r="D1986">
        <v>240</v>
      </c>
      <c r="E1986">
        <v>250</v>
      </c>
      <c r="F1986" t="s">
        <v>77</v>
      </c>
      <c r="G1986" t="s">
        <v>746</v>
      </c>
      <c r="H1986">
        <v>12</v>
      </c>
      <c r="I1986">
        <v>80.11</v>
      </c>
      <c r="J1986" t="s">
        <v>839</v>
      </c>
      <c r="K1986" t="s">
        <v>812</v>
      </c>
      <c r="M1986" t="s">
        <v>1307</v>
      </c>
      <c r="O1986" t="s">
        <v>228</v>
      </c>
      <c r="Q1986" t="s">
        <v>27</v>
      </c>
      <c r="R1986" t="s">
        <v>81</v>
      </c>
      <c r="W1986">
        <v>3</v>
      </c>
      <c r="X1986" t="s">
        <v>1135</v>
      </c>
      <c r="Z1986" t="s">
        <v>38</v>
      </c>
      <c r="AB1986" t="s">
        <v>921</v>
      </c>
      <c r="AC1986" t="s">
        <v>1277</v>
      </c>
      <c r="AD1986" t="s">
        <v>39</v>
      </c>
    </row>
    <row r="1987" spans="1:30" hidden="1" x14ac:dyDescent="0.25">
      <c r="A1987">
        <v>443</v>
      </c>
      <c r="B1987" t="s">
        <v>611</v>
      </c>
      <c r="C1987">
        <v>20</v>
      </c>
      <c r="D1987">
        <v>348</v>
      </c>
      <c r="E1987">
        <v>350</v>
      </c>
      <c r="F1987" t="s">
        <v>77</v>
      </c>
      <c r="G1987" t="s">
        <v>746</v>
      </c>
      <c r="H1987">
        <v>4</v>
      </c>
      <c r="I1987">
        <v>57.65</v>
      </c>
      <c r="J1987" t="s">
        <v>839</v>
      </c>
      <c r="K1987" t="s">
        <v>812</v>
      </c>
      <c r="M1987" t="s">
        <v>1307</v>
      </c>
      <c r="O1987" t="s">
        <v>228</v>
      </c>
      <c r="Q1987" t="s">
        <v>27</v>
      </c>
      <c r="R1987" t="s">
        <v>81</v>
      </c>
      <c r="W1987">
        <v>3</v>
      </c>
      <c r="X1987" t="s">
        <v>1135</v>
      </c>
      <c r="Z1987" t="s">
        <v>38</v>
      </c>
      <c r="AB1987" t="s">
        <v>921</v>
      </c>
      <c r="AC1987" t="s">
        <v>1277</v>
      </c>
      <c r="AD1987" t="s">
        <v>39</v>
      </c>
    </row>
    <row r="1988" spans="1:30" hidden="1" x14ac:dyDescent="0.25">
      <c r="A1988">
        <v>444</v>
      </c>
      <c r="B1988" t="s">
        <v>612</v>
      </c>
      <c r="C1988">
        <v>20</v>
      </c>
      <c r="D1988">
        <v>240</v>
      </c>
      <c r="E1988">
        <v>250</v>
      </c>
      <c r="F1988" t="s">
        <v>77</v>
      </c>
      <c r="G1988" t="s">
        <v>746</v>
      </c>
      <c r="H1988">
        <v>16</v>
      </c>
      <c r="I1988">
        <v>106.81</v>
      </c>
      <c r="J1988" t="s">
        <v>839</v>
      </c>
      <c r="K1988" t="s">
        <v>812</v>
      </c>
      <c r="M1988" t="s">
        <v>1307</v>
      </c>
      <c r="O1988" t="s">
        <v>228</v>
      </c>
      <c r="Q1988" t="s">
        <v>27</v>
      </c>
      <c r="R1988" t="s">
        <v>81</v>
      </c>
      <c r="W1988">
        <v>3</v>
      </c>
      <c r="X1988" t="s">
        <v>1135</v>
      </c>
      <c r="Z1988" t="s">
        <v>38</v>
      </c>
      <c r="AB1988" t="s">
        <v>921</v>
      </c>
      <c r="AC1988" t="s">
        <v>1277</v>
      </c>
      <c r="AD1988" t="s">
        <v>39</v>
      </c>
    </row>
    <row r="1989" spans="1:30" hidden="1" x14ac:dyDescent="0.25">
      <c r="A1989">
        <v>445</v>
      </c>
      <c r="B1989" t="s">
        <v>613</v>
      </c>
      <c r="C1989">
        <v>20</v>
      </c>
      <c r="D1989">
        <v>348</v>
      </c>
      <c r="E1989">
        <v>350</v>
      </c>
      <c r="F1989" t="s">
        <v>77</v>
      </c>
      <c r="G1989" t="s">
        <v>746</v>
      </c>
      <c r="H1989">
        <v>2</v>
      </c>
      <c r="I1989">
        <v>28.83</v>
      </c>
      <c r="J1989" t="s">
        <v>839</v>
      </c>
      <c r="K1989" t="s">
        <v>812</v>
      </c>
      <c r="M1989" t="s">
        <v>1307</v>
      </c>
      <c r="O1989" t="s">
        <v>228</v>
      </c>
      <c r="Q1989" t="s">
        <v>27</v>
      </c>
      <c r="R1989" t="s">
        <v>81</v>
      </c>
      <c r="W1989">
        <v>3</v>
      </c>
      <c r="X1989" t="s">
        <v>1135</v>
      </c>
      <c r="Z1989" t="s">
        <v>38</v>
      </c>
      <c r="AB1989" t="s">
        <v>921</v>
      </c>
      <c r="AC1989" t="s">
        <v>1277</v>
      </c>
      <c r="AD1989" t="s">
        <v>39</v>
      </c>
    </row>
    <row r="1990" spans="1:30" hidden="1" x14ac:dyDescent="0.25">
      <c r="A1990">
        <v>446</v>
      </c>
      <c r="B1990" t="s">
        <v>614</v>
      </c>
      <c r="C1990">
        <v>20</v>
      </c>
      <c r="D1990">
        <v>240</v>
      </c>
      <c r="E1990">
        <v>250</v>
      </c>
      <c r="F1990" t="s">
        <v>77</v>
      </c>
      <c r="G1990" t="s">
        <v>746</v>
      </c>
      <c r="H1990">
        <v>12</v>
      </c>
      <c r="I1990">
        <v>80.11</v>
      </c>
      <c r="J1990" t="s">
        <v>839</v>
      </c>
      <c r="K1990" t="s">
        <v>812</v>
      </c>
      <c r="M1990" t="s">
        <v>1307</v>
      </c>
      <c r="O1990" t="s">
        <v>228</v>
      </c>
      <c r="Q1990" t="s">
        <v>27</v>
      </c>
      <c r="R1990" t="s">
        <v>81</v>
      </c>
      <c r="W1990">
        <v>3</v>
      </c>
      <c r="X1990" t="s">
        <v>1135</v>
      </c>
      <c r="Z1990" t="s">
        <v>38</v>
      </c>
      <c r="AB1990" t="s">
        <v>921</v>
      </c>
      <c r="AC1990" t="s">
        <v>1277</v>
      </c>
      <c r="AD1990" t="s">
        <v>39</v>
      </c>
    </row>
    <row r="1991" spans="1:30" hidden="1" x14ac:dyDescent="0.25">
      <c r="A1991">
        <v>447</v>
      </c>
      <c r="B1991" t="s">
        <v>615</v>
      </c>
      <c r="C1991">
        <v>20</v>
      </c>
      <c r="D1991">
        <v>240</v>
      </c>
      <c r="E1991">
        <v>250</v>
      </c>
      <c r="F1991" t="s">
        <v>77</v>
      </c>
      <c r="G1991" t="s">
        <v>746</v>
      </c>
      <c r="H1991">
        <v>8</v>
      </c>
      <c r="I1991">
        <v>53.41</v>
      </c>
      <c r="J1991" t="s">
        <v>839</v>
      </c>
      <c r="K1991" t="s">
        <v>812</v>
      </c>
      <c r="M1991" t="s">
        <v>1307</v>
      </c>
      <c r="O1991" t="s">
        <v>228</v>
      </c>
      <c r="Q1991" t="s">
        <v>27</v>
      </c>
      <c r="R1991" t="s">
        <v>81</v>
      </c>
      <c r="W1991">
        <v>3</v>
      </c>
      <c r="X1991" t="s">
        <v>1135</v>
      </c>
      <c r="Z1991" t="s">
        <v>38</v>
      </c>
      <c r="AB1991" t="s">
        <v>921</v>
      </c>
      <c r="AC1991" t="s">
        <v>1277</v>
      </c>
      <c r="AD1991" t="s">
        <v>39</v>
      </c>
    </row>
    <row r="1992" spans="1:30" hidden="1" x14ac:dyDescent="0.25">
      <c r="A1992">
        <v>448</v>
      </c>
      <c r="B1992" t="s">
        <v>616</v>
      </c>
      <c r="C1992">
        <v>20</v>
      </c>
      <c r="D1992">
        <v>140</v>
      </c>
      <c r="E1992">
        <v>200</v>
      </c>
      <c r="F1992" t="s">
        <v>77</v>
      </c>
      <c r="G1992" t="s">
        <v>746</v>
      </c>
      <c r="H1992">
        <v>12</v>
      </c>
      <c r="I1992">
        <v>47.36</v>
      </c>
      <c r="J1992" t="s">
        <v>839</v>
      </c>
      <c r="K1992" t="s">
        <v>812</v>
      </c>
      <c r="M1992" t="s">
        <v>1307</v>
      </c>
      <c r="O1992" t="s">
        <v>228</v>
      </c>
      <c r="Q1992" t="s">
        <v>27</v>
      </c>
      <c r="R1992" t="s">
        <v>81</v>
      </c>
      <c r="W1992">
        <v>3</v>
      </c>
      <c r="X1992" t="s">
        <v>1135</v>
      </c>
      <c r="Z1992" t="s">
        <v>38</v>
      </c>
      <c r="AB1992" t="s">
        <v>921</v>
      </c>
      <c r="AC1992" t="s">
        <v>1277</v>
      </c>
      <c r="AD1992" t="s">
        <v>39</v>
      </c>
    </row>
    <row r="1993" spans="1:30" hidden="1" x14ac:dyDescent="0.25">
      <c r="A1993">
        <v>449</v>
      </c>
      <c r="B1993" t="s">
        <v>618</v>
      </c>
      <c r="C1993">
        <v>20</v>
      </c>
      <c r="D1993">
        <v>140</v>
      </c>
      <c r="E1993">
        <v>200</v>
      </c>
      <c r="F1993" t="s">
        <v>77</v>
      </c>
      <c r="G1993" t="s">
        <v>746</v>
      </c>
      <c r="H1993">
        <v>8</v>
      </c>
      <c r="I1993">
        <v>34.04</v>
      </c>
      <c r="J1993" t="s">
        <v>839</v>
      </c>
      <c r="K1993" t="s">
        <v>812</v>
      </c>
      <c r="M1993" t="s">
        <v>1307</v>
      </c>
      <c r="O1993" t="s">
        <v>228</v>
      </c>
      <c r="Q1993" t="s">
        <v>27</v>
      </c>
      <c r="R1993" t="s">
        <v>81</v>
      </c>
      <c r="W1993">
        <v>3</v>
      </c>
      <c r="X1993" t="s">
        <v>1135</v>
      </c>
      <c r="Z1993" t="s">
        <v>38</v>
      </c>
      <c r="AB1993" t="s">
        <v>921</v>
      </c>
      <c r="AC1993" t="s">
        <v>1277</v>
      </c>
      <c r="AD1993" t="s">
        <v>39</v>
      </c>
    </row>
    <row r="1994" spans="1:30" hidden="1" x14ac:dyDescent="0.25">
      <c r="A1994">
        <v>450</v>
      </c>
      <c r="B1994" t="s">
        <v>619</v>
      </c>
      <c r="C1994">
        <v>20</v>
      </c>
      <c r="D1994">
        <v>140</v>
      </c>
      <c r="E1994">
        <v>200</v>
      </c>
      <c r="F1994" t="s">
        <v>77</v>
      </c>
      <c r="G1994" t="s">
        <v>746</v>
      </c>
      <c r="H1994">
        <v>8</v>
      </c>
      <c r="I1994">
        <v>34.04</v>
      </c>
      <c r="J1994" t="s">
        <v>839</v>
      </c>
      <c r="K1994" t="s">
        <v>812</v>
      </c>
      <c r="M1994" t="s">
        <v>1307</v>
      </c>
      <c r="O1994" t="s">
        <v>228</v>
      </c>
      <c r="Q1994" t="s">
        <v>27</v>
      </c>
      <c r="R1994" t="s">
        <v>81</v>
      </c>
      <c r="W1994">
        <v>3</v>
      </c>
      <c r="X1994" t="s">
        <v>1135</v>
      </c>
      <c r="Z1994" t="s">
        <v>38</v>
      </c>
      <c r="AB1994" t="s">
        <v>921</v>
      </c>
      <c r="AC1994" t="s">
        <v>1277</v>
      </c>
      <c r="AD1994" t="s">
        <v>39</v>
      </c>
    </row>
    <row r="1995" spans="1:30" hidden="1" x14ac:dyDescent="0.25">
      <c r="A1995">
        <v>451</v>
      </c>
      <c r="B1995" t="s">
        <v>620</v>
      </c>
      <c r="C1995">
        <v>20</v>
      </c>
      <c r="D1995">
        <v>140</v>
      </c>
      <c r="E1995">
        <v>200</v>
      </c>
      <c r="F1995" t="s">
        <v>77</v>
      </c>
      <c r="G1995" t="s">
        <v>746</v>
      </c>
      <c r="H1995">
        <v>8</v>
      </c>
      <c r="I1995">
        <v>33.42</v>
      </c>
      <c r="J1995" t="s">
        <v>839</v>
      </c>
      <c r="K1995" t="s">
        <v>812</v>
      </c>
      <c r="M1995" t="s">
        <v>1307</v>
      </c>
      <c r="O1995" t="s">
        <v>228</v>
      </c>
      <c r="Q1995" t="s">
        <v>27</v>
      </c>
      <c r="R1995" t="s">
        <v>81</v>
      </c>
      <c r="W1995">
        <v>3</v>
      </c>
      <c r="X1995" t="s">
        <v>1135</v>
      </c>
      <c r="Z1995" t="s">
        <v>38</v>
      </c>
      <c r="AB1995" t="s">
        <v>921</v>
      </c>
      <c r="AC1995" t="s">
        <v>1277</v>
      </c>
      <c r="AD1995" t="s">
        <v>39</v>
      </c>
    </row>
    <row r="1996" spans="1:30" hidden="1" x14ac:dyDescent="0.25">
      <c r="A1996">
        <v>452</v>
      </c>
      <c r="B1996" t="s">
        <v>621</v>
      </c>
      <c r="C1996">
        <v>20</v>
      </c>
      <c r="D1996">
        <v>140</v>
      </c>
      <c r="E1996">
        <v>200</v>
      </c>
      <c r="F1996" t="s">
        <v>77</v>
      </c>
      <c r="G1996" t="s">
        <v>746</v>
      </c>
      <c r="H1996">
        <v>8</v>
      </c>
      <c r="I1996">
        <v>31.57</v>
      </c>
      <c r="J1996" t="s">
        <v>839</v>
      </c>
      <c r="K1996" t="s">
        <v>812</v>
      </c>
      <c r="M1996" t="s">
        <v>1307</v>
      </c>
      <c r="O1996" t="s">
        <v>228</v>
      </c>
      <c r="Q1996" t="s">
        <v>27</v>
      </c>
      <c r="R1996" t="s">
        <v>81</v>
      </c>
      <c r="W1996">
        <v>3</v>
      </c>
      <c r="X1996" t="s">
        <v>1135</v>
      </c>
      <c r="Z1996" t="s">
        <v>38</v>
      </c>
      <c r="AB1996" t="s">
        <v>921</v>
      </c>
      <c r="AC1996" t="s">
        <v>1277</v>
      </c>
      <c r="AD1996" t="s">
        <v>39</v>
      </c>
    </row>
    <row r="1997" spans="1:30" hidden="1" x14ac:dyDescent="0.25">
      <c r="A1997">
        <v>453</v>
      </c>
      <c r="B1997" t="s">
        <v>622</v>
      </c>
      <c r="C1997">
        <v>20</v>
      </c>
      <c r="D1997">
        <v>140</v>
      </c>
      <c r="E1997">
        <v>200</v>
      </c>
      <c r="F1997" t="s">
        <v>77</v>
      </c>
      <c r="G1997" t="s">
        <v>746</v>
      </c>
      <c r="H1997">
        <v>8</v>
      </c>
      <c r="I1997">
        <v>31.57</v>
      </c>
      <c r="J1997" t="s">
        <v>839</v>
      </c>
      <c r="K1997" t="s">
        <v>812</v>
      </c>
      <c r="M1997" t="s">
        <v>1307</v>
      </c>
      <c r="O1997" t="s">
        <v>228</v>
      </c>
      <c r="Q1997" t="s">
        <v>27</v>
      </c>
      <c r="R1997" t="s">
        <v>81</v>
      </c>
      <c r="W1997">
        <v>3</v>
      </c>
      <c r="X1997" t="s">
        <v>1135</v>
      </c>
      <c r="Z1997" t="s">
        <v>38</v>
      </c>
      <c r="AB1997" t="s">
        <v>921</v>
      </c>
      <c r="AC1997" t="s">
        <v>1277</v>
      </c>
      <c r="AD1997" t="s">
        <v>39</v>
      </c>
    </row>
    <row r="1998" spans="1:30" hidden="1" x14ac:dyDescent="0.25">
      <c r="A1998">
        <v>454</v>
      </c>
      <c r="B1998" t="s">
        <v>623</v>
      </c>
      <c r="C1998">
        <v>20</v>
      </c>
      <c r="D1998">
        <v>140</v>
      </c>
      <c r="E1998">
        <v>200</v>
      </c>
      <c r="F1998" t="s">
        <v>77</v>
      </c>
      <c r="G1998" t="s">
        <v>746</v>
      </c>
      <c r="H1998">
        <v>8</v>
      </c>
      <c r="I1998">
        <v>31.57</v>
      </c>
      <c r="J1998" t="s">
        <v>839</v>
      </c>
      <c r="K1998" t="s">
        <v>812</v>
      </c>
      <c r="M1998" t="s">
        <v>1307</v>
      </c>
      <c r="O1998" t="s">
        <v>228</v>
      </c>
      <c r="Q1998" t="s">
        <v>27</v>
      </c>
      <c r="R1998" t="s">
        <v>81</v>
      </c>
      <c r="W1998">
        <v>3</v>
      </c>
      <c r="X1998" t="s">
        <v>1135</v>
      </c>
      <c r="Z1998" t="s">
        <v>38</v>
      </c>
      <c r="AB1998" t="s">
        <v>921</v>
      </c>
      <c r="AC1998" t="s">
        <v>1277</v>
      </c>
      <c r="AD1998" t="s">
        <v>39</v>
      </c>
    </row>
    <row r="1999" spans="1:30" hidden="1" x14ac:dyDescent="0.25">
      <c r="A1999">
        <v>455</v>
      </c>
      <c r="B1999" t="s">
        <v>624</v>
      </c>
      <c r="C1999">
        <v>20</v>
      </c>
      <c r="D1999">
        <v>140</v>
      </c>
      <c r="E1999">
        <v>200</v>
      </c>
      <c r="F1999" t="s">
        <v>77</v>
      </c>
      <c r="G1999" t="s">
        <v>746</v>
      </c>
      <c r="H1999">
        <v>8</v>
      </c>
      <c r="I1999">
        <v>31.57</v>
      </c>
      <c r="J1999" t="s">
        <v>839</v>
      </c>
      <c r="K1999" t="s">
        <v>812</v>
      </c>
      <c r="M1999" t="s">
        <v>1307</v>
      </c>
      <c r="O1999" t="s">
        <v>228</v>
      </c>
      <c r="Q1999" t="s">
        <v>27</v>
      </c>
      <c r="R1999" t="s">
        <v>81</v>
      </c>
      <c r="W1999">
        <v>3</v>
      </c>
      <c r="X1999" t="s">
        <v>1135</v>
      </c>
      <c r="Z1999" t="s">
        <v>38</v>
      </c>
      <c r="AB1999" t="s">
        <v>921</v>
      </c>
      <c r="AC1999" t="s">
        <v>1277</v>
      </c>
      <c r="AD1999" t="s">
        <v>39</v>
      </c>
    </row>
    <row r="2000" spans="1:30" hidden="1" x14ac:dyDescent="0.25">
      <c r="A2000">
        <v>456</v>
      </c>
      <c r="B2000" t="s">
        <v>625</v>
      </c>
      <c r="C2000">
        <v>20</v>
      </c>
      <c r="D2000">
        <v>140</v>
      </c>
      <c r="E2000">
        <v>200</v>
      </c>
      <c r="F2000" t="s">
        <v>77</v>
      </c>
      <c r="G2000" t="s">
        <v>746</v>
      </c>
      <c r="H2000">
        <v>8</v>
      </c>
      <c r="I2000">
        <v>31.57</v>
      </c>
      <c r="J2000" t="s">
        <v>839</v>
      </c>
      <c r="K2000" t="s">
        <v>812</v>
      </c>
      <c r="M2000" t="s">
        <v>1307</v>
      </c>
      <c r="O2000" t="s">
        <v>228</v>
      </c>
      <c r="Q2000" t="s">
        <v>27</v>
      </c>
      <c r="R2000" t="s">
        <v>81</v>
      </c>
      <c r="W2000">
        <v>3</v>
      </c>
      <c r="X2000" t="s">
        <v>1135</v>
      </c>
      <c r="Z2000" t="s">
        <v>38</v>
      </c>
      <c r="AB2000" t="s">
        <v>921</v>
      </c>
      <c r="AC2000" t="s">
        <v>1277</v>
      </c>
      <c r="AD2000" t="s">
        <v>39</v>
      </c>
    </row>
    <row r="2001" spans="1:30" hidden="1" x14ac:dyDescent="0.25">
      <c r="A2001">
        <v>457</v>
      </c>
      <c r="B2001" t="s">
        <v>626</v>
      </c>
      <c r="C2001">
        <v>20</v>
      </c>
      <c r="D2001">
        <v>140</v>
      </c>
      <c r="E2001">
        <v>200</v>
      </c>
      <c r="F2001" t="s">
        <v>77</v>
      </c>
      <c r="G2001" t="s">
        <v>746</v>
      </c>
      <c r="H2001">
        <v>12</v>
      </c>
      <c r="I2001">
        <v>47.36</v>
      </c>
      <c r="J2001" t="s">
        <v>839</v>
      </c>
      <c r="K2001" t="s">
        <v>812</v>
      </c>
      <c r="M2001" t="s">
        <v>1307</v>
      </c>
      <c r="O2001" t="s">
        <v>228</v>
      </c>
      <c r="Q2001" t="s">
        <v>27</v>
      </c>
      <c r="R2001" t="s">
        <v>81</v>
      </c>
      <c r="W2001">
        <v>3</v>
      </c>
      <c r="X2001" t="s">
        <v>1135</v>
      </c>
      <c r="Z2001" t="s">
        <v>38</v>
      </c>
      <c r="AB2001" t="s">
        <v>921</v>
      </c>
      <c r="AC2001" t="s">
        <v>1277</v>
      </c>
      <c r="AD2001" t="s">
        <v>39</v>
      </c>
    </row>
    <row r="2002" spans="1:30" hidden="1" x14ac:dyDescent="0.25">
      <c r="A2002">
        <v>458</v>
      </c>
      <c r="B2002" t="s">
        <v>1279</v>
      </c>
      <c r="C2002">
        <v>20</v>
      </c>
      <c r="D2002">
        <v>300</v>
      </c>
      <c r="E2002">
        <v>450</v>
      </c>
      <c r="F2002" t="s">
        <v>77</v>
      </c>
      <c r="G2002" t="s">
        <v>746</v>
      </c>
      <c r="H2002">
        <v>1</v>
      </c>
      <c r="I2002">
        <v>21.2</v>
      </c>
      <c r="J2002" t="s">
        <v>839</v>
      </c>
      <c r="K2002" t="s">
        <v>812</v>
      </c>
      <c r="M2002" t="s">
        <v>1307</v>
      </c>
      <c r="R2002" t="s">
        <v>81</v>
      </c>
      <c r="W2002">
        <v>3</v>
      </c>
      <c r="X2002" t="s">
        <v>1135</v>
      </c>
      <c r="Z2002" t="s">
        <v>38</v>
      </c>
      <c r="AB2002" t="s">
        <v>921</v>
      </c>
      <c r="AC2002" t="s">
        <v>1277</v>
      </c>
      <c r="AD2002" t="s">
        <v>39</v>
      </c>
    </row>
    <row r="2003" spans="1:30" hidden="1" x14ac:dyDescent="0.25">
      <c r="A2003">
        <v>459</v>
      </c>
      <c r="B2003" t="s">
        <v>663</v>
      </c>
      <c r="C2003">
        <v>25</v>
      </c>
      <c r="D2003">
        <v>250</v>
      </c>
      <c r="E2003">
        <v>300</v>
      </c>
      <c r="F2003" t="s">
        <v>77</v>
      </c>
      <c r="G2003" t="s">
        <v>746</v>
      </c>
      <c r="H2003">
        <v>8</v>
      </c>
      <c r="I2003">
        <v>109.2</v>
      </c>
      <c r="J2003" t="s">
        <v>839</v>
      </c>
      <c r="K2003" t="s">
        <v>812</v>
      </c>
      <c r="M2003" t="s">
        <v>1307</v>
      </c>
      <c r="O2003" t="s">
        <v>228</v>
      </c>
      <c r="Q2003" t="s">
        <v>27</v>
      </c>
      <c r="S2003" t="s">
        <v>81</v>
      </c>
      <c r="W2003">
        <v>3</v>
      </c>
      <c r="X2003" t="s">
        <v>1135</v>
      </c>
      <c r="Z2003" t="s">
        <v>38</v>
      </c>
      <c r="AB2003" t="s">
        <v>921</v>
      </c>
      <c r="AC2003" t="s">
        <v>1282</v>
      </c>
      <c r="AD2003" t="s">
        <v>1283</v>
      </c>
    </row>
    <row r="2004" spans="1:30" hidden="1" x14ac:dyDescent="0.25">
      <c r="A2004">
        <v>460</v>
      </c>
      <c r="B2004" t="s">
        <v>669</v>
      </c>
      <c r="C2004">
        <v>25</v>
      </c>
      <c r="D2004">
        <v>240</v>
      </c>
      <c r="E2004">
        <v>300</v>
      </c>
      <c r="F2004" t="s">
        <v>77</v>
      </c>
      <c r="G2004" t="s">
        <v>746</v>
      </c>
      <c r="H2004">
        <v>8</v>
      </c>
      <c r="I2004">
        <v>109.96</v>
      </c>
      <c r="J2004" t="s">
        <v>839</v>
      </c>
      <c r="K2004" t="s">
        <v>812</v>
      </c>
      <c r="M2004" t="s">
        <v>1307</v>
      </c>
      <c r="O2004" t="s">
        <v>228</v>
      </c>
      <c r="Q2004" t="s">
        <v>27</v>
      </c>
      <c r="S2004" t="s">
        <v>81</v>
      </c>
      <c r="W2004">
        <v>3</v>
      </c>
      <c r="X2004" t="s">
        <v>1135</v>
      </c>
      <c r="Z2004" t="s">
        <v>38</v>
      </c>
      <c r="AB2004" t="s">
        <v>921</v>
      </c>
      <c r="AC2004" t="s">
        <v>1282</v>
      </c>
      <c r="AD2004" t="s">
        <v>1283</v>
      </c>
    </row>
    <row r="2005" spans="1:30" hidden="1" x14ac:dyDescent="0.25">
      <c r="A2005">
        <v>461</v>
      </c>
      <c r="B2005" t="s">
        <v>667</v>
      </c>
      <c r="C2005">
        <v>25</v>
      </c>
      <c r="D2005">
        <v>240</v>
      </c>
      <c r="E2005">
        <v>300</v>
      </c>
      <c r="F2005" t="s">
        <v>77</v>
      </c>
      <c r="G2005" t="s">
        <v>746</v>
      </c>
      <c r="H2005">
        <v>8</v>
      </c>
      <c r="I2005">
        <v>103.05</v>
      </c>
      <c r="J2005" t="s">
        <v>839</v>
      </c>
      <c r="K2005" t="s">
        <v>812</v>
      </c>
      <c r="M2005" t="s">
        <v>1307</v>
      </c>
      <c r="O2005" t="s">
        <v>228</v>
      </c>
      <c r="Q2005" t="s">
        <v>27</v>
      </c>
      <c r="S2005" t="s">
        <v>81</v>
      </c>
      <c r="W2005">
        <v>3</v>
      </c>
      <c r="X2005" t="s">
        <v>1135</v>
      </c>
      <c r="Z2005" t="s">
        <v>38</v>
      </c>
      <c r="AB2005" t="s">
        <v>921</v>
      </c>
      <c r="AC2005" t="s">
        <v>1282</v>
      </c>
      <c r="AD2005" t="s">
        <v>1283</v>
      </c>
    </row>
    <row r="2006" spans="1:30" hidden="1" x14ac:dyDescent="0.25">
      <c r="A2006">
        <v>462</v>
      </c>
      <c r="B2006" t="s">
        <v>1068</v>
      </c>
      <c r="C2006">
        <v>25</v>
      </c>
      <c r="D2006">
        <v>120</v>
      </c>
      <c r="E2006">
        <v>240</v>
      </c>
      <c r="F2006" t="s">
        <v>77</v>
      </c>
      <c r="G2006" t="s">
        <v>746</v>
      </c>
      <c r="H2006">
        <v>8</v>
      </c>
      <c r="I2006">
        <v>42.13</v>
      </c>
      <c r="J2006" t="s">
        <v>839</v>
      </c>
      <c r="K2006" t="s">
        <v>812</v>
      </c>
      <c r="M2006" t="s">
        <v>1307</v>
      </c>
      <c r="O2006" t="s">
        <v>228</v>
      </c>
      <c r="Q2006" t="s">
        <v>27</v>
      </c>
      <c r="S2006" t="s">
        <v>81</v>
      </c>
      <c r="W2006">
        <v>3</v>
      </c>
      <c r="X2006" t="s">
        <v>1135</v>
      </c>
      <c r="Z2006" t="s">
        <v>38</v>
      </c>
      <c r="AB2006" t="s">
        <v>921</v>
      </c>
      <c r="AC2006" t="s">
        <v>1282</v>
      </c>
      <c r="AD2006" t="s">
        <v>1283</v>
      </c>
    </row>
    <row r="2007" spans="1:30" hidden="1" x14ac:dyDescent="0.25">
      <c r="A2007">
        <v>463</v>
      </c>
      <c r="B2007" t="s">
        <v>672</v>
      </c>
      <c r="C2007">
        <v>25</v>
      </c>
      <c r="D2007">
        <v>240</v>
      </c>
      <c r="E2007">
        <v>300</v>
      </c>
      <c r="F2007" t="s">
        <v>77</v>
      </c>
      <c r="G2007" t="s">
        <v>746</v>
      </c>
      <c r="H2007">
        <v>4</v>
      </c>
      <c r="I2007">
        <v>54.98</v>
      </c>
      <c r="J2007" t="s">
        <v>839</v>
      </c>
      <c r="K2007" t="s">
        <v>812</v>
      </c>
      <c r="M2007" t="s">
        <v>1307</v>
      </c>
      <c r="O2007" t="s">
        <v>228</v>
      </c>
      <c r="Q2007" t="s">
        <v>27</v>
      </c>
      <c r="S2007" t="s">
        <v>81</v>
      </c>
      <c r="W2007">
        <v>3</v>
      </c>
      <c r="X2007" t="s">
        <v>1135</v>
      </c>
      <c r="Z2007" t="s">
        <v>38</v>
      </c>
      <c r="AB2007" t="s">
        <v>921</v>
      </c>
      <c r="AC2007" t="s">
        <v>1282</v>
      </c>
      <c r="AD2007" t="s">
        <v>1283</v>
      </c>
    </row>
    <row r="2008" spans="1:30" hidden="1" x14ac:dyDescent="0.25">
      <c r="A2008">
        <v>464</v>
      </c>
      <c r="B2008" t="s">
        <v>670</v>
      </c>
      <c r="C2008">
        <v>25</v>
      </c>
      <c r="D2008">
        <v>240</v>
      </c>
      <c r="E2008">
        <v>300</v>
      </c>
      <c r="F2008" t="s">
        <v>77</v>
      </c>
      <c r="G2008" t="s">
        <v>746</v>
      </c>
      <c r="H2008">
        <v>4</v>
      </c>
      <c r="I2008">
        <v>51.53</v>
      </c>
      <c r="J2008" t="s">
        <v>839</v>
      </c>
      <c r="K2008" t="s">
        <v>812</v>
      </c>
      <c r="M2008" t="s">
        <v>1307</v>
      </c>
      <c r="O2008" t="s">
        <v>228</v>
      </c>
      <c r="Q2008" t="s">
        <v>27</v>
      </c>
      <c r="S2008" t="s">
        <v>81</v>
      </c>
      <c r="W2008">
        <v>3</v>
      </c>
      <c r="X2008" t="s">
        <v>1135</v>
      </c>
      <c r="Z2008" t="s">
        <v>38</v>
      </c>
      <c r="AB2008" t="s">
        <v>921</v>
      </c>
      <c r="AC2008" t="s">
        <v>1282</v>
      </c>
      <c r="AD2008" t="s">
        <v>1283</v>
      </c>
    </row>
    <row r="2009" spans="1:30" hidden="1" x14ac:dyDescent="0.25">
      <c r="A2009">
        <v>465</v>
      </c>
      <c r="B2009" t="s">
        <v>1072</v>
      </c>
      <c r="C2009">
        <v>25</v>
      </c>
      <c r="D2009">
        <v>120</v>
      </c>
      <c r="E2009">
        <v>240</v>
      </c>
      <c r="F2009" t="s">
        <v>77</v>
      </c>
      <c r="G2009" t="s">
        <v>746</v>
      </c>
      <c r="H2009">
        <v>4</v>
      </c>
      <c r="I2009">
        <v>21.07</v>
      </c>
      <c r="J2009" t="s">
        <v>839</v>
      </c>
      <c r="K2009" t="s">
        <v>812</v>
      </c>
      <c r="M2009" t="s">
        <v>1307</v>
      </c>
      <c r="O2009" t="s">
        <v>228</v>
      </c>
      <c r="Q2009" t="s">
        <v>27</v>
      </c>
      <c r="S2009" t="s">
        <v>81</v>
      </c>
      <c r="W2009">
        <v>3</v>
      </c>
      <c r="X2009" t="s">
        <v>1135</v>
      </c>
      <c r="Z2009" t="s">
        <v>38</v>
      </c>
      <c r="AB2009" t="s">
        <v>921</v>
      </c>
      <c r="AC2009" t="s">
        <v>1282</v>
      </c>
      <c r="AD2009" t="s">
        <v>1283</v>
      </c>
    </row>
    <row r="2010" spans="1:30" hidden="1" x14ac:dyDescent="0.25">
      <c r="A2010">
        <v>466</v>
      </c>
      <c r="B2010" t="s">
        <v>652</v>
      </c>
      <c r="C2010">
        <v>25</v>
      </c>
      <c r="D2010">
        <v>443</v>
      </c>
      <c r="E2010">
        <v>525</v>
      </c>
      <c r="F2010" t="s">
        <v>77</v>
      </c>
      <c r="G2010" t="s">
        <v>746</v>
      </c>
      <c r="H2010">
        <v>2</v>
      </c>
      <c r="I2010">
        <v>83.27</v>
      </c>
      <c r="J2010" t="s">
        <v>839</v>
      </c>
      <c r="K2010" t="s">
        <v>812</v>
      </c>
      <c r="M2010" t="s">
        <v>1307</v>
      </c>
      <c r="O2010" t="s">
        <v>228</v>
      </c>
      <c r="Q2010" t="s">
        <v>27</v>
      </c>
      <c r="S2010" t="s">
        <v>81</v>
      </c>
      <c r="W2010">
        <v>3</v>
      </c>
      <c r="X2010" t="s">
        <v>1135</v>
      </c>
      <c r="Z2010" t="s">
        <v>38</v>
      </c>
      <c r="AB2010" t="s">
        <v>921</v>
      </c>
      <c r="AC2010" t="s">
        <v>1282</v>
      </c>
      <c r="AD2010" t="s">
        <v>1283</v>
      </c>
    </row>
    <row r="2011" spans="1:30" hidden="1" x14ac:dyDescent="0.25">
      <c r="A2011">
        <v>467</v>
      </c>
      <c r="B2011" t="s">
        <v>647</v>
      </c>
      <c r="C2011">
        <v>25</v>
      </c>
      <c r="D2011">
        <v>443</v>
      </c>
      <c r="E2011">
        <v>525</v>
      </c>
      <c r="F2011" t="s">
        <v>77</v>
      </c>
      <c r="G2011" t="s">
        <v>746</v>
      </c>
      <c r="H2011">
        <v>2</v>
      </c>
      <c r="I2011">
        <v>91.29</v>
      </c>
      <c r="J2011" t="s">
        <v>839</v>
      </c>
      <c r="K2011" t="s">
        <v>812</v>
      </c>
      <c r="M2011" t="s">
        <v>1307</v>
      </c>
      <c r="Q2011" t="s">
        <v>26</v>
      </c>
      <c r="S2011" t="s">
        <v>81</v>
      </c>
      <c r="W2011">
        <v>3</v>
      </c>
      <c r="X2011" t="s">
        <v>1135</v>
      </c>
      <c r="Z2011" t="s">
        <v>38</v>
      </c>
      <c r="AB2011" t="s">
        <v>921</v>
      </c>
      <c r="AC2011" t="s">
        <v>1282</v>
      </c>
      <c r="AD2011" t="s">
        <v>1283</v>
      </c>
    </row>
    <row r="2012" spans="1:30" hidden="1" x14ac:dyDescent="0.25">
      <c r="A2012">
        <v>468</v>
      </c>
      <c r="B2012" t="s">
        <v>650</v>
      </c>
      <c r="C2012">
        <v>25</v>
      </c>
      <c r="D2012">
        <v>200</v>
      </c>
      <c r="E2012">
        <v>200</v>
      </c>
      <c r="F2012" t="s">
        <v>77</v>
      </c>
      <c r="G2012" t="s">
        <v>746</v>
      </c>
      <c r="H2012">
        <v>2</v>
      </c>
      <c r="I2012">
        <v>15.7</v>
      </c>
      <c r="J2012" t="s">
        <v>839</v>
      </c>
      <c r="K2012" t="s">
        <v>812</v>
      </c>
      <c r="M2012" t="s">
        <v>1307</v>
      </c>
      <c r="Q2012" t="s">
        <v>26</v>
      </c>
      <c r="S2012" t="s">
        <v>81</v>
      </c>
      <c r="W2012">
        <v>3</v>
      </c>
      <c r="X2012" t="s">
        <v>1135</v>
      </c>
      <c r="Z2012" t="s">
        <v>38</v>
      </c>
      <c r="AB2012" t="s">
        <v>921</v>
      </c>
      <c r="AC2012" t="s">
        <v>1282</v>
      </c>
      <c r="AD2012" t="s">
        <v>1283</v>
      </c>
    </row>
    <row r="2013" spans="1:30" hidden="1" x14ac:dyDescent="0.25">
      <c r="A2013">
        <v>469</v>
      </c>
      <c r="B2013" t="s">
        <v>654</v>
      </c>
      <c r="C2013">
        <v>25</v>
      </c>
      <c r="D2013">
        <v>200</v>
      </c>
      <c r="E2013">
        <v>200</v>
      </c>
      <c r="F2013" t="s">
        <v>77</v>
      </c>
      <c r="G2013" t="s">
        <v>746</v>
      </c>
      <c r="H2013">
        <v>2</v>
      </c>
      <c r="I2013">
        <v>15.7</v>
      </c>
      <c r="J2013" t="s">
        <v>839</v>
      </c>
      <c r="K2013" t="s">
        <v>812</v>
      </c>
      <c r="M2013" t="s">
        <v>1307</v>
      </c>
      <c r="Q2013" t="s">
        <v>26</v>
      </c>
      <c r="S2013" t="s">
        <v>81</v>
      </c>
      <c r="W2013">
        <v>3</v>
      </c>
      <c r="X2013" t="s">
        <v>1135</v>
      </c>
      <c r="Z2013" t="s">
        <v>38</v>
      </c>
      <c r="AB2013" t="s">
        <v>921</v>
      </c>
      <c r="AC2013" t="s">
        <v>1282</v>
      </c>
      <c r="AD2013" t="s">
        <v>1283</v>
      </c>
    </row>
    <row r="2014" spans="1:30" hidden="1" x14ac:dyDescent="0.25">
      <c r="A2014">
        <v>470</v>
      </c>
      <c r="B2014" t="s">
        <v>656</v>
      </c>
      <c r="C2014">
        <v>25</v>
      </c>
      <c r="D2014">
        <v>443</v>
      </c>
      <c r="E2014">
        <v>500</v>
      </c>
      <c r="F2014" t="s">
        <v>77</v>
      </c>
      <c r="G2014" t="s">
        <v>746</v>
      </c>
      <c r="H2014">
        <v>2</v>
      </c>
      <c r="I2014">
        <v>86.94</v>
      </c>
      <c r="J2014" t="s">
        <v>839</v>
      </c>
      <c r="K2014" t="s">
        <v>812</v>
      </c>
      <c r="M2014" t="s">
        <v>1307</v>
      </c>
      <c r="Q2014" t="s">
        <v>26</v>
      </c>
      <c r="S2014" t="s">
        <v>81</v>
      </c>
      <c r="W2014">
        <v>3</v>
      </c>
      <c r="X2014" t="s">
        <v>1135</v>
      </c>
      <c r="Z2014" t="s">
        <v>38</v>
      </c>
      <c r="AB2014" t="s">
        <v>921</v>
      </c>
      <c r="AC2014" t="s">
        <v>1282</v>
      </c>
      <c r="AD2014" t="s">
        <v>1283</v>
      </c>
    </row>
    <row r="2015" spans="1:30" hidden="1" x14ac:dyDescent="0.25">
      <c r="A2015">
        <v>471</v>
      </c>
      <c r="B2015" t="s">
        <v>649</v>
      </c>
      <c r="C2015">
        <v>25</v>
      </c>
      <c r="D2015">
        <v>443</v>
      </c>
      <c r="E2015">
        <v>550</v>
      </c>
      <c r="F2015" t="s">
        <v>77</v>
      </c>
      <c r="G2015" t="s">
        <v>746</v>
      </c>
      <c r="H2015">
        <v>2</v>
      </c>
      <c r="I2015">
        <v>87.62</v>
      </c>
      <c r="J2015" t="s">
        <v>839</v>
      </c>
      <c r="K2015" t="s">
        <v>812</v>
      </c>
      <c r="M2015" t="s">
        <v>1307</v>
      </c>
      <c r="O2015" t="s">
        <v>228</v>
      </c>
      <c r="Q2015" t="s">
        <v>27</v>
      </c>
      <c r="S2015" t="s">
        <v>81</v>
      </c>
      <c r="W2015">
        <v>3</v>
      </c>
      <c r="X2015" t="s">
        <v>1135</v>
      </c>
      <c r="Z2015" t="s">
        <v>38</v>
      </c>
      <c r="AB2015" t="s">
        <v>921</v>
      </c>
      <c r="AC2015" t="s">
        <v>1282</v>
      </c>
      <c r="AD2015" t="s">
        <v>1283</v>
      </c>
    </row>
    <row r="2016" spans="1:30" hidden="1" x14ac:dyDescent="0.25">
      <c r="A2016">
        <v>472</v>
      </c>
      <c r="B2016" t="s">
        <v>642</v>
      </c>
      <c r="C2016">
        <v>25</v>
      </c>
      <c r="D2016">
        <v>443</v>
      </c>
      <c r="E2016">
        <v>550</v>
      </c>
      <c r="F2016" t="s">
        <v>77</v>
      </c>
      <c r="G2016" t="s">
        <v>746</v>
      </c>
      <c r="H2016">
        <v>2</v>
      </c>
      <c r="I2016">
        <v>95.63</v>
      </c>
      <c r="J2016" t="s">
        <v>839</v>
      </c>
      <c r="K2016" t="s">
        <v>812</v>
      </c>
      <c r="M2016" t="s">
        <v>1307</v>
      </c>
      <c r="Q2016" t="s">
        <v>26</v>
      </c>
      <c r="S2016" t="s">
        <v>81</v>
      </c>
      <c r="W2016">
        <v>3</v>
      </c>
      <c r="X2016" t="s">
        <v>1135</v>
      </c>
      <c r="Z2016" t="s">
        <v>38</v>
      </c>
      <c r="AB2016" t="s">
        <v>921</v>
      </c>
      <c r="AC2016" t="s">
        <v>1282</v>
      </c>
      <c r="AD2016" t="s">
        <v>1283</v>
      </c>
    </row>
    <row r="2017" spans="1:30" hidden="1" x14ac:dyDescent="0.25">
      <c r="A2017">
        <v>473</v>
      </c>
      <c r="B2017" t="s">
        <v>653</v>
      </c>
      <c r="C2017">
        <v>25</v>
      </c>
      <c r="D2017">
        <v>443</v>
      </c>
      <c r="E2017">
        <v>525</v>
      </c>
      <c r="F2017" t="s">
        <v>77</v>
      </c>
      <c r="G2017" t="s">
        <v>746</v>
      </c>
      <c r="H2017">
        <v>2</v>
      </c>
      <c r="I2017">
        <v>83.27</v>
      </c>
      <c r="J2017" t="s">
        <v>839</v>
      </c>
      <c r="K2017" t="s">
        <v>812</v>
      </c>
      <c r="M2017" t="s">
        <v>1307</v>
      </c>
      <c r="O2017" t="s">
        <v>228</v>
      </c>
      <c r="Q2017" t="s">
        <v>27</v>
      </c>
      <c r="S2017" t="s">
        <v>81</v>
      </c>
      <c r="W2017">
        <v>3</v>
      </c>
      <c r="X2017" t="s">
        <v>1135</v>
      </c>
      <c r="Z2017" t="s">
        <v>38</v>
      </c>
      <c r="AB2017" t="s">
        <v>921</v>
      </c>
      <c r="AC2017" t="s">
        <v>1282</v>
      </c>
      <c r="AD2017" t="s">
        <v>1283</v>
      </c>
    </row>
    <row r="2018" spans="1:30" hidden="1" x14ac:dyDescent="0.25">
      <c r="A2018">
        <v>474</v>
      </c>
      <c r="B2018" t="s">
        <v>639</v>
      </c>
      <c r="C2018">
        <v>25</v>
      </c>
      <c r="D2018">
        <v>443</v>
      </c>
      <c r="E2018">
        <v>525</v>
      </c>
      <c r="F2018" t="s">
        <v>77</v>
      </c>
      <c r="G2018" t="s">
        <v>746</v>
      </c>
      <c r="H2018">
        <v>2</v>
      </c>
      <c r="I2018">
        <v>91.29</v>
      </c>
      <c r="J2018" t="s">
        <v>839</v>
      </c>
      <c r="K2018" t="s">
        <v>812</v>
      </c>
      <c r="M2018" t="s">
        <v>1307</v>
      </c>
      <c r="Q2018" t="s">
        <v>26</v>
      </c>
      <c r="S2018" t="s">
        <v>81</v>
      </c>
      <c r="W2018">
        <v>3</v>
      </c>
      <c r="X2018" t="s">
        <v>1135</v>
      </c>
      <c r="Z2018" t="s">
        <v>38</v>
      </c>
      <c r="AB2018" t="s">
        <v>921</v>
      </c>
      <c r="AC2018" t="s">
        <v>1282</v>
      </c>
      <c r="AD2018" t="s">
        <v>1283</v>
      </c>
    </row>
    <row r="2019" spans="1:30" hidden="1" x14ac:dyDescent="0.25">
      <c r="A2019">
        <v>475</v>
      </c>
      <c r="B2019" t="s">
        <v>655</v>
      </c>
      <c r="C2019">
        <v>25</v>
      </c>
      <c r="D2019">
        <v>200</v>
      </c>
      <c r="E2019">
        <v>200</v>
      </c>
      <c r="F2019" t="s">
        <v>77</v>
      </c>
      <c r="G2019" t="s">
        <v>746</v>
      </c>
      <c r="H2019">
        <v>2</v>
      </c>
      <c r="I2019">
        <v>15.7</v>
      </c>
      <c r="J2019" t="s">
        <v>839</v>
      </c>
      <c r="K2019" t="s">
        <v>812</v>
      </c>
      <c r="M2019" t="s">
        <v>1307</v>
      </c>
      <c r="Q2019" t="s">
        <v>26</v>
      </c>
      <c r="S2019" t="s">
        <v>81</v>
      </c>
      <c r="W2019">
        <v>3</v>
      </c>
      <c r="X2019" t="s">
        <v>1135</v>
      </c>
      <c r="Z2019" t="s">
        <v>38</v>
      </c>
      <c r="AB2019" t="s">
        <v>921</v>
      </c>
      <c r="AC2019" t="s">
        <v>1282</v>
      </c>
      <c r="AD2019" t="s">
        <v>1283</v>
      </c>
    </row>
    <row r="2020" spans="1:30" hidden="1" x14ac:dyDescent="0.25">
      <c r="A2020">
        <v>476</v>
      </c>
      <c r="B2020" t="s">
        <v>671</v>
      </c>
      <c r="C2020">
        <v>25</v>
      </c>
      <c r="D2020">
        <v>200</v>
      </c>
      <c r="E2020">
        <v>200</v>
      </c>
      <c r="F2020" t="s">
        <v>77</v>
      </c>
      <c r="G2020" t="s">
        <v>746</v>
      </c>
      <c r="H2020">
        <v>2</v>
      </c>
      <c r="I2020">
        <v>15.7</v>
      </c>
      <c r="J2020" t="s">
        <v>839</v>
      </c>
      <c r="K2020" t="s">
        <v>812</v>
      </c>
      <c r="M2020" t="s">
        <v>1307</v>
      </c>
      <c r="Q2020" t="s">
        <v>26</v>
      </c>
      <c r="S2020" t="s">
        <v>81</v>
      </c>
      <c r="W2020">
        <v>3</v>
      </c>
      <c r="X2020" t="s">
        <v>1135</v>
      </c>
      <c r="Z2020" t="s">
        <v>38</v>
      </c>
      <c r="AB2020" t="s">
        <v>921</v>
      </c>
      <c r="AC2020" t="s">
        <v>1282</v>
      </c>
      <c r="AD2020" t="s">
        <v>1283</v>
      </c>
    </row>
    <row r="2021" spans="1:30" hidden="1" x14ac:dyDescent="0.25">
      <c r="A2021">
        <v>477</v>
      </c>
      <c r="B2021" t="s">
        <v>658</v>
      </c>
      <c r="C2021">
        <v>25</v>
      </c>
      <c r="D2021">
        <v>443</v>
      </c>
      <c r="E2021">
        <v>500</v>
      </c>
      <c r="F2021" t="s">
        <v>77</v>
      </c>
      <c r="G2021" t="s">
        <v>746</v>
      </c>
      <c r="H2021">
        <v>2</v>
      </c>
      <c r="I2021">
        <v>86.94</v>
      </c>
      <c r="J2021" t="s">
        <v>839</v>
      </c>
      <c r="K2021" t="s">
        <v>812</v>
      </c>
      <c r="M2021" t="s">
        <v>1307</v>
      </c>
      <c r="Q2021" t="s">
        <v>26</v>
      </c>
      <c r="S2021" t="s">
        <v>81</v>
      </c>
      <c r="W2021">
        <v>3</v>
      </c>
      <c r="X2021" t="s">
        <v>1135</v>
      </c>
      <c r="Z2021" t="s">
        <v>38</v>
      </c>
      <c r="AB2021" t="s">
        <v>921</v>
      </c>
      <c r="AC2021" t="s">
        <v>1282</v>
      </c>
      <c r="AD2021" t="s">
        <v>1283</v>
      </c>
    </row>
    <row r="2022" spans="1:30" hidden="1" x14ac:dyDescent="0.25">
      <c r="A2022">
        <v>478</v>
      </c>
      <c r="B2022" t="s">
        <v>644</v>
      </c>
      <c r="C2022">
        <v>25</v>
      </c>
      <c r="D2022">
        <v>443</v>
      </c>
      <c r="E2022">
        <v>550</v>
      </c>
      <c r="F2022" t="s">
        <v>77</v>
      </c>
      <c r="G2022" t="s">
        <v>746</v>
      </c>
      <c r="H2022">
        <v>2</v>
      </c>
      <c r="I2022">
        <v>87.62</v>
      </c>
      <c r="J2022" t="s">
        <v>839</v>
      </c>
      <c r="K2022" t="s">
        <v>812</v>
      </c>
      <c r="M2022" t="s">
        <v>1307</v>
      </c>
      <c r="O2022" t="s">
        <v>228</v>
      </c>
      <c r="Q2022" t="s">
        <v>27</v>
      </c>
      <c r="S2022" t="s">
        <v>81</v>
      </c>
      <c r="W2022">
        <v>3</v>
      </c>
      <c r="X2022" t="s">
        <v>1135</v>
      </c>
      <c r="Z2022" t="s">
        <v>38</v>
      </c>
      <c r="AB2022" t="s">
        <v>921</v>
      </c>
      <c r="AC2022" t="s">
        <v>1282</v>
      </c>
      <c r="AD2022" t="s">
        <v>1283</v>
      </c>
    </row>
    <row r="2023" spans="1:30" hidden="1" x14ac:dyDescent="0.25">
      <c r="A2023">
        <v>479</v>
      </c>
      <c r="B2023" t="s">
        <v>645</v>
      </c>
      <c r="C2023">
        <v>25</v>
      </c>
      <c r="D2023">
        <v>443</v>
      </c>
      <c r="E2023">
        <v>550</v>
      </c>
      <c r="F2023" t="s">
        <v>77</v>
      </c>
      <c r="G2023" t="s">
        <v>746</v>
      </c>
      <c r="H2023">
        <v>2</v>
      </c>
      <c r="I2023">
        <v>95.63</v>
      </c>
      <c r="J2023" t="s">
        <v>839</v>
      </c>
      <c r="K2023" t="s">
        <v>812</v>
      </c>
      <c r="M2023" t="s">
        <v>1307</v>
      </c>
      <c r="Q2023" t="s">
        <v>26</v>
      </c>
      <c r="S2023" t="s">
        <v>81</v>
      </c>
      <c r="W2023">
        <v>3</v>
      </c>
      <c r="X2023" t="s">
        <v>1135</v>
      </c>
      <c r="Z2023" t="s">
        <v>38</v>
      </c>
      <c r="AB2023" t="s">
        <v>921</v>
      </c>
      <c r="AC2023" t="s">
        <v>1282</v>
      </c>
      <c r="AD2023" t="s">
        <v>1283</v>
      </c>
    </row>
    <row r="2024" spans="1:30" hidden="1" x14ac:dyDescent="0.25">
      <c r="A2024">
        <v>480</v>
      </c>
      <c r="B2024" t="s">
        <v>646</v>
      </c>
      <c r="C2024">
        <v>25</v>
      </c>
      <c r="D2024">
        <v>501</v>
      </c>
      <c r="E2024">
        <v>744</v>
      </c>
      <c r="F2024" t="s">
        <v>77</v>
      </c>
      <c r="G2024" t="s">
        <v>746</v>
      </c>
      <c r="H2024">
        <v>2</v>
      </c>
      <c r="I2024">
        <v>90.9</v>
      </c>
      <c r="J2024" t="s">
        <v>839</v>
      </c>
      <c r="K2024" t="s">
        <v>812</v>
      </c>
      <c r="M2024" t="s">
        <v>1307</v>
      </c>
      <c r="O2024" t="s">
        <v>228</v>
      </c>
      <c r="Q2024" t="s">
        <v>27</v>
      </c>
      <c r="S2024" t="s">
        <v>81</v>
      </c>
      <c r="W2024">
        <v>3</v>
      </c>
      <c r="X2024" t="s">
        <v>1135</v>
      </c>
      <c r="Z2024" t="s">
        <v>38</v>
      </c>
      <c r="AB2024" t="s">
        <v>921</v>
      </c>
      <c r="AC2024" t="s">
        <v>1282</v>
      </c>
      <c r="AD2024" t="s">
        <v>1283</v>
      </c>
    </row>
    <row r="2025" spans="1:30" hidden="1" x14ac:dyDescent="0.25">
      <c r="A2025">
        <v>481</v>
      </c>
      <c r="B2025" t="s">
        <v>648</v>
      </c>
      <c r="C2025">
        <v>25</v>
      </c>
      <c r="D2025">
        <v>500</v>
      </c>
      <c r="E2025">
        <v>550</v>
      </c>
      <c r="F2025" t="s">
        <v>77</v>
      </c>
      <c r="G2025" t="s">
        <v>746</v>
      </c>
      <c r="H2025">
        <v>1</v>
      </c>
      <c r="I2025">
        <v>52.99</v>
      </c>
      <c r="J2025" t="s">
        <v>839</v>
      </c>
      <c r="K2025" t="s">
        <v>812</v>
      </c>
      <c r="M2025" t="s">
        <v>1307</v>
      </c>
      <c r="Q2025" t="s">
        <v>26</v>
      </c>
      <c r="S2025" t="s">
        <v>81</v>
      </c>
      <c r="W2025">
        <v>3</v>
      </c>
      <c r="X2025" t="s">
        <v>1135</v>
      </c>
      <c r="Z2025" t="s">
        <v>38</v>
      </c>
      <c r="AB2025" t="s">
        <v>921</v>
      </c>
      <c r="AC2025" t="s">
        <v>1282</v>
      </c>
      <c r="AD2025" t="s">
        <v>1283</v>
      </c>
    </row>
    <row r="2026" spans="1:30" hidden="1" x14ac:dyDescent="0.25">
      <c r="A2026">
        <v>482</v>
      </c>
      <c r="B2026" t="s">
        <v>665</v>
      </c>
      <c r="C2026">
        <v>25</v>
      </c>
      <c r="D2026">
        <v>375</v>
      </c>
      <c r="E2026">
        <v>500</v>
      </c>
      <c r="F2026" t="s">
        <v>77</v>
      </c>
      <c r="G2026" t="s">
        <v>746</v>
      </c>
      <c r="H2026">
        <v>1</v>
      </c>
      <c r="I2026">
        <v>35.82</v>
      </c>
      <c r="J2026" t="s">
        <v>839</v>
      </c>
      <c r="K2026" t="s">
        <v>812</v>
      </c>
      <c r="M2026" t="s">
        <v>1307</v>
      </c>
      <c r="Q2026" t="s">
        <v>26</v>
      </c>
      <c r="S2026" t="s">
        <v>81</v>
      </c>
      <c r="W2026">
        <v>3</v>
      </c>
      <c r="X2026" t="s">
        <v>1135</v>
      </c>
      <c r="Z2026" t="s">
        <v>38</v>
      </c>
      <c r="AB2026" t="s">
        <v>921</v>
      </c>
      <c r="AC2026" t="s">
        <v>1282</v>
      </c>
      <c r="AD2026" t="s">
        <v>1283</v>
      </c>
    </row>
    <row r="2027" spans="1:30" hidden="1" x14ac:dyDescent="0.25">
      <c r="A2027">
        <v>483</v>
      </c>
      <c r="B2027" t="s">
        <v>638</v>
      </c>
      <c r="C2027">
        <v>25</v>
      </c>
      <c r="D2027">
        <v>501</v>
      </c>
      <c r="E2027">
        <v>744</v>
      </c>
      <c r="F2027" t="s">
        <v>77</v>
      </c>
      <c r="G2027" t="s">
        <v>746</v>
      </c>
      <c r="H2027">
        <v>4</v>
      </c>
      <c r="I2027">
        <v>181.8</v>
      </c>
      <c r="J2027" t="s">
        <v>839</v>
      </c>
      <c r="K2027" t="s">
        <v>812</v>
      </c>
      <c r="M2027" t="s">
        <v>1307</v>
      </c>
      <c r="O2027" t="s">
        <v>228</v>
      </c>
      <c r="Q2027" t="s">
        <v>27</v>
      </c>
      <c r="S2027" t="s">
        <v>81</v>
      </c>
      <c r="W2027">
        <v>3</v>
      </c>
      <c r="X2027" t="s">
        <v>1135</v>
      </c>
      <c r="Z2027" t="s">
        <v>38</v>
      </c>
      <c r="AB2027" t="s">
        <v>921</v>
      </c>
      <c r="AC2027" t="s">
        <v>1282</v>
      </c>
      <c r="AD2027" t="s">
        <v>1283</v>
      </c>
    </row>
    <row r="2028" spans="1:30" hidden="1" x14ac:dyDescent="0.25">
      <c r="A2028">
        <v>484</v>
      </c>
      <c r="B2028" t="s">
        <v>636</v>
      </c>
      <c r="C2028">
        <v>25</v>
      </c>
      <c r="D2028">
        <v>500</v>
      </c>
      <c r="E2028">
        <v>550</v>
      </c>
      <c r="F2028" t="s">
        <v>77</v>
      </c>
      <c r="G2028" t="s">
        <v>746</v>
      </c>
      <c r="H2028">
        <v>2</v>
      </c>
      <c r="I2028">
        <v>105.98</v>
      </c>
      <c r="J2028" t="s">
        <v>839</v>
      </c>
      <c r="K2028" t="s">
        <v>812</v>
      </c>
      <c r="M2028" t="s">
        <v>1307</v>
      </c>
      <c r="Q2028" t="s">
        <v>26</v>
      </c>
      <c r="S2028" t="s">
        <v>81</v>
      </c>
      <c r="W2028">
        <v>3</v>
      </c>
      <c r="X2028" t="s">
        <v>1135</v>
      </c>
      <c r="Z2028" t="s">
        <v>38</v>
      </c>
      <c r="AB2028" t="s">
        <v>921</v>
      </c>
      <c r="AC2028" t="s">
        <v>1282</v>
      </c>
      <c r="AD2028" t="s">
        <v>1283</v>
      </c>
    </row>
    <row r="2029" spans="1:30" hidden="1" x14ac:dyDescent="0.25">
      <c r="A2029">
        <v>485</v>
      </c>
      <c r="B2029" t="s">
        <v>662</v>
      </c>
      <c r="C2029">
        <v>25</v>
      </c>
      <c r="D2029">
        <v>375</v>
      </c>
      <c r="E2029">
        <v>500</v>
      </c>
      <c r="F2029" t="s">
        <v>77</v>
      </c>
      <c r="G2029" t="s">
        <v>746</v>
      </c>
      <c r="H2029">
        <v>2</v>
      </c>
      <c r="I2029">
        <v>71.63</v>
      </c>
      <c r="J2029" t="s">
        <v>839</v>
      </c>
      <c r="K2029" t="s">
        <v>812</v>
      </c>
      <c r="M2029" t="s">
        <v>1307</v>
      </c>
      <c r="Q2029" t="s">
        <v>26</v>
      </c>
      <c r="S2029" t="s">
        <v>81</v>
      </c>
      <c r="W2029">
        <v>3</v>
      </c>
      <c r="X2029" t="s">
        <v>1135</v>
      </c>
      <c r="Z2029" t="s">
        <v>38</v>
      </c>
      <c r="AB2029" t="s">
        <v>921</v>
      </c>
      <c r="AC2029" t="s">
        <v>1282</v>
      </c>
      <c r="AD2029" t="s">
        <v>1283</v>
      </c>
    </row>
    <row r="2030" spans="1:30" hidden="1" x14ac:dyDescent="0.25">
      <c r="A2030">
        <v>486</v>
      </c>
      <c r="B2030" t="s">
        <v>641</v>
      </c>
      <c r="C2030">
        <v>25</v>
      </c>
      <c r="D2030">
        <v>501</v>
      </c>
      <c r="E2030">
        <v>744</v>
      </c>
      <c r="F2030" t="s">
        <v>77</v>
      </c>
      <c r="G2030" t="s">
        <v>746</v>
      </c>
      <c r="H2030">
        <v>2</v>
      </c>
      <c r="I2030">
        <v>90.9</v>
      </c>
      <c r="J2030" t="s">
        <v>839</v>
      </c>
      <c r="K2030" t="s">
        <v>812</v>
      </c>
      <c r="M2030" t="s">
        <v>1307</v>
      </c>
      <c r="O2030" t="s">
        <v>228</v>
      </c>
      <c r="Q2030" t="s">
        <v>27</v>
      </c>
      <c r="S2030" t="s">
        <v>81</v>
      </c>
      <c r="W2030">
        <v>3</v>
      </c>
      <c r="X2030" t="s">
        <v>1135</v>
      </c>
      <c r="Z2030" t="s">
        <v>38</v>
      </c>
      <c r="AB2030" t="s">
        <v>921</v>
      </c>
      <c r="AC2030" t="s">
        <v>1282</v>
      </c>
      <c r="AD2030" t="s">
        <v>1283</v>
      </c>
    </row>
    <row r="2031" spans="1:30" hidden="1" x14ac:dyDescent="0.25">
      <c r="A2031">
        <v>487</v>
      </c>
      <c r="B2031" t="s">
        <v>632</v>
      </c>
      <c r="C2031">
        <v>25</v>
      </c>
      <c r="D2031">
        <v>500</v>
      </c>
      <c r="E2031">
        <v>550</v>
      </c>
      <c r="F2031" t="s">
        <v>77</v>
      </c>
      <c r="G2031" t="s">
        <v>746</v>
      </c>
      <c r="H2031">
        <v>1</v>
      </c>
      <c r="I2031">
        <v>52.99</v>
      </c>
      <c r="J2031" t="s">
        <v>839</v>
      </c>
      <c r="K2031" t="s">
        <v>812</v>
      </c>
      <c r="M2031" t="s">
        <v>1307</v>
      </c>
      <c r="Q2031" t="s">
        <v>26</v>
      </c>
      <c r="S2031" t="s">
        <v>81</v>
      </c>
      <c r="W2031">
        <v>3</v>
      </c>
      <c r="X2031" t="s">
        <v>1135</v>
      </c>
      <c r="Z2031" t="s">
        <v>38</v>
      </c>
      <c r="AB2031" t="s">
        <v>921</v>
      </c>
      <c r="AC2031" t="s">
        <v>1282</v>
      </c>
      <c r="AD2031" t="s">
        <v>1283</v>
      </c>
    </row>
    <row r="2032" spans="1:30" hidden="1" x14ac:dyDescent="0.25">
      <c r="A2032">
        <v>488</v>
      </c>
      <c r="B2032" t="s">
        <v>661</v>
      </c>
      <c r="C2032">
        <v>25</v>
      </c>
      <c r="D2032">
        <v>375</v>
      </c>
      <c r="E2032">
        <v>500</v>
      </c>
      <c r="F2032" t="s">
        <v>77</v>
      </c>
      <c r="G2032" t="s">
        <v>746</v>
      </c>
      <c r="H2032">
        <v>1</v>
      </c>
      <c r="I2032">
        <v>35.82</v>
      </c>
      <c r="J2032" t="s">
        <v>839</v>
      </c>
      <c r="K2032" t="s">
        <v>812</v>
      </c>
      <c r="M2032" t="s">
        <v>1307</v>
      </c>
      <c r="Q2032" t="s">
        <v>26</v>
      </c>
      <c r="S2032" t="s">
        <v>81</v>
      </c>
      <c r="W2032">
        <v>3</v>
      </c>
      <c r="X2032" t="s">
        <v>1135</v>
      </c>
      <c r="Z2032" t="s">
        <v>38</v>
      </c>
      <c r="AB2032" t="s">
        <v>921</v>
      </c>
      <c r="AC2032" t="s">
        <v>1282</v>
      </c>
      <c r="AD2032" t="s">
        <v>1283</v>
      </c>
    </row>
    <row r="2033" spans="1:30" hidden="1" x14ac:dyDescent="0.25">
      <c r="A2033">
        <v>489</v>
      </c>
      <c r="B2033" t="s">
        <v>666</v>
      </c>
      <c r="C2033">
        <v>25</v>
      </c>
      <c r="D2033">
        <v>250</v>
      </c>
      <c r="E2033">
        <v>300</v>
      </c>
      <c r="F2033" t="s">
        <v>77</v>
      </c>
      <c r="G2033" t="s">
        <v>746</v>
      </c>
      <c r="H2033">
        <v>8</v>
      </c>
      <c r="I2033">
        <v>105.25</v>
      </c>
      <c r="J2033" t="s">
        <v>839</v>
      </c>
      <c r="K2033" t="s">
        <v>812</v>
      </c>
      <c r="M2033" t="s">
        <v>1307</v>
      </c>
      <c r="O2033" t="s">
        <v>228</v>
      </c>
      <c r="Q2033" t="s">
        <v>27</v>
      </c>
      <c r="S2033" t="s">
        <v>81</v>
      </c>
      <c r="W2033">
        <v>3</v>
      </c>
      <c r="X2033" t="s">
        <v>1135</v>
      </c>
      <c r="Z2033" t="s">
        <v>38</v>
      </c>
      <c r="AB2033" t="s">
        <v>921</v>
      </c>
      <c r="AC2033" t="s">
        <v>1282</v>
      </c>
      <c r="AD2033" t="s">
        <v>1283</v>
      </c>
    </row>
    <row r="2034" spans="1:30" hidden="1" x14ac:dyDescent="0.25">
      <c r="A2034">
        <v>490</v>
      </c>
      <c r="B2034" t="s">
        <v>627</v>
      </c>
      <c r="C2034">
        <v>25</v>
      </c>
      <c r="D2034">
        <v>501</v>
      </c>
      <c r="E2034">
        <v>744</v>
      </c>
      <c r="F2034" t="s">
        <v>77</v>
      </c>
      <c r="G2034" t="s">
        <v>746</v>
      </c>
      <c r="H2034">
        <v>4</v>
      </c>
      <c r="I2034">
        <v>181.8</v>
      </c>
      <c r="J2034" t="s">
        <v>839</v>
      </c>
      <c r="K2034" t="s">
        <v>812</v>
      </c>
      <c r="M2034" t="s">
        <v>1307</v>
      </c>
      <c r="O2034" t="s">
        <v>228</v>
      </c>
      <c r="Q2034" t="s">
        <v>27</v>
      </c>
      <c r="S2034" t="s">
        <v>81</v>
      </c>
      <c r="W2034">
        <v>3</v>
      </c>
      <c r="X2034" t="s">
        <v>1135</v>
      </c>
      <c r="Z2034" t="s">
        <v>38</v>
      </c>
      <c r="AB2034" t="s">
        <v>921</v>
      </c>
      <c r="AC2034" t="s">
        <v>1282</v>
      </c>
      <c r="AD2034" t="s">
        <v>1283</v>
      </c>
    </row>
    <row r="2035" spans="1:30" hidden="1" x14ac:dyDescent="0.25">
      <c r="A2035">
        <v>491</v>
      </c>
      <c r="B2035" t="s">
        <v>659</v>
      </c>
      <c r="C2035">
        <v>25</v>
      </c>
      <c r="D2035">
        <v>375</v>
      </c>
      <c r="E2035">
        <v>500</v>
      </c>
      <c r="F2035" t="s">
        <v>77</v>
      </c>
      <c r="G2035" t="s">
        <v>746</v>
      </c>
      <c r="H2035">
        <v>2</v>
      </c>
      <c r="I2035">
        <v>71.63</v>
      </c>
      <c r="J2035" t="s">
        <v>839</v>
      </c>
      <c r="K2035" t="s">
        <v>812</v>
      </c>
      <c r="M2035" t="s">
        <v>1307</v>
      </c>
      <c r="Q2035" t="s">
        <v>26</v>
      </c>
      <c r="S2035" t="s">
        <v>81</v>
      </c>
      <c r="W2035">
        <v>3</v>
      </c>
      <c r="X2035" t="s">
        <v>1135</v>
      </c>
      <c r="Z2035" t="s">
        <v>38</v>
      </c>
      <c r="AB2035" t="s">
        <v>921</v>
      </c>
      <c r="AC2035" t="s">
        <v>1282</v>
      </c>
      <c r="AD2035" t="s">
        <v>1283</v>
      </c>
    </row>
    <row r="2036" spans="1:30" hidden="1" x14ac:dyDescent="0.25">
      <c r="A2036">
        <v>492</v>
      </c>
      <c r="B2036" t="s">
        <v>1285</v>
      </c>
      <c r="C2036">
        <v>25</v>
      </c>
      <c r="D2036">
        <v>300</v>
      </c>
      <c r="E2036">
        <v>450</v>
      </c>
      <c r="F2036" t="s">
        <v>77</v>
      </c>
      <c r="G2036" t="s">
        <v>746</v>
      </c>
      <c r="H2036">
        <v>1</v>
      </c>
      <c r="I2036">
        <v>26.49</v>
      </c>
      <c r="J2036" t="s">
        <v>839</v>
      </c>
      <c r="K2036" t="s">
        <v>812</v>
      </c>
      <c r="M2036" t="s">
        <v>1307</v>
      </c>
      <c r="S2036" t="s">
        <v>81</v>
      </c>
      <c r="W2036">
        <v>3</v>
      </c>
      <c r="X2036" t="s">
        <v>1135</v>
      </c>
      <c r="Z2036" t="s">
        <v>38</v>
      </c>
      <c r="AB2036" t="s">
        <v>921</v>
      </c>
      <c r="AC2036" t="s">
        <v>1282</v>
      </c>
      <c r="AD2036" t="s">
        <v>1283</v>
      </c>
    </row>
    <row r="2037" spans="1:30" hidden="1" x14ac:dyDescent="0.25">
      <c r="A2037">
        <v>493</v>
      </c>
      <c r="B2037" t="s">
        <v>673</v>
      </c>
      <c r="C2037">
        <v>30</v>
      </c>
      <c r="D2037">
        <v>390</v>
      </c>
      <c r="E2037">
        <v>670</v>
      </c>
      <c r="F2037" t="s">
        <v>77</v>
      </c>
      <c r="G2037" t="s">
        <v>746</v>
      </c>
      <c r="H2037">
        <v>2</v>
      </c>
      <c r="I2037">
        <v>111.3</v>
      </c>
      <c r="J2037" t="s">
        <v>839</v>
      </c>
      <c r="K2037" t="s">
        <v>812</v>
      </c>
      <c r="M2037" t="s">
        <v>1307</v>
      </c>
      <c r="O2037" t="s">
        <v>228</v>
      </c>
      <c r="Q2037" t="s">
        <v>27</v>
      </c>
      <c r="S2037" t="s">
        <v>81</v>
      </c>
      <c r="W2037">
        <v>3</v>
      </c>
      <c r="X2037" t="s">
        <v>1135</v>
      </c>
      <c r="Z2037" t="s">
        <v>38</v>
      </c>
      <c r="AB2037" t="s">
        <v>921</v>
      </c>
      <c r="AC2037" t="s">
        <v>1288</v>
      </c>
      <c r="AD2037" t="s">
        <v>1289</v>
      </c>
    </row>
    <row r="2038" spans="1:30" hidden="1" x14ac:dyDescent="0.25">
      <c r="A2038">
        <v>494</v>
      </c>
      <c r="B2038" t="s">
        <v>678</v>
      </c>
      <c r="C2038">
        <v>30</v>
      </c>
      <c r="D2038">
        <v>290</v>
      </c>
      <c r="E2038">
        <v>670</v>
      </c>
      <c r="F2038" t="s">
        <v>77</v>
      </c>
      <c r="G2038" t="s">
        <v>746</v>
      </c>
      <c r="H2038">
        <v>4</v>
      </c>
      <c r="I2038">
        <v>167.26</v>
      </c>
      <c r="J2038" t="s">
        <v>839</v>
      </c>
      <c r="K2038" t="s">
        <v>812</v>
      </c>
      <c r="M2038" t="s">
        <v>1307</v>
      </c>
      <c r="O2038" t="s">
        <v>228</v>
      </c>
      <c r="Q2038" t="s">
        <v>27</v>
      </c>
      <c r="S2038" t="s">
        <v>81</v>
      </c>
      <c r="W2038">
        <v>3</v>
      </c>
      <c r="X2038" t="s">
        <v>1135</v>
      </c>
      <c r="Z2038" t="s">
        <v>38</v>
      </c>
      <c r="AB2038" t="s">
        <v>921</v>
      </c>
      <c r="AC2038" t="s">
        <v>1288</v>
      </c>
      <c r="AD2038" t="s">
        <v>1289</v>
      </c>
    </row>
    <row r="2039" spans="1:30" hidden="1" x14ac:dyDescent="0.25">
      <c r="A2039">
        <v>495</v>
      </c>
      <c r="B2039" t="s">
        <v>680</v>
      </c>
      <c r="C2039">
        <v>30</v>
      </c>
      <c r="D2039">
        <v>390</v>
      </c>
      <c r="E2039">
        <v>670</v>
      </c>
      <c r="F2039" t="s">
        <v>77</v>
      </c>
      <c r="G2039" t="s">
        <v>746</v>
      </c>
      <c r="H2039">
        <v>2</v>
      </c>
      <c r="I2039">
        <v>111.3</v>
      </c>
      <c r="J2039" t="s">
        <v>839</v>
      </c>
      <c r="K2039" t="s">
        <v>812</v>
      </c>
      <c r="M2039" t="s">
        <v>1307</v>
      </c>
      <c r="O2039" t="s">
        <v>228</v>
      </c>
      <c r="Q2039" t="s">
        <v>27</v>
      </c>
      <c r="S2039" t="s">
        <v>81</v>
      </c>
      <c r="W2039">
        <v>3</v>
      </c>
      <c r="X2039" t="s">
        <v>1135</v>
      </c>
      <c r="Z2039" t="s">
        <v>38</v>
      </c>
      <c r="AB2039" t="s">
        <v>921</v>
      </c>
      <c r="AC2039" t="s">
        <v>1288</v>
      </c>
      <c r="AD2039" t="s">
        <v>1289</v>
      </c>
    </row>
    <row r="2040" spans="1:30" hidden="1" x14ac:dyDescent="0.25">
      <c r="A2040">
        <v>496</v>
      </c>
      <c r="B2040" t="s">
        <v>681</v>
      </c>
      <c r="C2040">
        <v>30</v>
      </c>
      <c r="D2040">
        <v>290</v>
      </c>
      <c r="E2040">
        <v>670</v>
      </c>
      <c r="F2040" t="s">
        <v>77</v>
      </c>
      <c r="G2040" t="s">
        <v>746</v>
      </c>
      <c r="H2040">
        <v>4</v>
      </c>
      <c r="I2040">
        <v>167.26</v>
      </c>
      <c r="J2040" t="s">
        <v>839</v>
      </c>
      <c r="K2040" t="s">
        <v>812</v>
      </c>
      <c r="M2040" t="s">
        <v>1307</v>
      </c>
      <c r="O2040" t="s">
        <v>228</v>
      </c>
      <c r="Q2040" t="s">
        <v>27</v>
      </c>
      <c r="S2040" t="s">
        <v>81</v>
      </c>
      <c r="W2040">
        <v>3</v>
      </c>
      <c r="X2040" t="s">
        <v>1135</v>
      </c>
      <c r="Z2040" t="s">
        <v>38</v>
      </c>
      <c r="AB2040" t="s">
        <v>921</v>
      </c>
      <c r="AC2040" t="s">
        <v>1288</v>
      </c>
      <c r="AD2040" t="s">
        <v>1289</v>
      </c>
    </row>
    <row r="2041" spans="1:30" hidden="1" x14ac:dyDescent="0.25">
      <c r="A2041">
        <v>497</v>
      </c>
      <c r="B2041" t="s">
        <v>682</v>
      </c>
      <c r="C2041">
        <v>30</v>
      </c>
      <c r="D2041">
        <v>390</v>
      </c>
      <c r="E2041">
        <v>670</v>
      </c>
      <c r="F2041" t="s">
        <v>77</v>
      </c>
      <c r="G2041" t="s">
        <v>746</v>
      </c>
      <c r="H2041">
        <v>2</v>
      </c>
      <c r="I2041">
        <v>111.3</v>
      </c>
      <c r="J2041" t="s">
        <v>839</v>
      </c>
      <c r="K2041" t="s">
        <v>812</v>
      </c>
      <c r="M2041" t="s">
        <v>1307</v>
      </c>
      <c r="O2041" t="s">
        <v>228</v>
      </c>
      <c r="Q2041" t="s">
        <v>27</v>
      </c>
      <c r="S2041" t="s">
        <v>81</v>
      </c>
      <c r="W2041">
        <v>3</v>
      </c>
      <c r="X2041" t="s">
        <v>1135</v>
      </c>
      <c r="Z2041" t="s">
        <v>38</v>
      </c>
      <c r="AB2041" t="s">
        <v>921</v>
      </c>
      <c r="AC2041" t="s">
        <v>1288</v>
      </c>
      <c r="AD2041" t="s">
        <v>1289</v>
      </c>
    </row>
    <row r="2042" spans="1:30" hidden="1" x14ac:dyDescent="0.25">
      <c r="A2042">
        <v>498</v>
      </c>
      <c r="B2042" t="s">
        <v>683</v>
      </c>
      <c r="C2042">
        <v>30</v>
      </c>
      <c r="D2042">
        <v>290</v>
      </c>
      <c r="E2042">
        <v>670</v>
      </c>
      <c r="F2042" t="s">
        <v>77</v>
      </c>
      <c r="G2042" t="s">
        <v>746</v>
      </c>
      <c r="H2042">
        <v>4</v>
      </c>
      <c r="I2042">
        <v>167.26</v>
      </c>
      <c r="J2042" t="s">
        <v>839</v>
      </c>
      <c r="K2042" t="s">
        <v>812</v>
      </c>
      <c r="M2042" t="s">
        <v>1307</v>
      </c>
      <c r="O2042" t="s">
        <v>228</v>
      </c>
      <c r="Q2042" t="s">
        <v>27</v>
      </c>
      <c r="S2042" t="s">
        <v>81</v>
      </c>
      <c r="W2042">
        <v>3</v>
      </c>
      <c r="X2042" t="s">
        <v>1135</v>
      </c>
      <c r="Z2042" t="s">
        <v>38</v>
      </c>
      <c r="AB2042" t="s">
        <v>921</v>
      </c>
      <c r="AC2042" t="s">
        <v>1288</v>
      </c>
      <c r="AD2042" t="s">
        <v>1289</v>
      </c>
    </row>
    <row r="2043" spans="1:30" hidden="1" x14ac:dyDescent="0.25">
      <c r="A2043">
        <v>499</v>
      </c>
      <c r="B2043" t="s">
        <v>684</v>
      </c>
      <c r="C2043">
        <v>30</v>
      </c>
      <c r="D2043">
        <v>390</v>
      </c>
      <c r="E2043">
        <v>670</v>
      </c>
      <c r="F2043" t="s">
        <v>77</v>
      </c>
      <c r="G2043" t="s">
        <v>746</v>
      </c>
      <c r="H2043">
        <v>2</v>
      </c>
      <c r="I2043">
        <v>111.3</v>
      </c>
      <c r="J2043" t="s">
        <v>839</v>
      </c>
      <c r="K2043" t="s">
        <v>812</v>
      </c>
      <c r="M2043" t="s">
        <v>1307</v>
      </c>
      <c r="O2043" t="s">
        <v>228</v>
      </c>
      <c r="Q2043" t="s">
        <v>27</v>
      </c>
      <c r="S2043" t="s">
        <v>81</v>
      </c>
      <c r="W2043">
        <v>3</v>
      </c>
      <c r="X2043" t="s">
        <v>1135</v>
      </c>
      <c r="Z2043" t="s">
        <v>38</v>
      </c>
      <c r="AB2043" t="s">
        <v>921</v>
      </c>
      <c r="AC2043" t="s">
        <v>1288</v>
      </c>
      <c r="AD2043" t="s">
        <v>1289</v>
      </c>
    </row>
    <row r="2044" spans="1:30" hidden="1" x14ac:dyDescent="0.25">
      <c r="A2044">
        <v>500</v>
      </c>
      <c r="B2044" t="s">
        <v>685</v>
      </c>
      <c r="C2044">
        <v>30</v>
      </c>
      <c r="D2044">
        <v>290</v>
      </c>
      <c r="E2044">
        <v>670</v>
      </c>
      <c r="F2044" t="s">
        <v>77</v>
      </c>
      <c r="G2044" t="s">
        <v>746</v>
      </c>
      <c r="H2044">
        <v>4</v>
      </c>
      <c r="I2044">
        <v>167.26</v>
      </c>
      <c r="J2044" t="s">
        <v>839</v>
      </c>
      <c r="K2044" t="s">
        <v>812</v>
      </c>
      <c r="M2044" t="s">
        <v>1307</v>
      </c>
      <c r="O2044" t="s">
        <v>228</v>
      </c>
      <c r="Q2044" t="s">
        <v>27</v>
      </c>
      <c r="S2044" t="s">
        <v>81</v>
      </c>
      <c r="W2044">
        <v>3</v>
      </c>
      <c r="X2044" t="s">
        <v>1135</v>
      </c>
      <c r="Z2044" t="s">
        <v>38</v>
      </c>
      <c r="AB2044" t="s">
        <v>921</v>
      </c>
      <c r="AC2044" t="s">
        <v>1288</v>
      </c>
      <c r="AD2044" t="s">
        <v>1289</v>
      </c>
    </row>
    <row r="2045" spans="1:30" hidden="1" x14ac:dyDescent="0.25">
      <c r="A2045">
        <v>501</v>
      </c>
      <c r="B2045" t="s">
        <v>688</v>
      </c>
      <c r="C2045">
        <v>30</v>
      </c>
      <c r="D2045">
        <v>260</v>
      </c>
      <c r="E2045">
        <v>400</v>
      </c>
      <c r="F2045" t="s">
        <v>77</v>
      </c>
      <c r="G2045" t="s">
        <v>746</v>
      </c>
      <c r="H2045">
        <v>2</v>
      </c>
      <c r="I2045">
        <v>32.659999999999997</v>
      </c>
      <c r="J2045" t="s">
        <v>839</v>
      </c>
      <c r="K2045" t="s">
        <v>812</v>
      </c>
      <c r="M2045" t="s">
        <v>1307</v>
      </c>
      <c r="O2045" t="s">
        <v>228</v>
      </c>
      <c r="Q2045" t="s">
        <v>27</v>
      </c>
      <c r="S2045" t="s">
        <v>81</v>
      </c>
      <c r="W2045">
        <v>3</v>
      </c>
      <c r="X2045" t="s">
        <v>1135</v>
      </c>
      <c r="Z2045" t="s">
        <v>38</v>
      </c>
      <c r="AB2045" t="s">
        <v>921</v>
      </c>
      <c r="AC2045" t="s">
        <v>1288</v>
      </c>
      <c r="AD2045" t="s">
        <v>1289</v>
      </c>
    </row>
    <row r="2046" spans="1:30" hidden="1" x14ac:dyDescent="0.25">
      <c r="A2046">
        <v>502</v>
      </c>
      <c r="B2046" t="s">
        <v>690</v>
      </c>
      <c r="C2046">
        <v>30</v>
      </c>
      <c r="D2046">
        <v>69</v>
      </c>
      <c r="E2046">
        <v>100</v>
      </c>
      <c r="F2046" t="s">
        <v>77</v>
      </c>
      <c r="G2046" t="s">
        <v>746</v>
      </c>
      <c r="H2046">
        <v>2</v>
      </c>
      <c r="I2046">
        <v>3.25</v>
      </c>
      <c r="J2046" t="s">
        <v>839</v>
      </c>
      <c r="K2046" t="s">
        <v>812</v>
      </c>
      <c r="M2046" t="s">
        <v>1307</v>
      </c>
      <c r="Q2046" t="s">
        <v>26</v>
      </c>
      <c r="S2046" t="s">
        <v>81</v>
      </c>
      <c r="W2046">
        <v>3</v>
      </c>
      <c r="X2046" t="s">
        <v>1135</v>
      </c>
      <c r="Z2046" t="s">
        <v>38</v>
      </c>
      <c r="AB2046" t="s">
        <v>921</v>
      </c>
      <c r="AC2046" t="s">
        <v>1288</v>
      </c>
      <c r="AD2046" t="s">
        <v>1289</v>
      </c>
    </row>
    <row r="2047" spans="1:30" hidden="1" x14ac:dyDescent="0.25">
      <c r="A2047">
        <v>503</v>
      </c>
      <c r="B2047" t="s">
        <v>693</v>
      </c>
      <c r="C2047">
        <v>30</v>
      </c>
      <c r="D2047">
        <v>69</v>
      </c>
      <c r="E2047">
        <v>100</v>
      </c>
      <c r="F2047" t="s">
        <v>77</v>
      </c>
      <c r="G2047" t="s">
        <v>746</v>
      </c>
      <c r="H2047">
        <v>4</v>
      </c>
      <c r="I2047">
        <v>6.5</v>
      </c>
      <c r="J2047" t="s">
        <v>839</v>
      </c>
      <c r="K2047" t="s">
        <v>812</v>
      </c>
      <c r="M2047" t="s">
        <v>1307</v>
      </c>
      <c r="Q2047" t="s">
        <v>26</v>
      </c>
      <c r="S2047" t="s">
        <v>81</v>
      </c>
      <c r="W2047">
        <v>3</v>
      </c>
      <c r="X2047" t="s">
        <v>1135</v>
      </c>
      <c r="Z2047" t="s">
        <v>38</v>
      </c>
      <c r="AB2047" t="s">
        <v>921</v>
      </c>
      <c r="AC2047" t="s">
        <v>1288</v>
      </c>
      <c r="AD2047" t="s">
        <v>1289</v>
      </c>
    </row>
    <row r="2048" spans="1:30" hidden="1" x14ac:dyDescent="0.25">
      <c r="A2048">
        <v>504</v>
      </c>
      <c r="B2048" t="s">
        <v>695</v>
      </c>
      <c r="C2048">
        <v>30</v>
      </c>
      <c r="D2048">
        <v>260</v>
      </c>
      <c r="E2048">
        <v>400</v>
      </c>
      <c r="F2048" t="s">
        <v>77</v>
      </c>
      <c r="G2048" t="s">
        <v>746</v>
      </c>
      <c r="H2048">
        <v>2</v>
      </c>
      <c r="I2048">
        <v>32.659999999999997</v>
      </c>
      <c r="J2048" t="s">
        <v>839</v>
      </c>
      <c r="K2048" t="s">
        <v>812</v>
      </c>
      <c r="M2048" t="s">
        <v>1307</v>
      </c>
      <c r="O2048" t="s">
        <v>228</v>
      </c>
      <c r="Q2048" t="s">
        <v>27</v>
      </c>
      <c r="S2048" t="s">
        <v>81</v>
      </c>
      <c r="W2048">
        <v>3</v>
      </c>
      <c r="X2048" t="s">
        <v>1135</v>
      </c>
      <c r="Z2048" t="s">
        <v>38</v>
      </c>
      <c r="AB2048" t="s">
        <v>921</v>
      </c>
      <c r="AC2048" t="s">
        <v>1288</v>
      </c>
      <c r="AD2048" t="s">
        <v>1289</v>
      </c>
    </row>
    <row r="2049" spans="1:30" hidden="1" x14ac:dyDescent="0.25">
      <c r="A2049">
        <v>505</v>
      </c>
      <c r="B2049" t="s">
        <v>696</v>
      </c>
      <c r="C2049">
        <v>30</v>
      </c>
      <c r="D2049">
        <v>69</v>
      </c>
      <c r="E2049">
        <v>100</v>
      </c>
      <c r="F2049" t="s">
        <v>77</v>
      </c>
      <c r="G2049" t="s">
        <v>746</v>
      </c>
      <c r="H2049">
        <v>2</v>
      </c>
      <c r="I2049">
        <v>3.25</v>
      </c>
      <c r="J2049" t="s">
        <v>839</v>
      </c>
      <c r="K2049" t="s">
        <v>812</v>
      </c>
      <c r="M2049" t="s">
        <v>1307</v>
      </c>
      <c r="Q2049" t="s">
        <v>26</v>
      </c>
      <c r="S2049" t="s">
        <v>81</v>
      </c>
      <c r="W2049">
        <v>3</v>
      </c>
      <c r="X2049" t="s">
        <v>1135</v>
      </c>
      <c r="Z2049" t="s">
        <v>38</v>
      </c>
      <c r="AB2049" t="s">
        <v>921</v>
      </c>
      <c r="AC2049" t="s">
        <v>1288</v>
      </c>
      <c r="AD2049" t="s">
        <v>1289</v>
      </c>
    </row>
    <row r="2050" spans="1:30" hidden="1" x14ac:dyDescent="0.25">
      <c r="A2050">
        <v>506</v>
      </c>
      <c r="B2050" t="s">
        <v>697</v>
      </c>
      <c r="C2050">
        <v>30</v>
      </c>
      <c r="D2050">
        <v>275</v>
      </c>
      <c r="E2050">
        <v>300</v>
      </c>
      <c r="F2050" t="s">
        <v>77</v>
      </c>
      <c r="G2050" t="s">
        <v>746</v>
      </c>
      <c r="H2050">
        <v>4</v>
      </c>
      <c r="I2050">
        <v>56.03</v>
      </c>
      <c r="J2050" t="s">
        <v>839</v>
      </c>
      <c r="K2050" t="s">
        <v>812</v>
      </c>
      <c r="M2050" t="s">
        <v>1307</v>
      </c>
      <c r="O2050" t="s">
        <v>228</v>
      </c>
      <c r="Q2050" t="s">
        <v>27</v>
      </c>
      <c r="S2050" t="s">
        <v>81</v>
      </c>
      <c r="W2050">
        <v>3</v>
      </c>
      <c r="X2050" t="s">
        <v>1135</v>
      </c>
      <c r="Z2050" t="s">
        <v>38</v>
      </c>
      <c r="AB2050" t="s">
        <v>921</v>
      </c>
      <c r="AC2050" t="s">
        <v>1288</v>
      </c>
      <c r="AD2050" t="s">
        <v>1289</v>
      </c>
    </row>
    <row r="2051" spans="1:30" hidden="1" x14ac:dyDescent="0.25">
      <c r="A2051">
        <v>507</v>
      </c>
      <c r="B2051" t="s">
        <v>1291</v>
      </c>
      <c r="C2051">
        <v>30</v>
      </c>
      <c r="D2051">
        <v>300</v>
      </c>
      <c r="E2051">
        <v>450</v>
      </c>
      <c r="F2051" t="s">
        <v>77</v>
      </c>
      <c r="G2051" t="s">
        <v>746</v>
      </c>
      <c r="H2051">
        <v>1</v>
      </c>
      <c r="I2051">
        <v>31.79</v>
      </c>
      <c r="J2051" t="s">
        <v>839</v>
      </c>
      <c r="K2051" t="s">
        <v>812</v>
      </c>
      <c r="M2051" t="s">
        <v>1307</v>
      </c>
      <c r="S2051" t="s">
        <v>81</v>
      </c>
      <c r="W2051">
        <v>3</v>
      </c>
      <c r="X2051" t="s">
        <v>1135</v>
      </c>
      <c r="Z2051" t="s">
        <v>38</v>
      </c>
      <c r="AB2051" t="s">
        <v>921</v>
      </c>
      <c r="AC2051" t="s">
        <v>1288</v>
      </c>
      <c r="AD2051" t="s">
        <v>1289</v>
      </c>
    </row>
    <row r="2052" spans="1:30" hidden="1" x14ac:dyDescent="0.25">
      <c r="A2052">
        <v>508</v>
      </c>
      <c r="B2052" t="s">
        <v>686</v>
      </c>
      <c r="C2052">
        <v>30</v>
      </c>
      <c r="D2052">
        <v>315</v>
      </c>
      <c r="E2052">
        <v>460</v>
      </c>
      <c r="F2052" t="s">
        <v>77</v>
      </c>
      <c r="G2052" t="s">
        <v>746</v>
      </c>
      <c r="H2052">
        <v>2</v>
      </c>
      <c r="I2052">
        <v>45.73</v>
      </c>
      <c r="J2052" t="s">
        <v>839</v>
      </c>
      <c r="K2052" t="s">
        <v>812</v>
      </c>
      <c r="M2052" t="s">
        <v>1307</v>
      </c>
      <c r="O2052" t="s">
        <v>228</v>
      </c>
      <c r="Q2052" t="s">
        <v>27</v>
      </c>
      <c r="S2052" t="s">
        <v>81</v>
      </c>
      <c r="W2052">
        <v>3</v>
      </c>
      <c r="X2052" t="s">
        <v>1135</v>
      </c>
      <c r="Z2052" t="s">
        <v>38</v>
      </c>
      <c r="AB2052" t="s">
        <v>921</v>
      </c>
      <c r="AC2052" t="s">
        <v>1288</v>
      </c>
      <c r="AD2052" t="s">
        <v>1289</v>
      </c>
    </row>
    <row r="2053" spans="1:30" hidden="1" x14ac:dyDescent="0.25">
      <c r="A2053">
        <v>509</v>
      </c>
      <c r="B2053" t="s">
        <v>692</v>
      </c>
      <c r="C2053">
        <v>30</v>
      </c>
      <c r="D2053">
        <v>315</v>
      </c>
      <c r="E2053">
        <v>460</v>
      </c>
      <c r="F2053" t="s">
        <v>77</v>
      </c>
      <c r="G2053" t="s">
        <v>746</v>
      </c>
      <c r="H2053">
        <v>4</v>
      </c>
      <c r="I2053">
        <v>91.45</v>
      </c>
      <c r="J2053" t="s">
        <v>839</v>
      </c>
      <c r="K2053" t="s">
        <v>812</v>
      </c>
      <c r="M2053" t="s">
        <v>1307</v>
      </c>
      <c r="O2053" t="s">
        <v>228</v>
      </c>
      <c r="Q2053" t="s">
        <v>27</v>
      </c>
      <c r="S2053" t="s">
        <v>81</v>
      </c>
      <c r="W2053">
        <v>3</v>
      </c>
      <c r="X2053" t="s">
        <v>1135</v>
      </c>
      <c r="Z2053" t="s">
        <v>38</v>
      </c>
      <c r="AB2053" t="s">
        <v>921</v>
      </c>
      <c r="AC2053" t="s">
        <v>1288</v>
      </c>
      <c r="AD2053" t="s">
        <v>1289</v>
      </c>
    </row>
    <row r="2054" spans="1:30" hidden="1" x14ac:dyDescent="0.25">
      <c r="A2054">
        <v>510</v>
      </c>
      <c r="B2054" t="s">
        <v>694</v>
      </c>
      <c r="C2054">
        <v>30</v>
      </c>
      <c r="D2054">
        <v>315</v>
      </c>
      <c r="E2054">
        <v>460</v>
      </c>
      <c r="F2054" t="s">
        <v>77</v>
      </c>
      <c r="G2054" t="s">
        <v>746</v>
      </c>
      <c r="H2054">
        <v>2</v>
      </c>
      <c r="I2054">
        <v>45.73</v>
      </c>
      <c r="J2054" t="s">
        <v>839</v>
      </c>
      <c r="K2054" t="s">
        <v>812</v>
      </c>
      <c r="M2054" t="s">
        <v>1307</v>
      </c>
      <c r="O2054" t="s">
        <v>228</v>
      </c>
      <c r="Q2054" t="s">
        <v>27</v>
      </c>
      <c r="S2054" t="s">
        <v>81</v>
      </c>
      <c r="W2054">
        <v>3</v>
      </c>
      <c r="X2054" t="s">
        <v>1135</v>
      </c>
      <c r="Z2054" t="s">
        <v>38</v>
      </c>
      <c r="AB2054" t="s">
        <v>921</v>
      </c>
      <c r="AC2054" t="s">
        <v>1288</v>
      </c>
      <c r="AD2054" t="s">
        <v>1289</v>
      </c>
    </row>
    <row r="2055" spans="1:30" hidden="1" x14ac:dyDescent="0.25">
      <c r="A2055">
        <v>511</v>
      </c>
      <c r="B2055" t="s">
        <v>712</v>
      </c>
      <c r="C2055">
        <v>60</v>
      </c>
      <c r="D2055">
        <v>70</v>
      </c>
      <c r="E2055">
        <v>8980</v>
      </c>
      <c r="F2055" t="s">
        <v>700</v>
      </c>
      <c r="G2055" t="s">
        <v>746</v>
      </c>
      <c r="H2055">
        <v>1</v>
      </c>
      <c r="I2055">
        <v>296.07</v>
      </c>
      <c r="J2055" t="s">
        <v>839</v>
      </c>
      <c r="K2055" t="s">
        <v>812</v>
      </c>
      <c r="M2055" t="s">
        <v>1307</v>
      </c>
      <c r="Q2055" t="s">
        <v>26</v>
      </c>
      <c r="S2055" t="s">
        <v>81</v>
      </c>
      <c r="U2055" t="s">
        <v>81</v>
      </c>
      <c r="W2055">
        <v>3</v>
      </c>
      <c r="X2055" t="s">
        <v>1135</v>
      </c>
      <c r="Z2055" t="s">
        <v>38</v>
      </c>
      <c r="AB2055" t="s">
        <v>921</v>
      </c>
      <c r="AC2055" t="s">
        <v>1294</v>
      </c>
      <c r="AD2055" t="s">
        <v>1295</v>
      </c>
    </row>
    <row r="2056" spans="1:30" hidden="1" x14ac:dyDescent="0.25">
      <c r="A2056">
        <v>512</v>
      </c>
      <c r="B2056" t="s">
        <v>710</v>
      </c>
      <c r="C2056">
        <v>60</v>
      </c>
      <c r="D2056">
        <v>63</v>
      </c>
      <c r="E2056">
        <v>7588</v>
      </c>
      <c r="F2056" t="s">
        <v>700</v>
      </c>
      <c r="G2056" t="s">
        <v>746</v>
      </c>
      <c r="H2056">
        <v>1</v>
      </c>
      <c r="I2056">
        <v>214.44</v>
      </c>
      <c r="J2056" t="s">
        <v>839</v>
      </c>
      <c r="K2056" t="s">
        <v>812</v>
      </c>
      <c r="M2056" t="s">
        <v>1307</v>
      </c>
      <c r="Q2056" t="s">
        <v>26</v>
      </c>
      <c r="S2056" t="s">
        <v>81</v>
      </c>
      <c r="U2056" t="s">
        <v>81</v>
      </c>
      <c r="W2056">
        <v>3</v>
      </c>
      <c r="X2056" t="s">
        <v>1135</v>
      </c>
      <c r="Z2056" t="s">
        <v>38</v>
      </c>
      <c r="AB2056" t="s">
        <v>921</v>
      </c>
      <c r="AC2056" t="s">
        <v>1298</v>
      </c>
      <c r="AD2056" t="s">
        <v>1299</v>
      </c>
    </row>
    <row r="2057" spans="1:30" hidden="1" x14ac:dyDescent="0.25">
      <c r="A2057">
        <v>513</v>
      </c>
      <c r="B2057" t="s">
        <v>716</v>
      </c>
      <c r="C2057">
        <v>60</v>
      </c>
      <c r="D2057">
        <v>70</v>
      </c>
      <c r="E2057">
        <v>7587</v>
      </c>
      <c r="F2057" t="s">
        <v>700</v>
      </c>
      <c r="G2057" t="s">
        <v>746</v>
      </c>
      <c r="H2057">
        <v>1</v>
      </c>
      <c r="I2057">
        <v>250.16</v>
      </c>
      <c r="J2057" t="s">
        <v>839</v>
      </c>
      <c r="K2057" t="s">
        <v>812</v>
      </c>
      <c r="M2057" t="s">
        <v>1307</v>
      </c>
      <c r="Q2057" t="s">
        <v>26</v>
      </c>
      <c r="S2057" t="s">
        <v>81</v>
      </c>
      <c r="U2057" t="s">
        <v>81</v>
      </c>
      <c r="W2057">
        <v>3</v>
      </c>
      <c r="X2057" t="s">
        <v>1135</v>
      </c>
      <c r="Z2057" t="s">
        <v>38</v>
      </c>
      <c r="AB2057" t="s">
        <v>921</v>
      </c>
      <c r="AC2057" t="s">
        <v>1298</v>
      </c>
      <c r="AD2057" t="s">
        <v>1299</v>
      </c>
    </row>
    <row r="2058" spans="1:30" hidden="1" x14ac:dyDescent="0.25">
      <c r="A2058">
        <v>514</v>
      </c>
      <c r="B2058" t="s">
        <v>699</v>
      </c>
      <c r="C2058">
        <v>60</v>
      </c>
      <c r="D2058">
        <v>70</v>
      </c>
      <c r="E2058">
        <v>8980</v>
      </c>
      <c r="F2058" t="s">
        <v>700</v>
      </c>
      <c r="G2058" t="s">
        <v>746</v>
      </c>
      <c r="H2058">
        <v>1</v>
      </c>
      <c r="I2058">
        <v>296.07</v>
      </c>
      <c r="J2058" t="s">
        <v>839</v>
      </c>
      <c r="K2058" t="s">
        <v>812</v>
      </c>
      <c r="M2058" t="s">
        <v>1307</v>
      </c>
      <c r="Q2058" t="s">
        <v>26</v>
      </c>
      <c r="S2058" t="s">
        <v>81</v>
      </c>
      <c r="U2058" t="s">
        <v>81</v>
      </c>
      <c r="W2058">
        <v>3</v>
      </c>
      <c r="X2058" t="s">
        <v>1135</v>
      </c>
      <c r="Z2058" t="s">
        <v>38</v>
      </c>
      <c r="AB2058" t="s">
        <v>921</v>
      </c>
      <c r="AC2058" t="s">
        <v>1302</v>
      </c>
      <c r="AD2058" t="s">
        <v>1303</v>
      </c>
    </row>
    <row r="2059" spans="1:30" hidden="1" x14ac:dyDescent="0.25">
      <c r="A2059">
        <v>515</v>
      </c>
      <c r="B2059" t="s">
        <v>706</v>
      </c>
      <c r="C2059">
        <v>60</v>
      </c>
      <c r="D2059">
        <v>70</v>
      </c>
      <c r="E2059">
        <v>11303</v>
      </c>
      <c r="F2059" t="s">
        <v>700</v>
      </c>
      <c r="G2059" t="s">
        <v>746</v>
      </c>
      <c r="H2059">
        <v>1</v>
      </c>
      <c r="I2059">
        <v>372.66</v>
      </c>
      <c r="J2059" t="s">
        <v>839</v>
      </c>
      <c r="K2059" t="s">
        <v>812</v>
      </c>
      <c r="M2059" t="s">
        <v>1307</v>
      </c>
      <c r="Q2059" t="s">
        <v>26</v>
      </c>
      <c r="S2059" t="s">
        <v>81</v>
      </c>
      <c r="U2059" t="s">
        <v>81</v>
      </c>
      <c r="W2059">
        <v>3</v>
      </c>
      <c r="X2059" t="s">
        <v>1135</v>
      </c>
      <c r="Z2059" t="s">
        <v>38</v>
      </c>
      <c r="AB2059" t="s">
        <v>921</v>
      </c>
      <c r="AC2059" t="s">
        <v>1302</v>
      </c>
      <c r="AD2059" t="s">
        <v>1303</v>
      </c>
    </row>
    <row r="2060" spans="1:30" hidden="1" x14ac:dyDescent="0.25">
      <c r="A2060">
        <v>516</v>
      </c>
      <c r="B2060" t="s">
        <v>708</v>
      </c>
      <c r="C2060">
        <v>60</v>
      </c>
      <c r="D2060">
        <v>68</v>
      </c>
      <c r="E2060">
        <v>12000</v>
      </c>
      <c r="F2060" t="s">
        <v>700</v>
      </c>
      <c r="G2060" t="s">
        <v>746</v>
      </c>
      <c r="H2060">
        <v>1</v>
      </c>
      <c r="I2060">
        <v>339.12</v>
      </c>
      <c r="J2060" t="s">
        <v>839</v>
      </c>
      <c r="K2060" t="s">
        <v>812</v>
      </c>
      <c r="M2060" t="s">
        <v>1307</v>
      </c>
      <c r="Q2060" t="s">
        <v>26</v>
      </c>
      <c r="S2060" t="s">
        <v>81</v>
      </c>
      <c r="U2060" t="s">
        <v>81</v>
      </c>
      <c r="W2060">
        <v>3</v>
      </c>
      <c r="X2060" t="s">
        <v>1135</v>
      </c>
      <c r="Z2060" t="s">
        <v>38</v>
      </c>
      <c r="AB2060" t="s">
        <v>921</v>
      </c>
      <c r="AC2060" t="s">
        <v>1302</v>
      </c>
      <c r="AD2060" t="s">
        <v>1303</v>
      </c>
    </row>
    <row r="2061" spans="1:30" hidden="1" x14ac:dyDescent="0.25">
      <c r="A2061">
        <v>517</v>
      </c>
      <c r="B2061" t="s">
        <v>713</v>
      </c>
      <c r="C2061">
        <v>60</v>
      </c>
      <c r="D2061">
        <v>70</v>
      </c>
      <c r="E2061">
        <v>11303</v>
      </c>
      <c r="F2061" t="s">
        <v>700</v>
      </c>
      <c r="G2061" t="s">
        <v>746</v>
      </c>
      <c r="H2061">
        <v>1</v>
      </c>
      <c r="I2061">
        <v>372.66</v>
      </c>
      <c r="J2061" t="s">
        <v>839</v>
      </c>
      <c r="K2061" t="s">
        <v>812</v>
      </c>
      <c r="M2061" t="s">
        <v>1307</v>
      </c>
      <c r="Q2061" t="s">
        <v>26</v>
      </c>
      <c r="S2061" t="s">
        <v>81</v>
      </c>
      <c r="U2061" t="s">
        <v>81</v>
      </c>
      <c r="W2061">
        <v>3</v>
      </c>
      <c r="X2061" t="s">
        <v>1135</v>
      </c>
      <c r="Z2061" t="s">
        <v>38</v>
      </c>
      <c r="AB2061" t="s">
        <v>921</v>
      </c>
      <c r="AC2061" t="s">
        <v>1302</v>
      </c>
      <c r="AD2061" t="s">
        <v>1303</v>
      </c>
    </row>
    <row r="2062" spans="1:30" hidden="1" x14ac:dyDescent="0.25">
      <c r="A2062">
        <v>518</v>
      </c>
      <c r="B2062" t="s">
        <v>714</v>
      </c>
      <c r="C2062">
        <v>60</v>
      </c>
      <c r="D2062">
        <v>70</v>
      </c>
      <c r="E2062">
        <v>12000</v>
      </c>
      <c r="F2062" t="s">
        <v>700</v>
      </c>
      <c r="G2062" t="s">
        <v>746</v>
      </c>
      <c r="H2062">
        <v>1</v>
      </c>
      <c r="I2062">
        <v>395.64</v>
      </c>
      <c r="J2062" t="s">
        <v>839</v>
      </c>
      <c r="K2062" t="s">
        <v>812</v>
      </c>
      <c r="M2062" t="s">
        <v>1307</v>
      </c>
      <c r="Q2062" t="s">
        <v>26</v>
      </c>
      <c r="S2062" t="s">
        <v>81</v>
      </c>
      <c r="U2062" t="s">
        <v>81</v>
      </c>
      <c r="W2062">
        <v>3</v>
      </c>
      <c r="X2062" t="s">
        <v>1135</v>
      </c>
      <c r="Z2062" t="s">
        <v>38</v>
      </c>
      <c r="AB2062" t="s">
        <v>921</v>
      </c>
      <c r="AC2062" t="s">
        <v>1302</v>
      </c>
      <c r="AD2062" t="s">
        <v>1303</v>
      </c>
    </row>
    <row r="2063" spans="1:30" hidden="1" x14ac:dyDescent="0.25">
      <c r="A2063">
        <v>519</v>
      </c>
      <c r="B2063" t="s">
        <v>1305</v>
      </c>
      <c r="C2063">
        <v>60</v>
      </c>
      <c r="D2063">
        <v>300</v>
      </c>
      <c r="E2063">
        <v>450</v>
      </c>
      <c r="F2063" t="s">
        <v>700</v>
      </c>
      <c r="G2063" t="s">
        <v>746</v>
      </c>
      <c r="H2063">
        <v>1</v>
      </c>
      <c r="I2063">
        <v>63.59</v>
      </c>
      <c r="J2063" t="s">
        <v>839</v>
      </c>
      <c r="K2063" t="s">
        <v>812</v>
      </c>
      <c r="M2063" t="s">
        <v>1307</v>
      </c>
      <c r="S2063" t="s">
        <v>81</v>
      </c>
      <c r="W2063">
        <v>3</v>
      </c>
      <c r="X2063" t="s">
        <v>1135</v>
      </c>
      <c r="Z2063" t="s">
        <v>38</v>
      </c>
      <c r="AB2063" t="s">
        <v>921</v>
      </c>
      <c r="AC2063" t="s">
        <v>1302</v>
      </c>
      <c r="AD2063" t="s">
        <v>1303</v>
      </c>
    </row>
    <row r="2064" spans="1:30" x14ac:dyDescent="0.25">
      <c r="A2064">
        <v>1</v>
      </c>
      <c r="B2064" t="s">
        <v>32</v>
      </c>
      <c r="C2064">
        <v>2</v>
      </c>
      <c r="D2064">
        <v>1200</v>
      </c>
      <c r="E2064">
        <v>1800</v>
      </c>
      <c r="F2064" t="s">
        <v>33</v>
      </c>
      <c r="G2064" t="s">
        <v>746</v>
      </c>
      <c r="H2064">
        <v>1</v>
      </c>
      <c r="I2064">
        <v>33.909999999999997</v>
      </c>
      <c r="J2064" t="s">
        <v>839</v>
      </c>
      <c r="K2064" t="s">
        <v>812</v>
      </c>
      <c r="M2064" t="s">
        <v>1519</v>
      </c>
      <c r="R2064" t="s">
        <v>81</v>
      </c>
      <c r="W2064">
        <v>4</v>
      </c>
      <c r="X2064" t="s">
        <v>1135</v>
      </c>
      <c r="Z2064" t="s">
        <v>38</v>
      </c>
      <c r="AB2064" t="s">
        <v>921</v>
      </c>
      <c r="AC2064" t="s">
        <v>1356</v>
      </c>
      <c r="AD2064" t="s">
        <v>39</v>
      </c>
    </row>
    <row r="2065" spans="1:30" x14ac:dyDescent="0.25">
      <c r="A2065">
        <v>2</v>
      </c>
      <c r="B2065" t="s">
        <v>41</v>
      </c>
      <c r="C2065">
        <v>2</v>
      </c>
      <c r="D2065">
        <v>1200</v>
      </c>
      <c r="E2065">
        <v>1800</v>
      </c>
      <c r="F2065" t="s">
        <v>33</v>
      </c>
      <c r="G2065" t="s">
        <v>746</v>
      </c>
      <c r="H2065">
        <v>1</v>
      </c>
      <c r="I2065">
        <v>33.909999999999997</v>
      </c>
      <c r="J2065" t="s">
        <v>839</v>
      </c>
      <c r="K2065" t="s">
        <v>812</v>
      </c>
      <c r="M2065" t="s">
        <v>1519</v>
      </c>
      <c r="R2065" t="s">
        <v>81</v>
      </c>
      <c r="W2065">
        <v>4</v>
      </c>
      <c r="X2065" t="s">
        <v>1135</v>
      </c>
      <c r="Z2065" t="s">
        <v>38</v>
      </c>
      <c r="AB2065" t="s">
        <v>921</v>
      </c>
      <c r="AC2065" t="s">
        <v>1356</v>
      </c>
      <c r="AD2065" t="s">
        <v>39</v>
      </c>
    </row>
    <row r="2066" spans="1:30" x14ac:dyDescent="0.25">
      <c r="A2066">
        <v>3</v>
      </c>
      <c r="B2066" t="s">
        <v>42</v>
      </c>
      <c r="C2066">
        <v>2</v>
      </c>
      <c r="D2066">
        <v>1300</v>
      </c>
      <c r="E2066">
        <v>4000</v>
      </c>
      <c r="F2066" t="s">
        <v>33</v>
      </c>
      <c r="G2066" t="s">
        <v>746</v>
      </c>
      <c r="H2066">
        <v>1</v>
      </c>
      <c r="I2066">
        <v>81.64</v>
      </c>
      <c r="J2066" t="s">
        <v>839</v>
      </c>
      <c r="K2066" t="s">
        <v>812</v>
      </c>
      <c r="M2066" t="s">
        <v>1519</v>
      </c>
      <c r="R2066" t="s">
        <v>81</v>
      </c>
      <c r="W2066">
        <v>4</v>
      </c>
      <c r="X2066" t="s">
        <v>1135</v>
      </c>
      <c r="Z2066" t="s">
        <v>38</v>
      </c>
      <c r="AB2066" t="s">
        <v>921</v>
      </c>
      <c r="AC2066" t="s">
        <v>1359</v>
      </c>
      <c r="AD2066" t="s">
        <v>39</v>
      </c>
    </row>
    <row r="2067" spans="1:30" x14ac:dyDescent="0.25">
      <c r="A2067">
        <v>4</v>
      </c>
      <c r="B2067" t="s">
        <v>45</v>
      </c>
      <c r="C2067">
        <v>2</v>
      </c>
      <c r="D2067">
        <v>1300</v>
      </c>
      <c r="E2067">
        <v>4000</v>
      </c>
      <c r="F2067" t="s">
        <v>33</v>
      </c>
      <c r="G2067" t="s">
        <v>746</v>
      </c>
      <c r="H2067">
        <v>1</v>
      </c>
      <c r="I2067">
        <v>81.64</v>
      </c>
      <c r="J2067" t="s">
        <v>839</v>
      </c>
      <c r="K2067" t="s">
        <v>812</v>
      </c>
      <c r="M2067" t="s">
        <v>1519</v>
      </c>
      <c r="R2067" t="s">
        <v>81</v>
      </c>
      <c r="W2067">
        <v>4</v>
      </c>
      <c r="X2067" t="s">
        <v>1135</v>
      </c>
      <c r="Z2067" t="s">
        <v>38</v>
      </c>
      <c r="AB2067" t="s">
        <v>921</v>
      </c>
      <c r="AC2067" t="s">
        <v>1361</v>
      </c>
      <c r="AD2067" t="s">
        <v>39</v>
      </c>
    </row>
    <row r="2068" spans="1:30" x14ac:dyDescent="0.25">
      <c r="A2068">
        <v>5</v>
      </c>
      <c r="B2068" t="s">
        <v>48</v>
      </c>
      <c r="C2068">
        <v>2</v>
      </c>
      <c r="D2068">
        <v>1060</v>
      </c>
      <c r="E2068">
        <v>4000</v>
      </c>
      <c r="F2068" t="s">
        <v>33</v>
      </c>
      <c r="G2068" t="s">
        <v>746</v>
      </c>
      <c r="H2068">
        <v>1</v>
      </c>
      <c r="I2068">
        <v>66.569999999999993</v>
      </c>
      <c r="J2068" t="s">
        <v>839</v>
      </c>
      <c r="K2068" t="s">
        <v>812</v>
      </c>
      <c r="M2068" t="s">
        <v>1519</v>
      </c>
      <c r="R2068" t="s">
        <v>81</v>
      </c>
      <c r="W2068">
        <v>4</v>
      </c>
      <c r="X2068" t="s">
        <v>1135</v>
      </c>
      <c r="Z2068" t="s">
        <v>38</v>
      </c>
      <c r="AB2068" t="s">
        <v>921</v>
      </c>
      <c r="AC2068" t="s">
        <v>1363</v>
      </c>
      <c r="AD2068" t="s">
        <v>39</v>
      </c>
    </row>
    <row r="2069" spans="1:30" x14ac:dyDescent="0.25">
      <c r="A2069">
        <v>6</v>
      </c>
      <c r="B2069" t="s">
        <v>52</v>
      </c>
      <c r="C2069">
        <v>2</v>
      </c>
      <c r="D2069">
        <v>1060</v>
      </c>
      <c r="E2069">
        <v>4000</v>
      </c>
      <c r="F2069" t="s">
        <v>33</v>
      </c>
      <c r="G2069" t="s">
        <v>746</v>
      </c>
      <c r="H2069">
        <v>1</v>
      </c>
      <c r="I2069">
        <v>66.569999999999993</v>
      </c>
      <c r="J2069" t="s">
        <v>839</v>
      </c>
      <c r="K2069" t="s">
        <v>812</v>
      </c>
      <c r="M2069" t="s">
        <v>1519</v>
      </c>
      <c r="R2069" t="s">
        <v>81</v>
      </c>
      <c r="W2069">
        <v>4</v>
      </c>
      <c r="X2069" t="s">
        <v>1135</v>
      </c>
      <c r="Z2069" t="s">
        <v>38</v>
      </c>
      <c r="AB2069" t="s">
        <v>921</v>
      </c>
      <c r="AC2069" t="s">
        <v>1365</v>
      </c>
      <c r="AD2069" t="s">
        <v>39</v>
      </c>
    </row>
    <row r="2070" spans="1:30" x14ac:dyDescent="0.25">
      <c r="A2070">
        <v>7</v>
      </c>
      <c r="B2070" t="s">
        <v>55</v>
      </c>
      <c r="C2070">
        <v>2</v>
      </c>
      <c r="D2070">
        <v>1060</v>
      </c>
      <c r="E2070">
        <v>4000</v>
      </c>
      <c r="F2070" t="s">
        <v>33</v>
      </c>
      <c r="G2070" t="s">
        <v>746</v>
      </c>
      <c r="H2070">
        <v>1</v>
      </c>
      <c r="I2070">
        <v>66.569999999999993</v>
      </c>
      <c r="J2070" t="s">
        <v>839</v>
      </c>
      <c r="K2070" t="s">
        <v>812</v>
      </c>
      <c r="M2070" t="s">
        <v>1519</v>
      </c>
      <c r="R2070" t="s">
        <v>81</v>
      </c>
      <c r="W2070">
        <v>4</v>
      </c>
      <c r="X2070" t="s">
        <v>1135</v>
      </c>
      <c r="Z2070" t="s">
        <v>38</v>
      </c>
      <c r="AB2070" t="s">
        <v>921</v>
      </c>
      <c r="AC2070" t="s">
        <v>1367</v>
      </c>
      <c r="AD2070" t="s">
        <v>39</v>
      </c>
    </row>
    <row r="2071" spans="1:30" x14ac:dyDescent="0.25">
      <c r="A2071">
        <v>8</v>
      </c>
      <c r="B2071" t="s">
        <v>58</v>
      </c>
      <c r="C2071">
        <v>2</v>
      </c>
      <c r="D2071">
        <v>1060</v>
      </c>
      <c r="E2071">
        <v>4000</v>
      </c>
      <c r="F2071" t="s">
        <v>33</v>
      </c>
      <c r="G2071" t="s">
        <v>746</v>
      </c>
      <c r="H2071">
        <v>1</v>
      </c>
      <c r="I2071">
        <v>66.569999999999993</v>
      </c>
      <c r="J2071" t="s">
        <v>839</v>
      </c>
      <c r="K2071" t="s">
        <v>812</v>
      </c>
      <c r="M2071" t="s">
        <v>1519</v>
      </c>
      <c r="R2071" t="s">
        <v>81</v>
      </c>
      <c r="W2071">
        <v>4</v>
      </c>
      <c r="X2071" t="s">
        <v>1135</v>
      </c>
      <c r="Z2071" t="s">
        <v>38</v>
      </c>
      <c r="AB2071" t="s">
        <v>921</v>
      </c>
      <c r="AC2071" t="s">
        <v>1369</v>
      </c>
      <c r="AD2071" t="s">
        <v>39</v>
      </c>
    </row>
    <row r="2072" spans="1:30" x14ac:dyDescent="0.25">
      <c r="A2072">
        <v>9</v>
      </c>
      <c r="B2072" t="s">
        <v>61</v>
      </c>
      <c r="C2072">
        <v>2</v>
      </c>
      <c r="D2072">
        <v>500</v>
      </c>
      <c r="E2072">
        <v>4000</v>
      </c>
      <c r="F2072" t="s">
        <v>33</v>
      </c>
      <c r="G2072" t="s">
        <v>746</v>
      </c>
      <c r="H2072">
        <v>1</v>
      </c>
      <c r="I2072">
        <v>31.4</v>
      </c>
      <c r="J2072" t="s">
        <v>839</v>
      </c>
      <c r="K2072" t="s">
        <v>812</v>
      </c>
      <c r="M2072" t="s">
        <v>1519</v>
      </c>
      <c r="R2072" t="s">
        <v>81</v>
      </c>
      <c r="W2072">
        <v>4</v>
      </c>
      <c r="X2072" t="s">
        <v>1135</v>
      </c>
      <c r="Z2072" t="s">
        <v>38</v>
      </c>
      <c r="AB2072" t="s">
        <v>921</v>
      </c>
      <c r="AC2072" t="s">
        <v>1371</v>
      </c>
      <c r="AD2072" t="s">
        <v>39</v>
      </c>
    </row>
    <row r="2073" spans="1:30" x14ac:dyDescent="0.25">
      <c r="A2073">
        <v>10</v>
      </c>
      <c r="B2073" t="s">
        <v>65</v>
      </c>
      <c r="C2073">
        <v>2</v>
      </c>
      <c r="D2073">
        <v>500</v>
      </c>
      <c r="E2073">
        <v>4000</v>
      </c>
      <c r="F2073" t="s">
        <v>33</v>
      </c>
      <c r="G2073" t="s">
        <v>746</v>
      </c>
      <c r="H2073">
        <v>1</v>
      </c>
      <c r="I2073">
        <v>31.4</v>
      </c>
      <c r="J2073" t="s">
        <v>839</v>
      </c>
      <c r="K2073" t="s">
        <v>812</v>
      </c>
      <c r="M2073" t="s">
        <v>1519</v>
      </c>
      <c r="R2073" t="s">
        <v>81</v>
      </c>
      <c r="W2073">
        <v>4</v>
      </c>
      <c r="X2073" t="s">
        <v>1135</v>
      </c>
      <c r="Z2073" t="s">
        <v>38</v>
      </c>
      <c r="AB2073" t="s">
        <v>921</v>
      </c>
      <c r="AC2073" t="s">
        <v>1371</v>
      </c>
      <c r="AD2073" t="s">
        <v>39</v>
      </c>
    </row>
    <row r="2074" spans="1:30" x14ac:dyDescent="0.25">
      <c r="A2074">
        <v>11</v>
      </c>
      <c r="B2074" t="s">
        <v>66</v>
      </c>
      <c r="C2074">
        <v>2</v>
      </c>
      <c r="D2074">
        <v>1060</v>
      </c>
      <c r="E2074">
        <v>1200</v>
      </c>
      <c r="F2074" t="s">
        <v>33</v>
      </c>
      <c r="G2074" t="s">
        <v>746</v>
      </c>
      <c r="H2074">
        <v>1</v>
      </c>
      <c r="I2074">
        <v>19.97</v>
      </c>
      <c r="J2074" t="s">
        <v>839</v>
      </c>
      <c r="K2074" t="s">
        <v>812</v>
      </c>
      <c r="M2074" t="s">
        <v>1519</v>
      </c>
      <c r="R2074" t="s">
        <v>81</v>
      </c>
      <c r="W2074">
        <v>4</v>
      </c>
      <c r="X2074" t="s">
        <v>1135</v>
      </c>
      <c r="Z2074" t="s">
        <v>38</v>
      </c>
      <c r="AB2074" t="s">
        <v>921</v>
      </c>
      <c r="AC2074" t="s">
        <v>1373</v>
      </c>
      <c r="AD2074" t="s">
        <v>39</v>
      </c>
    </row>
    <row r="2075" spans="1:30" x14ac:dyDescent="0.25">
      <c r="A2075">
        <v>12</v>
      </c>
      <c r="B2075" t="s">
        <v>70</v>
      </c>
      <c r="C2075">
        <v>2</v>
      </c>
      <c r="D2075">
        <v>500</v>
      </c>
      <c r="E2075">
        <v>1800</v>
      </c>
      <c r="F2075" t="s">
        <v>33</v>
      </c>
      <c r="G2075" t="s">
        <v>746</v>
      </c>
      <c r="H2075">
        <v>1</v>
      </c>
      <c r="I2075">
        <v>14.13</v>
      </c>
      <c r="J2075" t="s">
        <v>839</v>
      </c>
      <c r="K2075" t="s">
        <v>812</v>
      </c>
      <c r="M2075" t="s">
        <v>1519</v>
      </c>
      <c r="R2075" t="s">
        <v>81</v>
      </c>
      <c r="W2075">
        <v>4</v>
      </c>
      <c r="X2075" t="s">
        <v>1135</v>
      </c>
      <c r="Z2075" t="s">
        <v>38</v>
      </c>
      <c r="AB2075" t="s">
        <v>921</v>
      </c>
      <c r="AC2075" t="s">
        <v>1375</v>
      </c>
      <c r="AD2075" t="s">
        <v>39</v>
      </c>
    </row>
    <row r="2076" spans="1:30" x14ac:dyDescent="0.25">
      <c r="A2076">
        <v>13</v>
      </c>
      <c r="B2076" t="s">
        <v>74</v>
      </c>
      <c r="C2076">
        <v>2</v>
      </c>
      <c r="D2076">
        <v>1060</v>
      </c>
      <c r="E2076">
        <v>1200</v>
      </c>
      <c r="F2076" t="s">
        <v>33</v>
      </c>
      <c r="G2076" t="s">
        <v>746</v>
      </c>
      <c r="H2076">
        <v>1</v>
      </c>
      <c r="I2076">
        <v>19.97</v>
      </c>
      <c r="J2076" t="s">
        <v>839</v>
      </c>
      <c r="K2076" t="s">
        <v>812</v>
      </c>
      <c r="M2076" t="s">
        <v>1519</v>
      </c>
      <c r="R2076" t="s">
        <v>81</v>
      </c>
      <c r="W2076">
        <v>4</v>
      </c>
      <c r="X2076" t="s">
        <v>1135</v>
      </c>
      <c r="Z2076" t="s">
        <v>38</v>
      </c>
      <c r="AB2076" t="s">
        <v>921</v>
      </c>
      <c r="AC2076" t="s">
        <v>1375</v>
      </c>
      <c r="AD2076" t="s">
        <v>39</v>
      </c>
    </row>
    <row r="2077" spans="1:30" x14ac:dyDescent="0.25">
      <c r="A2077">
        <v>14</v>
      </c>
      <c r="B2077" t="s">
        <v>75</v>
      </c>
      <c r="C2077">
        <v>2</v>
      </c>
      <c r="D2077">
        <v>500</v>
      </c>
      <c r="E2077">
        <v>1800</v>
      </c>
      <c r="F2077" t="s">
        <v>33</v>
      </c>
      <c r="G2077" t="s">
        <v>746</v>
      </c>
      <c r="H2077">
        <v>1</v>
      </c>
      <c r="I2077">
        <v>14.13</v>
      </c>
      <c r="J2077" t="s">
        <v>839</v>
      </c>
      <c r="K2077" t="s">
        <v>812</v>
      </c>
      <c r="M2077" t="s">
        <v>1519</v>
      </c>
      <c r="R2077" t="s">
        <v>81</v>
      </c>
      <c r="W2077">
        <v>4</v>
      </c>
      <c r="X2077" t="s">
        <v>1135</v>
      </c>
      <c r="Z2077" t="s">
        <v>38</v>
      </c>
      <c r="AB2077" t="s">
        <v>921</v>
      </c>
      <c r="AC2077" t="s">
        <v>1375</v>
      </c>
      <c r="AD2077" t="s">
        <v>39</v>
      </c>
    </row>
    <row r="2078" spans="1:30" x14ac:dyDescent="0.25">
      <c r="A2078">
        <v>15</v>
      </c>
      <c r="B2078" t="s">
        <v>76</v>
      </c>
      <c r="C2078">
        <v>5</v>
      </c>
      <c r="D2078">
        <v>63</v>
      </c>
      <c r="E2078">
        <v>186</v>
      </c>
      <c r="F2078" t="s">
        <v>77</v>
      </c>
      <c r="G2078" t="s">
        <v>746</v>
      </c>
      <c r="H2078">
        <v>26</v>
      </c>
      <c r="I2078">
        <v>11.86</v>
      </c>
      <c r="J2078" t="s">
        <v>839</v>
      </c>
      <c r="K2078" t="s">
        <v>812</v>
      </c>
      <c r="M2078" t="s">
        <v>1519</v>
      </c>
      <c r="Q2078" t="s">
        <v>26</v>
      </c>
      <c r="S2078" t="s">
        <v>81</v>
      </c>
      <c r="W2078">
        <v>4</v>
      </c>
      <c r="X2078" t="s">
        <v>1135</v>
      </c>
      <c r="Z2078" t="s">
        <v>38</v>
      </c>
      <c r="AB2078" t="s">
        <v>921</v>
      </c>
      <c r="AC2078" t="s">
        <v>1378</v>
      </c>
      <c r="AD2078" t="s">
        <v>1379</v>
      </c>
    </row>
    <row r="2079" spans="1:30" x14ac:dyDescent="0.25">
      <c r="A2079">
        <v>16</v>
      </c>
      <c r="B2079" t="s">
        <v>83</v>
      </c>
      <c r="C2079">
        <v>5</v>
      </c>
      <c r="D2079">
        <v>43</v>
      </c>
      <c r="E2079">
        <v>86</v>
      </c>
      <c r="F2079" t="s">
        <v>77</v>
      </c>
      <c r="G2079" t="s">
        <v>746</v>
      </c>
      <c r="H2079">
        <v>112</v>
      </c>
      <c r="I2079">
        <v>15.82</v>
      </c>
      <c r="J2079" t="s">
        <v>839</v>
      </c>
      <c r="K2079" t="s">
        <v>812</v>
      </c>
      <c r="M2079" t="s">
        <v>1519</v>
      </c>
      <c r="Q2079" t="s">
        <v>26</v>
      </c>
      <c r="S2079" t="s">
        <v>81</v>
      </c>
      <c r="W2079">
        <v>4</v>
      </c>
      <c r="X2079" t="s">
        <v>1135</v>
      </c>
      <c r="Z2079" t="s">
        <v>38</v>
      </c>
      <c r="AB2079" t="s">
        <v>921</v>
      </c>
      <c r="AC2079" t="s">
        <v>1378</v>
      </c>
      <c r="AD2079" t="s">
        <v>1379</v>
      </c>
    </row>
    <row r="2080" spans="1:30" x14ac:dyDescent="0.25">
      <c r="A2080">
        <v>17</v>
      </c>
      <c r="B2080" t="s">
        <v>85</v>
      </c>
      <c r="C2080">
        <v>5</v>
      </c>
      <c r="D2080">
        <v>63</v>
      </c>
      <c r="E2080">
        <v>186</v>
      </c>
      <c r="F2080" t="s">
        <v>77</v>
      </c>
      <c r="G2080" t="s">
        <v>746</v>
      </c>
      <c r="H2080">
        <v>28</v>
      </c>
      <c r="I2080">
        <v>12.77</v>
      </c>
      <c r="J2080" t="s">
        <v>839</v>
      </c>
      <c r="K2080" t="s">
        <v>812</v>
      </c>
      <c r="M2080" t="s">
        <v>1519</v>
      </c>
      <c r="Q2080" t="s">
        <v>26</v>
      </c>
      <c r="S2080" t="s">
        <v>81</v>
      </c>
      <c r="W2080">
        <v>4</v>
      </c>
      <c r="X2080" t="s">
        <v>1135</v>
      </c>
      <c r="Z2080" t="s">
        <v>38</v>
      </c>
      <c r="AB2080" t="s">
        <v>921</v>
      </c>
      <c r="AC2080" t="s">
        <v>1378</v>
      </c>
      <c r="AD2080" t="s">
        <v>1379</v>
      </c>
    </row>
    <row r="2081" spans="1:30" x14ac:dyDescent="0.25">
      <c r="A2081">
        <v>18</v>
      </c>
      <c r="B2081" t="s">
        <v>86</v>
      </c>
      <c r="C2081">
        <v>5</v>
      </c>
      <c r="D2081">
        <v>43</v>
      </c>
      <c r="E2081">
        <v>86</v>
      </c>
      <c r="F2081" t="s">
        <v>77</v>
      </c>
      <c r="G2081" t="s">
        <v>746</v>
      </c>
      <c r="H2081">
        <v>120</v>
      </c>
      <c r="I2081">
        <v>16.95</v>
      </c>
      <c r="J2081" t="s">
        <v>839</v>
      </c>
      <c r="K2081" t="s">
        <v>812</v>
      </c>
      <c r="M2081" t="s">
        <v>1519</v>
      </c>
      <c r="Q2081" t="s">
        <v>26</v>
      </c>
      <c r="S2081" t="s">
        <v>81</v>
      </c>
      <c r="W2081">
        <v>4</v>
      </c>
      <c r="X2081" t="s">
        <v>1135</v>
      </c>
      <c r="Z2081" t="s">
        <v>38</v>
      </c>
      <c r="AB2081" t="s">
        <v>921</v>
      </c>
      <c r="AC2081" t="s">
        <v>1378</v>
      </c>
      <c r="AD2081" t="s">
        <v>1379</v>
      </c>
    </row>
    <row r="2082" spans="1:30" x14ac:dyDescent="0.25">
      <c r="A2082">
        <v>19</v>
      </c>
      <c r="B2082" t="s">
        <v>87</v>
      </c>
      <c r="C2082">
        <v>5</v>
      </c>
      <c r="D2082">
        <v>63</v>
      </c>
      <c r="E2082">
        <v>186</v>
      </c>
      <c r="F2082" t="s">
        <v>77</v>
      </c>
      <c r="G2082" t="s">
        <v>746</v>
      </c>
      <c r="H2082">
        <v>42</v>
      </c>
      <c r="I2082">
        <v>19.149999999999999</v>
      </c>
      <c r="J2082" t="s">
        <v>839</v>
      </c>
      <c r="K2082" t="s">
        <v>812</v>
      </c>
      <c r="M2082" t="s">
        <v>1519</v>
      </c>
      <c r="Q2082" t="s">
        <v>26</v>
      </c>
      <c r="S2082" t="s">
        <v>81</v>
      </c>
      <c r="W2082">
        <v>4</v>
      </c>
      <c r="X2082" t="s">
        <v>1135</v>
      </c>
      <c r="Z2082" t="s">
        <v>38</v>
      </c>
      <c r="AB2082" t="s">
        <v>921</v>
      </c>
      <c r="AC2082" t="s">
        <v>1378</v>
      </c>
      <c r="AD2082" t="s">
        <v>1379</v>
      </c>
    </row>
    <row r="2083" spans="1:30" x14ac:dyDescent="0.25">
      <c r="A2083">
        <v>20</v>
      </c>
      <c r="B2083" t="s">
        <v>88</v>
      </c>
      <c r="C2083">
        <v>5</v>
      </c>
      <c r="D2083">
        <v>43</v>
      </c>
      <c r="E2083">
        <v>86</v>
      </c>
      <c r="F2083" t="s">
        <v>77</v>
      </c>
      <c r="G2083" t="s">
        <v>746</v>
      </c>
      <c r="H2083">
        <v>176</v>
      </c>
      <c r="I2083">
        <v>24.85</v>
      </c>
      <c r="J2083" t="s">
        <v>839</v>
      </c>
      <c r="K2083" t="s">
        <v>812</v>
      </c>
      <c r="M2083" t="s">
        <v>1519</v>
      </c>
      <c r="Q2083" t="s">
        <v>26</v>
      </c>
      <c r="S2083" t="s">
        <v>81</v>
      </c>
      <c r="W2083">
        <v>4</v>
      </c>
      <c r="X2083" t="s">
        <v>1135</v>
      </c>
      <c r="Z2083" t="s">
        <v>38</v>
      </c>
      <c r="AB2083" t="s">
        <v>921</v>
      </c>
      <c r="AC2083" t="s">
        <v>1378</v>
      </c>
      <c r="AD2083" t="s">
        <v>1379</v>
      </c>
    </row>
    <row r="2084" spans="1:30" x14ac:dyDescent="0.25">
      <c r="A2084">
        <v>21</v>
      </c>
      <c r="B2084" t="s">
        <v>89</v>
      </c>
      <c r="C2084">
        <v>5</v>
      </c>
      <c r="D2084">
        <v>63</v>
      </c>
      <c r="E2084">
        <v>186</v>
      </c>
      <c r="F2084" t="s">
        <v>77</v>
      </c>
      <c r="G2084" t="s">
        <v>746</v>
      </c>
      <c r="H2084">
        <v>26</v>
      </c>
      <c r="I2084">
        <v>11.86</v>
      </c>
      <c r="J2084" t="s">
        <v>839</v>
      </c>
      <c r="K2084" t="s">
        <v>812</v>
      </c>
      <c r="M2084" t="s">
        <v>1519</v>
      </c>
      <c r="Q2084" t="s">
        <v>26</v>
      </c>
      <c r="S2084" t="s">
        <v>81</v>
      </c>
      <c r="W2084">
        <v>4</v>
      </c>
      <c r="X2084" t="s">
        <v>1135</v>
      </c>
      <c r="Z2084" t="s">
        <v>38</v>
      </c>
      <c r="AB2084" t="s">
        <v>921</v>
      </c>
      <c r="AC2084" t="s">
        <v>1378</v>
      </c>
      <c r="AD2084" t="s">
        <v>1379</v>
      </c>
    </row>
    <row r="2085" spans="1:30" x14ac:dyDescent="0.25">
      <c r="A2085">
        <v>22</v>
      </c>
      <c r="B2085" t="s">
        <v>90</v>
      </c>
      <c r="C2085">
        <v>5</v>
      </c>
      <c r="D2085">
        <v>43</v>
      </c>
      <c r="E2085">
        <v>86</v>
      </c>
      <c r="F2085" t="s">
        <v>77</v>
      </c>
      <c r="G2085" t="s">
        <v>746</v>
      </c>
      <c r="H2085">
        <v>112</v>
      </c>
      <c r="I2085">
        <v>15.82</v>
      </c>
      <c r="J2085" t="s">
        <v>839</v>
      </c>
      <c r="K2085" t="s">
        <v>812</v>
      </c>
      <c r="M2085" t="s">
        <v>1519</v>
      </c>
      <c r="Q2085" t="s">
        <v>26</v>
      </c>
      <c r="S2085" t="s">
        <v>81</v>
      </c>
      <c r="W2085">
        <v>4</v>
      </c>
      <c r="X2085" t="s">
        <v>1135</v>
      </c>
      <c r="Z2085" t="s">
        <v>38</v>
      </c>
      <c r="AB2085" t="s">
        <v>921</v>
      </c>
      <c r="AC2085" t="s">
        <v>1378</v>
      </c>
      <c r="AD2085" t="s">
        <v>1379</v>
      </c>
    </row>
    <row r="2086" spans="1:30" x14ac:dyDescent="0.25">
      <c r="A2086">
        <v>23</v>
      </c>
      <c r="B2086" t="s">
        <v>91</v>
      </c>
      <c r="C2086">
        <v>5</v>
      </c>
      <c r="D2086">
        <v>63</v>
      </c>
      <c r="E2086">
        <v>186</v>
      </c>
      <c r="F2086" t="s">
        <v>77</v>
      </c>
      <c r="G2086" t="s">
        <v>746</v>
      </c>
      <c r="H2086">
        <v>28</v>
      </c>
      <c r="I2086">
        <v>12.77</v>
      </c>
      <c r="J2086" t="s">
        <v>839</v>
      </c>
      <c r="K2086" t="s">
        <v>812</v>
      </c>
      <c r="M2086" t="s">
        <v>1519</v>
      </c>
      <c r="Q2086" t="s">
        <v>26</v>
      </c>
      <c r="S2086" t="s">
        <v>81</v>
      </c>
      <c r="W2086">
        <v>4</v>
      </c>
      <c r="X2086" t="s">
        <v>1135</v>
      </c>
      <c r="Z2086" t="s">
        <v>38</v>
      </c>
      <c r="AB2086" t="s">
        <v>921</v>
      </c>
      <c r="AC2086" t="s">
        <v>1378</v>
      </c>
      <c r="AD2086" t="s">
        <v>1379</v>
      </c>
    </row>
    <row r="2087" spans="1:30" x14ac:dyDescent="0.25">
      <c r="A2087">
        <v>24</v>
      </c>
      <c r="B2087" t="s">
        <v>92</v>
      </c>
      <c r="C2087">
        <v>5</v>
      </c>
      <c r="D2087">
        <v>43</v>
      </c>
      <c r="E2087">
        <v>86</v>
      </c>
      <c r="F2087" t="s">
        <v>77</v>
      </c>
      <c r="G2087" t="s">
        <v>746</v>
      </c>
      <c r="H2087">
        <v>120</v>
      </c>
      <c r="I2087">
        <v>16.95</v>
      </c>
      <c r="J2087" t="s">
        <v>839</v>
      </c>
      <c r="K2087" t="s">
        <v>812</v>
      </c>
      <c r="M2087" t="s">
        <v>1519</v>
      </c>
      <c r="Q2087" t="s">
        <v>26</v>
      </c>
      <c r="S2087" t="s">
        <v>81</v>
      </c>
      <c r="W2087">
        <v>4</v>
      </c>
      <c r="X2087" t="s">
        <v>1135</v>
      </c>
      <c r="Z2087" t="s">
        <v>38</v>
      </c>
      <c r="AB2087" t="s">
        <v>921</v>
      </c>
      <c r="AC2087" t="s">
        <v>1378</v>
      </c>
      <c r="AD2087" t="s">
        <v>1379</v>
      </c>
    </row>
    <row r="2088" spans="1:30" x14ac:dyDescent="0.25">
      <c r="A2088">
        <v>25</v>
      </c>
      <c r="B2088" t="s">
        <v>93</v>
      </c>
      <c r="C2088">
        <v>5</v>
      </c>
      <c r="D2088">
        <v>63</v>
      </c>
      <c r="E2088">
        <v>186</v>
      </c>
      <c r="F2088" t="s">
        <v>77</v>
      </c>
      <c r="G2088" t="s">
        <v>746</v>
      </c>
      <c r="H2088">
        <v>42</v>
      </c>
      <c r="I2088">
        <v>19.149999999999999</v>
      </c>
      <c r="J2088" t="s">
        <v>839</v>
      </c>
      <c r="K2088" t="s">
        <v>812</v>
      </c>
      <c r="M2088" t="s">
        <v>1519</v>
      </c>
      <c r="Q2088" t="s">
        <v>26</v>
      </c>
      <c r="S2088" t="s">
        <v>81</v>
      </c>
      <c r="W2088">
        <v>4</v>
      </c>
      <c r="X2088" t="s">
        <v>1135</v>
      </c>
      <c r="Z2088" t="s">
        <v>38</v>
      </c>
      <c r="AB2088" t="s">
        <v>921</v>
      </c>
      <c r="AC2088" t="s">
        <v>1378</v>
      </c>
      <c r="AD2088" t="s">
        <v>1379</v>
      </c>
    </row>
    <row r="2089" spans="1:30" x14ac:dyDescent="0.25">
      <c r="A2089">
        <v>26</v>
      </c>
      <c r="B2089" t="s">
        <v>94</v>
      </c>
      <c r="C2089">
        <v>5</v>
      </c>
      <c r="D2089">
        <v>43</v>
      </c>
      <c r="E2089">
        <v>86</v>
      </c>
      <c r="F2089" t="s">
        <v>77</v>
      </c>
      <c r="G2089" t="s">
        <v>746</v>
      </c>
      <c r="H2089">
        <v>176</v>
      </c>
      <c r="I2089">
        <v>24.85</v>
      </c>
      <c r="J2089" t="s">
        <v>839</v>
      </c>
      <c r="K2089" t="s">
        <v>812</v>
      </c>
      <c r="M2089" t="s">
        <v>1519</v>
      </c>
      <c r="Q2089" t="s">
        <v>26</v>
      </c>
      <c r="S2089" t="s">
        <v>81</v>
      </c>
      <c r="W2089">
        <v>4</v>
      </c>
      <c r="X2089" t="s">
        <v>1135</v>
      </c>
      <c r="Z2089" t="s">
        <v>38</v>
      </c>
      <c r="AB2089" t="s">
        <v>921</v>
      </c>
      <c r="AC2089" t="s">
        <v>1378</v>
      </c>
      <c r="AD2089" t="s">
        <v>1379</v>
      </c>
    </row>
    <row r="2090" spans="1:30" x14ac:dyDescent="0.25">
      <c r="A2090">
        <v>27</v>
      </c>
      <c r="B2090" t="s">
        <v>95</v>
      </c>
      <c r="C2090">
        <v>6</v>
      </c>
      <c r="D2090">
        <v>328</v>
      </c>
      <c r="E2090">
        <v>1752</v>
      </c>
      <c r="F2090" t="s">
        <v>77</v>
      </c>
      <c r="G2090" t="s">
        <v>746</v>
      </c>
      <c r="H2090">
        <v>1</v>
      </c>
      <c r="I2090">
        <v>25.59</v>
      </c>
      <c r="J2090" t="s">
        <v>839</v>
      </c>
      <c r="K2090" t="s">
        <v>812</v>
      </c>
      <c r="M2090" t="s">
        <v>1519</v>
      </c>
      <c r="R2090" t="s">
        <v>81</v>
      </c>
      <c r="U2090" t="s">
        <v>81</v>
      </c>
      <c r="V2090" t="s">
        <v>81</v>
      </c>
      <c r="W2090">
        <v>4</v>
      </c>
      <c r="X2090" t="s">
        <v>1135</v>
      </c>
      <c r="Z2090" t="s">
        <v>38</v>
      </c>
      <c r="AB2090" t="s">
        <v>921</v>
      </c>
      <c r="AC2090" t="s">
        <v>1381</v>
      </c>
      <c r="AD2090" t="s">
        <v>39</v>
      </c>
    </row>
    <row r="2091" spans="1:30" x14ac:dyDescent="0.25">
      <c r="A2091">
        <v>28</v>
      </c>
      <c r="B2091" t="s">
        <v>100</v>
      </c>
      <c r="C2091">
        <v>6</v>
      </c>
      <c r="D2091">
        <v>328</v>
      </c>
      <c r="E2091">
        <v>1752</v>
      </c>
      <c r="F2091" t="s">
        <v>77</v>
      </c>
      <c r="G2091" t="s">
        <v>746</v>
      </c>
      <c r="H2091">
        <v>1</v>
      </c>
      <c r="I2091">
        <v>25.59</v>
      </c>
      <c r="J2091" t="s">
        <v>839</v>
      </c>
      <c r="K2091" t="s">
        <v>812</v>
      </c>
      <c r="M2091" t="s">
        <v>1519</v>
      </c>
      <c r="R2091" t="s">
        <v>81</v>
      </c>
      <c r="U2091" t="s">
        <v>81</v>
      </c>
      <c r="V2091" t="s">
        <v>81</v>
      </c>
      <c r="W2091">
        <v>4</v>
      </c>
      <c r="X2091" t="s">
        <v>1135</v>
      </c>
      <c r="Z2091" t="s">
        <v>38</v>
      </c>
      <c r="AB2091" t="s">
        <v>921</v>
      </c>
      <c r="AC2091" t="s">
        <v>1381</v>
      </c>
      <c r="AD2091" t="s">
        <v>39</v>
      </c>
    </row>
    <row r="2092" spans="1:30" x14ac:dyDescent="0.25">
      <c r="A2092">
        <v>29</v>
      </c>
      <c r="B2092" t="s">
        <v>101</v>
      </c>
      <c r="C2092">
        <v>6</v>
      </c>
      <c r="D2092">
        <v>328</v>
      </c>
      <c r="E2092">
        <v>1752</v>
      </c>
      <c r="F2092" t="s">
        <v>77</v>
      </c>
      <c r="G2092" t="s">
        <v>746</v>
      </c>
      <c r="H2092">
        <v>3</v>
      </c>
      <c r="I2092">
        <v>76.790000000000006</v>
      </c>
      <c r="J2092" t="s">
        <v>839</v>
      </c>
      <c r="K2092" t="s">
        <v>812</v>
      </c>
      <c r="M2092" t="s">
        <v>1519</v>
      </c>
      <c r="R2092" t="s">
        <v>81</v>
      </c>
      <c r="U2092" t="s">
        <v>81</v>
      </c>
      <c r="V2092" t="s">
        <v>81</v>
      </c>
      <c r="W2092">
        <v>4</v>
      </c>
      <c r="X2092" t="s">
        <v>1135</v>
      </c>
      <c r="Z2092" t="s">
        <v>38</v>
      </c>
      <c r="AB2092" t="s">
        <v>921</v>
      </c>
      <c r="AC2092" t="s">
        <v>1381</v>
      </c>
      <c r="AD2092" t="s">
        <v>39</v>
      </c>
    </row>
    <row r="2093" spans="1:30" x14ac:dyDescent="0.25">
      <c r="A2093">
        <v>30</v>
      </c>
      <c r="B2093" t="s">
        <v>102</v>
      </c>
      <c r="C2093">
        <v>6</v>
      </c>
      <c r="D2093">
        <v>328</v>
      </c>
      <c r="E2093">
        <v>1753</v>
      </c>
      <c r="F2093" t="s">
        <v>77</v>
      </c>
      <c r="G2093" t="s">
        <v>746</v>
      </c>
      <c r="H2093">
        <v>3</v>
      </c>
      <c r="I2093">
        <v>76.83</v>
      </c>
      <c r="J2093" t="s">
        <v>839</v>
      </c>
      <c r="K2093" t="s">
        <v>812</v>
      </c>
      <c r="M2093" t="s">
        <v>1519</v>
      </c>
      <c r="R2093" t="s">
        <v>81</v>
      </c>
      <c r="U2093" t="s">
        <v>81</v>
      </c>
      <c r="V2093" t="s">
        <v>81</v>
      </c>
      <c r="W2093">
        <v>4</v>
      </c>
      <c r="X2093" t="s">
        <v>1135</v>
      </c>
      <c r="Z2093" t="s">
        <v>38</v>
      </c>
      <c r="AB2093" t="s">
        <v>921</v>
      </c>
      <c r="AC2093" t="s">
        <v>1381</v>
      </c>
      <c r="AD2093" t="s">
        <v>39</v>
      </c>
    </row>
    <row r="2094" spans="1:30" x14ac:dyDescent="0.25">
      <c r="A2094">
        <v>31</v>
      </c>
      <c r="B2094" t="s">
        <v>104</v>
      </c>
      <c r="C2094">
        <v>6</v>
      </c>
      <c r="D2094">
        <v>328</v>
      </c>
      <c r="E2094">
        <v>1752</v>
      </c>
      <c r="F2094" t="s">
        <v>77</v>
      </c>
      <c r="G2094" t="s">
        <v>746</v>
      </c>
      <c r="H2094">
        <v>2</v>
      </c>
      <c r="I2094">
        <v>51.18</v>
      </c>
      <c r="J2094" t="s">
        <v>839</v>
      </c>
      <c r="K2094" t="s">
        <v>812</v>
      </c>
      <c r="M2094" t="s">
        <v>1519</v>
      </c>
      <c r="R2094" t="s">
        <v>81</v>
      </c>
      <c r="U2094" t="s">
        <v>81</v>
      </c>
      <c r="V2094" t="s">
        <v>81</v>
      </c>
      <c r="W2094">
        <v>4</v>
      </c>
      <c r="X2094" t="s">
        <v>1135</v>
      </c>
      <c r="Z2094" t="s">
        <v>38</v>
      </c>
      <c r="AB2094" t="s">
        <v>921</v>
      </c>
      <c r="AC2094" t="s">
        <v>1381</v>
      </c>
      <c r="AD2094" t="s">
        <v>39</v>
      </c>
    </row>
    <row r="2095" spans="1:30" x14ac:dyDescent="0.25">
      <c r="A2095">
        <v>32</v>
      </c>
      <c r="B2095" t="s">
        <v>105</v>
      </c>
      <c r="C2095">
        <v>6</v>
      </c>
      <c r="D2095">
        <v>328</v>
      </c>
      <c r="E2095">
        <v>1752</v>
      </c>
      <c r="F2095" t="s">
        <v>77</v>
      </c>
      <c r="G2095" t="s">
        <v>746</v>
      </c>
      <c r="H2095">
        <v>1</v>
      </c>
      <c r="I2095">
        <v>25.59</v>
      </c>
      <c r="J2095" t="s">
        <v>839</v>
      </c>
      <c r="K2095" t="s">
        <v>812</v>
      </c>
      <c r="M2095" t="s">
        <v>1519</v>
      </c>
      <c r="R2095" t="s">
        <v>81</v>
      </c>
      <c r="U2095" t="s">
        <v>81</v>
      </c>
      <c r="V2095" t="s">
        <v>81</v>
      </c>
      <c r="W2095">
        <v>4</v>
      </c>
      <c r="X2095" t="s">
        <v>1135</v>
      </c>
      <c r="Z2095" t="s">
        <v>38</v>
      </c>
      <c r="AB2095" t="s">
        <v>921</v>
      </c>
      <c r="AC2095" t="s">
        <v>1381</v>
      </c>
      <c r="AD2095" t="s">
        <v>39</v>
      </c>
    </row>
    <row r="2096" spans="1:30" x14ac:dyDescent="0.25">
      <c r="A2096">
        <v>33</v>
      </c>
      <c r="B2096" t="s">
        <v>106</v>
      </c>
      <c r="C2096">
        <v>6</v>
      </c>
      <c r="D2096">
        <v>328</v>
      </c>
      <c r="E2096">
        <v>1752</v>
      </c>
      <c r="F2096" t="s">
        <v>77</v>
      </c>
      <c r="G2096" t="s">
        <v>746</v>
      </c>
      <c r="H2096">
        <v>1</v>
      </c>
      <c r="I2096">
        <v>25.59</v>
      </c>
      <c r="J2096" t="s">
        <v>839</v>
      </c>
      <c r="K2096" t="s">
        <v>812</v>
      </c>
      <c r="M2096" t="s">
        <v>1519</v>
      </c>
      <c r="R2096" t="s">
        <v>81</v>
      </c>
      <c r="U2096" t="s">
        <v>81</v>
      </c>
      <c r="V2096" t="s">
        <v>81</v>
      </c>
      <c r="W2096">
        <v>4</v>
      </c>
      <c r="X2096" t="s">
        <v>1135</v>
      </c>
      <c r="Z2096" t="s">
        <v>38</v>
      </c>
      <c r="AB2096" t="s">
        <v>921</v>
      </c>
      <c r="AC2096" t="s">
        <v>1381</v>
      </c>
      <c r="AD2096" t="s">
        <v>39</v>
      </c>
    </row>
    <row r="2097" spans="1:30" x14ac:dyDescent="0.25">
      <c r="A2097">
        <v>34</v>
      </c>
      <c r="B2097" t="s">
        <v>107</v>
      </c>
      <c r="C2097">
        <v>6</v>
      </c>
      <c r="D2097">
        <v>328</v>
      </c>
      <c r="E2097">
        <v>1752</v>
      </c>
      <c r="F2097" t="s">
        <v>77</v>
      </c>
      <c r="G2097" t="s">
        <v>746</v>
      </c>
      <c r="H2097">
        <v>3</v>
      </c>
      <c r="I2097">
        <v>76.790000000000006</v>
      </c>
      <c r="J2097" t="s">
        <v>839</v>
      </c>
      <c r="K2097" t="s">
        <v>812</v>
      </c>
      <c r="M2097" t="s">
        <v>1519</v>
      </c>
      <c r="R2097" t="s">
        <v>81</v>
      </c>
      <c r="U2097" t="s">
        <v>81</v>
      </c>
      <c r="V2097" t="s">
        <v>81</v>
      </c>
      <c r="W2097">
        <v>4</v>
      </c>
      <c r="X2097" t="s">
        <v>1135</v>
      </c>
      <c r="Z2097" t="s">
        <v>38</v>
      </c>
      <c r="AB2097" t="s">
        <v>921</v>
      </c>
      <c r="AC2097" t="s">
        <v>1381</v>
      </c>
      <c r="AD2097" t="s">
        <v>39</v>
      </c>
    </row>
    <row r="2098" spans="1:30" x14ac:dyDescent="0.25">
      <c r="A2098">
        <v>35</v>
      </c>
      <c r="B2098" t="s">
        <v>108</v>
      </c>
      <c r="C2098">
        <v>6</v>
      </c>
      <c r="D2098">
        <v>328</v>
      </c>
      <c r="E2098">
        <v>1753</v>
      </c>
      <c r="F2098" t="s">
        <v>77</v>
      </c>
      <c r="G2098" t="s">
        <v>746</v>
      </c>
      <c r="H2098">
        <v>3</v>
      </c>
      <c r="I2098">
        <v>76.83</v>
      </c>
      <c r="J2098" t="s">
        <v>839</v>
      </c>
      <c r="K2098" t="s">
        <v>812</v>
      </c>
      <c r="M2098" t="s">
        <v>1519</v>
      </c>
      <c r="R2098" t="s">
        <v>81</v>
      </c>
      <c r="U2098" t="s">
        <v>81</v>
      </c>
      <c r="V2098" t="s">
        <v>81</v>
      </c>
      <c r="W2098">
        <v>4</v>
      </c>
      <c r="X2098" t="s">
        <v>1135</v>
      </c>
      <c r="Z2098" t="s">
        <v>38</v>
      </c>
      <c r="AB2098" t="s">
        <v>921</v>
      </c>
      <c r="AC2098" t="s">
        <v>1381</v>
      </c>
      <c r="AD2098" t="s">
        <v>39</v>
      </c>
    </row>
    <row r="2099" spans="1:30" x14ac:dyDescent="0.25">
      <c r="A2099">
        <v>36</v>
      </c>
      <c r="B2099" t="s">
        <v>109</v>
      </c>
      <c r="C2099">
        <v>6</v>
      </c>
      <c r="D2099">
        <v>328</v>
      </c>
      <c r="E2099">
        <v>1752</v>
      </c>
      <c r="F2099" t="s">
        <v>77</v>
      </c>
      <c r="G2099" t="s">
        <v>746</v>
      </c>
      <c r="H2099">
        <v>2</v>
      </c>
      <c r="I2099">
        <v>51.18</v>
      </c>
      <c r="J2099" t="s">
        <v>839</v>
      </c>
      <c r="K2099" t="s">
        <v>812</v>
      </c>
      <c r="M2099" t="s">
        <v>1519</v>
      </c>
      <c r="R2099" t="s">
        <v>81</v>
      </c>
      <c r="U2099" t="s">
        <v>81</v>
      </c>
      <c r="V2099" t="s">
        <v>81</v>
      </c>
      <c r="W2099">
        <v>4</v>
      </c>
      <c r="X2099" t="s">
        <v>1135</v>
      </c>
      <c r="Z2099" t="s">
        <v>38</v>
      </c>
      <c r="AB2099" t="s">
        <v>921</v>
      </c>
      <c r="AC2099" t="s">
        <v>1381</v>
      </c>
      <c r="AD2099" t="s">
        <v>39</v>
      </c>
    </row>
    <row r="2100" spans="1:30" x14ac:dyDescent="0.25">
      <c r="A2100">
        <v>37</v>
      </c>
      <c r="B2100" t="s">
        <v>110</v>
      </c>
      <c r="C2100">
        <v>6</v>
      </c>
      <c r="D2100">
        <v>328</v>
      </c>
      <c r="E2100">
        <v>1672</v>
      </c>
      <c r="F2100" t="s">
        <v>77</v>
      </c>
      <c r="G2100" t="s">
        <v>746</v>
      </c>
      <c r="H2100">
        <v>2</v>
      </c>
      <c r="I2100">
        <v>48.91</v>
      </c>
      <c r="J2100" t="s">
        <v>839</v>
      </c>
      <c r="K2100" t="s">
        <v>812</v>
      </c>
      <c r="M2100" t="s">
        <v>1519</v>
      </c>
      <c r="R2100" t="s">
        <v>81</v>
      </c>
      <c r="U2100" t="s">
        <v>81</v>
      </c>
      <c r="V2100" t="s">
        <v>81</v>
      </c>
      <c r="W2100">
        <v>4</v>
      </c>
      <c r="X2100" t="s">
        <v>1135</v>
      </c>
      <c r="Z2100" t="s">
        <v>38</v>
      </c>
      <c r="AB2100" t="s">
        <v>921</v>
      </c>
      <c r="AC2100" t="s">
        <v>1381</v>
      </c>
      <c r="AD2100" t="s">
        <v>39</v>
      </c>
    </row>
    <row r="2101" spans="1:30" x14ac:dyDescent="0.25">
      <c r="A2101">
        <v>38</v>
      </c>
      <c r="B2101" t="s">
        <v>112</v>
      </c>
      <c r="C2101">
        <v>6</v>
      </c>
      <c r="D2101">
        <v>328</v>
      </c>
      <c r="E2101">
        <v>1718</v>
      </c>
      <c r="F2101" t="s">
        <v>77</v>
      </c>
      <c r="G2101" t="s">
        <v>746</v>
      </c>
      <c r="H2101">
        <v>1</v>
      </c>
      <c r="I2101">
        <v>25.11</v>
      </c>
      <c r="J2101" t="s">
        <v>839</v>
      </c>
      <c r="K2101" t="s">
        <v>812</v>
      </c>
      <c r="M2101" t="s">
        <v>1519</v>
      </c>
      <c r="R2101" t="s">
        <v>81</v>
      </c>
      <c r="U2101" t="s">
        <v>81</v>
      </c>
      <c r="V2101" t="s">
        <v>81</v>
      </c>
      <c r="W2101">
        <v>4</v>
      </c>
      <c r="X2101" t="s">
        <v>1135</v>
      </c>
      <c r="Z2101" t="s">
        <v>38</v>
      </c>
      <c r="AB2101" t="s">
        <v>921</v>
      </c>
      <c r="AC2101" t="s">
        <v>1381</v>
      </c>
      <c r="AD2101" t="s">
        <v>39</v>
      </c>
    </row>
    <row r="2102" spans="1:30" x14ac:dyDescent="0.25">
      <c r="A2102">
        <v>39</v>
      </c>
      <c r="B2102" t="s">
        <v>114</v>
      </c>
      <c r="C2102">
        <v>6</v>
      </c>
      <c r="D2102">
        <v>328</v>
      </c>
      <c r="E2102">
        <v>1729</v>
      </c>
      <c r="F2102" t="s">
        <v>77</v>
      </c>
      <c r="G2102" t="s">
        <v>746</v>
      </c>
      <c r="H2102">
        <v>5</v>
      </c>
      <c r="I2102">
        <v>126.35</v>
      </c>
      <c r="J2102" t="s">
        <v>839</v>
      </c>
      <c r="K2102" t="s">
        <v>812</v>
      </c>
      <c r="M2102" t="s">
        <v>1519</v>
      </c>
      <c r="R2102" t="s">
        <v>81</v>
      </c>
      <c r="U2102" t="s">
        <v>81</v>
      </c>
      <c r="V2102" t="s">
        <v>81</v>
      </c>
      <c r="W2102">
        <v>4</v>
      </c>
      <c r="X2102" t="s">
        <v>1135</v>
      </c>
      <c r="Z2102" t="s">
        <v>38</v>
      </c>
      <c r="AB2102" t="s">
        <v>921</v>
      </c>
      <c r="AC2102" t="s">
        <v>1381</v>
      </c>
      <c r="AD2102" t="s">
        <v>39</v>
      </c>
    </row>
    <row r="2103" spans="1:30" x14ac:dyDescent="0.25">
      <c r="A2103">
        <v>40</v>
      </c>
      <c r="B2103" t="s">
        <v>116</v>
      </c>
      <c r="C2103">
        <v>6</v>
      </c>
      <c r="D2103">
        <v>298</v>
      </c>
      <c r="E2103">
        <v>378</v>
      </c>
      <c r="F2103" t="s">
        <v>77</v>
      </c>
      <c r="G2103" t="s">
        <v>746</v>
      </c>
      <c r="H2103">
        <v>1</v>
      </c>
      <c r="I2103">
        <v>5.27</v>
      </c>
      <c r="J2103" t="s">
        <v>839</v>
      </c>
      <c r="K2103" t="s">
        <v>812</v>
      </c>
      <c r="M2103" t="s">
        <v>1519</v>
      </c>
      <c r="Q2103" t="s">
        <v>26</v>
      </c>
      <c r="R2103" t="s">
        <v>81</v>
      </c>
      <c r="W2103">
        <v>4</v>
      </c>
      <c r="X2103" t="s">
        <v>1135</v>
      </c>
      <c r="Z2103" t="s">
        <v>38</v>
      </c>
      <c r="AB2103" t="s">
        <v>921</v>
      </c>
      <c r="AC2103" t="s">
        <v>1381</v>
      </c>
      <c r="AD2103" t="s">
        <v>39</v>
      </c>
    </row>
    <row r="2104" spans="1:30" x14ac:dyDescent="0.25">
      <c r="A2104">
        <v>41</v>
      </c>
      <c r="B2104" t="s">
        <v>118</v>
      </c>
      <c r="C2104">
        <v>6</v>
      </c>
      <c r="D2104">
        <v>328</v>
      </c>
      <c r="E2104">
        <v>1729</v>
      </c>
      <c r="F2104" t="s">
        <v>77</v>
      </c>
      <c r="G2104" t="s">
        <v>746</v>
      </c>
      <c r="H2104">
        <v>13</v>
      </c>
      <c r="I2104">
        <v>328.51</v>
      </c>
      <c r="J2104" t="s">
        <v>839</v>
      </c>
      <c r="K2104" t="s">
        <v>812</v>
      </c>
      <c r="M2104" t="s">
        <v>1519</v>
      </c>
      <c r="R2104" t="s">
        <v>81</v>
      </c>
      <c r="U2104" t="s">
        <v>81</v>
      </c>
      <c r="V2104" t="s">
        <v>81</v>
      </c>
      <c r="W2104">
        <v>4</v>
      </c>
      <c r="X2104" t="s">
        <v>1135</v>
      </c>
      <c r="Z2104" t="s">
        <v>38</v>
      </c>
      <c r="AB2104" t="s">
        <v>921</v>
      </c>
      <c r="AC2104" t="s">
        <v>1383</v>
      </c>
      <c r="AD2104" t="s">
        <v>39</v>
      </c>
    </row>
    <row r="2105" spans="1:30" x14ac:dyDescent="0.25">
      <c r="A2105">
        <v>42</v>
      </c>
      <c r="B2105" t="s">
        <v>114</v>
      </c>
      <c r="C2105">
        <v>6</v>
      </c>
      <c r="D2105">
        <v>328</v>
      </c>
      <c r="E2105">
        <v>1729</v>
      </c>
      <c r="F2105" t="s">
        <v>77</v>
      </c>
      <c r="G2105" t="s">
        <v>746</v>
      </c>
      <c r="H2105">
        <v>15</v>
      </c>
      <c r="I2105">
        <v>379.05</v>
      </c>
      <c r="J2105" t="s">
        <v>839</v>
      </c>
      <c r="K2105" t="s">
        <v>812</v>
      </c>
      <c r="M2105" t="s">
        <v>1519</v>
      </c>
      <c r="R2105" t="s">
        <v>81</v>
      </c>
      <c r="U2105" t="s">
        <v>81</v>
      </c>
      <c r="V2105" t="s">
        <v>81</v>
      </c>
      <c r="W2105">
        <v>4</v>
      </c>
      <c r="X2105" t="s">
        <v>1135</v>
      </c>
      <c r="Z2105" t="s">
        <v>38</v>
      </c>
      <c r="AB2105" t="s">
        <v>921</v>
      </c>
      <c r="AC2105" t="s">
        <v>1383</v>
      </c>
      <c r="AD2105" t="s">
        <v>39</v>
      </c>
    </row>
    <row r="2106" spans="1:30" x14ac:dyDescent="0.25">
      <c r="A2106">
        <v>43</v>
      </c>
      <c r="B2106" t="s">
        <v>121</v>
      </c>
      <c r="C2106">
        <v>6</v>
      </c>
      <c r="D2106">
        <v>328</v>
      </c>
      <c r="E2106">
        <v>934</v>
      </c>
      <c r="F2106" t="s">
        <v>77</v>
      </c>
      <c r="G2106" t="s">
        <v>746</v>
      </c>
      <c r="H2106">
        <v>1</v>
      </c>
      <c r="I2106">
        <v>14.43</v>
      </c>
      <c r="J2106" t="s">
        <v>839</v>
      </c>
      <c r="K2106" t="s">
        <v>812</v>
      </c>
      <c r="M2106" t="s">
        <v>1519</v>
      </c>
      <c r="R2106" t="s">
        <v>81</v>
      </c>
      <c r="U2106" t="s">
        <v>81</v>
      </c>
      <c r="W2106">
        <v>4</v>
      </c>
      <c r="X2106" t="s">
        <v>1135</v>
      </c>
      <c r="Z2106" t="s">
        <v>38</v>
      </c>
      <c r="AB2106" t="s">
        <v>921</v>
      </c>
      <c r="AC2106" t="s">
        <v>1383</v>
      </c>
      <c r="AD2106" t="s">
        <v>39</v>
      </c>
    </row>
    <row r="2107" spans="1:30" x14ac:dyDescent="0.25">
      <c r="A2107">
        <v>44</v>
      </c>
      <c r="B2107" t="s">
        <v>123</v>
      </c>
      <c r="C2107">
        <v>6</v>
      </c>
      <c r="D2107">
        <v>298</v>
      </c>
      <c r="E2107">
        <v>378</v>
      </c>
      <c r="F2107" t="s">
        <v>77</v>
      </c>
      <c r="G2107" t="s">
        <v>746</v>
      </c>
      <c r="H2107">
        <v>1</v>
      </c>
      <c r="I2107">
        <v>5.27</v>
      </c>
      <c r="J2107" t="s">
        <v>839</v>
      </c>
      <c r="K2107" t="s">
        <v>812</v>
      </c>
      <c r="M2107" t="s">
        <v>1519</v>
      </c>
      <c r="Q2107" t="s">
        <v>26</v>
      </c>
      <c r="R2107" t="s">
        <v>81</v>
      </c>
      <c r="W2107">
        <v>4</v>
      </c>
      <c r="X2107" t="s">
        <v>1135</v>
      </c>
      <c r="Z2107" t="s">
        <v>38</v>
      </c>
      <c r="AB2107" t="s">
        <v>921</v>
      </c>
      <c r="AC2107" t="s">
        <v>1383</v>
      </c>
      <c r="AD2107" t="s">
        <v>39</v>
      </c>
    </row>
    <row r="2108" spans="1:30" x14ac:dyDescent="0.25">
      <c r="A2108">
        <v>45</v>
      </c>
      <c r="B2108" t="s">
        <v>124</v>
      </c>
      <c r="C2108">
        <v>6</v>
      </c>
      <c r="D2108">
        <v>328</v>
      </c>
      <c r="E2108">
        <v>1672</v>
      </c>
      <c r="F2108" t="s">
        <v>77</v>
      </c>
      <c r="G2108" t="s">
        <v>746</v>
      </c>
      <c r="H2108">
        <v>2</v>
      </c>
      <c r="I2108">
        <v>48.91</v>
      </c>
      <c r="J2108" t="s">
        <v>839</v>
      </c>
      <c r="K2108" t="s">
        <v>812</v>
      </c>
      <c r="M2108" t="s">
        <v>1519</v>
      </c>
      <c r="R2108" t="s">
        <v>81</v>
      </c>
      <c r="U2108" t="s">
        <v>81</v>
      </c>
      <c r="V2108" t="s">
        <v>81</v>
      </c>
      <c r="W2108">
        <v>4</v>
      </c>
      <c r="X2108" t="s">
        <v>1135</v>
      </c>
      <c r="Z2108" t="s">
        <v>38</v>
      </c>
      <c r="AB2108" t="s">
        <v>921</v>
      </c>
      <c r="AC2108" t="s">
        <v>1385</v>
      </c>
      <c r="AD2108" t="s">
        <v>39</v>
      </c>
    </row>
    <row r="2109" spans="1:30" x14ac:dyDescent="0.25">
      <c r="A2109">
        <v>46</v>
      </c>
      <c r="B2109" t="s">
        <v>127</v>
      </c>
      <c r="C2109">
        <v>6</v>
      </c>
      <c r="D2109">
        <v>328</v>
      </c>
      <c r="E2109">
        <v>1718</v>
      </c>
      <c r="F2109" t="s">
        <v>77</v>
      </c>
      <c r="G2109" t="s">
        <v>746</v>
      </c>
      <c r="H2109">
        <v>8</v>
      </c>
      <c r="I2109">
        <v>200.91</v>
      </c>
      <c r="J2109" t="s">
        <v>839</v>
      </c>
      <c r="K2109" t="s">
        <v>812</v>
      </c>
      <c r="M2109" t="s">
        <v>1519</v>
      </c>
      <c r="R2109" t="s">
        <v>81</v>
      </c>
      <c r="U2109" t="s">
        <v>81</v>
      </c>
      <c r="V2109" t="s">
        <v>81</v>
      </c>
      <c r="W2109">
        <v>4</v>
      </c>
      <c r="X2109" t="s">
        <v>1135</v>
      </c>
      <c r="Z2109" t="s">
        <v>38</v>
      </c>
      <c r="AB2109" t="s">
        <v>921</v>
      </c>
      <c r="AC2109" t="s">
        <v>1385</v>
      </c>
      <c r="AD2109" t="s">
        <v>39</v>
      </c>
    </row>
    <row r="2110" spans="1:30" x14ac:dyDescent="0.25">
      <c r="A2110">
        <v>47</v>
      </c>
      <c r="B2110" t="s">
        <v>118</v>
      </c>
      <c r="C2110">
        <v>6</v>
      </c>
      <c r="D2110">
        <v>328</v>
      </c>
      <c r="E2110">
        <v>1729</v>
      </c>
      <c r="F2110" t="s">
        <v>77</v>
      </c>
      <c r="G2110" t="s">
        <v>746</v>
      </c>
      <c r="H2110">
        <v>7</v>
      </c>
      <c r="I2110">
        <v>176.89</v>
      </c>
      <c r="J2110" t="s">
        <v>839</v>
      </c>
      <c r="K2110" t="s">
        <v>812</v>
      </c>
      <c r="M2110" t="s">
        <v>1519</v>
      </c>
      <c r="R2110" t="s">
        <v>81</v>
      </c>
      <c r="U2110" t="s">
        <v>81</v>
      </c>
      <c r="V2110" t="s">
        <v>81</v>
      </c>
      <c r="W2110">
        <v>4</v>
      </c>
      <c r="X2110" t="s">
        <v>1135</v>
      </c>
      <c r="Z2110" t="s">
        <v>38</v>
      </c>
      <c r="AB2110" t="s">
        <v>921</v>
      </c>
      <c r="AC2110" t="s">
        <v>1385</v>
      </c>
      <c r="AD2110" t="s">
        <v>39</v>
      </c>
    </row>
    <row r="2111" spans="1:30" x14ac:dyDescent="0.25">
      <c r="A2111">
        <v>48</v>
      </c>
      <c r="B2111" t="s">
        <v>112</v>
      </c>
      <c r="C2111">
        <v>6</v>
      </c>
      <c r="D2111">
        <v>328</v>
      </c>
      <c r="E2111">
        <v>1718</v>
      </c>
      <c r="F2111" t="s">
        <v>77</v>
      </c>
      <c r="G2111" t="s">
        <v>746</v>
      </c>
      <c r="H2111">
        <v>7</v>
      </c>
      <c r="I2111">
        <v>175.79</v>
      </c>
      <c r="J2111" t="s">
        <v>839</v>
      </c>
      <c r="K2111" t="s">
        <v>812</v>
      </c>
      <c r="M2111" t="s">
        <v>1519</v>
      </c>
      <c r="R2111" t="s">
        <v>81</v>
      </c>
      <c r="U2111" t="s">
        <v>81</v>
      </c>
      <c r="V2111" t="s">
        <v>81</v>
      </c>
      <c r="W2111">
        <v>4</v>
      </c>
      <c r="X2111" t="s">
        <v>1135</v>
      </c>
      <c r="Z2111" t="s">
        <v>38</v>
      </c>
      <c r="AB2111" t="s">
        <v>921</v>
      </c>
      <c r="AC2111" t="s">
        <v>1385</v>
      </c>
      <c r="AD2111" t="s">
        <v>39</v>
      </c>
    </row>
    <row r="2112" spans="1:30" x14ac:dyDescent="0.25">
      <c r="A2112">
        <v>49</v>
      </c>
      <c r="B2112" t="s">
        <v>121</v>
      </c>
      <c r="C2112">
        <v>6</v>
      </c>
      <c r="D2112">
        <v>328</v>
      </c>
      <c r="E2112">
        <v>934</v>
      </c>
      <c r="F2112" t="s">
        <v>77</v>
      </c>
      <c r="G2112" t="s">
        <v>746</v>
      </c>
      <c r="H2112">
        <v>8</v>
      </c>
      <c r="I2112">
        <v>115.43</v>
      </c>
      <c r="J2112" t="s">
        <v>839</v>
      </c>
      <c r="K2112" t="s">
        <v>812</v>
      </c>
      <c r="M2112" t="s">
        <v>1519</v>
      </c>
      <c r="R2112" t="s">
        <v>81</v>
      </c>
      <c r="U2112" t="s">
        <v>81</v>
      </c>
      <c r="W2112">
        <v>4</v>
      </c>
      <c r="X2112" t="s">
        <v>1135</v>
      </c>
      <c r="Z2112" t="s">
        <v>38</v>
      </c>
      <c r="AB2112" t="s">
        <v>921</v>
      </c>
      <c r="AC2112" t="s">
        <v>1385</v>
      </c>
      <c r="AD2112" t="s">
        <v>39</v>
      </c>
    </row>
    <row r="2113" spans="1:30" x14ac:dyDescent="0.25">
      <c r="A2113">
        <v>50</v>
      </c>
      <c r="B2113" t="s">
        <v>116</v>
      </c>
      <c r="C2113">
        <v>6</v>
      </c>
      <c r="D2113">
        <v>298</v>
      </c>
      <c r="E2113">
        <v>378</v>
      </c>
      <c r="F2113" t="s">
        <v>77</v>
      </c>
      <c r="G2113" t="s">
        <v>746</v>
      </c>
      <c r="H2113">
        <v>1</v>
      </c>
      <c r="I2113">
        <v>5.27</v>
      </c>
      <c r="J2113" t="s">
        <v>839</v>
      </c>
      <c r="K2113" t="s">
        <v>812</v>
      </c>
      <c r="M2113" t="s">
        <v>1519</v>
      </c>
      <c r="Q2113" t="s">
        <v>26</v>
      </c>
      <c r="R2113" t="s">
        <v>81</v>
      </c>
      <c r="W2113">
        <v>4</v>
      </c>
      <c r="X2113" t="s">
        <v>1135</v>
      </c>
      <c r="Z2113" t="s">
        <v>38</v>
      </c>
      <c r="AB2113" t="s">
        <v>921</v>
      </c>
      <c r="AC2113" t="s">
        <v>1385</v>
      </c>
      <c r="AD2113" t="s">
        <v>39</v>
      </c>
    </row>
    <row r="2114" spans="1:30" x14ac:dyDescent="0.25">
      <c r="A2114">
        <v>51</v>
      </c>
      <c r="B2114" t="s">
        <v>128</v>
      </c>
      <c r="C2114">
        <v>6</v>
      </c>
      <c r="D2114">
        <v>188</v>
      </c>
      <c r="E2114">
        <v>2493</v>
      </c>
      <c r="F2114" t="s">
        <v>77</v>
      </c>
      <c r="G2114" t="s">
        <v>746</v>
      </c>
      <c r="H2114">
        <v>4</v>
      </c>
      <c r="I2114">
        <v>86.83</v>
      </c>
      <c r="J2114" t="s">
        <v>839</v>
      </c>
      <c r="K2114" t="s">
        <v>812</v>
      </c>
      <c r="M2114" t="s">
        <v>1519</v>
      </c>
      <c r="R2114" t="s">
        <v>81</v>
      </c>
      <c r="U2114" t="s">
        <v>81</v>
      </c>
      <c r="V2114" t="s">
        <v>81</v>
      </c>
      <c r="W2114">
        <v>4</v>
      </c>
      <c r="X2114" t="s">
        <v>1135</v>
      </c>
      <c r="Z2114" t="s">
        <v>38</v>
      </c>
      <c r="AB2114" t="s">
        <v>921</v>
      </c>
      <c r="AC2114" t="s">
        <v>1387</v>
      </c>
      <c r="AD2114" t="s">
        <v>39</v>
      </c>
    </row>
    <row r="2115" spans="1:30" x14ac:dyDescent="0.25">
      <c r="A2115">
        <v>52</v>
      </c>
      <c r="B2115" t="s">
        <v>132</v>
      </c>
      <c r="C2115">
        <v>6</v>
      </c>
      <c r="D2115">
        <v>188</v>
      </c>
      <c r="E2115">
        <v>2494</v>
      </c>
      <c r="F2115" t="s">
        <v>77</v>
      </c>
      <c r="G2115" t="s">
        <v>746</v>
      </c>
      <c r="H2115">
        <v>4</v>
      </c>
      <c r="I2115">
        <v>86.84</v>
      </c>
      <c r="J2115" t="s">
        <v>839</v>
      </c>
      <c r="K2115" t="s">
        <v>812</v>
      </c>
      <c r="M2115" t="s">
        <v>1519</v>
      </c>
      <c r="R2115" t="s">
        <v>81</v>
      </c>
      <c r="U2115" t="s">
        <v>81</v>
      </c>
      <c r="V2115" t="s">
        <v>81</v>
      </c>
      <c r="W2115">
        <v>4</v>
      </c>
      <c r="X2115" t="s">
        <v>1135</v>
      </c>
      <c r="Z2115" t="s">
        <v>38</v>
      </c>
      <c r="AB2115" t="s">
        <v>921</v>
      </c>
      <c r="AC2115" t="s">
        <v>1387</v>
      </c>
      <c r="AD2115" t="s">
        <v>39</v>
      </c>
    </row>
    <row r="2116" spans="1:30" x14ac:dyDescent="0.25">
      <c r="A2116">
        <v>53</v>
      </c>
      <c r="B2116" t="s">
        <v>134</v>
      </c>
      <c r="C2116">
        <v>6</v>
      </c>
      <c r="D2116">
        <v>188</v>
      </c>
      <c r="E2116">
        <v>2491</v>
      </c>
      <c r="F2116" t="s">
        <v>77</v>
      </c>
      <c r="G2116" t="s">
        <v>746</v>
      </c>
      <c r="H2116">
        <v>12</v>
      </c>
      <c r="I2116">
        <v>260.32</v>
      </c>
      <c r="J2116" t="s">
        <v>839</v>
      </c>
      <c r="K2116" t="s">
        <v>812</v>
      </c>
      <c r="M2116" t="s">
        <v>1519</v>
      </c>
      <c r="R2116" t="s">
        <v>81</v>
      </c>
      <c r="U2116" t="s">
        <v>81</v>
      </c>
      <c r="V2116" t="s">
        <v>81</v>
      </c>
      <c r="W2116">
        <v>4</v>
      </c>
      <c r="X2116" t="s">
        <v>1135</v>
      </c>
      <c r="Z2116" t="s">
        <v>38</v>
      </c>
      <c r="AB2116" t="s">
        <v>921</v>
      </c>
      <c r="AC2116" t="s">
        <v>1387</v>
      </c>
      <c r="AD2116" t="s">
        <v>39</v>
      </c>
    </row>
    <row r="2117" spans="1:30" x14ac:dyDescent="0.25">
      <c r="A2117">
        <v>54</v>
      </c>
      <c r="B2117" t="s">
        <v>136</v>
      </c>
      <c r="C2117">
        <v>6</v>
      </c>
      <c r="D2117">
        <v>188</v>
      </c>
      <c r="E2117">
        <v>2493</v>
      </c>
      <c r="F2117" t="s">
        <v>77</v>
      </c>
      <c r="G2117" t="s">
        <v>746</v>
      </c>
      <c r="H2117">
        <v>4</v>
      </c>
      <c r="I2117">
        <v>86.83</v>
      </c>
      <c r="J2117" t="s">
        <v>839</v>
      </c>
      <c r="K2117" t="s">
        <v>812</v>
      </c>
      <c r="M2117" t="s">
        <v>1519</v>
      </c>
      <c r="R2117" t="s">
        <v>81</v>
      </c>
      <c r="U2117" t="s">
        <v>81</v>
      </c>
      <c r="V2117" t="s">
        <v>81</v>
      </c>
      <c r="W2117">
        <v>4</v>
      </c>
      <c r="X2117" t="s">
        <v>1135</v>
      </c>
      <c r="Z2117" t="s">
        <v>38</v>
      </c>
      <c r="AB2117" t="s">
        <v>921</v>
      </c>
      <c r="AC2117" t="s">
        <v>1387</v>
      </c>
      <c r="AD2117" t="s">
        <v>39</v>
      </c>
    </row>
    <row r="2118" spans="1:30" x14ac:dyDescent="0.25">
      <c r="A2118">
        <v>55</v>
      </c>
      <c r="B2118" t="s">
        <v>137</v>
      </c>
      <c r="C2118">
        <v>6</v>
      </c>
      <c r="D2118">
        <v>188</v>
      </c>
      <c r="E2118">
        <v>2494</v>
      </c>
      <c r="F2118" t="s">
        <v>77</v>
      </c>
      <c r="G2118" t="s">
        <v>746</v>
      </c>
      <c r="H2118">
        <v>4</v>
      </c>
      <c r="I2118">
        <v>86.84</v>
      </c>
      <c r="J2118" t="s">
        <v>839</v>
      </c>
      <c r="K2118" t="s">
        <v>812</v>
      </c>
      <c r="M2118" t="s">
        <v>1519</v>
      </c>
      <c r="R2118" t="s">
        <v>81</v>
      </c>
      <c r="U2118" t="s">
        <v>81</v>
      </c>
      <c r="V2118" t="s">
        <v>81</v>
      </c>
      <c r="W2118">
        <v>4</v>
      </c>
      <c r="X2118" t="s">
        <v>1135</v>
      </c>
      <c r="Z2118" t="s">
        <v>38</v>
      </c>
      <c r="AB2118" t="s">
        <v>921</v>
      </c>
      <c r="AC2118" t="s">
        <v>1387</v>
      </c>
      <c r="AD2118" t="s">
        <v>39</v>
      </c>
    </row>
    <row r="2119" spans="1:30" x14ac:dyDescent="0.25">
      <c r="A2119">
        <v>56</v>
      </c>
      <c r="B2119" t="s">
        <v>138</v>
      </c>
      <c r="C2119">
        <v>6</v>
      </c>
      <c r="D2119">
        <v>328</v>
      </c>
      <c r="E2119">
        <v>934</v>
      </c>
      <c r="F2119" t="s">
        <v>77</v>
      </c>
      <c r="G2119" t="s">
        <v>746</v>
      </c>
      <c r="H2119">
        <v>4</v>
      </c>
      <c r="I2119">
        <v>57.72</v>
      </c>
      <c r="J2119" t="s">
        <v>839</v>
      </c>
      <c r="K2119" t="s">
        <v>812</v>
      </c>
      <c r="M2119" t="s">
        <v>1519</v>
      </c>
      <c r="R2119" t="s">
        <v>81</v>
      </c>
      <c r="U2119" t="s">
        <v>81</v>
      </c>
      <c r="W2119">
        <v>4</v>
      </c>
      <c r="X2119" t="s">
        <v>1135</v>
      </c>
      <c r="Z2119" t="s">
        <v>38</v>
      </c>
      <c r="AB2119" t="s">
        <v>921</v>
      </c>
      <c r="AC2119" t="s">
        <v>1387</v>
      </c>
      <c r="AD2119" t="s">
        <v>39</v>
      </c>
    </row>
    <row r="2120" spans="1:30" x14ac:dyDescent="0.25">
      <c r="A2120">
        <v>57</v>
      </c>
      <c r="B2120" t="s">
        <v>139</v>
      </c>
      <c r="C2120">
        <v>6</v>
      </c>
      <c r="D2120">
        <v>328</v>
      </c>
      <c r="E2120">
        <v>934</v>
      </c>
      <c r="F2120" t="s">
        <v>77</v>
      </c>
      <c r="G2120" t="s">
        <v>746</v>
      </c>
      <c r="H2120">
        <v>4</v>
      </c>
      <c r="I2120">
        <v>57.72</v>
      </c>
      <c r="J2120" t="s">
        <v>839</v>
      </c>
      <c r="K2120" t="s">
        <v>812</v>
      </c>
      <c r="M2120" t="s">
        <v>1519</v>
      </c>
      <c r="R2120" t="s">
        <v>81</v>
      </c>
      <c r="U2120" t="s">
        <v>81</v>
      </c>
      <c r="W2120">
        <v>4</v>
      </c>
      <c r="X2120" t="s">
        <v>1135</v>
      </c>
      <c r="Z2120" t="s">
        <v>38</v>
      </c>
      <c r="AB2120" t="s">
        <v>921</v>
      </c>
      <c r="AC2120" t="s">
        <v>1387</v>
      </c>
      <c r="AD2120" t="s">
        <v>39</v>
      </c>
    </row>
    <row r="2121" spans="1:30" x14ac:dyDescent="0.25">
      <c r="A2121">
        <v>58</v>
      </c>
      <c r="B2121" t="s">
        <v>140</v>
      </c>
      <c r="C2121">
        <v>6</v>
      </c>
      <c r="D2121">
        <v>188</v>
      </c>
      <c r="E2121">
        <v>2491</v>
      </c>
      <c r="F2121" t="s">
        <v>77</v>
      </c>
      <c r="G2121" t="s">
        <v>746</v>
      </c>
      <c r="H2121">
        <v>18</v>
      </c>
      <c r="I2121">
        <v>390.49</v>
      </c>
      <c r="J2121" t="s">
        <v>839</v>
      </c>
      <c r="K2121" t="s">
        <v>812</v>
      </c>
      <c r="M2121" t="s">
        <v>1519</v>
      </c>
      <c r="R2121" t="s">
        <v>81</v>
      </c>
      <c r="U2121" t="s">
        <v>81</v>
      </c>
      <c r="V2121" t="s">
        <v>81</v>
      </c>
      <c r="W2121">
        <v>4</v>
      </c>
      <c r="X2121" t="s">
        <v>1135</v>
      </c>
      <c r="Z2121" t="s">
        <v>38</v>
      </c>
      <c r="AB2121" t="s">
        <v>921</v>
      </c>
      <c r="AC2121" t="s">
        <v>1389</v>
      </c>
      <c r="AD2121" t="s">
        <v>39</v>
      </c>
    </row>
    <row r="2122" spans="1:30" x14ac:dyDescent="0.25">
      <c r="A2122">
        <v>59</v>
      </c>
      <c r="B2122" t="s">
        <v>134</v>
      </c>
      <c r="C2122">
        <v>6</v>
      </c>
      <c r="D2122">
        <v>188</v>
      </c>
      <c r="E2122">
        <v>2491</v>
      </c>
      <c r="F2122" t="s">
        <v>77</v>
      </c>
      <c r="G2122" t="s">
        <v>746</v>
      </c>
      <c r="H2122">
        <v>6</v>
      </c>
      <c r="I2122">
        <v>130.16</v>
      </c>
      <c r="J2122" t="s">
        <v>839</v>
      </c>
      <c r="K2122" t="s">
        <v>812</v>
      </c>
      <c r="M2122" t="s">
        <v>1519</v>
      </c>
      <c r="R2122" t="s">
        <v>81</v>
      </c>
      <c r="U2122" t="s">
        <v>81</v>
      </c>
      <c r="V2122" t="s">
        <v>81</v>
      </c>
      <c r="W2122">
        <v>4</v>
      </c>
      <c r="X2122" t="s">
        <v>1135</v>
      </c>
      <c r="Z2122" t="s">
        <v>38</v>
      </c>
      <c r="AB2122" t="s">
        <v>921</v>
      </c>
      <c r="AC2122" t="s">
        <v>1389</v>
      </c>
      <c r="AD2122" t="s">
        <v>39</v>
      </c>
    </row>
    <row r="2123" spans="1:30" x14ac:dyDescent="0.25">
      <c r="A2123">
        <v>60</v>
      </c>
      <c r="B2123" t="s">
        <v>143</v>
      </c>
      <c r="C2123">
        <v>6</v>
      </c>
      <c r="D2123">
        <v>188</v>
      </c>
      <c r="E2123">
        <v>2491</v>
      </c>
      <c r="F2123" t="s">
        <v>77</v>
      </c>
      <c r="G2123" t="s">
        <v>746</v>
      </c>
      <c r="H2123">
        <v>4</v>
      </c>
      <c r="I2123">
        <v>86.77</v>
      </c>
      <c r="J2123" t="s">
        <v>839</v>
      </c>
      <c r="K2123" t="s">
        <v>812</v>
      </c>
      <c r="M2123" t="s">
        <v>1519</v>
      </c>
      <c r="R2123" t="s">
        <v>81</v>
      </c>
      <c r="U2123" t="s">
        <v>81</v>
      </c>
      <c r="V2123" t="s">
        <v>81</v>
      </c>
      <c r="W2123">
        <v>4</v>
      </c>
      <c r="X2123" t="s">
        <v>1135</v>
      </c>
      <c r="Z2123" t="s">
        <v>38</v>
      </c>
      <c r="AB2123" t="s">
        <v>921</v>
      </c>
      <c r="AC2123" t="s">
        <v>1389</v>
      </c>
      <c r="AD2123" t="s">
        <v>39</v>
      </c>
    </row>
    <row r="2124" spans="1:30" x14ac:dyDescent="0.25">
      <c r="A2124">
        <v>61</v>
      </c>
      <c r="B2124" t="s">
        <v>144</v>
      </c>
      <c r="C2124">
        <v>6</v>
      </c>
      <c r="D2124">
        <v>328</v>
      </c>
      <c r="E2124">
        <v>934</v>
      </c>
      <c r="F2124" t="s">
        <v>77</v>
      </c>
      <c r="G2124" t="s">
        <v>746</v>
      </c>
      <c r="H2124">
        <v>5</v>
      </c>
      <c r="I2124">
        <v>72.150000000000006</v>
      </c>
      <c r="J2124" t="s">
        <v>839</v>
      </c>
      <c r="K2124" t="s">
        <v>812</v>
      </c>
      <c r="M2124" t="s">
        <v>1519</v>
      </c>
      <c r="R2124" t="s">
        <v>81</v>
      </c>
      <c r="U2124" t="s">
        <v>81</v>
      </c>
      <c r="W2124">
        <v>4</v>
      </c>
      <c r="X2124" t="s">
        <v>1135</v>
      </c>
      <c r="Z2124" t="s">
        <v>38</v>
      </c>
      <c r="AB2124" t="s">
        <v>921</v>
      </c>
      <c r="AC2124" t="s">
        <v>1389</v>
      </c>
      <c r="AD2124" t="s">
        <v>39</v>
      </c>
    </row>
    <row r="2125" spans="1:30" x14ac:dyDescent="0.25">
      <c r="A2125">
        <v>62</v>
      </c>
      <c r="B2125" t="s">
        <v>138</v>
      </c>
      <c r="C2125">
        <v>6</v>
      </c>
      <c r="D2125">
        <v>328</v>
      </c>
      <c r="E2125">
        <v>934</v>
      </c>
      <c r="F2125" t="s">
        <v>77</v>
      </c>
      <c r="G2125" t="s">
        <v>746</v>
      </c>
      <c r="H2125">
        <v>3</v>
      </c>
      <c r="I2125">
        <v>43.29</v>
      </c>
      <c r="J2125" t="s">
        <v>839</v>
      </c>
      <c r="K2125" t="s">
        <v>812</v>
      </c>
      <c r="M2125" t="s">
        <v>1519</v>
      </c>
      <c r="R2125" t="s">
        <v>81</v>
      </c>
      <c r="U2125" t="s">
        <v>81</v>
      </c>
      <c r="W2125">
        <v>4</v>
      </c>
      <c r="X2125" t="s">
        <v>1135</v>
      </c>
      <c r="Z2125" t="s">
        <v>38</v>
      </c>
      <c r="AB2125" t="s">
        <v>921</v>
      </c>
      <c r="AC2125" t="s">
        <v>1389</v>
      </c>
      <c r="AD2125" t="s">
        <v>39</v>
      </c>
    </row>
    <row r="2126" spans="1:30" x14ac:dyDescent="0.25">
      <c r="A2126">
        <v>63</v>
      </c>
      <c r="B2126" t="s">
        <v>145</v>
      </c>
      <c r="C2126">
        <v>6</v>
      </c>
      <c r="D2126">
        <v>188</v>
      </c>
      <c r="E2126">
        <v>2491</v>
      </c>
      <c r="F2126" t="s">
        <v>77</v>
      </c>
      <c r="G2126" t="s">
        <v>746</v>
      </c>
      <c r="H2126">
        <v>14</v>
      </c>
      <c r="I2126">
        <v>303.7</v>
      </c>
      <c r="J2126" t="s">
        <v>839</v>
      </c>
      <c r="K2126" t="s">
        <v>812</v>
      </c>
      <c r="M2126" t="s">
        <v>1519</v>
      </c>
      <c r="R2126" t="s">
        <v>81</v>
      </c>
      <c r="U2126" t="s">
        <v>81</v>
      </c>
      <c r="V2126" t="s">
        <v>81</v>
      </c>
      <c r="W2126">
        <v>4</v>
      </c>
      <c r="X2126" t="s">
        <v>1135</v>
      </c>
      <c r="Z2126" t="s">
        <v>38</v>
      </c>
      <c r="AB2126" t="s">
        <v>921</v>
      </c>
      <c r="AC2126" t="s">
        <v>1391</v>
      </c>
      <c r="AD2126" t="s">
        <v>39</v>
      </c>
    </row>
    <row r="2127" spans="1:30" x14ac:dyDescent="0.25">
      <c r="A2127">
        <v>64</v>
      </c>
      <c r="B2127" t="s">
        <v>148</v>
      </c>
      <c r="C2127">
        <v>6</v>
      </c>
      <c r="D2127">
        <v>328</v>
      </c>
      <c r="E2127">
        <v>934</v>
      </c>
      <c r="F2127" t="s">
        <v>77</v>
      </c>
      <c r="G2127" t="s">
        <v>746</v>
      </c>
      <c r="H2127">
        <v>4</v>
      </c>
      <c r="I2127">
        <v>57.72</v>
      </c>
      <c r="J2127" t="s">
        <v>839</v>
      </c>
      <c r="K2127" t="s">
        <v>812</v>
      </c>
      <c r="M2127" t="s">
        <v>1519</v>
      </c>
      <c r="R2127" t="s">
        <v>81</v>
      </c>
      <c r="U2127" t="s">
        <v>81</v>
      </c>
      <c r="W2127">
        <v>4</v>
      </c>
      <c r="X2127" t="s">
        <v>1135</v>
      </c>
      <c r="Z2127" t="s">
        <v>38</v>
      </c>
      <c r="AB2127" t="s">
        <v>921</v>
      </c>
      <c r="AC2127" t="s">
        <v>1391</v>
      </c>
      <c r="AD2127" t="s">
        <v>39</v>
      </c>
    </row>
    <row r="2128" spans="1:30" x14ac:dyDescent="0.25">
      <c r="A2128">
        <v>65</v>
      </c>
      <c r="B2128" t="s">
        <v>143</v>
      </c>
      <c r="C2128">
        <v>6</v>
      </c>
      <c r="D2128">
        <v>188</v>
      </c>
      <c r="E2128">
        <v>2491</v>
      </c>
      <c r="F2128" t="s">
        <v>77</v>
      </c>
      <c r="G2128" t="s">
        <v>746</v>
      </c>
      <c r="H2128">
        <v>14</v>
      </c>
      <c r="I2128">
        <v>303.7</v>
      </c>
      <c r="J2128" t="s">
        <v>839</v>
      </c>
      <c r="K2128" t="s">
        <v>812</v>
      </c>
      <c r="M2128" t="s">
        <v>1519</v>
      </c>
      <c r="R2128" t="s">
        <v>81</v>
      </c>
      <c r="U2128" t="s">
        <v>81</v>
      </c>
      <c r="V2128" t="s">
        <v>81</v>
      </c>
      <c r="W2128">
        <v>4</v>
      </c>
      <c r="X2128" t="s">
        <v>1135</v>
      </c>
      <c r="Z2128" t="s">
        <v>38</v>
      </c>
      <c r="AB2128" t="s">
        <v>921</v>
      </c>
      <c r="AC2128" t="s">
        <v>1391</v>
      </c>
      <c r="AD2128" t="s">
        <v>39</v>
      </c>
    </row>
    <row r="2129" spans="1:30" x14ac:dyDescent="0.25">
      <c r="A2129">
        <v>66</v>
      </c>
      <c r="B2129" t="s">
        <v>149</v>
      </c>
      <c r="C2129">
        <v>6</v>
      </c>
      <c r="D2129">
        <v>328</v>
      </c>
      <c r="E2129">
        <v>934</v>
      </c>
      <c r="F2129" t="s">
        <v>77</v>
      </c>
      <c r="G2129" t="s">
        <v>746</v>
      </c>
      <c r="H2129">
        <v>3</v>
      </c>
      <c r="I2129">
        <v>43.29</v>
      </c>
      <c r="J2129" t="s">
        <v>839</v>
      </c>
      <c r="K2129" t="s">
        <v>812</v>
      </c>
      <c r="M2129" t="s">
        <v>1519</v>
      </c>
      <c r="R2129" t="s">
        <v>81</v>
      </c>
      <c r="U2129" t="s">
        <v>81</v>
      </c>
      <c r="W2129">
        <v>4</v>
      </c>
      <c r="X2129" t="s">
        <v>1135</v>
      </c>
      <c r="Z2129" t="s">
        <v>38</v>
      </c>
      <c r="AB2129" t="s">
        <v>921</v>
      </c>
      <c r="AC2129" t="s">
        <v>1391</v>
      </c>
      <c r="AD2129" t="s">
        <v>39</v>
      </c>
    </row>
    <row r="2130" spans="1:30" x14ac:dyDescent="0.25">
      <c r="A2130">
        <v>67</v>
      </c>
      <c r="B2130" t="s">
        <v>144</v>
      </c>
      <c r="C2130">
        <v>6</v>
      </c>
      <c r="D2130">
        <v>328</v>
      </c>
      <c r="E2130">
        <v>934</v>
      </c>
      <c r="F2130" t="s">
        <v>77</v>
      </c>
      <c r="G2130" t="s">
        <v>746</v>
      </c>
      <c r="H2130">
        <v>1</v>
      </c>
      <c r="I2130">
        <v>14.43</v>
      </c>
      <c r="J2130" t="s">
        <v>839</v>
      </c>
      <c r="K2130" t="s">
        <v>812</v>
      </c>
      <c r="M2130" t="s">
        <v>1519</v>
      </c>
      <c r="R2130" t="s">
        <v>81</v>
      </c>
      <c r="U2130" t="s">
        <v>81</v>
      </c>
      <c r="W2130">
        <v>4</v>
      </c>
      <c r="X2130" t="s">
        <v>1135</v>
      </c>
      <c r="Z2130" t="s">
        <v>38</v>
      </c>
      <c r="AB2130" t="s">
        <v>921</v>
      </c>
      <c r="AC2130" t="s">
        <v>1391</v>
      </c>
      <c r="AD2130" t="s">
        <v>39</v>
      </c>
    </row>
    <row r="2131" spans="1:30" x14ac:dyDescent="0.25">
      <c r="A2131">
        <v>68</v>
      </c>
      <c r="B2131" t="s">
        <v>145</v>
      </c>
      <c r="C2131">
        <v>6</v>
      </c>
      <c r="D2131">
        <v>188</v>
      </c>
      <c r="E2131">
        <v>2491</v>
      </c>
      <c r="F2131" t="s">
        <v>77</v>
      </c>
      <c r="G2131" t="s">
        <v>746</v>
      </c>
      <c r="H2131">
        <v>4</v>
      </c>
      <c r="I2131">
        <v>86.77</v>
      </c>
      <c r="J2131" t="s">
        <v>839</v>
      </c>
      <c r="K2131" t="s">
        <v>812</v>
      </c>
      <c r="M2131" t="s">
        <v>1519</v>
      </c>
      <c r="R2131" t="s">
        <v>81</v>
      </c>
      <c r="U2131" t="s">
        <v>81</v>
      </c>
      <c r="V2131" t="s">
        <v>81</v>
      </c>
      <c r="W2131">
        <v>4</v>
      </c>
      <c r="X2131" t="s">
        <v>1135</v>
      </c>
      <c r="Z2131" t="s">
        <v>38</v>
      </c>
      <c r="AB2131" t="s">
        <v>921</v>
      </c>
      <c r="AC2131" t="s">
        <v>1393</v>
      </c>
      <c r="AD2131" t="s">
        <v>39</v>
      </c>
    </row>
    <row r="2132" spans="1:30" x14ac:dyDescent="0.25">
      <c r="A2132">
        <v>69</v>
      </c>
      <c r="B2132" t="s">
        <v>152</v>
      </c>
      <c r="C2132">
        <v>6</v>
      </c>
      <c r="D2132">
        <v>188</v>
      </c>
      <c r="E2132">
        <v>2491</v>
      </c>
      <c r="F2132" t="s">
        <v>77</v>
      </c>
      <c r="G2132" t="s">
        <v>746</v>
      </c>
      <c r="H2132">
        <v>6</v>
      </c>
      <c r="I2132">
        <v>130.12</v>
      </c>
      <c r="J2132" t="s">
        <v>839</v>
      </c>
      <c r="K2132" t="s">
        <v>812</v>
      </c>
      <c r="M2132" t="s">
        <v>1519</v>
      </c>
      <c r="R2132" t="s">
        <v>81</v>
      </c>
      <c r="U2132" t="s">
        <v>81</v>
      </c>
      <c r="V2132" t="s">
        <v>81</v>
      </c>
      <c r="W2132">
        <v>4</v>
      </c>
      <c r="X2132" t="s">
        <v>1135</v>
      </c>
      <c r="Z2132" t="s">
        <v>38</v>
      </c>
      <c r="AB2132" t="s">
        <v>921</v>
      </c>
      <c r="AC2132" t="s">
        <v>1393</v>
      </c>
      <c r="AD2132" t="s">
        <v>39</v>
      </c>
    </row>
    <row r="2133" spans="1:30" x14ac:dyDescent="0.25">
      <c r="A2133">
        <v>70</v>
      </c>
      <c r="B2133" t="s">
        <v>153</v>
      </c>
      <c r="C2133">
        <v>6</v>
      </c>
      <c r="D2133">
        <v>188</v>
      </c>
      <c r="E2133">
        <v>2491</v>
      </c>
      <c r="F2133" t="s">
        <v>77</v>
      </c>
      <c r="G2133" t="s">
        <v>746</v>
      </c>
      <c r="H2133">
        <v>18</v>
      </c>
      <c r="I2133">
        <v>390.36</v>
      </c>
      <c r="J2133" t="s">
        <v>839</v>
      </c>
      <c r="K2133" t="s">
        <v>812</v>
      </c>
      <c r="M2133" t="s">
        <v>1519</v>
      </c>
      <c r="R2133" t="s">
        <v>81</v>
      </c>
      <c r="U2133" t="s">
        <v>81</v>
      </c>
      <c r="V2133" t="s">
        <v>81</v>
      </c>
      <c r="W2133">
        <v>4</v>
      </c>
      <c r="X2133" t="s">
        <v>1135</v>
      </c>
      <c r="Z2133" t="s">
        <v>38</v>
      </c>
      <c r="AB2133" t="s">
        <v>921</v>
      </c>
      <c r="AC2133" t="s">
        <v>1393</v>
      </c>
      <c r="AD2133" t="s">
        <v>39</v>
      </c>
    </row>
    <row r="2134" spans="1:30" x14ac:dyDescent="0.25">
      <c r="A2134">
        <v>71</v>
      </c>
      <c r="B2134" t="s">
        <v>154</v>
      </c>
      <c r="C2134">
        <v>6</v>
      </c>
      <c r="D2134">
        <v>328</v>
      </c>
      <c r="E2134">
        <v>934</v>
      </c>
      <c r="F2134" t="s">
        <v>77</v>
      </c>
      <c r="G2134" t="s">
        <v>746</v>
      </c>
      <c r="H2134">
        <v>3</v>
      </c>
      <c r="I2134">
        <v>43.29</v>
      </c>
      <c r="J2134" t="s">
        <v>839</v>
      </c>
      <c r="K2134" t="s">
        <v>812</v>
      </c>
      <c r="M2134" t="s">
        <v>1519</v>
      </c>
      <c r="R2134" t="s">
        <v>81</v>
      </c>
      <c r="U2134" t="s">
        <v>81</v>
      </c>
      <c r="W2134">
        <v>4</v>
      </c>
      <c r="X2134" t="s">
        <v>1135</v>
      </c>
      <c r="Z2134" t="s">
        <v>38</v>
      </c>
      <c r="AB2134" t="s">
        <v>921</v>
      </c>
      <c r="AC2134" t="s">
        <v>1393</v>
      </c>
      <c r="AD2134" t="s">
        <v>39</v>
      </c>
    </row>
    <row r="2135" spans="1:30" x14ac:dyDescent="0.25">
      <c r="A2135">
        <v>72</v>
      </c>
      <c r="B2135" t="s">
        <v>139</v>
      </c>
      <c r="C2135">
        <v>6</v>
      </c>
      <c r="D2135">
        <v>328</v>
      </c>
      <c r="E2135">
        <v>934</v>
      </c>
      <c r="F2135" t="s">
        <v>77</v>
      </c>
      <c r="G2135" t="s">
        <v>746</v>
      </c>
      <c r="H2135">
        <v>5</v>
      </c>
      <c r="I2135">
        <v>72.150000000000006</v>
      </c>
      <c r="J2135" t="s">
        <v>839</v>
      </c>
      <c r="K2135" t="s">
        <v>812</v>
      </c>
      <c r="M2135" t="s">
        <v>1519</v>
      </c>
      <c r="R2135" t="s">
        <v>81</v>
      </c>
      <c r="U2135" t="s">
        <v>81</v>
      </c>
      <c r="W2135">
        <v>4</v>
      </c>
      <c r="X2135" t="s">
        <v>1135</v>
      </c>
      <c r="Z2135" t="s">
        <v>38</v>
      </c>
      <c r="AB2135" t="s">
        <v>921</v>
      </c>
      <c r="AC2135" t="s">
        <v>1393</v>
      </c>
      <c r="AD2135" t="s">
        <v>39</v>
      </c>
    </row>
    <row r="2136" spans="1:30" x14ac:dyDescent="0.25">
      <c r="A2136">
        <v>73</v>
      </c>
      <c r="B2136" t="s">
        <v>152</v>
      </c>
      <c r="C2136">
        <v>6</v>
      </c>
      <c r="D2136">
        <v>188</v>
      </c>
      <c r="E2136">
        <v>2491</v>
      </c>
      <c r="F2136" t="s">
        <v>77</v>
      </c>
      <c r="G2136" t="s">
        <v>746</v>
      </c>
      <c r="H2136">
        <v>12</v>
      </c>
      <c r="I2136">
        <v>260.24</v>
      </c>
      <c r="J2136" t="s">
        <v>839</v>
      </c>
      <c r="K2136" t="s">
        <v>812</v>
      </c>
      <c r="M2136" t="s">
        <v>1519</v>
      </c>
      <c r="R2136" t="s">
        <v>81</v>
      </c>
      <c r="U2136" t="s">
        <v>81</v>
      </c>
      <c r="V2136" t="s">
        <v>81</v>
      </c>
      <c r="W2136">
        <v>4</v>
      </c>
      <c r="X2136" t="s">
        <v>1135</v>
      </c>
      <c r="Z2136" t="s">
        <v>38</v>
      </c>
      <c r="AB2136" t="s">
        <v>921</v>
      </c>
      <c r="AC2136" t="s">
        <v>1395</v>
      </c>
      <c r="AD2136" t="s">
        <v>39</v>
      </c>
    </row>
    <row r="2137" spans="1:30" x14ac:dyDescent="0.25">
      <c r="A2137">
        <v>74</v>
      </c>
      <c r="B2137" t="s">
        <v>148</v>
      </c>
      <c r="C2137">
        <v>6</v>
      </c>
      <c r="D2137">
        <v>328</v>
      </c>
      <c r="E2137">
        <v>934</v>
      </c>
      <c r="F2137" t="s">
        <v>77</v>
      </c>
      <c r="G2137" t="s">
        <v>746</v>
      </c>
      <c r="H2137">
        <v>1</v>
      </c>
      <c r="I2137">
        <v>14.43</v>
      </c>
      <c r="J2137" t="s">
        <v>839</v>
      </c>
      <c r="K2137" t="s">
        <v>812</v>
      </c>
      <c r="M2137" t="s">
        <v>1519</v>
      </c>
      <c r="R2137" t="s">
        <v>81</v>
      </c>
      <c r="U2137" t="s">
        <v>81</v>
      </c>
      <c r="W2137">
        <v>4</v>
      </c>
      <c r="X2137" t="s">
        <v>1135</v>
      </c>
      <c r="Z2137" t="s">
        <v>38</v>
      </c>
      <c r="AB2137" t="s">
        <v>921</v>
      </c>
      <c r="AC2137" t="s">
        <v>1395</v>
      </c>
      <c r="AD2137" t="s">
        <v>39</v>
      </c>
    </row>
    <row r="2138" spans="1:30" x14ac:dyDescent="0.25">
      <c r="A2138">
        <v>75</v>
      </c>
      <c r="B2138" t="s">
        <v>149</v>
      </c>
      <c r="C2138">
        <v>6</v>
      </c>
      <c r="D2138">
        <v>328</v>
      </c>
      <c r="E2138">
        <v>934</v>
      </c>
      <c r="F2138" t="s">
        <v>77</v>
      </c>
      <c r="G2138" t="s">
        <v>746</v>
      </c>
      <c r="H2138">
        <v>3</v>
      </c>
      <c r="I2138">
        <v>43.29</v>
      </c>
      <c r="J2138" t="s">
        <v>839</v>
      </c>
      <c r="K2138" t="s">
        <v>812</v>
      </c>
      <c r="M2138" t="s">
        <v>1519</v>
      </c>
      <c r="R2138" t="s">
        <v>81</v>
      </c>
      <c r="U2138" t="s">
        <v>81</v>
      </c>
      <c r="W2138">
        <v>4</v>
      </c>
      <c r="X2138" t="s">
        <v>1135</v>
      </c>
      <c r="Z2138" t="s">
        <v>38</v>
      </c>
      <c r="AB2138" t="s">
        <v>921</v>
      </c>
      <c r="AC2138" t="s">
        <v>1395</v>
      </c>
      <c r="AD2138" t="s">
        <v>39</v>
      </c>
    </row>
    <row r="2139" spans="1:30" x14ac:dyDescent="0.25">
      <c r="A2139">
        <v>76</v>
      </c>
      <c r="B2139" t="s">
        <v>157</v>
      </c>
      <c r="C2139">
        <v>6</v>
      </c>
      <c r="D2139">
        <v>188</v>
      </c>
      <c r="E2139">
        <v>2491</v>
      </c>
      <c r="F2139" t="s">
        <v>77</v>
      </c>
      <c r="G2139" t="s">
        <v>746</v>
      </c>
      <c r="H2139">
        <v>16</v>
      </c>
      <c r="I2139">
        <v>346.99</v>
      </c>
      <c r="J2139" t="s">
        <v>839</v>
      </c>
      <c r="K2139" t="s">
        <v>812</v>
      </c>
      <c r="M2139" t="s">
        <v>1519</v>
      </c>
      <c r="R2139" t="s">
        <v>81</v>
      </c>
      <c r="U2139" t="s">
        <v>81</v>
      </c>
      <c r="V2139" t="s">
        <v>81</v>
      </c>
      <c r="W2139">
        <v>4</v>
      </c>
      <c r="X2139" t="s">
        <v>1135</v>
      </c>
      <c r="Z2139" t="s">
        <v>38</v>
      </c>
      <c r="AB2139" t="s">
        <v>921</v>
      </c>
      <c r="AC2139" t="s">
        <v>1395</v>
      </c>
      <c r="AD2139" t="s">
        <v>39</v>
      </c>
    </row>
    <row r="2140" spans="1:30" x14ac:dyDescent="0.25">
      <c r="A2140">
        <v>77</v>
      </c>
      <c r="B2140" t="s">
        <v>154</v>
      </c>
      <c r="C2140">
        <v>6</v>
      </c>
      <c r="D2140">
        <v>328</v>
      </c>
      <c r="E2140">
        <v>934</v>
      </c>
      <c r="F2140" t="s">
        <v>77</v>
      </c>
      <c r="G2140" t="s">
        <v>746</v>
      </c>
      <c r="H2140">
        <v>4</v>
      </c>
      <c r="I2140">
        <v>57.72</v>
      </c>
      <c r="J2140" t="s">
        <v>839</v>
      </c>
      <c r="K2140" t="s">
        <v>812</v>
      </c>
      <c r="M2140" t="s">
        <v>1519</v>
      </c>
      <c r="R2140" t="s">
        <v>81</v>
      </c>
      <c r="U2140" t="s">
        <v>81</v>
      </c>
      <c r="W2140">
        <v>4</v>
      </c>
      <c r="X2140" t="s">
        <v>1135</v>
      </c>
      <c r="Z2140" t="s">
        <v>38</v>
      </c>
      <c r="AB2140" t="s">
        <v>921</v>
      </c>
      <c r="AC2140" t="s">
        <v>1395</v>
      </c>
      <c r="AD2140" t="s">
        <v>39</v>
      </c>
    </row>
    <row r="2141" spans="1:30" x14ac:dyDescent="0.25">
      <c r="A2141">
        <v>78</v>
      </c>
      <c r="B2141" t="s">
        <v>158</v>
      </c>
      <c r="C2141">
        <v>6</v>
      </c>
      <c r="D2141">
        <v>328</v>
      </c>
      <c r="E2141">
        <v>894</v>
      </c>
      <c r="F2141" t="s">
        <v>77</v>
      </c>
      <c r="G2141" t="s">
        <v>746</v>
      </c>
      <c r="H2141">
        <v>2</v>
      </c>
      <c r="I2141">
        <v>27.62</v>
      </c>
      <c r="J2141" t="s">
        <v>839</v>
      </c>
      <c r="K2141" t="s">
        <v>812</v>
      </c>
      <c r="M2141" t="s">
        <v>1519</v>
      </c>
      <c r="R2141" t="s">
        <v>81</v>
      </c>
      <c r="U2141" t="s">
        <v>81</v>
      </c>
      <c r="W2141">
        <v>4</v>
      </c>
      <c r="X2141" t="s">
        <v>1135</v>
      </c>
      <c r="Z2141" t="s">
        <v>38</v>
      </c>
      <c r="AB2141" t="s">
        <v>921</v>
      </c>
      <c r="AC2141" t="s">
        <v>1397</v>
      </c>
      <c r="AD2141" t="s">
        <v>39</v>
      </c>
    </row>
    <row r="2142" spans="1:30" x14ac:dyDescent="0.25">
      <c r="A2142">
        <v>79</v>
      </c>
      <c r="B2142" t="s">
        <v>162</v>
      </c>
      <c r="C2142">
        <v>6</v>
      </c>
      <c r="D2142">
        <v>188</v>
      </c>
      <c r="E2142">
        <v>2491</v>
      </c>
      <c r="F2142" t="s">
        <v>77</v>
      </c>
      <c r="G2142" t="s">
        <v>746</v>
      </c>
      <c r="H2142">
        <v>18</v>
      </c>
      <c r="I2142">
        <v>390.36</v>
      </c>
      <c r="J2142" t="s">
        <v>839</v>
      </c>
      <c r="K2142" t="s">
        <v>812</v>
      </c>
      <c r="M2142" t="s">
        <v>1519</v>
      </c>
      <c r="R2142" t="s">
        <v>81</v>
      </c>
      <c r="U2142" t="s">
        <v>81</v>
      </c>
      <c r="V2142" t="s">
        <v>81</v>
      </c>
      <c r="W2142">
        <v>4</v>
      </c>
      <c r="X2142" t="s">
        <v>1135</v>
      </c>
      <c r="Z2142" t="s">
        <v>38</v>
      </c>
      <c r="AB2142" t="s">
        <v>921</v>
      </c>
      <c r="AC2142" t="s">
        <v>1397</v>
      </c>
      <c r="AD2142" t="s">
        <v>39</v>
      </c>
    </row>
    <row r="2143" spans="1:30" x14ac:dyDescent="0.25">
      <c r="A2143">
        <v>80</v>
      </c>
      <c r="B2143" t="s">
        <v>163</v>
      </c>
      <c r="C2143">
        <v>6</v>
      </c>
      <c r="D2143">
        <v>328</v>
      </c>
      <c r="E2143">
        <v>894</v>
      </c>
      <c r="F2143" t="s">
        <v>77</v>
      </c>
      <c r="G2143" t="s">
        <v>746</v>
      </c>
      <c r="H2143">
        <v>2</v>
      </c>
      <c r="I2143">
        <v>27.62</v>
      </c>
      <c r="J2143" t="s">
        <v>839</v>
      </c>
      <c r="K2143" t="s">
        <v>812</v>
      </c>
      <c r="M2143" t="s">
        <v>1519</v>
      </c>
      <c r="R2143" t="s">
        <v>81</v>
      </c>
      <c r="U2143" t="s">
        <v>81</v>
      </c>
      <c r="W2143">
        <v>4</v>
      </c>
      <c r="X2143" t="s">
        <v>1135</v>
      </c>
      <c r="Z2143" t="s">
        <v>38</v>
      </c>
      <c r="AB2143" t="s">
        <v>921</v>
      </c>
      <c r="AC2143" t="s">
        <v>1397</v>
      </c>
      <c r="AD2143" t="s">
        <v>39</v>
      </c>
    </row>
    <row r="2144" spans="1:30" x14ac:dyDescent="0.25">
      <c r="A2144">
        <v>81</v>
      </c>
      <c r="B2144" t="s">
        <v>164</v>
      </c>
      <c r="C2144">
        <v>6</v>
      </c>
      <c r="D2144">
        <v>328</v>
      </c>
      <c r="E2144">
        <v>894</v>
      </c>
      <c r="F2144" t="s">
        <v>77</v>
      </c>
      <c r="G2144" t="s">
        <v>746</v>
      </c>
      <c r="H2144">
        <v>1</v>
      </c>
      <c r="I2144">
        <v>13.81</v>
      </c>
      <c r="J2144" t="s">
        <v>839</v>
      </c>
      <c r="K2144" t="s">
        <v>812</v>
      </c>
      <c r="M2144" t="s">
        <v>1519</v>
      </c>
      <c r="R2144" t="s">
        <v>81</v>
      </c>
      <c r="U2144" t="s">
        <v>81</v>
      </c>
      <c r="W2144">
        <v>4</v>
      </c>
      <c r="X2144" t="s">
        <v>1135</v>
      </c>
      <c r="Z2144" t="s">
        <v>38</v>
      </c>
      <c r="AB2144" t="s">
        <v>921</v>
      </c>
      <c r="AC2144" t="s">
        <v>1397</v>
      </c>
      <c r="AD2144" t="s">
        <v>39</v>
      </c>
    </row>
    <row r="2145" spans="1:30" x14ac:dyDescent="0.25">
      <c r="A2145">
        <v>82</v>
      </c>
      <c r="B2145" t="s">
        <v>165</v>
      </c>
      <c r="C2145">
        <v>6</v>
      </c>
      <c r="D2145">
        <v>328</v>
      </c>
      <c r="E2145">
        <v>894</v>
      </c>
      <c r="F2145" t="s">
        <v>77</v>
      </c>
      <c r="G2145" t="s">
        <v>746</v>
      </c>
      <c r="H2145">
        <v>2</v>
      </c>
      <c r="I2145">
        <v>27.62</v>
      </c>
      <c r="J2145" t="s">
        <v>839</v>
      </c>
      <c r="K2145" t="s">
        <v>812</v>
      </c>
      <c r="M2145" t="s">
        <v>1519</v>
      </c>
      <c r="R2145" t="s">
        <v>81</v>
      </c>
      <c r="U2145" t="s">
        <v>81</v>
      </c>
      <c r="W2145">
        <v>4</v>
      </c>
      <c r="X2145" t="s">
        <v>1135</v>
      </c>
      <c r="Z2145" t="s">
        <v>38</v>
      </c>
      <c r="AB2145" t="s">
        <v>921</v>
      </c>
      <c r="AC2145" t="s">
        <v>1397</v>
      </c>
      <c r="AD2145" t="s">
        <v>39</v>
      </c>
    </row>
    <row r="2146" spans="1:30" x14ac:dyDescent="0.25">
      <c r="A2146">
        <v>83</v>
      </c>
      <c r="B2146" t="s">
        <v>157</v>
      </c>
      <c r="C2146">
        <v>6</v>
      </c>
      <c r="D2146">
        <v>188</v>
      </c>
      <c r="E2146">
        <v>2491</v>
      </c>
      <c r="F2146" t="s">
        <v>77</v>
      </c>
      <c r="G2146" t="s">
        <v>746</v>
      </c>
      <c r="H2146">
        <v>2</v>
      </c>
      <c r="I2146">
        <v>43.37</v>
      </c>
      <c r="J2146" t="s">
        <v>839</v>
      </c>
      <c r="K2146" t="s">
        <v>812</v>
      </c>
      <c r="M2146" t="s">
        <v>1519</v>
      </c>
      <c r="R2146" t="s">
        <v>81</v>
      </c>
      <c r="U2146" t="s">
        <v>81</v>
      </c>
      <c r="V2146" t="s">
        <v>81</v>
      </c>
      <c r="W2146">
        <v>4</v>
      </c>
      <c r="X2146" t="s">
        <v>1135</v>
      </c>
      <c r="Z2146" t="s">
        <v>38</v>
      </c>
      <c r="AB2146" t="s">
        <v>921</v>
      </c>
      <c r="AC2146" t="s">
        <v>1397</v>
      </c>
      <c r="AD2146" t="s">
        <v>39</v>
      </c>
    </row>
    <row r="2147" spans="1:30" x14ac:dyDescent="0.25">
      <c r="A2147">
        <v>84</v>
      </c>
      <c r="B2147" t="s">
        <v>166</v>
      </c>
      <c r="C2147">
        <v>6</v>
      </c>
      <c r="D2147">
        <v>188</v>
      </c>
      <c r="E2147">
        <v>2483</v>
      </c>
      <c r="F2147" t="s">
        <v>77</v>
      </c>
      <c r="G2147" t="s">
        <v>746</v>
      </c>
      <c r="H2147">
        <v>8</v>
      </c>
      <c r="I2147">
        <v>172.99</v>
      </c>
      <c r="J2147" t="s">
        <v>839</v>
      </c>
      <c r="K2147" t="s">
        <v>812</v>
      </c>
      <c r="M2147" t="s">
        <v>1519</v>
      </c>
      <c r="R2147" t="s">
        <v>81</v>
      </c>
      <c r="U2147" t="s">
        <v>81</v>
      </c>
      <c r="V2147" t="s">
        <v>81</v>
      </c>
      <c r="W2147">
        <v>4</v>
      </c>
      <c r="X2147" t="s">
        <v>1135</v>
      </c>
      <c r="Z2147" t="s">
        <v>38</v>
      </c>
      <c r="AB2147" t="s">
        <v>921</v>
      </c>
      <c r="AC2147" t="s">
        <v>1397</v>
      </c>
      <c r="AD2147" t="s">
        <v>39</v>
      </c>
    </row>
    <row r="2148" spans="1:30" x14ac:dyDescent="0.25">
      <c r="A2148">
        <v>85</v>
      </c>
      <c r="B2148" t="s">
        <v>168</v>
      </c>
      <c r="C2148">
        <v>6</v>
      </c>
      <c r="D2148">
        <v>328</v>
      </c>
      <c r="E2148">
        <v>894</v>
      </c>
      <c r="F2148" t="s">
        <v>77</v>
      </c>
      <c r="G2148" t="s">
        <v>746</v>
      </c>
      <c r="H2148">
        <v>2</v>
      </c>
      <c r="I2148">
        <v>27.62</v>
      </c>
      <c r="J2148" t="s">
        <v>839</v>
      </c>
      <c r="K2148" t="s">
        <v>812</v>
      </c>
      <c r="M2148" t="s">
        <v>1519</v>
      </c>
      <c r="R2148" t="s">
        <v>81</v>
      </c>
      <c r="U2148" t="s">
        <v>81</v>
      </c>
      <c r="W2148">
        <v>4</v>
      </c>
      <c r="X2148" t="s">
        <v>1135</v>
      </c>
      <c r="Z2148" t="s">
        <v>38</v>
      </c>
      <c r="AB2148" t="s">
        <v>921</v>
      </c>
      <c r="AC2148" t="s">
        <v>1397</v>
      </c>
      <c r="AD2148" t="s">
        <v>39</v>
      </c>
    </row>
    <row r="2149" spans="1:30" x14ac:dyDescent="0.25">
      <c r="A2149">
        <v>86</v>
      </c>
      <c r="B2149" t="s">
        <v>116</v>
      </c>
      <c r="C2149">
        <v>6</v>
      </c>
      <c r="D2149">
        <v>298</v>
      </c>
      <c r="E2149">
        <v>378</v>
      </c>
      <c r="F2149" t="s">
        <v>77</v>
      </c>
      <c r="G2149" t="s">
        <v>746</v>
      </c>
      <c r="H2149">
        <v>1</v>
      </c>
      <c r="I2149">
        <v>5.27</v>
      </c>
      <c r="J2149" t="s">
        <v>839</v>
      </c>
      <c r="K2149" t="s">
        <v>812</v>
      </c>
      <c r="M2149" t="s">
        <v>1519</v>
      </c>
      <c r="Q2149" t="s">
        <v>26</v>
      </c>
      <c r="R2149" t="s">
        <v>81</v>
      </c>
      <c r="W2149">
        <v>4</v>
      </c>
      <c r="X2149" t="s">
        <v>1135</v>
      </c>
      <c r="Z2149" t="s">
        <v>38</v>
      </c>
      <c r="AB2149" t="s">
        <v>921</v>
      </c>
      <c r="AC2149" t="s">
        <v>1397</v>
      </c>
      <c r="AD2149" t="s">
        <v>39</v>
      </c>
    </row>
    <row r="2150" spans="1:30" x14ac:dyDescent="0.25">
      <c r="A2150">
        <v>87</v>
      </c>
      <c r="B2150" t="s">
        <v>166</v>
      </c>
      <c r="C2150">
        <v>6</v>
      </c>
      <c r="D2150">
        <v>188</v>
      </c>
      <c r="E2150">
        <v>2483</v>
      </c>
      <c r="F2150" t="s">
        <v>77</v>
      </c>
      <c r="G2150" t="s">
        <v>746</v>
      </c>
      <c r="H2150">
        <v>28</v>
      </c>
      <c r="I2150">
        <v>605.47</v>
      </c>
      <c r="J2150" t="s">
        <v>839</v>
      </c>
      <c r="K2150" t="s">
        <v>812</v>
      </c>
      <c r="M2150" t="s">
        <v>1519</v>
      </c>
      <c r="R2150" t="s">
        <v>81</v>
      </c>
      <c r="U2150" t="s">
        <v>81</v>
      </c>
      <c r="V2150" t="s">
        <v>81</v>
      </c>
      <c r="W2150">
        <v>4</v>
      </c>
      <c r="X2150" t="s">
        <v>1135</v>
      </c>
      <c r="Z2150" t="s">
        <v>38</v>
      </c>
      <c r="AB2150" t="s">
        <v>921</v>
      </c>
      <c r="AC2150" t="s">
        <v>1399</v>
      </c>
      <c r="AD2150" t="s">
        <v>39</v>
      </c>
    </row>
    <row r="2151" spans="1:30" x14ac:dyDescent="0.25">
      <c r="A2151">
        <v>88</v>
      </c>
      <c r="B2151" t="s">
        <v>116</v>
      </c>
      <c r="C2151">
        <v>6</v>
      </c>
      <c r="D2151">
        <v>298</v>
      </c>
      <c r="E2151">
        <v>378</v>
      </c>
      <c r="F2151" t="s">
        <v>77</v>
      </c>
      <c r="G2151" t="s">
        <v>746</v>
      </c>
      <c r="H2151">
        <v>5</v>
      </c>
      <c r="I2151">
        <v>26.34</v>
      </c>
      <c r="J2151" t="s">
        <v>839</v>
      </c>
      <c r="K2151" t="s">
        <v>812</v>
      </c>
      <c r="M2151" t="s">
        <v>1519</v>
      </c>
      <c r="Q2151" t="s">
        <v>26</v>
      </c>
      <c r="R2151" t="s">
        <v>81</v>
      </c>
      <c r="W2151">
        <v>4</v>
      </c>
      <c r="X2151" t="s">
        <v>1135</v>
      </c>
      <c r="Z2151" t="s">
        <v>38</v>
      </c>
      <c r="AB2151" t="s">
        <v>921</v>
      </c>
      <c r="AC2151" t="s">
        <v>1399</v>
      </c>
      <c r="AD2151" t="s">
        <v>39</v>
      </c>
    </row>
    <row r="2152" spans="1:30" x14ac:dyDescent="0.25">
      <c r="A2152">
        <v>89</v>
      </c>
      <c r="B2152" t="s">
        <v>123</v>
      </c>
      <c r="C2152">
        <v>6</v>
      </c>
      <c r="D2152">
        <v>298</v>
      </c>
      <c r="E2152">
        <v>378</v>
      </c>
      <c r="F2152" t="s">
        <v>77</v>
      </c>
      <c r="G2152" t="s">
        <v>746</v>
      </c>
      <c r="H2152">
        <v>7</v>
      </c>
      <c r="I2152">
        <v>36.869999999999997</v>
      </c>
      <c r="J2152" t="s">
        <v>839</v>
      </c>
      <c r="K2152" t="s">
        <v>812</v>
      </c>
      <c r="M2152" t="s">
        <v>1519</v>
      </c>
      <c r="Q2152" t="s">
        <v>26</v>
      </c>
      <c r="R2152" t="s">
        <v>81</v>
      </c>
      <c r="W2152">
        <v>4</v>
      </c>
      <c r="X2152" t="s">
        <v>1135</v>
      </c>
      <c r="Z2152" t="s">
        <v>38</v>
      </c>
      <c r="AB2152" t="s">
        <v>921</v>
      </c>
      <c r="AC2152" t="s">
        <v>1399</v>
      </c>
      <c r="AD2152" t="s">
        <v>39</v>
      </c>
    </row>
    <row r="2153" spans="1:30" x14ac:dyDescent="0.25">
      <c r="A2153">
        <v>90</v>
      </c>
      <c r="B2153" t="s">
        <v>171</v>
      </c>
      <c r="C2153">
        <v>6</v>
      </c>
      <c r="D2153">
        <v>298</v>
      </c>
      <c r="E2153">
        <v>378</v>
      </c>
      <c r="F2153" t="s">
        <v>77</v>
      </c>
      <c r="G2153" t="s">
        <v>746</v>
      </c>
      <c r="H2153">
        <v>14</v>
      </c>
      <c r="I2153">
        <v>73.75</v>
      </c>
      <c r="J2153" t="s">
        <v>839</v>
      </c>
      <c r="K2153" t="s">
        <v>812</v>
      </c>
      <c r="M2153" t="s">
        <v>1519</v>
      </c>
      <c r="Q2153" t="s">
        <v>26</v>
      </c>
      <c r="R2153" t="s">
        <v>81</v>
      </c>
      <c r="W2153">
        <v>4</v>
      </c>
      <c r="X2153" t="s">
        <v>1135</v>
      </c>
      <c r="Z2153" t="s">
        <v>38</v>
      </c>
      <c r="AB2153" t="s">
        <v>921</v>
      </c>
      <c r="AC2153" t="s">
        <v>1399</v>
      </c>
      <c r="AD2153" t="s">
        <v>39</v>
      </c>
    </row>
    <row r="2154" spans="1:30" x14ac:dyDescent="0.25">
      <c r="A2154">
        <v>91</v>
      </c>
      <c r="B2154" t="s">
        <v>172</v>
      </c>
      <c r="C2154">
        <v>6</v>
      </c>
      <c r="D2154">
        <v>188</v>
      </c>
      <c r="E2154">
        <v>2483</v>
      </c>
      <c r="F2154" t="s">
        <v>77</v>
      </c>
      <c r="G2154" t="s">
        <v>746</v>
      </c>
      <c r="H2154">
        <v>24</v>
      </c>
      <c r="I2154">
        <v>518.97</v>
      </c>
      <c r="J2154" t="s">
        <v>839</v>
      </c>
      <c r="K2154" t="s">
        <v>812</v>
      </c>
      <c r="M2154" t="s">
        <v>1519</v>
      </c>
      <c r="R2154" t="s">
        <v>81</v>
      </c>
      <c r="U2154" t="s">
        <v>81</v>
      </c>
      <c r="V2154" t="s">
        <v>81</v>
      </c>
      <c r="W2154">
        <v>4</v>
      </c>
      <c r="X2154" t="s">
        <v>1135</v>
      </c>
      <c r="Z2154" t="s">
        <v>38</v>
      </c>
      <c r="AB2154" t="s">
        <v>921</v>
      </c>
      <c r="AC2154" t="s">
        <v>1401</v>
      </c>
      <c r="AD2154" t="s">
        <v>39</v>
      </c>
    </row>
    <row r="2155" spans="1:30" x14ac:dyDescent="0.25">
      <c r="A2155">
        <v>92</v>
      </c>
      <c r="B2155" t="s">
        <v>166</v>
      </c>
      <c r="C2155">
        <v>6</v>
      </c>
      <c r="D2155">
        <v>188</v>
      </c>
      <c r="E2155">
        <v>2483</v>
      </c>
      <c r="F2155" t="s">
        <v>77</v>
      </c>
      <c r="G2155" t="s">
        <v>746</v>
      </c>
      <c r="H2155">
        <v>4</v>
      </c>
      <c r="I2155">
        <v>86.5</v>
      </c>
      <c r="J2155" t="s">
        <v>839</v>
      </c>
      <c r="K2155" t="s">
        <v>812</v>
      </c>
      <c r="M2155" t="s">
        <v>1519</v>
      </c>
      <c r="R2155" t="s">
        <v>81</v>
      </c>
      <c r="U2155" t="s">
        <v>81</v>
      </c>
      <c r="V2155" t="s">
        <v>81</v>
      </c>
      <c r="W2155">
        <v>4</v>
      </c>
      <c r="X2155" t="s">
        <v>1135</v>
      </c>
      <c r="Z2155" t="s">
        <v>38</v>
      </c>
      <c r="AB2155" t="s">
        <v>921</v>
      </c>
      <c r="AC2155" t="s">
        <v>1401</v>
      </c>
      <c r="AD2155" t="s">
        <v>39</v>
      </c>
    </row>
    <row r="2156" spans="1:30" x14ac:dyDescent="0.25">
      <c r="A2156">
        <v>93</v>
      </c>
      <c r="B2156" t="s">
        <v>116</v>
      </c>
      <c r="C2156">
        <v>6</v>
      </c>
      <c r="D2156">
        <v>298</v>
      </c>
      <c r="E2156">
        <v>378</v>
      </c>
      <c r="F2156" t="s">
        <v>77</v>
      </c>
      <c r="G2156" t="s">
        <v>746</v>
      </c>
      <c r="H2156">
        <v>6</v>
      </c>
      <c r="I2156">
        <v>31.61</v>
      </c>
      <c r="J2156" t="s">
        <v>839</v>
      </c>
      <c r="K2156" t="s">
        <v>812</v>
      </c>
      <c r="M2156" t="s">
        <v>1519</v>
      </c>
      <c r="Q2156" t="s">
        <v>26</v>
      </c>
      <c r="R2156" t="s">
        <v>81</v>
      </c>
      <c r="W2156">
        <v>4</v>
      </c>
      <c r="X2156" t="s">
        <v>1135</v>
      </c>
      <c r="Z2156" t="s">
        <v>38</v>
      </c>
      <c r="AB2156" t="s">
        <v>921</v>
      </c>
      <c r="AC2156" t="s">
        <v>1401</v>
      </c>
      <c r="AD2156" t="s">
        <v>39</v>
      </c>
    </row>
    <row r="2157" spans="1:30" x14ac:dyDescent="0.25">
      <c r="A2157">
        <v>94</v>
      </c>
      <c r="B2157" t="s">
        <v>123</v>
      </c>
      <c r="C2157">
        <v>6</v>
      </c>
      <c r="D2157">
        <v>298</v>
      </c>
      <c r="E2157">
        <v>378</v>
      </c>
      <c r="F2157" t="s">
        <v>77</v>
      </c>
      <c r="G2157" t="s">
        <v>746</v>
      </c>
      <c r="H2157">
        <v>20</v>
      </c>
      <c r="I2157">
        <v>105.36</v>
      </c>
      <c r="J2157" t="s">
        <v>839</v>
      </c>
      <c r="K2157" t="s">
        <v>812</v>
      </c>
      <c r="M2157" t="s">
        <v>1519</v>
      </c>
      <c r="Q2157" t="s">
        <v>26</v>
      </c>
      <c r="R2157" t="s">
        <v>81</v>
      </c>
      <c r="W2157">
        <v>4</v>
      </c>
      <c r="X2157" t="s">
        <v>1135</v>
      </c>
      <c r="Z2157" t="s">
        <v>38</v>
      </c>
      <c r="AB2157" t="s">
        <v>921</v>
      </c>
      <c r="AC2157" t="s">
        <v>1401</v>
      </c>
      <c r="AD2157" t="s">
        <v>39</v>
      </c>
    </row>
    <row r="2158" spans="1:30" x14ac:dyDescent="0.25">
      <c r="A2158">
        <v>95</v>
      </c>
      <c r="B2158" t="s">
        <v>175</v>
      </c>
      <c r="C2158">
        <v>6</v>
      </c>
      <c r="D2158">
        <v>328</v>
      </c>
      <c r="E2158">
        <v>934</v>
      </c>
      <c r="F2158" t="s">
        <v>77</v>
      </c>
      <c r="G2158" t="s">
        <v>746</v>
      </c>
      <c r="H2158">
        <v>2</v>
      </c>
      <c r="I2158">
        <v>28.86</v>
      </c>
      <c r="J2158" t="s">
        <v>839</v>
      </c>
      <c r="K2158" t="s">
        <v>812</v>
      </c>
      <c r="M2158" t="s">
        <v>1519</v>
      </c>
      <c r="R2158" t="s">
        <v>81</v>
      </c>
      <c r="U2158" t="s">
        <v>81</v>
      </c>
      <c r="W2158">
        <v>4</v>
      </c>
      <c r="X2158" t="s">
        <v>1135</v>
      </c>
      <c r="Z2158" t="s">
        <v>38</v>
      </c>
      <c r="AB2158" t="s">
        <v>921</v>
      </c>
      <c r="AC2158" t="s">
        <v>1403</v>
      </c>
      <c r="AD2158" t="s">
        <v>39</v>
      </c>
    </row>
    <row r="2159" spans="1:30" x14ac:dyDescent="0.25">
      <c r="A2159">
        <v>96</v>
      </c>
      <c r="B2159" t="s">
        <v>178</v>
      </c>
      <c r="C2159">
        <v>6</v>
      </c>
      <c r="D2159">
        <v>328</v>
      </c>
      <c r="E2159">
        <v>934</v>
      </c>
      <c r="F2159" t="s">
        <v>77</v>
      </c>
      <c r="G2159" t="s">
        <v>746</v>
      </c>
      <c r="H2159">
        <v>4</v>
      </c>
      <c r="I2159">
        <v>57.72</v>
      </c>
      <c r="J2159" t="s">
        <v>839</v>
      </c>
      <c r="K2159" t="s">
        <v>812</v>
      </c>
      <c r="M2159" t="s">
        <v>1519</v>
      </c>
      <c r="R2159" t="s">
        <v>81</v>
      </c>
      <c r="U2159" t="s">
        <v>81</v>
      </c>
      <c r="W2159">
        <v>4</v>
      </c>
      <c r="X2159" t="s">
        <v>1135</v>
      </c>
      <c r="Z2159" t="s">
        <v>38</v>
      </c>
      <c r="AB2159" t="s">
        <v>921</v>
      </c>
      <c r="AC2159" t="s">
        <v>1403</v>
      </c>
      <c r="AD2159" t="s">
        <v>39</v>
      </c>
    </row>
    <row r="2160" spans="1:30" x14ac:dyDescent="0.25">
      <c r="A2160">
        <v>97</v>
      </c>
      <c r="B2160" t="s">
        <v>179</v>
      </c>
      <c r="C2160">
        <v>6</v>
      </c>
      <c r="D2160">
        <v>328</v>
      </c>
      <c r="E2160">
        <v>934</v>
      </c>
      <c r="F2160" t="s">
        <v>77</v>
      </c>
      <c r="G2160" t="s">
        <v>746</v>
      </c>
      <c r="H2160">
        <v>2</v>
      </c>
      <c r="I2160">
        <v>28.86</v>
      </c>
      <c r="J2160" t="s">
        <v>839</v>
      </c>
      <c r="K2160" t="s">
        <v>812</v>
      </c>
      <c r="M2160" t="s">
        <v>1519</v>
      </c>
      <c r="R2160" t="s">
        <v>81</v>
      </c>
      <c r="U2160" t="s">
        <v>81</v>
      </c>
      <c r="W2160">
        <v>4</v>
      </c>
      <c r="X2160" t="s">
        <v>1135</v>
      </c>
      <c r="Z2160" t="s">
        <v>38</v>
      </c>
      <c r="AB2160" t="s">
        <v>921</v>
      </c>
      <c r="AC2160" t="s">
        <v>1403</v>
      </c>
      <c r="AD2160" t="s">
        <v>39</v>
      </c>
    </row>
    <row r="2161" spans="1:30" x14ac:dyDescent="0.25">
      <c r="A2161">
        <v>98</v>
      </c>
      <c r="B2161" t="s">
        <v>172</v>
      </c>
      <c r="C2161">
        <v>6</v>
      </c>
      <c r="D2161">
        <v>188</v>
      </c>
      <c r="E2161">
        <v>2483</v>
      </c>
      <c r="F2161" t="s">
        <v>77</v>
      </c>
      <c r="G2161" t="s">
        <v>746</v>
      </c>
      <c r="H2161">
        <v>16</v>
      </c>
      <c r="I2161">
        <v>345.98</v>
      </c>
      <c r="J2161" t="s">
        <v>839</v>
      </c>
      <c r="K2161" t="s">
        <v>812</v>
      </c>
      <c r="M2161" t="s">
        <v>1519</v>
      </c>
      <c r="R2161" t="s">
        <v>81</v>
      </c>
      <c r="U2161" t="s">
        <v>81</v>
      </c>
      <c r="V2161" t="s">
        <v>81</v>
      </c>
      <c r="W2161">
        <v>4</v>
      </c>
      <c r="X2161" t="s">
        <v>1135</v>
      </c>
      <c r="Z2161" t="s">
        <v>38</v>
      </c>
      <c r="AB2161" t="s">
        <v>921</v>
      </c>
      <c r="AC2161" t="s">
        <v>1403</v>
      </c>
      <c r="AD2161" t="s">
        <v>39</v>
      </c>
    </row>
    <row r="2162" spans="1:30" x14ac:dyDescent="0.25">
      <c r="A2162">
        <v>99</v>
      </c>
      <c r="B2162" t="s">
        <v>180</v>
      </c>
      <c r="C2162">
        <v>6</v>
      </c>
      <c r="D2162">
        <v>188</v>
      </c>
      <c r="E2162">
        <v>2483</v>
      </c>
      <c r="F2162" t="s">
        <v>77</v>
      </c>
      <c r="G2162" t="s">
        <v>746</v>
      </c>
      <c r="H2162">
        <v>12</v>
      </c>
      <c r="I2162">
        <v>259.49</v>
      </c>
      <c r="J2162" t="s">
        <v>839</v>
      </c>
      <c r="K2162" t="s">
        <v>812</v>
      </c>
      <c r="M2162" t="s">
        <v>1519</v>
      </c>
      <c r="R2162" t="s">
        <v>81</v>
      </c>
      <c r="U2162" t="s">
        <v>81</v>
      </c>
      <c r="V2162" t="s">
        <v>81</v>
      </c>
      <c r="W2162">
        <v>4</v>
      </c>
      <c r="X2162" t="s">
        <v>1135</v>
      </c>
      <c r="Z2162" t="s">
        <v>38</v>
      </c>
      <c r="AB2162" t="s">
        <v>921</v>
      </c>
      <c r="AC2162" t="s">
        <v>1403</v>
      </c>
      <c r="AD2162" t="s">
        <v>39</v>
      </c>
    </row>
    <row r="2163" spans="1:30" x14ac:dyDescent="0.25">
      <c r="A2163">
        <v>100</v>
      </c>
      <c r="B2163" t="s">
        <v>175</v>
      </c>
      <c r="C2163">
        <v>6</v>
      </c>
      <c r="D2163">
        <v>328</v>
      </c>
      <c r="E2163">
        <v>934</v>
      </c>
      <c r="F2163" t="s">
        <v>77</v>
      </c>
      <c r="G2163" t="s">
        <v>746</v>
      </c>
      <c r="H2163">
        <v>2</v>
      </c>
      <c r="I2163">
        <v>28.86</v>
      </c>
      <c r="J2163" t="s">
        <v>839</v>
      </c>
      <c r="K2163" t="s">
        <v>812</v>
      </c>
      <c r="M2163" t="s">
        <v>1519</v>
      </c>
      <c r="R2163" t="s">
        <v>81</v>
      </c>
      <c r="U2163" t="s">
        <v>81</v>
      </c>
      <c r="W2163">
        <v>4</v>
      </c>
      <c r="X2163" t="s">
        <v>1135</v>
      </c>
      <c r="Z2163" t="s">
        <v>38</v>
      </c>
      <c r="AB2163" t="s">
        <v>921</v>
      </c>
      <c r="AC2163" t="s">
        <v>1405</v>
      </c>
      <c r="AD2163" t="s">
        <v>39</v>
      </c>
    </row>
    <row r="2164" spans="1:30" x14ac:dyDescent="0.25">
      <c r="A2164">
        <v>101</v>
      </c>
      <c r="B2164" t="s">
        <v>178</v>
      </c>
      <c r="C2164">
        <v>6</v>
      </c>
      <c r="D2164">
        <v>328</v>
      </c>
      <c r="E2164">
        <v>934</v>
      </c>
      <c r="F2164" t="s">
        <v>77</v>
      </c>
      <c r="G2164" t="s">
        <v>746</v>
      </c>
      <c r="H2164">
        <v>1</v>
      </c>
      <c r="I2164">
        <v>14.43</v>
      </c>
      <c r="J2164" t="s">
        <v>839</v>
      </c>
      <c r="K2164" t="s">
        <v>812</v>
      </c>
      <c r="M2164" t="s">
        <v>1519</v>
      </c>
      <c r="R2164" t="s">
        <v>81</v>
      </c>
      <c r="U2164" t="s">
        <v>81</v>
      </c>
      <c r="W2164">
        <v>4</v>
      </c>
      <c r="X2164" t="s">
        <v>1135</v>
      </c>
      <c r="Z2164" t="s">
        <v>38</v>
      </c>
      <c r="AB2164" t="s">
        <v>921</v>
      </c>
      <c r="AC2164" t="s">
        <v>1405</v>
      </c>
      <c r="AD2164" t="s">
        <v>39</v>
      </c>
    </row>
    <row r="2165" spans="1:30" x14ac:dyDescent="0.25">
      <c r="A2165">
        <v>102</v>
      </c>
      <c r="B2165" t="s">
        <v>179</v>
      </c>
      <c r="C2165">
        <v>6</v>
      </c>
      <c r="D2165">
        <v>328</v>
      </c>
      <c r="E2165">
        <v>934</v>
      </c>
      <c r="F2165" t="s">
        <v>77</v>
      </c>
      <c r="G2165" t="s">
        <v>746</v>
      </c>
      <c r="H2165">
        <v>5</v>
      </c>
      <c r="I2165">
        <v>72.150000000000006</v>
      </c>
      <c r="J2165" t="s">
        <v>839</v>
      </c>
      <c r="K2165" t="s">
        <v>812</v>
      </c>
      <c r="M2165" t="s">
        <v>1519</v>
      </c>
      <c r="R2165" t="s">
        <v>81</v>
      </c>
      <c r="U2165" t="s">
        <v>81</v>
      </c>
      <c r="W2165">
        <v>4</v>
      </c>
      <c r="X2165" t="s">
        <v>1135</v>
      </c>
      <c r="Z2165" t="s">
        <v>38</v>
      </c>
      <c r="AB2165" t="s">
        <v>921</v>
      </c>
      <c r="AC2165" t="s">
        <v>1405</v>
      </c>
      <c r="AD2165" t="s">
        <v>39</v>
      </c>
    </row>
    <row r="2166" spans="1:30" x14ac:dyDescent="0.25">
      <c r="A2166">
        <v>103</v>
      </c>
      <c r="B2166" t="s">
        <v>180</v>
      </c>
      <c r="C2166">
        <v>6</v>
      </c>
      <c r="D2166">
        <v>188</v>
      </c>
      <c r="E2166">
        <v>2483</v>
      </c>
      <c r="F2166" t="s">
        <v>77</v>
      </c>
      <c r="G2166" t="s">
        <v>746</v>
      </c>
      <c r="H2166">
        <v>28</v>
      </c>
      <c r="I2166">
        <v>605.47</v>
      </c>
      <c r="J2166" t="s">
        <v>839</v>
      </c>
      <c r="K2166" t="s">
        <v>812</v>
      </c>
      <c r="M2166" t="s">
        <v>1519</v>
      </c>
      <c r="R2166" t="s">
        <v>81</v>
      </c>
      <c r="U2166" t="s">
        <v>81</v>
      </c>
      <c r="V2166" t="s">
        <v>81</v>
      </c>
      <c r="W2166">
        <v>4</v>
      </c>
      <c r="X2166" t="s">
        <v>1135</v>
      </c>
      <c r="Z2166" t="s">
        <v>38</v>
      </c>
      <c r="AB2166" t="s">
        <v>921</v>
      </c>
      <c r="AC2166" t="s">
        <v>1405</v>
      </c>
      <c r="AD2166" t="s">
        <v>39</v>
      </c>
    </row>
    <row r="2167" spans="1:30" x14ac:dyDescent="0.25">
      <c r="A2167">
        <v>104</v>
      </c>
      <c r="B2167" t="s">
        <v>175</v>
      </c>
      <c r="C2167">
        <v>6</v>
      </c>
      <c r="D2167">
        <v>328</v>
      </c>
      <c r="E2167">
        <v>934</v>
      </c>
      <c r="F2167" t="s">
        <v>77</v>
      </c>
      <c r="G2167" t="s">
        <v>746</v>
      </c>
      <c r="H2167">
        <v>2</v>
      </c>
      <c r="I2167">
        <v>28.86</v>
      </c>
      <c r="J2167" t="s">
        <v>839</v>
      </c>
      <c r="K2167" t="s">
        <v>812</v>
      </c>
      <c r="M2167" t="s">
        <v>1519</v>
      </c>
      <c r="R2167" t="s">
        <v>81</v>
      </c>
      <c r="U2167" t="s">
        <v>81</v>
      </c>
      <c r="W2167">
        <v>4</v>
      </c>
      <c r="X2167" t="s">
        <v>1135</v>
      </c>
      <c r="Z2167" t="s">
        <v>38</v>
      </c>
      <c r="AB2167" t="s">
        <v>921</v>
      </c>
      <c r="AC2167" t="s">
        <v>1407</v>
      </c>
      <c r="AD2167" t="s">
        <v>39</v>
      </c>
    </row>
    <row r="2168" spans="1:30" x14ac:dyDescent="0.25">
      <c r="A2168">
        <v>105</v>
      </c>
      <c r="B2168" t="s">
        <v>178</v>
      </c>
      <c r="C2168">
        <v>6</v>
      </c>
      <c r="D2168">
        <v>328</v>
      </c>
      <c r="E2168">
        <v>934</v>
      </c>
      <c r="F2168" t="s">
        <v>77</v>
      </c>
      <c r="G2168" t="s">
        <v>746</v>
      </c>
      <c r="H2168">
        <v>1</v>
      </c>
      <c r="I2168">
        <v>14.43</v>
      </c>
      <c r="J2168" t="s">
        <v>839</v>
      </c>
      <c r="K2168" t="s">
        <v>812</v>
      </c>
      <c r="M2168" t="s">
        <v>1519</v>
      </c>
      <c r="R2168" t="s">
        <v>81</v>
      </c>
      <c r="U2168" t="s">
        <v>81</v>
      </c>
      <c r="W2168">
        <v>4</v>
      </c>
      <c r="X2168" t="s">
        <v>1135</v>
      </c>
      <c r="Z2168" t="s">
        <v>38</v>
      </c>
      <c r="AB2168" t="s">
        <v>921</v>
      </c>
      <c r="AC2168" t="s">
        <v>1407</v>
      </c>
      <c r="AD2168" t="s">
        <v>39</v>
      </c>
    </row>
    <row r="2169" spans="1:30" x14ac:dyDescent="0.25">
      <c r="A2169">
        <v>106</v>
      </c>
      <c r="B2169" t="s">
        <v>179</v>
      </c>
      <c r="C2169">
        <v>6</v>
      </c>
      <c r="D2169">
        <v>328</v>
      </c>
      <c r="E2169">
        <v>934</v>
      </c>
      <c r="F2169" t="s">
        <v>77</v>
      </c>
      <c r="G2169" t="s">
        <v>746</v>
      </c>
      <c r="H2169">
        <v>1</v>
      </c>
      <c r="I2169">
        <v>14.43</v>
      </c>
      <c r="J2169" t="s">
        <v>839</v>
      </c>
      <c r="K2169" t="s">
        <v>812</v>
      </c>
      <c r="M2169" t="s">
        <v>1519</v>
      </c>
      <c r="R2169" t="s">
        <v>81</v>
      </c>
      <c r="U2169" t="s">
        <v>81</v>
      </c>
      <c r="W2169">
        <v>4</v>
      </c>
      <c r="X2169" t="s">
        <v>1135</v>
      </c>
      <c r="Z2169" t="s">
        <v>38</v>
      </c>
      <c r="AB2169" t="s">
        <v>921</v>
      </c>
      <c r="AC2169" t="s">
        <v>1407</v>
      </c>
      <c r="AD2169" t="s">
        <v>39</v>
      </c>
    </row>
    <row r="2170" spans="1:30" x14ac:dyDescent="0.25">
      <c r="A2170">
        <v>107</v>
      </c>
      <c r="B2170" t="s">
        <v>185</v>
      </c>
      <c r="C2170">
        <v>6</v>
      </c>
      <c r="D2170">
        <v>188</v>
      </c>
      <c r="E2170">
        <v>2483</v>
      </c>
      <c r="F2170" t="s">
        <v>77</v>
      </c>
      <c r="G2170" t="s">
        <v>746</v>
      </c>
      <c r="H2170">
        <v>28</v>
      </c>
      <c r="I2170">
        <v>605.47</v>
      </c>
      <c r="J2170" t="s">
        <v>839</v>
      </c>
      <c r="K2170" t="s">
        <v>812</v>
      </c>
      <c r="M2170" t="s">
        <v>1519</v>
      </c>
      <c r="R2170" t="s">
        <v>81</v>
      </c>
      <c r="U2170" t="s">
        <v>81</v>
      </c>
      <c r="V2170" t="s">
        <v>81</v>
      </c>
      <c r="W2170">
        <v>4</v>
      </c>
      <c r="X2170" t="s">
        <v>1135</v>
      </c>
      <c r="Z2170" t="s">
        <v>38</v>
      </c>
      <c r="AB2170" t="s">
        <v>921</v>
      </c>
      <c r="AC2170" t="s">
        <v>1407</v>
      </c>
      <c r="AD2170" t="s">
        <v>39</v>
      </c>
    </row>
    <row r="2171" spans="1:30" x14ac:dyDescent="0.25">
      <c r="A2171">
        <v>108</v>
      </c>
      <c r="B2171" t="s">
        <v>138</v>
      </c>
      <c r="C2171">
        <v>6</v>
      </c>
      <c r="D2171">
        <v>328</v>
      </c>
      <c r="E2171">
        <v>934</v>
      </c>
      <c r="F2171" t="s">
        <v>77</v>
      </c>
      <c r="G2171" t="s">
        <v>746</v>
      </c>
      <c r="H2171">
        <v>2</v>
      </c>
      <c r="I2171">
        <v>28.86</v>
      </c>
      <c r="J2171" t="s">
        <v>839</v>
      </c>
      <c r="K2171" t="s">
        <v>812</v>
      </c>
      <c r="M2171" t="s">
        <v>1519</v>
      </c>
      <c r="R2171" t="s">
        <v>81</v>
      </c>
      <c r="U2171" t="s">
        <v>81</v>
      </c>
      <c r="W2171">
        <v>4</v>
      </c>
      <c r="X2171" t="s">
        <v>1135</v>
      </c>
      <c r="Z2171" t="s">
        <v>38</v>
      </c>
      <c r="AB2171" t="s">
        <v>921</v>
      </c>
      <c r="AC2171" t="s">
        <v>1407</v>
      </c>
      <c r="AD2171" t="s">
        <v>39</v>
      </c>
    </row>
    <row r="2172" spans="1:30" x14ac:dyDescent="0.25">
      <c r="A2172">
        <v>109</v>
      </c>
      <c r="B2172" t="s">
        <v>154</v>
      </c>
      <c r="C2172">
        <v>6</v>
      </c>
      <c r="D2172">
        <v>328</v>
      </c>
      <c r="E2172">
        <v>934</v>
      </c>
      <c r="F2172" t="s">
        <v>77</v>
      </c>
      <c r="G2172" t="s">
        <v>746</v>
      </c>
      <c r="H2172">
        <v>2</v>
      </c>
      <c r="I2172">
        <v>28.86</v>
      </c>
      <c r="J2172" t="s">
        <v>839</v>
      </c>
      <c r="K2172" t="s">
        <v>812</v>
      </c>
      <c r="M2172" t="s">
        <v>1519</v>
      </c>
      <c r="R2172" t="s">
        <v>81</v>
      </c>
      <c r="U2172" t="s">
        <v>81</v>
      </c>
      <c r="W2172">
        <v>4</v>
      </c>
      <c r="X2172" t="s">
        <v>1135</v>
      </c>
      <c r="Z2172" t="s">
        <v>38</v>
      </c>
      <c r="AB2172" t="s">
        <v>921</v>
      </c>
      <c r="AC2172" t="s">
        <v>1407</v>
      </c>
      <c r="AD2172" t="s">
        <v>39</v>
      </c>
    </row>
    <row r="2173" spans="1:30" x14ac:dyDescent="0.25">
      <c r="A2173">
        <v>110</v>
      </c>
      <c r="B2173" t="s">
        <v>186</v>
      </c>
      <c r="C2173">
        <v>6</v>
      </c>
      <c r="D2173">
        <v>328</v>
      </c>
      <c r="E2173">
        <v>894</v>
      </c>
      <c r="F2173" t="s">
        <v>77</v>
      </c>
      <c r="G2173" t="s">
        <v>746</v>
      </c>
      <c r="H2173">
        <v>2</v>
      </c>
      <c r="I2173">
        <v>27.62</v>
      </c>
      <c r="J2173" t="s">
        <v>839</v>
      </c>
      <c r="K2173" t="s">
        <v>812</v>
      </c>
      <c r="M2173" t="s">
        <v>1519</v>
      </c>
      <c r="R2173" t="s">
        <v>81</v>
      </c>
      <c r="U2173" t="s">
        <v>81</v>
      </c>
      <c r="W2173">
        <v>4</v>
      </c>
      <c r="X2173" t="s">
        <v>1135</v>
      </c>
      <c r="Z2173" t="s">
        <v>38</v>
      </c>
      <c r="AB2173" t="s">
        <v>921</v>
      </c>
      <c r="AC2173" t="s">
        <v>1409</v>
      </c>
      <c r="AD2173" t="s">
        <v>39</v>
      </c>
    </row>
    <row r="2174" spans="1:30" x14ac:dyDescent="0.25">
      <c r="A2174">
        <v>111</v>
      </c>
      <c r="B2174" t="s">
        <v>189</v>
      </c>
      <c r="C2174">
        <v>6</v>
      </c>
      <c r="D2174">
        <v>188</v>
      </c>
      <c r="E2174">
        <v>2481</v>
      </c>
      <c r="F2174" t="s">
        <v>77</v>
      </c>
      <c r="G2174" t="s">
        <v>746</v>
      </c>
      <c r="H2174">
        <v>2</v>
      </c>
      <c r="I2174">
        <v>43.22</v>
      </c>
      <c r="J2174" t="s">
        <v>839</v>
      </c>
      <c r="K2174" t="s">
        <v>812</v>
      </c>
      <c r="M2174" t="s">
        <v>1519</v>
      </c>
      <c r="R2174" t="s">
        <v>81</v>
      </c>
      <c r="U2174" t="s">
        <v>81</v>
      </c>
      <c r="V2174" t="s">
        <v>81</v>
      </c>
      <c r="W2174">
        <v>4</v>
      </c>
      <c r="X2174" t="s">
        <v>1135</v>
      </c>
      <c r="Z2174" t="s">
        <v>38</v>
      </c>
      <c r="AB2174" t="s">
        <v>921</v>
      </c>
      <c r="AC2174" t="s">
        <v>1409</v>
      </c>
      <c r="AD2174" t="s">
        <v>39</v>
      </c>
    </row>
    <row r="2175" spans="1:30" x14ac:dyDescent="0.25">
      <c r="A2175">
        <v>112</v>
      </c>
      <c r="B2175" t="s">
        <v>191</v>
      </c>
      <c r="C2175">
        <v>6</v>
      </c>
      <c r="D2175">
        <v>188</v>
      </c>
      <c r="E2175">
        <v>2481</v>
      </c>
      <c r="F2175" t="s">
        <v>77</v>
      </c>
      <c r="G2175" t="s">
        <v>746</v>
      </c>
      <c r="H2175">
        <v>2</v>
      </c>
      <c r="I2175">
        <v>43.22</v>
      </c>
      <c r="J2175" t="s">
        <v>839</v>
      </c>
      <c r="K2175" t="s">
        <v>812</v>
      </c>
      <c r="M2175" t="s">
        <v>1519</v>
      </c>
      <c r="R2175" t="s">
        <v>81</v>
      </c>
      <c r="U2175" t="s">
        <v>81</v>
      </c>
      <c r="V2175" t="s">
        <v>81</v>
      </c>
      <c r="W2175">
        <v>4</v>
      </c>
      <c r="X2175" t="s">
        <v>1135</v>
      </c>
      <c r="Z2175" t="s">
        <v>38</v>
      </c>
      <c r="AB2175" t="s">
        <v>921</v>
      </c>
      <c r="AC2175" t="s">
        <v>1409</v>
      </c>
      <c r="AD2175" t="s">
        <v>39</v>
      </c>
    </row>
    <row r="2176" spans="1:30" x14ac:dyDescent="0.25">
      <c r="A2176">
        <v>113</v>
      </c>
      <c r="B2176" t="s">
        <v>192</v>
      </c>
      <c r="C2176">
        <v>6</v>
      </c>
      <c r="D2176">
        <v>188</v>
      </c>
      <c r="E2176">
        <v>2480</v>
      </c>
      <c r="F2176" t="s">
        <v>77</v>
      </c>
      <c r="G2176" t="s">
        <v>746</v>
      </c>
      <c r="H2176">
        <v>2</v>
      </c>
      <c r="I2176">
        <v>43.2</v>
      </c>
      <c r="J2176" t="s">
        <v>839</v>
      </c>
      <c r="K2176" t="s">
        <v>812</v>
      </c>
      <c r="M2176" t="s">
        <v>1519</v>
      </c>
      <c r="R2176" t="s">
        <v>81</v>
      </c>
      <c r="U2176" t="s">
        <v>81</v>
      </c>
      <c r="V2176" t="s">
        <v>81</v>
      </c>
      <c r="W2176">
        <v>4</v>
      </c>
      <c r="X2176" t="s">
        <v>1135</v>
      </c>
      <c r="Z2176" t="s">
        <v>38</v>
      </c>
      <c r="AB2176" t="s">
        <v>921</v>
      </c>
      <c r="AC2176" t="s">
        <v>1409</v>
      </c>
      <c r="AD2176" t="s">
        <v>39</v>
      </c>
    </row>
    <row r="2177" spans="1:30" x14ac:dyDescent="0.25">
      <c r="A2177">
        <v>114</v>
      </c>
      <c r="B2177" t="s">
        <v>194</v>
      </c>
      <c r="C2177">
        <v>6</v>
      </c>
      <c r="D2177">
        <v>188</v>
      </c>
      <c r="E2177">
        <v>2480</v>
      </c>
      <c r="F2177" t="s">
        <v>77</v>
      </c>
      <c r="G2177" t="s">
        <v>746</v>
      </c>
      <c r="H2177">
        <v>2</v>
      </c>
      <c r="I2177">
        <v>43.21</v>
      </c>
      <c r="J2177" t="s">
        <v>839</v>
      </c>
      <c r="K2177" t="s">
        <v>812</v>
      </c>
      <c r="M2177" t="s">
        <v>1519</v>
      </c>
      <c r="R2177" t="s">
        <v>81</v>
      </c>
      <c r="U2177" t="s">
        <v>81</v>
      </c>
      <c r="V2177" t="s">
        <v>81</v>
      </c>
      <c r="W2177">
        <v>4</v>
      </c>
      <c r="X2177" t="s">
        <v>1135</v>
      </c>
      <c r="Z2177" t="s">
        <v>38</v>
      </c>
      <c r="AB2177" t="s">
        <v>921</v>
      </c>
      <c r="AC2177" t="s">
        <v>1409</v>
      </c>
      <c r="AD2177" t="s">
        <v>39</v>
      </c>
    </row>
    <row r="2178" spans="1:30" x14ac:dyDescent="0.25">
      <c r="A2178">
        <v>115</v>
      </c>
      <c r="B2178" t="s">
        <v>195</v>
      </c>
      <c r="C2178">
        <v>6</v>
      </c>
      <c r="D2178">
        <v>328</v>
      </c>
      <c r="E2178">
        <v>934</v>
      </c>
      <c r="F2178" t="s">
        <v>77</v>
      </c>
      <c r="G2178" t="s">
        <v>746</v>
      </c>
      <c r="H2178">
        <v>2</v>
      </c>
      <c r="I2178">
        <v>28.86</v>
      </c>
      <c r="J2178" t="s">
        <v>839</v>
      </c>
      <c r="K2178" t="s">
        <v>812</v>
      </c>
      <c r="M2178" t="s">
        <v>1519</v>
      </c>
      <c r="R2178" t="s">
        <v>81</v>
      </c>
      <c r="U2178" t="s">
        <v>81</v>
      </c>
      <c r="W2178">
        <v>4</v>
      </c>
      <c r="X2178" t="s">
        <v>1135</v>
      </c>
      <c r="Z2178" t="s">
        <v>38</v>
      </c>
      <c r="AB2178" t="s">
        <v>921</v>
      </c>
      <c r="AC2178" t="s">
        <v>1409</v>
      </c>
      <c r="AD2178" t="s">
        <v>39</v>
      </c>
    </row>
    <row r="2179" spans="1:30" x14ac:dyDescent="0.25">
      <c r="A2179">
        <v>116</v>
      </c>
      <c r="B2179" t="s">
        <v>185</v>
      </c>
      <c r="C2179">
        <v>6</v>
      </c>
      <c r="D2179">
        <v>188</v>
      </c>
      <c r="E2179">
        <v>2483</v>
      </c>
      <c r="F2179" t="s">
        <v>77</v>
      </c>
      <c r="G2179" t="s">
        <v>746</v>
      </c>
      <c r="H2179">
        <v>12</v>
      </c>
      <c r="I2179">
        <v>259.49</v>
      </c>
      <c r="J2179" t="s">
        <v>839</v>
      </c>
      <c r="K2179" t="s">
        <v>812</v>
      </c>
      <c r="M2179" t="s">
        <v>1519</v>
      </c>
      <c r="R2179" t="s">
        <v>81</v>
      </c>
      <c r="U2179" t="s">
        <v>81</v>
      </c>
      <c r="V2179" t="s">
        <v>81</v>
      </c>
      <c r="W2179">
        <v>4</v>
      </c>
      <c r="X2179" t="s">
        <v>1135</v>
      </c>
      <c r="Z2179" t="s">
        <v>38</v>
      </c>
      <c r="AB2179" t="s">
        <v>921</v>
      </c>
      <c r="AC2179" t="s">
        <v>1409</v>
      </c>
      <c r="AD2179" t="s">
        <v>39</v>
      </c>
    </row>
    <row r="2180" spans="1:30" x14ac:dyDescent="0.25">
      <c r="A2180">
        <v>117</v>
      </c>
      <c r="B2180" t="s">
        <v>164</v>
      </c>
      <c r="C2180">
        <v>6</v>
      </c>
      <c r="D2180">
        <v>328</v>
      </c>
      <c r="E2180">
        <v>894</v>
      </c>
      <c r="F2180" t="s">
        <v>77</v>
      </c>
      <c r="G2180" t="s">
        <v>746</v>
      </c>
      <c r="H2180">
        <v>1</v>
      </c>
      <c r="I2180">
        <v>13.81</v>
      </c>
      <c r="J2180" t="s">
        <v>839</v>
      </c>
      <c r="K2180" t="s">
        <v>812</v>
      </c>
      <c r="M2180" t="s">
        <v>1519</v>
      </c>
      <c r="R2180" t="s">
        <v>81</v>
      </c>
      <c r="U2180" t="s">
        <v>81</v>
      </c>
      <c r="W2180">
        <v>4</v>
      </c>
      <c r="X2180" t="s">
        <v>1135</v>
      </c>
      <c r="Z2180" t="s">
        <v>38</v>
      </c>
      <c r="AB2180" t="s">
        <v>921</v>
      </c>
      <c r="AC2180" t="s">
        <v>1409</v>
      </c>
      <c r="AD2180" t="s">
        <v>39</v>
      </c>
    </row>
    <row r="2181" spans="1:30" x14ac:dyDescent="0.25">
      <c r="A2181">
        <v>118</v>
      </c>
      <c r="B2181" t="s">
        <v>196</v>
      </c>
      <c r="C2181">
        <v>6</v>
      </c>
      <c r="D2181">
        <v>328</v>
      </c>
      <c r="E2181">
        <v>894</v>
      </c>
      <c r="F2181" t="s">
        <v>77</v>
      </c>
      <c r="G2181" t="s">
        <v>746</v>
      </c>
      <c r="H2181">
        <v>1</v>
      </c>
      <c r="I2181">
        <v>13.81</v>
      </c>
      <c r="J2181" t="s">
        <v>839</v>
      </c>
      <c r="K2181" t="s">
        <v>812</v>
      </c>
      <c r="M2181" t="s">
        <v>1519</v>
      </c>
      <c r="R2181" t="s">
        <v>81</v>
      </c>
      <c r="U2181" t="s">
        <v>81</v>
      </c>
      <c r="W2181">
        <v>4</v>
      </c>
      <c r="X2181" t="s">
        <v>1135</v>
      </c>
      <c r="Z2181" t="s">
        <v>38</v>
      </c>
      <c r="AB2181" t="s">
        <v>921</v>
      </c>
      <c r="AC2181" t="s">
        <v>1409</v>
      </c>
      <c r="AD2181" t="s">
        <v>39</v>
      </c>
    </row>
    <row r="2182" spans="1:30" x14ac:dyDescent="0.25">
      <c r="A2182">
        <v>119</v>
      </c>
      <c r="B2182" t="s">
        <v>197</v>
      </c>
      <c r="C2182">
        <v>6</v>
      </c>
      <c r="D2182">
        <v>188</v>
      </c>
      <c r="E2182">
        <v>2481</v>
      </c>
      <c r="F2182" t="s">
        <v>77</v>
      </c>
      <c r="G2182" t="s">
        <v>746</v>
      </c>
      <c r="H2182">
        <v>2</v>
      </c>
      <c r="I2182">
        <v>43.22</v>
      </c>
      <c r="J2182" t="s">
        <v>839</v>
      </c>
      <c r="K2182" t="s">
        <v>812</v>
      </c>
      <c r="M2182" t="s">
        <v>1519</v>
      </c>
      <c r="R2182" t="s">
        <v>81</v>
      </c>
      <c r="U2182" t="s">
        <v>81</v>
      </c>
      <c r="V2182" t="s">
        <v>81</v>
      </c>
      <c r="W2182">
        <v>4</v>
      </c>
      <c r="X2182" t="s">
        <v>1135</v>
      </c>
      <c r="Z2182" t="s">
        <v>38</v>
      </c>
      <c r="AB2182" t="s">
        <v>921</v>
      </c>
      <c r="AC2182" t="s">
        <v>1409</v>
      </c>
      <c r="AD2182" t="s">
        <v>39</v>
      </c>
    </row>
    <row r="2183" spans="1:30" x14ac:dyDescent="0.25">
      <c r="A2183">
        <v>120</v>
      </c>
      <c r="B2183" t="s">
        <v>198</v>
      </c>
      <c r="C2183">
        <v>6</v>
      </c>
      <c r="D2183">
        <v>188</v>
      </c>
      <c r="E2183">
        <v>2481</v>
      </c>
      <c r="F2183" t="s">
        <v>77</v>
      </c>
      <c r="G2183" t="s">
        <v>746</v>
      </c>
      <c r="H2183">
        <v>2</v>
      </c>
      <c r="I2183">
        <v>43.22</v>
      </c>
      <c r="J2183" t="s">
        <v>839</v>
      </c>
      <c r="K2183" t="s">
        <v>812</v>
      </c>
      <c r="M2183" t="s">
        <v>1519</v>
      </c>
      <c r="R2183" t="s">
        <v>81</v>
      </c>
      <c r="U2183" t="s">
        <v>81</v>
      </c>
      <c r="V2183" t="s">
        <v>81</v>
      </c>
      <c r="W2183">
        <v>4</v>
      </c>
      <c r="X2183" t="s">
        <v>1135</v>
      </c>
      <c r="Z2183" t="s">
        <v>38</v>
      </c>
      <c r="AB2183" t="s">
        <v>921</v>
      </c>
      <c r="AC2183" t="s">
        <v>1409</v>
      </c>
      <c r="AD2183" t="s">
        <v>39</v>
      </c>
    </row>
    <row r="2184" spans="1:30" x14ac:dyDescent="0.25">
      <c r="A2184">
        <v>121</v>
      </c>
      <c r="B2184" t="s">
        <v>199</v>
      </c>
      <c r="C2184">
        <v>6</v>
      </c>
      <c r="D2184">
        <v>188</v>
      </c>
      <c r="E2184">
        <v>2480</v>
      </c>
      <c r="F2184" t="s">
        <v>77</v>
      </c>
      <c r="G2184" t="s">
        <v>746</v>
      </c>
      <c r="H2184">
        <v>2</v>
      </c>
      <c r="I2184">
        <v>43.2</v>
      </c>
      <c r="J2184" t="s">
        <v>839</v>
      </c>
      <c r="K2184" t="s">
        <v>812</v>
      </c>
      <c r="M2184" t="s">
        <v>1519</v>
      </c>
      <c r="R2184" t="s">
        <v>81</v>
      </c>
      <c r="U2184" t="s">
        <v>81</v>
      </c>
      <c r="V2184" t="s">
        <v>81</v>
      </c>
      <c r="W2184">
        <v>4</v>
      </c>
      <c r="X2184" t="s">
        <v>1135</v>
      </c>
      <c r="Z2184" t="s">
        <v>38</v>
      </c>
      <c r="AB2184" t="s">
        <v>921</v>
      </c>
      <c r="AC2184" t="s">
        <v>1409</v>
      </c>
      <c r="AD2184" t="s">
        <v>39</v>
      </c>
    </row>
    <row r="2185" spans="1:30" x14ac:dyDescent="0.25">
      <c r="A2185">
        <v>122</v>
      </c>
      <c r="B2185" t="s">
        <v>200</v>
      </c>
      <c r="C2185">
        <v>6</v>
      </c>
      <c r="D2185">
        <v>188</v>
      </c>
      <c r="E2185">
        <v>2480</v>
      </c>
      <c r="F2185" t="s">
        <v>77</v>
      </c>
      <c r="G2185" t="s">
        <v>746</v>
      </c>
      <c r="H2185">
        <v>2</v>
      </c>
      <c r="I2185">
        <v>43.21</v>
      </c>
      <c r="J2185" t="s">
        <v>839</v>
      </c>
      <c r="K2185" t="s">
        <v>812</v>
      </c>
      <c r="M2185" t="s">
        <v>1519</v>
      </c>
      <c r="R2185" t="s">
        <v>81</v>
      </c>
      <c r="U2185" t="s">
        <v>81</v>
      </c>
      <c r="V2185" t="s">
        <v>81</v>
      </c>
      <c r="W2185">
        <v>4</v>
      </c>
      <c r="X2185" t="s">
        <v>1135</v>
      </c>
      <c r="Z2185" t="s">
        <v>38</v>
      </c>
      <c r="AB2185" t="s">
        <v>921</v>
      </c>
      <c r="AC2185" t="s">
        <v>1409</v>
      </c>
      <c r="AD2185" t="s">
        <v>39</v>
      </c>
    </row>
    <row r="2186" spans="1:30" x14ac:dyDescent="0.25">
      <c r="A2186">
        <v>123</v>
      </c>
      <c r="B2186" t="s">
        <v>201</v>
      </c>
      <c r="C2186">
        <v>6</v>
      </c>
      <c r="D2186">
        <v>328</v>
      </c>
      <c r="E2186">
        <v>894</v>
      </c>
      <c r="F2186" t="s">
        <v>77</v>
      </c>
      <c r="G2186" t="s">
        <v>746</v>
      </c>
      <c r="H2186">
        <v>2</v>
      </c>
      <c r="I2186">
        <v>27.62</v>
      </c>
      <c r="J2186" t="s">
        <v>839</v>
      </c>
      <c r="K2186" t="s">
        <v>812</v>
      </c>
      <c r="M2186" t="s">
        <v>1519</v>
      </c>
      <c r="R2186" t="s">
        <v>81</v>
      </c>
      <c r="U2186" t="s">
        <v>81</v>
      </c>
      <c r="W2186">
        <v>4</v>
      </c>
      <c r="X2186" t="s">
        <v>1135</v>
      </c>
      <c r="Z2186" t="s">
        <v>38</v>
      </c>
      <c r="AB2186" t="s">
        <v>921</v>
      </c>
      <c r="AC2186" t="s">
        <v>1409</v>
      </c>
      <c r="AD2186" t="s">
        <v>39</v>
      </c>
    </row>
    <row r="2187" spans="1:30" x14ac:dyDescent="0.25">
      <c r="A2187">
        <v>124</v>
      </c>
      <c r="B2187" t="s">
        <v>116</v>
      </c>
      <c r="C2187">
        <v>6</v>
      </c>
      <c r="D2187">
        <v>298</v>
      </c>
      <c r="E2187">
        <v>378</v>
      </c>
      <c r="F2187" t="s">
        <v>77</v>
      </c>
      <c r="G2187" t="s">
        <v>746</v>
      </c>
      <c r="H2187">
        <v>2</v>
      </c>
      <c r="I2187">
        <v>10.54</v>
      </c>
      <c r="J2187" t="s">
        <v>839</v>
      </c>
      <c r="K2187" t="s">
        <v>812</v>
      </c>
      <c r="M2187" t="s">
        <v>1519</v>
      </c>
      <c r="Q2187" t="s">
        <v>26</v>
      </c>
      <c r="R2187" t="s">
        <v>81</v>
      </c>
      <c r="W2187">
        <v>4</v>
      </c>
      <c r="X2187" t="s">
        <v>1135</v>
      </c>
      <c r="Z2187" t="s">
        <v>38</v>
      </c>
      <c r="AB2187" t="s">
        <v>921</v>
      </c>
      <c r="AC2187" t="s">
        <v>1409</v>
      </c>
      <c r="AD2187" t="s">
        <v>39</v>
      </c>
    </row>
    <row r="2188" spans="1:30" x14ac:dyDescent="0.25">
      <c r="A2188">
        <v>125</v>
      </c>
      <c r="B2188" t="s">
        <v>202</v>
      </c>
      <c r="C2188">
        <v>6</v>
      </c>
      <c r="D2188">
        <v>188</v>
      </c>
      <c r="E2188">
        <v>2348</v>
      </c>
      <c r="F2188" t="s">
        <v>77</v>
      </c>
      <c r="G2188" t="s">
        <v>746</v>
      </c>
      <c r="H2188">
        <v>8</v>
      </c>
      <c r="I2188">
        <v>164.9</v>
      </c>
      <c r="J2188" t="s">
        <v>839</v>
      </c>
      <c r="K2188" t="s">
        <v>812</v>
      </c>
      <c r="M2188" t="s">
        <v>1519</v>
      </c>
      <c r="R2188" t="s">
        <v>81</v>
      </c>
      <c r="U2188" t="s">
        <v>81</v>
      </c>
      <c r="V2188" t="s">
        <v>81</v>
      </c>
      <c r="W2188">
        <v>4</v>
      </c>
      <c r="X2188" t="s">
        <v>1135</v>
      </c>
      <c r="Z2188" t="s">
        <v>38</v>
      </c>
      <c r="AB2188" t="s">
        <v>921</v>
      </c>
      <c r="AC2188" t="s">
        <v>1411</v>
      </c>
      <c r="AD2188" t="s">
        <v>39</v>
      </c>
    </row>
    <row r="2189" spans="1:30" x14ac:dyDescent="0.25">
      <c r="A2189">
        <v>126</v>
      </c>
      <c r="B2189" t="s">
        <v>206</v>
      </c>
      <c r="C2189">
        <v>6</v>
      </c>
      <c r="D2189">
        <v>188</v>
      </c>
      <c r="E2189">
        <v>2348</v>
      </c>
      <c r="F2189" t="s">
        <v>77</v>
      </c>
      <c r="G2189" t="s">
        <v>746</v>
      </c>
      <c r="H2189">
        <v>2</v>
      </c>
      <c r="I2189">
        <v>41.23</v>
      </c>
      <c r="J2189" t="s">
        <v>839</v>
      </c>
      <c r="K2189" t="s">
        <v>812</v>
      </c>
      <c r="M2189" t="s">
        <v>1519</v>
      </c>
      <c r="R2189" t="s">
        <v>81</v>
      </c>
      <c r="U2189" t="s">
        <v>81</v>
      </c>
      <c r="V2189" t="s">
        <v>81</v>
      </c>
      <c r="W2189">
        <v>4</v>
      </c>
      <c r="X2189" t="s">
        <v>1135</v>
      </c>
      <c r="Z2189" t="s">
        <v>38</v>
      </c>
      <c r="AB2189" t="s">
        <v>921</v>
      </c>
      <c r="AC2189" t="s">
        <v>1411</v>
      </c>
      <c r="AD2189" t="s">
        <v>39</v>
      </c>
    </row>
    <row r="2190" spans="1:30" x14ac:dyDescent="0.25">
      <c r="A2190">
        <v>127</v>
      </c>
      <c r="B2190" t="s">
        <v>207</v>
      </c>
      <c r="C2190">
        <v>6</v>
      </c>
      <c r="D2190">
        <v>188</v>
      </c>
      <c r="E2190">
        <v>2348</v>
      </c>
      <c r="F2190" t="s">
        <v>77</v>
      </c>
      <c r="G2190" t="s">
        <v>746</v>
      </c>
      <c r="H2190">
        <v>1</v>
      </c>
      <c r="I2190">
        <v>20.61</v>
      </c>
      <c r="J2190" t="s">
        <v>839</v>
      </c>
      <c r="K2190" t="s">
        <v>812</v>
      </c>
      <c r="M2190" t="s">
        <v>1519</v>
      </c>
      <c r="R2190" t="s">
        <v>81</v>
      </c>
      <c r="U2190" t="s">
        <v>81</v>
      </c>
      <c r="V2190" t="s">
        <v>81</v>
      </c>
      <c r="W2190">
        <v>4</v>
      </c>
      <c r="X2190" t="s">
        <v>1135</v>
      </c>
      <c r="Z2190" t="s">
        <v>38</v>
      </c>
      <c r="AB2190" t="s">
        <v>921</v>
      </c>
      <c r="AC2190" t="s">
        <v>1411</v>
      </c>
      <c r="AD2190" t="s">
        <v>39</v>
      </c>
    </row>
    <row r="2191" spans="1:30" x14ac:dyDescent="0.25">
      <c r="A2191">
        <v>128</v>
      </c>
      <c r="B2191" t="s">
        <v>208</v>
      </c>
      <c r="C2191">
        <v>6</v>
      </c>
      <c r="D2191">
        <v>188</v>
      </c>
      <c r="E2191">
        <v>2348</v>
      </c>
      <c r="F2191" t="s">
        <v>77</v>
      </c>
      <c r="G2191" t="s">
        <v>746</v>
      </c>
      <c r="H2191">
        <v>6</v>
      </c>
      <c r="I2191">
        <v>123.67</v>
      </c>
      <c r="J2191" t="s">
        <v>839</v>
      </c>
      <c r="K2191" t="s">
        <v>812</v>
      </c>
      <c r="M2191" t="s">
        <v>1519</v>
      </c>
      <c r="R2191" t="s">
        <v>81</v>
      </c>
      <c r="U2191" t="s">
        <v>81</v>
      </c>
      <c r="V2191" t="s">
        <v>81</v>
      </c>
      <c r="W2191">
        <v>4</v>
      </c>
      <c r="X2191" t="s">
        <v>1135</v>
      </c>
      <c r="Z2191" t="s">
        <v>38</v>
      </c>
      <c r="AB2191" t="s">
        <v>921</v>
      </c>
      <c r="AC2191" t="s">
        <v>1411</v>
      </c>
      <c r="AD2191" t="s">
        <v>39</v>
      </c>
    </row>
    <row r="2192" spans="1:30" x14ac:dyDescent="0.25">
      <c r="A2192">
        <v>129</v>
      </c>
      <c r="B2192" t="s">
        <v>209</v>
      </c>
      <c r="C2192">
        <v>6</v>
      </c>
      <c r="D2192">
        <v>188</v>
      </c>
      <c r="E2192">
        <v>2348</v>
      </c>
      <c r="F2192" t="s">
        <v>77</v>
      </c>
      <c r="G2192" t="s">
        <v>746</v>
      </c>
      <c r="H2192">
        <v>6</v>
      </c>
      <c r="I2192">
        <v>123.67</v>
      </c>
      <c r="J2192" t="s">
        <v>839</v>
      </c>
      <c r="K2192" t="s">
        <v>812</v>
      </c>
      <c r="M2192" t="s">
        <v>1519</v>
      </c>
      <c r="R2192" t="s">
        <v>81</v>
      </c>
      <c r="U2192" t="s">
        <v>81</v>
      </c>
      <c r="V2192" t="s">
        <v>81</v>
      </c>
      <c r="W2192">
        <v>4</v>
      </c>
      <c r="X2192" t="s">
        <v>1135</v>
      </c>
      <c r="Z2192" t="s">
        <v>38</v>
      </c>
      <c r="AB2192" t="s">
        <v>921</v>
      </c>
      <c r="AC2192" t="s">
        <v>1411</v>
      </c>
      <c r="AD2192" t="s">
        <v>39</v>
      </c>
    </row>
    <row r="2193" spans="1:30" x14ac:dyDescent="0.25">
      <c r="A2193">
        <v>130</v>
      </c>
      <c r="B2193" t="s">
        <v>210</v>
      </c>
      <c r="C2193">
        <v>6</v>
      </c>
      <c r="D2193">
        <v>188</v>
      </c>
      <c r="E2193">
        <v>2348</v>
      </c>
      <c r="F2193" t="s">
        <v>77</v>
      </c>
      <c r="G2193" t="s">
        <v>746</v>
      </c>
      <c r="H2193">
        <v>8</v>
      </c>
      <c r="I2193">
        <v>164.9</v>
      </c>
      <c r="J2193" t="s">
        <v>839</v>
      </c>
      <c r="K2193" t="s">
        <v>812</v>
      </c>
      <c r="M2193" t="s">
        <v>1519</v>
      </c>
      <c r="R2193" t="s">
        <v>81</v>
      </c>
      <c r="U2193" t="s">
        <v>81</v>
      </c>
      <c r="V2193" t="s">
        <v>81</v>
      </c>
      <c r="W2193">
        <v>4</v>
      </c>
      <c r="X2193" t="s">
        <v>1135</v>
      </c>
      <c r="Z2193" t="s">
        <v>38</v>
      </c>
      <c r="AB2193" t="s">
        <v>921</v>
      </c>
      <c r="AC2193" t="s">
        <v>1411</v>
      </c>
      <c r="AD2193" t="s">
        <v>39</v>
      </c>
    </row>
    <row r="2194" spans="1:30" x14ac:dyDescent="0.25">
      <c r="A2194">
        <v>131</v>
      </c>
      <c r="B2194" t="s">
        <v>211</v>
      </c>
      <c r="C2194">
        <v>6</v>
      </c>
      <c r="D2194">
        <v>188</v>
      </c>
      <c r="E2194">
        <v>2348</v>
      </c>
      <c r="F2194" t="s">
        <v>77</v>
      </c>
      <c r="G2194" t="s">
        <v>746</v>
      </c>
      <c r="H2194">
        <v>4</v>
      </c>
      <c r="I2194">
        <v>82.45</v>
      </c>
      <c r="J2194" t="s">
        <v>839</v>
      </c>
      <c r="K2194" t="s">
        <v>812</v>
      </c>
      <c r="M2194" t="s">
        <v>1519</v>
      </c>
      <c r="R2194" t="s">
        <v>81</v>
      </c>
      <c r="U2194" t="s">
        <v>81</v>
      </c>
      <c r="V2194" t="s">
        <v>81</v>
      </c>
      <c r="W2194">
        <v>4</v>
      </c>
      <c r="X2194" t="s">
        <v>1135</v>
      </c>
      <c r="Z2194" t="s">
        <v>38</v>
      </c>
      <c r="AB2194" t="s">
        <v>921</v>
      </c>
      <c r="AC2194" t="s">
        <v>1411</v>
      </c>
      <c r="AD2194" t="s">
        <v>39</v>
      </c>
    </row>
    <row r="2195" spans="1:30" x14ac:dyDescent="0.25">
      <c r="A2195">
        <v>132</v>
      </c>
      <c r="B2195" t="s">
        <v>123</v>
      </c>
      <c r="C2195">
        <v>6</v>
      </c>
      <c r="D2195">
        <v>298</v>
      </c>
      <c r="E2195">
        <v>378</v>
      </c>
      <c r="F2195" t="s">
        <v>77</v>
      </c>
      <c r="G2195" t="s">
        <v>746</v>
      </c>
      <c r="H2195">
        <v>2</v>
      </c>
      <c r="I2195">
        <v>10.54</v>
      </c>
      <c r="J2195" t="s">
        <v>839</v>
      </c>
      <c r="K2195" t="s">
        <v>812</v>
      </c>
      <c r="M2195" t="s">
        <v>1519</v>
      </c>
      <c r="Q2195" t="s">
        <v>26</v>
      </c>
      <c r="R2195" t="s">
        <v>81</v>
      </c>
      <c r="W2195">
        <v>4</v>
      </c>
      <c r="X2195" t="s">
        <v>1135</v>
      </c>
      <c r="Z2195" t="s">
        <v>38</v>
      </c>
      <c r="AB2195" t="s">
        <v>921</v>
      </c>
      <c r="AC2195" t="s">
        <v>1411</v>
      </c>
      <c r="AD2195" t="s">
        <v>39</v>
      </c>
    </row>
    <row r="2196" spans="1:30" x14ac:dyDescent="0.25">
      <c r="A2196">
        <v>133</v>
      </c>
      <c r="B2196" t="s">
        <v>171</v>
      </c>
      <c r="C2196">
        <v>6</v>
      </c>
      <c r="D2196">
        <v>298</v>
      </c>
      <c r="E2196">
        <v>378</v>
      </c>
      <c r="F2196" t="s">
        <v>77</v>
      </c>
      <c r="G2196" t="s">
        <v>746</v>
      </c>
      <c r="H2196">
        <v>1</v>
      </c>
      <c r="I2196">
        <v>5.27</v>
      </c>
      <c r="J2196" t="s">
        <v>839</v>
      </c>
      <c r="K2196" t="s">
        <v>812</v>
      </c>
      <c r="M2196" t="s">
        <v>1519</v>
      </c>
      <c r="Q2196" t="s">
        <v>26</v>
      </c>
      <c r="R2196" t="s">
        <v>81</v>
      </c>
      <c r="W2196">
        <v>4</v>
      </c>
      <c r="X2196" t="s">
        <v>1135</v>
      </c>
      <c r="Z2196" t="s">
        <v>38</v>
      </c>
      <c r="AB2196" t="s">
        <v>921</v>
      </c>
      <c r="AC2196" t="s">
        <v>1411</v>
      </c>
      <c r="AD2196" t="s">
        <v>39</v>
      </c>
    </row>
    <row r="2197" spans="1:30" x14ac:dyDescent="0.25">
      <c r="A2197">
        <v>134</v>
      </c>
      <c r="B2197" t="s">
        <v>212</v>
      </c>
      <c r="C2197">
        <v>6</v>
      </c>
      <c r="D2197">
        <v>188</v>
      </c>
      <c r="E2197">
        <v>2348</v>
      </c>
      <c r="F2197" t="s">
        <v>77</v>
      </c>
      <c r="G2197" t="s">
        <v>746</v>
      </c>
      <c r="H2197">
        <v>6</v>
      </c>
      <c r="I2197">
        <v>123.67</v>
      </c>
      <c r="J2197" t="s">
        <v>839</v>
      </c>
      <c r="K2197" t="s">
        <v>812</v>
      </c>
      <c r="M2197" t="s">
        <v>1519</v>
      </c>
      <c r="R2197" t="s">
        <v>81</v>
      </c>
      <c r="U2197" t="s">
        <v>81</v>
      </c>
      <c r="V2197" t="s">
        <v>81</v>
      </c>
      <c r="W2197">
        <v>4</v>
      </c>
      <c r="X2197" t="s">
        <v>1135</v>
      </c>
      <c r="Z2197" t="s">
        <v>38</v>
      </c>
      <c r="AB2197" t="s">
        <v>921</v>
      </c>
      <c r="AC2197" t="s">
        <v>1413</v>
      </c>
      <c r="AD2197" t="s">
        <v>39</v>
      </c>
    </row>
    <row r="2198" spans="1:30" x14ac:dyDescent="0.25">
      <c r="A2198">
        <v>135</v>
      </c>
      <c r="B2198" t="s">
        <v>215</v>
      </c>
      <c r="C2198">
        <v>6</v>
      </c>
      <c r="D2198">
        <v>188</v>
      </c>
      <c r="E2198">
        <v>2348</v>
      </c>
      <c r="F2198" t="s">
        <v>77</v>
      </c>
      <c r="G2198" t="s">
        <v>746</v>
      </c>
      <c r="H2198">
        <v>6</v>
      </c>
      <c r="I2198">
        <v>123.67</v>
      </c>
      <c r="J2198" t="s">
        <v>839</v>
      </c>
      <c r="K2198" t="s">
        <v>812</v>
      </c>
      <c r="M2198" t="s">
        <v>1519</v>
      </c>
      <c r="R2198" t="s">
        <v>81</v>
      </c>
      <c r="U2198" t="s">
        <v>81</v>
      </c>
      <c r="V2198" t="s">
        <v>81</v>
      </c>
      <c r="W2198">
        <v>4</v>
      </c>
      <c r="X2198" t="s">
        <v>1135</v>
      </c>
      <c r="Z2198" t="s">
        <v>38</v>
      </c>
      <c r="AB2198" t="s">
        <v>921</v>
      </c>
      <c r="AC2198" t="s">
        <v>1413</v>
      </c>
      <c r="AD2198" t="s">
        <v>39</v>
      </c>
    </row>
    <row r="2199" spans="1:30" x14ac:dyDescent="0.25">
      <c r="A2199">
        <v>136</v>
      </c>
      <c r="B2199" t="s">
        <v>216</v>
      </c>
      <c r="C2199">
        <v>6</v>
      </c>
      <c r="D2199">
        <v>188</v>
      </c>
      <c r="E2199">
        <v>2348</v>
      </c>
      <c r="F2199" t="s">
        <v>77</v>
      </c>
      <c r="G2199" t="s">
        <v>746</v>
      </c>
      <c r="H2199">
        <v>8</v>
      </c>
      <c r="I2199">
        <v>164.9</v>
      </c>
      <c r="J2199" t="s">
        <v>839</v>
      </c>
      <c r="K2199" t="s">
        <v>812</v>
      </c>
      <c r="M2199" t="s">
        <v>1519</v>
      </c>
      <c r="R2199" t="s">
        <v>81</v>
      </c>
      <c r="U2199" t="s">
        <v>81</v>
      </c>
      <c r="V2199" t="s">
        <v>81</v>
      </c>
      <c r="W2199">
        <v>4</v>
      </c>
      <c r="X2199" t="s">
        <v>1135</v>
      </c>
      <c r="Z2199" t="s">
        <v>38</v>
      </c>
      <c r="AB2199" t="s">
        <v>921</v>
      </c>
      <c r="AC2199" t="s">
        <v>1413</v>
      </c>
      <c r="AD2199" t="s">
        <v>39</v>
      </c>
    </row>
    <row r="2200" spans="1:30" x14ac:dyDescent="0.25">
      <c r="A2200">
        <v>137</v>
      </c>
      <c r="B2200" t="s">
        <v>195</v>
      </c>
      <c r="C2200">
        <v>6</v>
      </c>
      <c r="D2200">
        <v>328</v>
      </c>
      <c r="E2200">
        <v>934</v>
      </c>
      <c r="F2200" t="s">
        <v>77</v>
      </c>
      <c r="G2200" t="s">
        <v>746</v>
      </c>
      <c r="H2200">
        <v>7</v>
      </c>
      <c r="I2200">
        <v>101</v>
      </c>
      <c r="J2200" t="s">
        <v>839</v>
      </c>
      <c r="K2200" t="s">
        <v>812</v>
      </c>
      <c r="M2200" t="s">
        <v>1519</v>
      </c>
      <c r="R2200" t="s">
        <v>81</v>
      </c>
      <c r="U2200" t="s">
        <v>81</v>
      </c>
      <c r="W2200">
        <v>4</v>
      </c>
      <c r="X2200" t="s">
        <v>1135</v>
      </c>
      <c r="Z2200" t="s">
        <v>38</v>
      </c>
      <c r="AB2200" t="s">
        <v>921</v>
      </c>
      <c r="AC2200" t="s">
        <v>1413</v>
      </c>
      <c r="AD2200" t="s">
        <v>39</v>
      </c>
    </row>
    <row r="2201" spans="1:30" x14ac:dyDescent="0.25">
      <c r="A2201">
        <v>138</v>
      </c>
      <c r="B2201" t="s">
        <v>207</v>
      </c>
      <c r="C2201">
        <v>6</v>
      </c>
      <c r="D2201">
        <v>188</v>
      </c>
      <c r="E2201">
        <v>2348</v>
      </c>
      <c r="F2201" t="s">
        <v>77</v>
      </c>
      <c r="G2201" t="s">
        <v>746</v>
      </c>
      <c r="H2201">
        <v>3</v>
      </c>
      <c r="I2201">
        <v>61.84</v>
      </c>
      <c r="J2201" t="s">
        <v>839</v>
      </c>
      <c r="K2201" t="s">
        <v>812</v>
      </c>
      <c r="M2201" t="s">
        <v>1519</v>
      </c>
      <c r="R2201" t="s">
        <v>81</v>
      </c>
      <c r="U2201" t="s">
        <v>81</v>
      </c>
      <c r="V2201" t="s">
        <v>81</v>
      </c>
      <c r="W2201">
        <v>4</v>
      </c>
      <c r="X2201" t="s">
        <v>1135</v>
      </c>
      <c r="Z2201" t="s">
        <v>38</v>
      </c>
      <c r="AB2201" t="s">
        <v>921</v>
      </c>
      <c r="AC2201" t="s">
        <v>1413</v>
      </c>
      <c r="AD2201" t="s">
        <v>39</v>
      </c>
    </row>
    <row r="2202" spans="1:30" x14ac:dyDescent="0.25">
      <c r="A2202">
        <v>139</v>
      </c>
      <c r="B2202" t="s">
        <v>217</v>
      </c>
      <c r="C2202">
        <v>6</v>
      </c>
      <c r="D2202">
        <v>328</v>
      </c>
      <c r="E2202">
        <v>934</v>
      </c>
      <c r="F2202" t="s">
        <v>77</v>
      </c>
      <c r="G2202" t="s">
        <v>746</v>
      </c>
      <c r="H2202">
        <v>9</v>
      </c>
      <c r="I2202">
        <v>129.86000000000001</v>
      </c>
      <c r="J2202" t="s">
        <v>839</v>
      </c>
      <c r="K2202" t="s">
        <v>812</v>
      </c>
      <c r="M2202" t="s">
        <v>1519</v>
      </c>
      <c r="R2202" t="s">
        <v>81</v>
      </c>
      <c r="U2202" t="s">
        <v>81</v>
      </c>
      <c r="W2202">
        <v>4</v>
      </c>
      <c r="X2202" t="s">
        <v>1135</v>
      </c>
      <c r="Z2202" t="s">
        <v>38</v>
      </c>
      <c r="AB2202" t="s">
        <v>921</v>
      </c>
      <c r="AC2202" t="s">
        <v>1413</v>
      </c>
      <c r="AD2202" t="s">
        <v>39</v>
      </c>
    </row>
    <row r="2203" spans="1:30" x14ac:dyDescent="0.25">
      <c r="A2203">
        <v>140</v>
      </c>
      <c r="B2203" t="s">
        <v>148</v>
      </c>
      <c r="C2203">
        <v>6</v>
      </c>
      <c r="D2203">
        <v>328</v>
      </c>
      <c r="E2203">
        <v>934</v>
      </c>
      <c r="F2203" t="s">
        <v>77</v>
      </c>
      <c r="G2203" t="s">
        <v>746</v>
      </c>
      <c r="H2203">
        <v>4</v>
      </c>
      <c r="I2203">
        <v>57.72</v>
      </c>
      <c r="J2203" t="s">
        <v>839</v>
      </c>
      <c r="K2203" t="s">
        <v>812</v>
      </c>
      <c r="M2203" t="s">
        <v>1519</v>
      </c>
      <c r="R2203" t="s">
        <v>81</v>
      </c>
      <c r="U2203" t="s">
        <v>81</v>
      </c>
      <c r="W2203">
        <v>4</v>
      </c>
      <c r="X2203" t="s">
        <v>1135</v>
      </c>
      <c r="Z2203" t="s">
        <v>38</v>
      </c>
      <c r="AB2203" t="s">
        <v>921</v>
      </c>
      <c r="AC2203" t="s">
        <v>1413</v>
      </c>
      <c r="AD2203" t="s">
        <v>39</v>
      </c>
    </row>
    <row r="2204" spans="1:30" x14ac:dyDescent="0.25">
      <c r="A2204">
        <v>141</v>
      </c>
      <c r="B2204" t="s">
        <v>123</v>
      </c>
      <c r="C2204">
        <v>6</v>
      </c>
      <c r="D2204">
        <v>298</v>
      </c>
      <c r="E2204">
        <v>378</v>
      </c>
      <c r="F2204" t="s">
        <v>77</v>
      </c>
      <c r="G2204" t="s">
        <v>746</v>
      </c>
      <c r="H2204">
        <v>2</v>
      </c>
      <c r="I2204">
        <v>10.54</v>
      </c>
      <c r="J2204" t="s">
        <v>839</v>
      </c>
      <c r="K2204" t="s">
        <v>812</v>
      </c>
      <c r="M2204" t="s">
        <v>1519</v>
      </c>
      <c r="Q2204" t="s">
        <v>26</v>
      </c>
      <c r="R2204" t="s">
        <v>81</v>
      </c>
      <c r="W2204">
        <v>4</v>
      </c>
      <c r="X2204" t="s">
        <v>1135</v>
      </c>
      <c r="Z2204" t="s">
        <v>38</v>
      </c>
      <c r="AB2204" t="s">
        <v>921</v>
      </c>
      <c r="AC2204" t="s">
        <v>1413</v>
      </c>
      <c r="AD2204" t="s">
        <v>39</v>
      </c>
    </row>
    <row r="2205" spans="1:30" x14ac:dyDescent="0.25">
      <c r="A2205">
        <v>142</v>
      </c>
      <c r="B2205" t="s">
        <v>179</v>
      </c>
      <c r="C2205">
        <v>6</v>
      </c>
      <c r="D2205">
        <v>328</v>
      </c>
      <c r="E2205">
        <v>934</v>
      </c>
      <c r="F2205" t="s">
        <v>77</v>
      </c>
      <c r="G2205" t="s">
        <v>746</v>
      </c>
      <c r="H2205">
        <v>1</v>
      </c>
      <c r="I2205">
        <v>14.43</v>
      </c>
      <c r="J2205" t="s">
        <v>839</v>
      </c>
      <c r="K2205" t="s">
        <v>812</v>
      </c>
      <c r="M2205" t="s">
        <v>1519</v>
      </c>
      <c r="S2205" t="s">
        <v>81</v>
      </c>
      <c r="U2205" t="s">
        <v>81</v>
      </c>
      <c r="W2205">
        <v>4</v>
      </c>
      <c r="X2205" t="s">
        <v>1135</v>
      </c>
      <c r="Z2205" t="s">
        <v>38</v>
      </c>
      <c r="AB2205" t="s">
        <v>921</v>
      </c>
      <c r="AC2205" t="s">
        <v>1415</v>
      </c>
      <c r="AD2205" t="s">
        <v>987</v>
      </c>
    </row>
    <row r="2206" spans="1:30" x14ac:dyDescent="0.25">
      <c r="A2206">
        <v>143</v>
      </c>
      <c r="B2206" t="s">
        <v>206</v>
      </c>
      <c r="C2206">
        <v>6</v>
      </c>
      <c r="D2206">
        <v>188</v>
      </c>
      <c r="E2206">
        <v>2348</v>
      </c>
      <c r="F2206" t="s">
        <v>77</v>
      </c>
      <c r="G2206" t="s">
        <v>746</v>
      </c>
      <c r="H2206">
        <v>2</v>
      </c>
      <c r="I2206">
        <v>41.23</v>
      </c>
      <c r="J2206" t="s">
        <v>839</v>
      </c>
      <c r="K2206" t="s">
        <v>812</v>
      </c>
      <c r="M2206" t="s">
        <v>1519</v>
      </c>
      <c r="S2206" t="s">
        <v>81</v>
      </c>
      <c r="U2206" t="s">
        <v>81</v>
      </c>
      <c r="V2206" t="s">
        <v>81</v>
      </c>
      <c r="W2206">
        <v>4</v>
      </c>
      <c r="X2206" t="s">
        <v>1135</v>
      </c>
      <c r="Z2206" t="s">
        <v>38</v>
      </c>
      <c r="AB2206" t="s">
        <v>921</v>
      </c>
      <c r="AC2206" t="s">
        <v>1415</v>
      </c>
      <c r="AD2206" t="s">
        <v>987</v>
      </c>
    </row>
    <row r="2207" spans="1:30" x14ac:dyDescent="0.25">
      <c r="A2207">
        <v>144</v>
      </c>
      <c r="B2207" t="s">
        <v>196</v>
      </c>
      <c r="C2207">
        <v>6</v>
      </c>
      <c r="D2207">
        <v>328</v>
      </c>
      <c r="E2207">
        <v>894</v>
      </c>
      <c r="F2207" t="s">
        <v>77</v>
      </c>
      <c r="G2207" t="s">
        <v>746</v>
      </c>
      <c r="H2207">
        <v>1</v>
      </c>
      <c r="I2207">
        <v>13.81</v>
      </c>
      <c r="J2207" t="s">
        <v>839</v>
      </c>
      <c r="K2207" t="s">
        <v>812</v>
      </c>
      <c r="M2207" t="s">
        <v>1519</v>
      </c>
      <c r="S2207" t="s">
        <v>81</v>
      </c>
      <c r="U2207" t="s">
        <v>81</v>
      </c>
      <c r="W2207">
        <v>4</v>
      </c>
      <c r="X2207" t="s">
        <v>1135</v>
      </c>
      <c r="Z2207" t="s">
        <v>38</v>
      </c>
      <c r="AB2207" t="s">
        <v>921</v>
      </c>
      <c r="AC2207" t="s">
        <v>1415</v>
      </c>
      <c r="AD2207" t="s">
        <v>987</v>
      </c>
    </row>
    <row r="2208" spans="1:30" x14ac:dyDescent="0.25">
      <c r="A2208">
        <v>145</v>
      </c>
      <c r="B2208" t="s">
        <v>220</v>
      </c>
      <c r="C2208">
        <v>6</v>
      </c>
      <c r="D2208">
        <v>188</v>
      </c>
      <c r="E2208">
        <v>2348</v>
      </c>
      <c r="F2208" t="s">
        <v>77</v>
      </c>
      <c r="G2208" t="s">
        <v>746</v>
      </c>
      <c r="H2208">
        <v>12</v>
      </c>
      <c r="I2208">
        <v>247.35</v>
      </c>
      <c r="J2208" t="s">
        <v>839</v>
      </c>
      <c r="K2208" t="s">
        <v>812</v>
      </c>
      <c r="M2208" t="s">
        <v>1519</v>
      </c>
      <c r="S2208" t="s">
        <v>81</v>
      </c>
      <c r="U2208" t="s">
        <v>81</v>
      </c>
      <c r="V2208" t="s">
        <v>81</v>
      </c>
      <c r="W2208">
        <v>4</v>
      </c>
      <c r="X2208" t="s">
        <v>1135</v>
      </c>
      <c r="Z2208" t="s">
        <v>38</v>
      </c>
      <c r="AB2208" t="s">
        <v>921</v>
      </c>
      <c r="AC2208" t="s">
        <v>1415</v>
      </c>
      <c r="AD2208" t="s">
        <v>987</v>
      </c>
    </row>
    <row r="2209" spans="1:30" x14ac:dyDescent="0.25">
      <c r="A2209">
        <v>146</v>
      </c>
      <c r="B2209" t="s">
        <v>116</v>
      </c>
      <c r="C2209">
        <v>6</v>
      </c>
      <c r="D2209">
        <v>298</v>
      </c>
      <c r="E2209">
        <v>378</v>
      </c>
      <c r="F2209" t="s">
        <v>77</v>
      </c>
      <c r="G2209" t="s">
        <v>746</v>
      </c>
      <c r="H2209">
        <v>1</v>
      </c>
      <c r="I2209">
        <v>5.27</v>
      </c>
      <c r="J2209" t="s">
        <v>839</v>
      </c>
      <c r="K2209" t="s">
        <v>812</v>
      </c>
      <c r="M2209" t="s">
        <v>1519</v>
      </c>
      <c r="Q2209" t="s">
        <v>26</v>
      </c>
      <c r="S2209" t="s">
        <v>81</v>
      </c>
      <c r="W2209">
        <v>4</v>
      </c>
      <c r="X2209" t="s">
        <v>1135</v>
      </c>
      <c r="Z2209" t="s">
        <v>38</v>
      </c>
      <c r="AB2209" t="s">
        <v>921</v>
      </c>
      <c r="AC2209" t="s">
        <v>1415</v>
      </c>
      <c r="AD2209" t="s">
        <v>987</v>
      </c>
    </row>
    <row r="2210" spans="1:30" x14ac:dyDescent="0.25">
      <c r="A2210">
        <v>147</v>
      </c>
      <c r="B2210" t="s">
        <v>123</v>
      </c>
      <c r="C2210">
        <v>6</v>
      </c>
      <c r="D2210">
        <v>298</v>
      </c>
      <c r="E2210">
        <v>378</v>
      </c>
      <c r="F2210" t="s">
        <v>77</v>
      </c>
      <c r="G2210" t="s">
        <v>746</v>
      </c>
      <c r="H2210">
        <v>2</v>
      </c>
      <c r="I2210">
        <v>10.54</v>
      </c>
      <c r="J2210" t="s">
        <v>839</v>
      </c>
      <c r="K2210" t="s">
        <v>812</v>
      </c>
      <c r="M2210" t="s">
        <v>1519</v>
      </c>
      <c r="Q2210" t="s">
        <v>26</v>
      </c>
      <c r="S2210" t="s">
        <v>81</v>
      </c>
      <c r="W2210">
        <v>4</v>
      </c>
      <c r="X2210" t="s">
        <v>1135</v>
      </c>
      <c r="Z2210" t="s">
        <v>38</v>
      </c>
      <c r="AB2210" t="s">
        <v>921</v>
      </c>
      <c r="AC2210" t="s">
        <v>1415</v>
      </c>
      <c r="AD2210" t="s">
        <v>987</v>
      </c>
    </row>
    <row r="2211" spans="1:30" x14ac:dyDescent="0.25">
      <c r="A2211">
        <v>148</v>
      </c>
      <c r="B2211" t="s">
        <v>171</v>
      </c>
      <c r="C2211">
        <v>6</v>
      </c>
      <c r="D2211">
        <v>298</v>
      </c>
      <c r="E2211">
        <v>378</v>
      </c>
      <c r="F2211" t="s">
        <v>77</v>
      </c>
      <c r="G2211" t="s">
        <v>746</v>
      </c>
      <c r="H2211">
        <v>2</v>
      </c>
      <c r="I2211">
        <v>10.54</v>
      </c>
      <c r="J2211" t="s">
        <v>839</v>
      </c>
      <c r="K2211" t="s">
        <v>812</v>
      </c>
      <c r="M2211" t="s">
        <v>1519</v>
      </c>
      <c r="Q2211" t="s">
        <v>26</v>
      </c>
      <c r="S2211" t="s">
        <v>81</v>
      </c>
      <c r="W2211">
        <v>4</v>
      </c>
      <c r="X2211" t="s">
        <v>1135</v>
      </c>
      <c r="Z2211" t="s">
        <v>38</v>
      </c>
      <c r="AB2211" t="s">
        <v>921</v>
      </c>
      <c r="AC2211" t="s">
        <v>1415</v>
      </c>
      <c r="AD2211" t="s">
        <v>987</v>
      </c>
    </row>
    <row r="2212" spans="1:30" x14ac:dyDescent="0.25">
      <c r="A2212">
        <v>149</v>
      </c>
      <c r="B2212" t="s">
        <v>221</v>
      </c>
      <c r="C2212">
        <v>8</v>
      </c>
      <c r="D2212">
        <v>334</v>
      </c>
      <c r="E2212">
        <v>11992</v>
      </c>
      <c r="F2212" t="s">
        <v>77</v>
      </c>
      <c r="G2212" t="s">
        <v>746</v>
      </c>
      <c r="H2212">
        <v>4</v>
      </c>
      <c r="I2212">
        <v>981.99</v>
      </c>
      <c r="J2212" t="s">
        <v>839</v>
      </c>
      <c r="K2212" t="s">
        <v>812</v>
      </c>
      <c r="M2212" t="s">
        <v>1519</v>
      </c>
      <c r="Q2212" t="s">
        <v>28</v>
      </c>
      <c r="R2212" t="s">
        <v>81</v>
      </c>
      <c r="W2212">
        <v>4</v>
      </c>
      <c r="X2212" t="s">
        <v>1135</v>
      </c>
      <c r="Z2212" t="s">
        <v>38</v>
      </c>
      <c r="AB2212" t="s">
        <v>921</v>
      </c>
      <c r="AC2212" t="s">
        <v>1417</v>
      </c>
      <c r="AD2212" t="s">
        <v>39</v>
      </c>
    </row>
    <row r="2213" spans="1:30" x14ac:dyDescent="0.25">
      <c r="A2213">
        <v>150</v>
      </c>
      <c r="B2213" t="s">
        <v>226</v>
      </c>
      <c r="C2213">
        <v>8</v>
      </c>
      <c r="D2213">
        <v>334</v>
      </c>
      <c r="E2213">
        <v>11998</v>
      </c>
      <c r="F2213" t="s">
        <v>77</v>
      </c>
      <c r="G2213" t="s">
        <v>746</v>
      </c>
      <c r="H2213">
        <v>1</v>
      </c>
      <c r="I2213">
        <v>244.33</v>
      </c>
      <c r="J2213" t="s">
        <v>839</v>
      </c>
      <c r="K2213" t="s">
        <v>812</v>
      </c>
      <c r="M2213" t="s">
        <v>1519</v>
      </c>
      <c r="O2213" t="s">
        <v>228</v>
      </c>
      <c r="Q2213" t="s">
        <v>28</v>
      </c>
      <c r="R2213" t="s">
        <v>81</v>
      </c>
      <c r="W2213">
        <v>4</v>
      </c>
      <c r="X2213" t="s">
        <v>1135</v>
      </c>
      <c r="Z2213" t="s">
        <v>38</v>
      </c>
      <c r="AB2213" t="s">
        <v>921</v>
      </c>
      <c r="AC2213" t="s">
        <v>1417</v>
      </c>
      <c r="AD2213" t="s">
        <v>39</v>
      </c>
    </row>
    <row r="2214" spans="1:30" x14ac:dyDescent="0.25">
      <c r="A2214">
        <v>151</v>
      </c>
      <c r="B2214" t="s">
        <v>229</v>
      </c>
      <c r="C2214">
        <v>8</v>
      </c>
      <c r="D2214">
        <v>90</v>
      </c>
      <c r="E2214">
        <v>150</v>
      </c>
      <c r="F2214" t="s">
        <v>77</v>
      </c>
      <c r="G2214" t="s">
        <v>746</v>
      </c>
      <c r="H2214">
        <v>1</v>
      </c>
      <c r="I2214">
        <v>0.62</v>
      </c>
      <c r="J2214" t="s">
        <v>839</v>
      </c>
      <c r="K2214" t="s">
        <v>812</v>
      </c>
      <c r="M2214" t="s">
        <v>1519</v>
      </c>
      <c r="Q2214" t="s">
        <v>26</v>
      </c>
      <c r="R2214" t="s">
        <v>81</v>
      </c>
      <c r="W2214">
        <v>4</v>
      </c>
      <c r="X2214" t="s">
        <v>1135</v>
      </c>
      <c r="Z2214" t="s">
        <v>38</v>
      </c>
      <c r="AB2214" t="s">
        <v>921</v>
      </c>
      <c r="AC2214" t="s">
        <v>1417</v>
      </c>
      <c r="AD2214" t="s">
        <v>39</v>
      </c>
    </row>
    <row r="2215" spans="1:30" x14ac:dyDescent="0.25">
      <c r="A2215">
        <v>152</v>
      </c>
      <c r="B2215" t="s">
        <v>231</v>
      </c>
      <c r="C2215">
        <v>8</v>
      </c>
      <c r="D2215">
        <v>150</v>
      </c>
      <c r="E2215">
        <v>4252</v>
      </c>
      <c r="F2215" t="s">
        <v>77</v>
      </c>
      <c r="G2215" t="s">
        <v>746</v>
      </c>
      <c r="H2215">
        <v>2</v>
      </c>
      <c r="I2215">
        <v>80.11</v>
      </c>
      <c r="J2215" t="s">
        <v>839</v>
      </c>
      <c r="K2215" t="s">
        <v>812</v>
      </c>
      <c r="M2215" t="s">
        <v>1519</v>
      </c>
      <c r="Q2215" t="s">
        <v>28</v>
      </c>
      <c r="R2215" t="s">
        <v>81</v>
      </c>
      <c r="W2215">
        <v>4</v>
      </c>
      <c r="X2215" t="s">
        <v>1135</v>
      </c>
      <c r="Z2215" t="s">
        <v>38</v>
      </c>
      <c r="AB2215" t="s">
        <v>921</v>
      </c>
      <c r="AC2215" t="s">
        <v>1417</v>
      </c>
      <c r="AD2215" t="s">
        <v>39</v>
      </c>
    </row>
    <row r="2216" spans="1:30" x14ac:dyDescent="0.25">
      <c r="A2216">
        <v>153</v>
      </c>
      <c r="B2216" t="s">
        <v>233</v>
      </c>
      <c r="C2216">
        <v>8</v>
      </c>
      <c r="D2216">
        <v>150</v>
      </c>
      <c r="E2216">
        <v>6824</v>
      </c>
      <c r="F2216" t="s">
        <v>77</v>
      </c>
      <c r="G2216" t="s">
        <v>746</v>
      </c>
      <c r="H2216">
        <v>2</v>
      </c>
      <c r="I2216">
        <v>128.56</v>
      </c>
      <c r="J2216" t="s">
        <v>839</v>
      </c>
      <c r="K2216" t="s">
        <v>812</v>
      </c>
      <c r="M2216" t="s">
        <v>1519</v>
      </c>
      <c r="Q2216" t="s">
        <v>28</v>
      </c>
      <c r="R2216" t="s">
        <v>81</v>
      </c>
      <c r="W2216">
        <v>4</v>
      </c>
      <c r="X2216" t="s">
        <v>1135</v>
      </c>
      <c r="Z2216" t="s">
        <v>38</v>
      </c>
      <c r="AB2216" t="s">
        <v>921</v>
      </c>
      <c r="AC2216" t="s">
        <v>1417</v>
      </c>
      <c r="AD2216" t="s">
        <v>39</v>
      </c>
    </row>
    <row r="2217" spans="1:30" x14ac:dyDescent="0.25">
      <c r="A2217">
        <v>154</v>
      </c>
      <c r="B2217" t="s">
        <v>235</v>
      </c>
      <c r="C2217">
        <v>8</v>
      </c>
      <c r="D2217">
        <v>150</v>
      </c>
      <c r="E2217">
        <v>792</v>
      </c>
      <c r="F2217" t="s">
        <v>77</v>
      </c>
      <c r="G2217" t="s">
        <v>746</v>
      </c>
      <c r="H2217">
        <v>2</v>
      </c>
      <c r="I2217">
        <v>14.92</v>
      </c>
      <c r="J2217" t="s">
        <v>839</v>
      </c>
      <c r="K2217" t="s">
        <v>812</v>
      </c>
      <c r="M2217" t="s">
        <v>1519</v>
      </c>
      <c r="Q2217" t="s">
        <v>28</v>
      </c>
      <c r="R2217" t="s">
        <v>81</v>
      </c>
      <c r="W2217">
        <v>4</v>
      </c>
      <c r="X2217" t="s">
        <v>1135</v>
      </c>
      <c r="Z2217" t="s">
        <v>38</v>
      </c>
      <c r="AB2217" t="s">
        <v>921</v>
      </c>
      <c r="AC2217" t="s">
        <v>1417</v>
      </c>
      <c r="AD2217" t="s">
        <v>39</v>
      </c>
    </row>
    <row r="2218" spans="1:30" x14ac:dyDescent="0.25">
      <c r="A2218">
        <v>155</v>
      </c>
      <c r="B2218" t="s">
        <v>237</v>
      </c>
      <c r="C2218">
        <v>8</v>
      </c>
      <c r="D2218">
        <v>148</v>
      </c>
      <c r="E2218">
        <v>441</v>
      </c>
      <c r="F2218" t="s">
        <v>77</v>
      </c>
      <c r="G2218" t="s">
        <v>746</v>
      </c>
      <c r="H2218">
        <v>1</v>
      </c>
      <c r="I2218">
        <v>4.0999999999999996</v>
      </c>
      <c r="J2218" t="s">
        <v>839</v>
      </c>
      <c r="K2218" t="s">
        <v>812</v>
      </c>
      <c r="M2218" t="s">
        <v>1519</v>
      </c>
      <c r="Q2218" t="s">
        <v>26</v>
      </c>
      <c r="R2218" t="s">
        <v>81</v>
      </c>
      <c r="W2218">
        <v>4</v>
      </c>
      <c r="X2218" t="s">
        <v>1135</v>
      </c>
      <c r="Z2218" t="s">
        <v>38</v>
      </c>
      <c r="AB2218" t="s">
        <v>921</v>
      </c>
      <c r="AC2218" t="s">
        <v>1419</v>
      </c>
      <c r="AD2218" t="s">
        <v>39</v>
      </c>
    </row>
    <row r="2219" spans="1:30" x14ac:dyDescent="0.25">
      <c r="A2219">
        <v>156</v>
      </c>
      <c r="B2219" t="s">
        <v>241</v>
      </c>
      <c r="C2219">
        <v>8</v>
      </c>
      <c r="D2219">
        <v>156</v>
      </c>
      <c r="E2219">
        <v>465</v>
      </c>
      <c r="F2219" t="s">
        <v>77</v>
      </c>
      <c r="G2219" t="s">
        <v>746</v>
      </c>
      <c r="H2219">
        <v>1</v>
      </c>
      <c r="I2219">
        <v>4.55</v>
      </c>
      <c r="J2219" t="s">
        <v>839</v>
      </c>
      <c r="K2219" t="s">
        <v>812</v>
      </c>
      <c r="M2219" t="s">
        <v>1519</v>
      </c>
      <c r="Q2219" t="s">
        <v>26</v>
      </c>
      <c r="R2219" t="s">
        <v>81</v>
      </c>
      <c r="W2219">
        <v>4</v>
      </c>
      <c r="X2219" t="s">
        <v>1135</v>
      </c>
      <c r="Z2219" t="s">
        <v>38</v>
      </c>
      <c r="AB2219" t="s">
        <v>921</v>
      </c>
      <c r="AC2219" t="s">
        <v>1419</v>
      </c>
      <c r="AD2219" t="s">
        <v>39</v>
      </c>
    </row>
    <row r="2220" spans="1:30" x14ac:dyDescent="0.25">
      <c r="A2220">
        <v>157</v>
      </c>
      <c r="B2220" t="s">
        <v>243</v>
      </c>
      <c r="C2220">
        <v>8</v>
      </c>
      <c r="D2220">
        <v>464</v>
      </c>
      <c r="E2220">
        <v>12000</v>
      </c>
      <c r="F2220" t="s">
        <v>77</v>
      </c>
      <c r="G2220" t="s">
        <v>746</v>
      </c>
      <c r="H2220">
        <v>1</v>
      </c>
      <c r="I2220">
        <v>332.54</v>
      </c>
      <c r="J2220" t="s">
        <v>839</v>
      </c>
      <c r="K2220" t="s">
        <v>812</v>
      </c>
      <c r="M2220" t="s">
        <v>1519</v>
      </c>
      <c r="O2220" t="s">
        <v>228</v>
      </c>
      <c r="Q2220" t="s">
        <v>28</v>
      </c>
      <c r="R2220" t="s">
        <v>81</v>
      </c>
      <c r="W2220">
        <v>4</v>
      </c>
      <c r="X2220" t="s">
        <v>1135</v>
      </c>
      <c r="Z2220" t="s">
        <v>38</v>
      </c>
      <c r="AB2220" t="s">
        <v>921</v>
      </c>
      <c r="AC2220" t="s">
        <v>1419</v>
      </c>
      <c r="AD2220" t="s">
        <v>39</v>
      </c>
    </row>
    <row r="2221" spans="1:30" x14ac:dyDescent="0.25">
      <c r="A2221">
        <v>158</v>
      </c>
      <c r="B2221" t="s">
        <v>245</v>
      </c>
      <c r="C2221">
        <v>8</v>
      </c>
      <c r="D2221">
        <v>342</v>
      </c>
      <c r="E2221">
        <v>11990</v>
      </c>
      <c r="F2221" t="s">
        <v>77</v>
      </c>
      <c r="G2221" t="s">
        <v>746</v>
      </c>
      <c r="H2221">
        <v>1</v>
      </c>
      <c r="I2221">
        <v>244.16</v>
      </c>
      <c r="J2221" t="s">
        <v>839</v>
      </c>
      <c r="K2221" t="s">
        <v>812</v>
      </c>
      <c r="M2221" t="s">
        <v>1519</v>
      </c>
      <c r="O2221" t="s">
        <v>228</v>
      </c>
      <c r="Q2221" t="s">
        <v>28</v>
      </c>
      <c r="R2221" t="s">
        <v>81</v>
      </c>
      <c r="W2221">
        <v>4</v>
      </c>
      <c r="X2221" t="s">
        <v>1135</v>
      </c>
      <c r="Z2221" t="s">
        <v>38</v>
      </c>
      <c r="AB2221" t="s">
        <v>921</v>
      </c>
      <c r="AC2221" t="s">
        <v>1419</v>
      </c>
      <c r="AD2221" t="s">
        <v>39</v>
      </c>
    </row>
    <row r="2222" spans="1:30" x14ac:dyDescent="0.25">
      <c r="A2222">
        <v>159</v>
      </c>
      <c r="B2222" t="s">
        <v>226</v>
      </c>
      <c r="C2222">
        <v>8</v>
      </c>
      <c r="D2222">
        <v>334</v>
      </c>
      <c r="E2222">
        <v>11998</v>
      </c>
      <c r="F2222" t="s">
        <v>77</v>
      </c>
      <c r="G2222" t="s">
        <v>746</v>
      </c>
      <c r="H2222">
        <v>3</v>
      </c>
      <c r="I2222">
        <v>732.99</v>
      </c>
      <c r="J2222" t="s">
        <v>839</v>
      </c>
      <c r="K2222" t="s">
        <v>812</v>
      </c>
      <c r="M2222" t="s">
        <v>1519</v>
      </c>
      <c r="O2222" t="s">
        <v>228</v>
      </c>
      <c r="Q2222" t="s">
        <v>28</v>
      </c>
      <c r="R2222" t="s">
        <v>81</v>
      </c>
      <c r="W2222">
        <v>4</v>
      </c>
      <c r="X2222" t="s">
        <v>1135</v>
      </c>
      <c r="Z2222" t="s">
        <v>38</v>
      </c>
      <c r="AB2222" t="s">
        <v>921</v>
      </c>
      <c r="AC2222" t="s">
        <v>1419</v>
      </c>
      <c r="AD2222" t="s">
        <v>39</v>
      </c>
    </row>
    <row r="2223" spans="1:30" x14ac:dyDescent="0.25">
      <c r="A2223">
        <v>160</v>
      </c>
      <c r="B2223" t="s">
        <v>231</v>
      </c>
      <c r="C2223">
        <v>8</v>
      </c>
      <c r="D2223">
        <v>150</v>
      </c>
      <c r="E2223">
        <v>4252</v>
      </c>
      <c r="F2223" t="s">
        <v>77</v>
      </c>
      <c r="G2223" t="s">
        <v>746</v>
      </c>
      <c r="H2223">
        <v>1</v>
      </c>
      <c r="I2223">
        <v>40.049999999999997</v>
      </c>
      <c r="J2223" t="s">
        <v>839</v>
      </c>
      <c r="K2223" t="s">
        <v>812</v>
      </c>
      <c r="M2223" t="s">
        <v>1519</v>
      </c>
      <c r="Q2223" t="s">
        <v>28</v>
      </c>
      <c r="R2223" t="s">
        <v>81</v>
      </c>
      <c r="W2223">
        <v>4</v>
      </c>
      <c r="X2223" t="s">
        <v>1135</v>
      </c>
      <c r="Z2223" t="s">
        <v>38</v>
      </c>
      <c r="AB2223" t="s">
        <v>921</v>
      </c>
      <c r="AC2223" t="s">
        <v>1419</v>
      </c>
      <c r="AD2223" t="s">
        <v>39</v>
      </c>
    </row>
    <row r="2224" spans="1:30" x14ac:dyDescent="0.25">
      <c r="A2224">
        <v>161</v>
      </c>
      <c r="B2224" t="s">
        <v>233</v>
      </c>
      <c r="C2224">
        <v>8</v>
      </c>
      <c r="D2224">
        <v>150</v>
      </c>
      <c r="E2224">
        <v>6824</v>
      </c>
      <c r="F2224" t="s">
        <v>77</v>
      </c>
      <c r="G2224" t="s">
        <v>746</v>
      </c>
      <c r="H2224">
        <v>1</v>
      </c>
      <c r="I2224">
        <v>64.28</v>
      </c>
      <c r="J2224" t="s">
        <v>839</v>
      </c>
      <c r="K2224" t="s">
        <v>812</v>
      </c>
      <c r="M2224" t="s">
        <v>1519</v>
      </c>
      <c r="Q2224" t="s">
        <v>28</v>
      </c>
      <c r="R2224" t="s">
        <v>81</v>
      </c>
      <c r="W2224">
        <v>4</v>
      </c>
      <c r="X2224" t="s">
        <v>1135</v>
      </c>
      <c r="Z2224" t="s">
        <v>38</v>
      </c>
      <c r="AB2224" t="s">
        <v>921</v>
      </c>
      <c r="AC2224" t="s">
        <v>1419</v>
      </c>
      <c r="AD2224" t="s">
        <v>39</v>
      </c>
    </row>
    <row r="2225" spans="1:30" x14ac:dyDescent="0.25">
      <c r="A2225">
        <v>162</v>
      </c>
      <c r="B2225" t="s">
        <v>243</v>
      </c>
      <c r="C2225">
        <v>8</v>
      </c>
      <c r="D2225">
        <v>464</v>
      </c>
      <c r="E2225">
        <v>12000</v>
      </c>
      <c r="F2225" t="s">
        <v>77</v>
      </c>
      <c r="G2225" t="s">
        <v>746</v>
      </c>
      <c r="H2225">
        <v>1</v>
      </c>
      <c r="I2225">
        <v>332.54</v>
      </c>
      <c r="J2225" t="s">
        <v>839</v>
      </c>
      <c r="K2225" t="s">
        <v>812</v>
      </c>
      <c r="M2225" t="s">
        <v>1519</v>
      </c>
      <c r="O2225" t="s">
        <v>228</v>
      </c>
      <c r="Q2225" t="s">
        <v>28</v>
      </c>
      <c r="R2225" t="s">
        <v>81</v>
      </c>
      <c r="W2225">
        <v>4</v>
      </c>
      <c r="X2225" t="s">
        <v>1135</v>
      </c>
      <c r="Z2225" t="s">
        <v>38</v>
      </c>
      <c r="AB2225" t="s">
        <v>921</v>
      </c>
      <c r="AC2225" t="s">
        <v>1421</v>
      </c>
      <c r="AD2225" t="s">
        <v>39</v>
      </c>
    </row>
    <row r="2226" spans="1:30" x14ac:dyDescent="0.25">
      <c r="A2226">
        <v>163</v>
      </c>
      <c r="B2226" t="s">
        <v>249</v>
      </c>
      <c r="C2226">
        <v>8</v>
      </c>
      <c r="D2226">
        <v>347</v>
      </c>
      <c r="E2226">
        <v>12000</v>
      </c>
      <c r="F2226" t="s">
        <v>77</v>
      </c>
      <c r="G2226" t="s">
        <v>746</v>
      </c>
      <c r="H2226">
        <v>4</v>
      </c>
      <c r="I2226">
        <v>977.5</v>
      </c>
      <c r="J2226" t="s">
        <v>839</v>
      </c>
      <c r="K2226" t="s">
        <v>812</v>
      </c>
      <c r="M2226" t="s">
        <v>1519</v>
      </c>
      <c r="O2226" t="s">
        <v>228</v>
      </c>
      <c r="Q2226" t="s">
        <v>28</v>
      </c>
      <c r="R2226" t="s">
        <v>81</v>
      </c>
      <c r="W2226">
        <v>4</v>
      </c>
      <c r="X2226" t="s">
        <v>1135</v>
      </c>
      <c r="Z2226" t="s">
        <v>38</v>
      </c>
      <c r="AB2226" t="s">
        <v>921</v>
      </c>
      <c r="AC2226" t="s">
        <v>1421</v>
      </c>
      <c r="AD2226" t="s">
        <v>39</v>
      </c>
    </row>
    <row r="2227" spans="1:30" x14ac:dyDescent="0.25">
      <c r="A2227">
        <v>164</v>
      </c>
      <c r="B2227" t="s">
        <v>229</v>
      </c>
      <c r="C2227">
        <v>8</v>
      </c>
      <c r="D2227">
        <v>90</v>
      </c>
      <c r="E2227">
        <v>150</v>
      </c>
      <c r="F2227" t="s">
        <v>77</v>
      </c>
      <c r="G2227" t="s">
        <v>746</v>
      </c>
      <c r="H2227">
        <v>1</v>
      </c>
      <c r="I2227">
        <v>0.62</v>
      </c>
      <c r="J2227" t="s">
        <v>839</v>
      </c>
      <c r="K2227" t="s">
        <v>812</v>
      </c>
      <c r="M2227" t="s">
        <v>1519</v>
      </c>
      <c r="Q2227" t="s">
        <v>26</v>
      </c>
      <c r="R2227" t="s">
        <v>81</v>
      </c>
      <c r="W2227">
        <v>4</v>
      </c>
      <c r="X2227" t="s">
        <v>1135</v>
      </c>
      <c r="Z2227" t="s">
        <v>38</v>
      </c>
      <c r="AB2227" t="s">
        <v>921</v>
      </c>
      <c r="AC2227" t="s">
        <v>1421</v>
      </c>
      <c r="AD2227" t="s">
        <v>39</v>
      </c>
    </row>
    <row r="2228" spans="1:30" x14ac:dyDescent="0.25">
      <c r="A2228">
        <v>165</v>
      </c>
      <c r="B2228" t="s">
        <v>231</v>
      </c>
      <c r="C2228">
        <v>8</v>
      </c>
      <c r="D2228">
        <v>150</v>
      </c>
      <c r="E2228">
        <v>4252</v>
      </c>
      <c r="F2228" t="s">
        <v>77</v>
      </c>
      <c r="G2228" t="s">
        <v>746</v>
      </c>
      <c r="H2228">
        <v>1</v>
      </c>
      <c r="I2228">
        <v>40.049999999999997</v>
      </c>
      <c r="J2228" t="s">
        <v>839</v>
      </c>
      <c r="K2228" t="s">
        <v>812</v>
      </c>
      <c r="M2228" t="s">
        <v>1519</v>
      </c>
      <c r="Q2228" t="s">
        <v>28</v>
      </c>
      <c r="R2228" t="s">
        <v>81</v>
      </c>
      <c r="W2228">
        <v>4</v>
      </c>
      <c r="X2228" t="s">
        <v>1135</v>
      </c>
      <c r="Z2228" t="s">
        <v>38</v>
      </c>
      <c r="AB2228" t="s">
        <v>921</v>
      </c>
      <c r="AC2228" t="s">
        <v>1421</v>
      </c>
      <c r="AD2228" t="s">
        <v>39</v>
      </c>
    </row>
    <row r="2229" spans="1:30" x14ac:dyDescent="0.25">
      <c r="A2229">
        <v>166</v>
      </c>
      <c r="B2229" t="s">
        <v>233</v>
      </c>
      <c r="C2229">
        <v>8</v>
      </c>
      <c r="D2229">
        <v>150</v>
      </c>
      <c r="E2229">
        <v>6824</v>
      </c>
      <c r="F2229" t="s">
        <v>77</v>
      </c>
      <c r="G2229" t="s">
        <v>746</v>
      </c>
      <c r="H2229">
        <v>1</v>
      </c>
      <c r="I2229">
        <v>64.28</v>
      </c>
      <c r="J2229" t="s">
        <v>839</v>
      </c>
      <c r="K2229" t="s">
        <v>812</v>
      </c>
      <c r="M2229" t="s">
        <v>1519</v>
      </c>
      <c r="Q2229" t="s">
        <v>28</v>
      </c>
      <c r="R2229" t="s">
        <v>81</v>
      </c>
      <c r="W2229">
        <v>4</v>
      </c>
      <c r="X2229" t="s">
        <v>1135</v>
      </c>
      <c r="Z2229" t="s">
        <v>38</v>
      </c>
      <c r="AB2229" t="s">
        <v>921</v>
      </c>
      <c r="AC2229" t="s">
        <v>1421</v>
      </c>
      <c r="AD2229" t="s">
        <v>39</v>
      </c>
    </row>
    <row r="2230" spans="1:30" x14ac:dyDescent="0.25">
      <c r="A2230">
        <v>167</v>
      </c>
      <c r="B2230" t="s">
        <v>235</v>
      </c>
      <c r="C2230">
        <v>8</v>
      </c>
      <c r="D2230">
        <v>150</v>
      </c>
      <c r="E2230">
        <v>792</v>
      </c>
      <c r="F2230" t="s">
        <v>77</v>
      </c>
      <c r="G2230" t="s">
        <v>746</v>
      </c>
      <c r="H2230">
        <v>1</v>
      </c>
      <c r="I2230">
        <v>7.46</v>
      </c>
      <c r="J2230" t="s">
        <v>839</v>
      </c>
      <c r="K2230" t="s">
        <v>812</v>
      </c>
      <c r="M2230" t="s">
        <v>1519</v>
      </c>
      <c r="Q2230" t="s">
        <v>28</v>
      </c>
      <c r="R2230" t="s">
        <v>81</v>
      </c>
      <c r="W2230">
        <v>4</v>
      </c>
      <c r="X2230" t="s">
        <v>1135</v>
      </c>
      <c r="Z2230" t="s">
        <v>38</v>
      </c>
      <c r="AB2230" t="s">
        <v>921</v>
      </c>
      <c r="AC2230" t="s">
        <v>1421</v>
      </c>
      <c r="AD2230" t="s">
        <v>39</v>
      </c>
    </row>
    <row r="2231" spans="1:30" x14ac:dyDescent="0.25">
      <c r="A2231">
        <v>168</v>
      </c>
      <c r="B2231" t="s">
        <v>251</v>
      </c>
      <c r="C2231">
        <v>8</v>
      </c>
      <c r="D2231">
        <v>459</v>
      </c>
      <c r="E2231">
        <v>11977</v>
      </c>
      <c r="F2231" t="s">
        <v>77</v>
      </c>
      <c r="G2231" t="s">
        <v>746</v>
      </c>
      <c r="H2231">
        <v>1</v>
      </c>
      <c r="I2231">
        <v>331.9</v>
      </c>
      <c r="J2231" t="s">
        <v>839</v>
      </c>
      <c r="K2231" t="s">
        <v>812</v>
      </c>
      <c r="M2231" t="s">
        <v>1519</v>
      </c>
      <c r="O2231" t="s">
        <v>228</v>
      </c>
      <c r="Q2231" t="s">
        <v>28</v>
      </c>
      <c r="R2231" t="s">
        <v>81</v>
      </c>
      <c r="W2231">
        <v>4</v>
      </c>
      <c r="X2231" t="s">
        <v>1135</v>
      </c>
      <c r="Z2231" t="s">
        <v>38</v>
      </c>
      <c r="AB2231" t="s">
        <v>921</v>
      </c>
      <c r="AC2231" t="s">
        <v>1423</v>
      </c>
      <c r="AD2231" t="s">
        <v>39</v>
      </c>
    </row>
    <row r="2232" spans="1:30" x14ac:dyDescent="0.25">
      <c r="A2232">
        <v>169</v>
      </c>
      <c r="B2232" t="s">
        <v>255</v>
      </c>
      <c r="C2232">
        <v>8</v>
      </c>
      <c r="D2232">
        <v>342</v>
      </c>
      <c r="E2232">
        <v>11990</v>
      </c>
      <c r="F2232" t="s">
        <v>77</v>
      </c>
      <c r="G2232" t="s">
        <v>746</v>
      </c>
      <c r="H2232">
        <v>3</v>
      </c>
      <c r="I2232">
        <v>732.47</v>
      </c>
      <c r="J2232" t="s">
        <v>839</v>
      </c>
      <c r="K2232" t="s">
        <v>812</v>
      </c>
      <c r="M2232" t="s">
        <v>1519</v>
      </c>
      <c r="O2232" t="s">
        <v>228</v>
      </c>
      <c r="Q2232" t="s">
        <v>28</v>
      </c>
      <c r="R2232" t="s">
        <v>81</v>
      </c>
      <c r="W2232">
        <v>4</v>
      </c>
      <c r="X2232" t="s">
        <v>1135</v>
      </c>
      <c r="Z2232" t="s">
        <v>38</v>
      </c>
      <c r="AB2232" t="s">
        <v>921</v>
      </c>
      <c r="AC2232" t="s">
        <v>1423</v>
      </c>
      <c r="AD2232" t="s">
        <v>39</v>
      </c>
    </row>
    <row r="2233" spans="1:30" x14ac:dyDescent="0.25">
      <c r="A2233">
        <v>170</v>
      </c>
      <c r="B2233" t="s">
        <v>256</v>
      </c>
      <c r="C2233">
        <v>8</v>
      </c>
      <c r="D2233">
        <v>458</v>
      </c>
      <c r="E2233">
        <v>11977</v>
      </c>
      <c r="F2233" t="s">
        <v>77</v>
      </c>
      <c r="G2233" t="s">
        <v>746</v>
      </c>
      <c r="H2233">
        <v>1</v>
      </c>
      <c r="I2233">
        <v>331.9</v>
      </c>
      <c r="J2233" t="s">
        <v>839</v>
      </c>
      <c r="K2233" t="s">
        <v>812</v>
      </c>
      <c r="M2233" t="s">
        <v>1519</v>
      </c>
      <c r="O2233" t="s">
        <v>228</v>
      </c>
      <c r="Q2233" t="s">
        <v>28</v>
      </c>
      <c r="R2233" t="s">
        <v>81</v>
      </c>
      <c r="W2233">
        <v>4</v>
      </c>
      <c r="X2233" t="s">
        <v>1135</v>
      </c>
      <c r="Z2233" t="s">
        <v>38</v>
      </c>
      <c r="AB2233" t="s">
        <v>921</v>
      </c>
      <c r="AC2233" t="s">
        <v>1423</v>
      </c>
      <c r="AD2233" t="s">
        <v>39</v>
      </c>
    </row>
    <row r="2234" spans="1:30" x14ac:dyDescent="0.25">
      <c r="A2234">
        <v>171</v>
      </c>
      <c r="B2234" t="s">
        <v>255</v>
      </c>
      <c r="C2234">
        <v>8</v>
      </c>
      <c r="D2234">
        <v>342</v>
      </c>
      <c r="E2234">
        <v>11990</v>
      </c>
      <c r="F2234" t="s">
        <v>77</v>
      </c>
      <c r="G2234" t="s">
        <v>746</v>
      </c>
      <c r="H2234">
        <v>1</v>
      </c>
      <c r="I2234">
        <v>244.16</v>
      </c>
      <c r="J2234" t="s">
        <v>839</v>
      </c>
      <c r="K2234" t="s">
        <v>812</v>
      </c>
      <c r="M2234" t="s">
        <v>1519</v>
      </c>
      <c r="O2234" t="s">
        <v>228</v>
      </c>
      <c r="Q2234" t="s">
        <v>28</v>
      </c>
      <c r="R2234" t="s">
        <v>81</v>
      </c>
      <c r="W2234">
        <v>4</v>
      </c>
      <c r="X2234" t="s">
        <v>1135</v>
      </c>
      <c r="Z2234" t="s">
        <v>38</v>
      </c>
      <c r="AB2234" t="s">
        <v>921</v>
      </c>
      <c r="AC2234" t="s">
        <v>1425</v>
      </c>
      <c r="AD2234" t="s">
        <v>39</v>
      </c>
    </row>
    <row r="2235" spans="1:30" x14ac:dyDescent="0.25">
      <c r="A2235">
        <v>172</v>
      </c>
      <c r="B2235" t="s">
        <v>245</v>
      </c>
      <c r="C2235">
        <v>8</v>
      </c>
      <c r="D2235">
        <v>342</v>
      </c>
      <c r="E2235">
        <v>11990</v>
      </c>
      <c r="F2235" t="s">
        <v>77</v>
      </c>
      <c r="G2235" t="s">
        <v>746</v>
      </c>
      <c r="H2235">
        <v>2</v>
      </c>
      <c r="I2235">
        <v>488.31</v>
      </c>
      <c r="J2235" t="s">
        <v>839</v>
      </c>
      <c r="K2235" t="s">
        <v>812</v>
      </c>
      <c r="M2235" t="s">
        <v>1519</v>
      </c>
      <c r="O2235" t="s">
        <v>228</v>
      </c>
      <c r="Q2235" t="s">
        <v>28</v>
      </c>
      <c r="R2235" t="s">
        <v>81</v>
      </c>
      <c r="W2235">
        <v>4</v>
      </c>
      <c r="X2235" t="s">
        <v>1135</v>
      </c>
      <c r="Z2235" t="s">
        <v>38</v>
      </c>
      <c r="AB2235" t="s">
        <v>921</v>
      </c>
      <c r="AC2235" t="s">
        <v>1425</v>
      </c>
      <c r="AD2235" t="s">
        <v>39</v>
      </c>
    </row>
    <row r="2236" spans="1:30" x14ac:dyDescent="0.25">
      <c r="A2236">
        <v>173</v>
      </c>
      <c r="B2236" t="s">
        <v>260</v>
      </c>
      <c r="C2236">
        <v>8</v>
      </c>
      <c r="D2236">
        <v>451</v>
      </c>
      <c r="E2236">
        <v>12000</v>
      </c>
      <c r="F2236" t="s">
        <v>77</v>
      </c>
      <c r="G2236" t="s">
        <v>746</v>
      </c>
      <c r="H2236">
        <v>2</v>
      </c>
      <c r="I2236">
        <v>665.18</v>
      </c>
      <c r="J2236" t="s">
        <v>839</v>
      </c>
      <c r="K2236" t="s">
        <v>812</v>
      </c>
      <c r="M2236" t="s">
        <v>1519</v>
      </c>
      <c r="O2236" t="s">
        <v>228</v>
      </c>
      <c r="Q2236" t="s">
        <v>28</v>
      </c>
      <c r="R2236" t="s">
        <v>81</v>
      </c>
      <c r="W2236">
        <v>4</v>
      </c>
      <c r="X2236" t="s">
        <v>1135</v>
      </c>
      <c r="Z2236" t="s">
        <v>38</v>
      </c>
      <c r="AB2236" t="s">
        <v>921</v>
      </c>
      <c r="AC2236" t="s">
        <v>1425</v>
      </c>
      <c r="AD2236" t="s">
        <v>39</v>
      </c>
    </row>
    <row r="2237" spans="1:30" x14ac:dyDescent="0.25">
      <c r="A2237">
        <v>174</v>
      </c>
      <c r="B2237" t="s">
        <v>262</v>
      </c>
      <c r="C2237">
        <v>8</v>
      </c>
      <c r="D2237">
        <v>334</v>
      </c>
      <c r="E2237">
        <v>11992</v>
      </c>
      <c r="F2237" t="s">
        <v>77</v>
      </c>
      <c r="G2237" t="s">
        <v>746</v>
      </c>
      <c r="H2237">
        <v>4</v>
      </c>
      <c r="I2237">
        <v>981.99</v>
      </c>
      <c r="J2237" t="s">
        <v>839</v>
      </c>
      <c r="K2237" t="s">
        <v>812</v>
      </c>
      <c r="M2237" t="s">
        <v>1519</v>
      </c>
      <c r="Q2237" t="s">
        <v>28</v>
      </c>
      <c r="R2237" t="s">
        <v>81</v>
      </c>
      <c r="W2237">
        <v>4</v>
      </c>
      <c r="X2237" t="s">
        <v>1135</v>
      </c>
      <c r="Z2237" t="s">
        <v>38</v>
      </c>
      <c r="AB2237" t="s">
        <v>921</v>
      </c>
      <c r="AC2237" t="s">
        <v>1427</v>
      </c>
      <c r="AD2237" t="s">
        <v>39</v>
      </c>
    </row>
    <row r="2238" spans="1:30" x14ac:dyDescent="0.25">
      <c r="A2238">
        <v>175</v>
      </c>
      <c r="B2238" t="s">
        <v>245</v>
      </c>
      <c r="C2238">
        <v>8</v>
      </c>
      <c r="D2238">
        <v>342</v>
      </c>
      <c r="E2238">
        <v>11990</v>
      </c>
      <c r="F2238" t="s">
        <v>77</v>
      </c>
      <c r="G2238" t="s">
        <v>746</v>
      </c>
      <c r="H2238">
        <v>1</v>
      </c>
      <c r="I2238">
        <v>244.16</v>
      </c>
      <c r="J2238" t="s">
        <v>839</v>
      </c>
      <c r="K2238" t="s">
        <v>812</v>
      </c>
      <c r="M2238" t="s">
        <v>1519</v>
      </c>
      <c r="O2238" t="s">
        <v>228</v>
      </c>
      <c r="Q2238" t="s">
        <v>28</v>
      </c>
      <c r="R2238" t="s">
        <v>81</v>
      </c>
      <c r="W2238">
        <v>4</v>
      </c>
      <c r="X2238" t="s">
        <v>1135</v>
      </c>
      <c r="Z2238" t="s">
        <v>38</v>
      </c>
      <c r="AB2238" t="s">
        <v>921</v>
      </c>
      <c r="AC2238" t="s">
        <v>1427</v>
      </c>
      <c r="AD2238" t="s">
        <v>39</v>
      </c>
    </row>
    <row r="2239" spans="1:30" x14ac:dyDescent="0.25">
      <c r="A2239">
        <v>176</v>
      </c>
      <c r="B2239" t="s">
        <v>265</v>
      </c>
      <c r="C2239">
        <v>8</v>
      </c>
      <c r="D2239">
        <v>124</v>
      </c>
      <c r="E2239">
        <v>4252</v>
      </c>
      <c r="F2239" t="s">
        <v>77</v>
      </c>
      <c r="G2239" t="s">
        <v>746</v>
      </c>
      <c r="H2239">
        <v>2</v>
      </c>
      <c r="I2239">
        <v>66.22</v>
      </c>
      <c r="J2239" t="s">
        <v>839</v>
      </c>
      <c r="K2239" t="s">
        <v>812</v>
      </c>
      <c r="M2239" t="s">
        <v>1519</v>
      </c>
      <c r="Q2239" t="s">
        <v>28</v>
      </c>
      <c r="R2239" t="s">
        <v>81</v>
      </c>
      <c r="W2239">
        <v>4</v>
      </c>
      <c r="X2239" t="s">
        <v>1135</v>
      </c>
      <c r="Z2239" t="s">
        <v>38</v>
      </c>
      <c r="AB2239" t="s">
        <v>921</v>
      </c>
      <c r="AC2239" t="s">
        <v>1427</v>
      </c>
      <c r="AD2239" t="s">
        <v>39</v>
      </c>
    </row>
    <row r="2240" spans="1:30" x14ac:dyDescent="0.25">
      <c r="A2240">
        <v>177</v>
      </c>
      <c r="B2240" t="s">
        <v>267</v>
      </c>
      <c r="C2240">
        <v>8</v>
      </c>
      <c r="D2240">
        <v>124</v>
      </c>
      <c r="E2240">
        <v>6824</v>
      </c>
      <c r="F2240" t="s">
        <v>77</v>
      </c>
      <c r="G2240" t="s">
        <v>746</v>
      </c>
      <c r="H2240">
        <v>2</v>
      </c>
      <c r="I2240">
        <v>106.28</v>
      </c>
      <c r="J2240" t="s">
        <v>839</v>
      </c>
      <c r="K2240" t="s">
        <v>812</v>
      </c>
      <c r="M2240" t="s">
        <v>1519</v>
      </c>
      <c r="Q2240" t="s">
        <v>28</v>
      </c>
      <c r="R2240" t="s">
        <v>81</v>
      </c>
      <c r="W2240">
        <v>4</v>
      </c>
      <c r="X2240" t="s">
        <v>1135</v>
      </c>
      <c r="Z2240" t="s">
        <v>38</v>
      </c>
      <c r="AB2240" t="s">
        <v>921</v>
      </c>
      <c r="AC2240" t="s">
        <v>1427</v>
      </c>
      <c r="AD2240" t="s">
        <v>39</v>
      </c>
    </row>
    <row r="2241" spans="1:30" x14ac:dyDescent="0.25">
      <c r="A2241">
        <v>178</v>
      </c>
      <c r="B2241" t="s">
        <v>235</v>
      </c>
      <c r="C2241">
        <v>8</v>
      </c>
      <c r="D2241">
        <v>150</v>
      </c>
      <c r="E2241">
        <v>792</v>
      </c>
      <c r="F2241" t="s">
        <v>77</v>
      </c>
      <c r="G2241" t="s">
        <v>746</v>
      </c>
      <c r="H2241">
        <v>1</v>
      </c>
      <c r="I2241">
        <v>7.46</v>
      </c>
      <c r="J2241" t="s">
        <v>839</v>
      </c>
      <c r="K2241" t="s">
        <v>812</v>
      </c>
      <c r="M2241" t="s">
        <v>1519</v>
      </c>
      <c r="Q2241" t="s">
        <v>28</v>
      </c>
      <c r="R2241" t="s">
        <v>81</v>
      </c>
      <c r="W2241">
        <v>4</v>
      </c>
      <c r="X2241" t="s">
        <v>1135</v>
      </c>
      <c r="Z2241" t="s">
        <v>38</v>
      </c>
      <c r="AB2241" t="s">
        <v>921</v>
      </c>
      <c r="AC2241" t="s">
        <v>1427</v>
      </c>
      <c r="AD2241" t="s">
        <v>39</v>
      </c>
    </row>
    <row r="2242" spans="1:30" x14ac:dyDescent="0.25">
      <c r="A2242">
        <v>179</v>
      </c>
      <c r="B2242" t="s">
        <v>269</v>
      </c>
      <c r="C2242">
        <v>8</v>
      </c>
      <c r="D2242">
        <v>124</v>
      </c>
      <c r="E2242">
        <v>792</v>
      </c>
      <c r="F2242" t="s">
        <v>77</v>
      </c>
      <c r="G2242" t="s">
        <v>746</v>
      </c>
      <c r="H2242">
        <v>1</v>
      </c>
      <c r="I2242">
        <v>6.17</v>
      </c>
      <c r="J2242" t="s">
        <v>839</v>
      </c>
      <c r="K2242" t="s">
        <v>812</v>
      </c>
      <c r="M2242" t="s">
        <v>1519</v>
      </c>
      <c r="Q2242" t="s">
        <v>28</v>
      </c>
      <c r="R2242" t="s">
        <v>81</v>
      </c>
      <c r="W2242">
        <v>4</v>
      </c>
      <c r="X2242" t="s">
        <v>1135</v>
      </c>
      <c r="Z2242" t="s">
        <v>38</v>
      </c>
      <c r="AB2242" t="s">
        <v>921</v>
      </c>
      <c r="AC2242" t="s">
        <v>1427</v>
      </c>
      <c r="AD2242" t="s">
        <v>39</v>
      </c>
    </row>
    <row r="2243" spans="1:30" x14ac:dyDescent="0.25">
      <c r="A2243">
        <v>180</v>
      </c>
      <c r="B2243" t="s">
        <v>251</v>
      </c>
      <c r="C2243">
        <v>8</v>
      </c>
      <c r="D2243">
        <v>459</v>
      </c>
      <c r="E2243">
        <v>11977</v>
      </c>
      <c r="F2243" t="s">
        <v>77</v>
      </c>
      <c r="G2243" t="s">
        <v>746</v>
      </c>
      <c r="H2243">
        <v>1</v>
      </c>
      <c r="I2243">
        <v>331.9</v>
      </c>
      <c r="J2243" t="s">
        <v>839</v>
      </c>
      <c r="K2243" t="s">
        <v>812</v>
      </c>
      <c r="M2243" t="s">
        <v>1519</v>
      </c>
      <c r="O2243" t="s">
        <v>228</v>
      </c>
      <c r="Q2243" t="s">
        <v>28</v>
      </c>
      <c r="R2243" t="s">
        <v>81</v>
      </c>
      <c r="W2243">
        <v>4</v>
      </c>
      <c r="X2243" t="s">
        <v>1135</v>
      </c>
      <c r="Z2243" t="s">
        <v>38</v>
      </c>
      <c r="AB2243" t="s">
        <v>921</v>
      </c>
      <c r="AC2243" t="s">
        <v>1429</v>
      </c>
      <c r="AD2243" t="s">
        <v>39</v>
      </c>
    </row>
    <row r="2244" spans="1:30" x14ac:dyDescent="0.25">
      <c r="A2244">
        <v>181</v>
      </c>
      <c r="B2244" t="s">
        <v>256</v>
      </c>
      <c r="C2244">
        <v>8</v>
      </c>
      <c r="D2244">
        <v>458</v>
      </c>
      <c r="E2244">
        <v>11977</v>
      </c>
      <c r="F2244" t="s">
        <v>77</v>
      </c>
      <c r="G2244" t="s">
        <v>746</v>
      </c>
      <c r="H2244">
        <v>1</v>
      </c>
      <c r="I2244">
        <v>331.9</v>
      </c>
      <c r="J2244" t="s">
        <v>839</v>
      </c>
      <c r="K2244" t="s">
        <v>812</v>
      </c>
      <c r="M2244" t="s">
        <v>1519</v>
      </c>
      <c r="O2244" t="s">
        <v>228</v>
      </c>
      <c r="Q2244" t="s">
        <v>28</v>
      </c>
      <c r="R2244" t="s">
        <v>81</v>
      </c>
      <c r="W2244">
        <v>4</v>
      </c>
      <c r="X2244" t="s">
        <v>1135</v>
      </c>
      <c r="Z2244" t="s">
        <v>38</v>
      </c>
      <c r="AB2244" t="s">
        <v>921</v>
      </c>
      <c r="AC2244" t="s">
        <v>1429</v>
      </c>
      <c r="AD2244" t="s">
        <v>39</v>
      </c>
    </row>
    <row r="2245" spans="1:30" x14ac:dyDescent="0.25">
      <c r="A2245">
        <v>182</v>
      </c>
      <c r="B2245" t="s">
        <v>273</v>
      </c>
      <c r="C2245">
        <v>8</v>
      </c>
      <c r="D2245">
        <v>448</v>
      </c>
      <c r="E2245">
        <v>7587</v>
      </c>
      <c r="F2245" t="s">
        <v>77</v>
      </c>
      <c r="G2245" t="s">
        <v>746</v>
      </c>
      <c r="H2245">
        <v>2</v>
      </c>
      <c r="I2245">
        <v>422.1</v>
      </c>
      <c r="J2245" t="s">
        <v>839</v>
      </c>
      <c r="K2245" t="s">
        <v>812</v>
      </c>
      <c r="M2245" t="s">
        <v>1519</v>
      </c>
      <c r="O2245" t="s">
        <v>228</v>
      </c>
      <c r="Q2245" t="s">
        <v>28</v>
      </c>
      <c r="R2245" t="s">
        <v>81</v>
      </c>
      <c r="W2245">
        <v>4</v>
      </c>
      <c r="X2245" t="s">
        <v>1135</v>
      </c>
      <c r="Z2245" t="s">
        <v>38</v>
      </c>
      <c r="AB2245" t="s">
        <v>921</v>
      </c>
      <c r="AC2245" t="s">
        <v>1429</v>
      </c>
      <c r="AD2245" t="s">
        <v>39</v>
      </c>
    </row>
    <row r="2246" spans="1:30" x14ac:dyDescent="0.25">
      <c r="A2246">
        <v>183</v>
      </c>
      <c r="B2246" t="s">
        <v>265</v>
      </c>
      <c r="C2246">
        <v>8</v>
      </c>
      <c r="D2246">
        <v>124</v>
      </c>
      <c r="E2246">
        <v>4252</v>
      </c>
      <c r="F2246" t="s">
        <v>77</v>
      </c>
      <c r="G2246" t="s">
        <v>746</v>
      </c>
      <c r="H2246">
        <v>2</v>
      </c>
      <c r="I2246">
        <v>66.22</v>
      </c>
      <c r="J2246" t="s">
        <v>839</v>
      </c>
      <c r="K2246" t="s">
        <v>812</v>
      </c>
      <c r="M2246" t="s">
        <v>1519</v>
      </c>
      <c r="Q2246" t="s">
        <v>28</v>
      </c>
      <c r="R2246" t="s">
        <v>81</v>
      </c>
      <c r="W2246">
        <v>4</v>
      </c>
      <c r="X2246" t="s">
        <v>1135</v>
      </c>
      <c r="Z2246" t="s">
        <v>38</v>
      </c>
      <c r="AB2246" t="s">
        <v>921</v>
      </c>
      <c r="AC2246" t="s">
        <v>1429</v>
      </c>
      <c r="AD2246" t="s">
        <v>39</v>
      </c>
    </row>
    <row r="2247" spans="1:30" x14ac:dyDescent="0.25">
      <c r="A2247">
        <v>184</v>
      </c>
      <c r="B2247" t="s">
        <v>275</v>
      </c>
      <c r="C2247">
        <v>8</v>
      </c>
      <c r="D2247">
        <v>150</v>
      </c>
      <c r="E2247">
        <v>2972</v>
      </c>
      <c r="F2247" t="s">
        <v>77</v>
      </c>
      <c r="G2247" t="s">
        <v>746</v>
      </c>
      <c r="H2247">
        <v>1</v>
      </c>
      <c r="I2247">
        <v>28</v>
      </c>
      <c r="J2247" t="s">
        <v>839</v>
      </c>
      <c r="K2247" t="s">
        <v>812</v>
      </c>
      <c r="M2247" t="s">
        <v>1519</v>
      </c>
      <c r="Q2247" t="s">
        <v>28</v>
      </c>
      <c r="R2247" t="s">
        <v>81</v>
      </c>
      <c r="W2247">
        <v>4</v>
      </c>
      <c r="X2247" t="s">
        <v>1135</v>
      </c>
      <c r="Z2247" t="s">
        <v>38</v>
      </c>
      <c r="AB2247" t="s">
        <v>921</v>
      </c>
      <c r="AC2247" t="s">
        <v>1429</v>
      </c>
      <c r="AD2247" t="s">
        <v>39</v>
      </c>
    </row>
    <row r="2248" spans="1:30" x14ac:dyDescent="0.25">
      <c r="A2248">
        <v>185</v>
      </c>
      <c r="B2248" t="s">
        <v>277</v>
      </c>
      <c r="C2248">
        <v>8</v>
      </c>
      <c r="D2248">
        <v>124</v>
      </c>
      <c r="E2248">
        <v>2972</v>
      </c>
      <c r="F2248" t="s">
        <v>77</v>
      </c>
      <c r="G2248" t="s">
        <v>746</v>
      </c>
      <c r="H2248">
        <v>4</v>
      </c>
      <c r="I2248">
        <v>92.57</v>
      </c>
      <c r="J2248" t="s">
        <v>839</v>
      </c>
      <c r="K2248" t="s">
        <v>812</v>
      </c>
      <c r="M2248" t="s">
        <v>1519</v>
      </c>
      <c r="Q2248" t="s">
        <v>28</v>
      </c>
      <c r="R2248" t="s">
        <v>81</v>
      </c>
      <c r="W2248">
        <v>4</v>
      </c>
      <c r="X2248" t="s">
        <v>1135</v>
      </c>
      <c r="Z2248" t="s">
        <v>38</v>
      </c>
      <c r="AB2248" t="s">
        <v>921</v>
      </c>
      <c r="AC2248" t="s">
        <v>1429</v>
      </c>
      <c r="AD2248" t="s">
        <v>39</v>
      </c>
    </row>
    <row r="2249" spans="1:30" x14ac:dyDescent="0.25">
      <c r="A2249">
        <v>186</v>
      </c>
      <c r="B2249" t="s">
        <v>279</v>
      </c>
      <c r="C2249">
        <v>8</v>
      </c>
      <c r="D2249">
        <v>124</v>
      </c>
      <c r="E2249">
        <v>2972</v>
      </c>
      <c r="F2249" t="s">
        <v>77</v>
      </c>
      <c r="G2249" t="s">
        <v>746</v>
      </c>
      <c r="H2249">
        <v>1</v>
      </c>
      <c r="I2249">
        <v>23.14</v>
      </c>
      <c r="J2249" t="s">
        <v>839</v>
      </c>
      <c r="K2249" t="s">
        <v>812</v>
      </c>
      <c r="M2249" t="s">
        <v>1519</v>
      </c>
      <c r="Q2249" t="s">
        <v>28</v>
      </c>
      <c r="R2249" t="s">
        <v>81</v>
      </c>
      <c r="W2249">
        <v>4</v>
      </c>
      <c r="X2249" t="s">
        <v>1135</v>
      </c>
      <c r="Z2249" t="s">
        <v>38</v>
      </c>
      <c r="AB2249" t="s">
        <v>921</v>
      </c>
      <c r="AC2249" t="s">
        <v>1429</v>
      </c>
      <c r="AD2249" t="s">
        <v>39</v>
      </c>
    </row>
    <row r="2250" spans="1:30" x14ac:dyDescent="0.25">
      <c r="A2250">
        <v>187</v>
      </c>
      <c r="B2250" t="s">
        <v>280</v>
      </c>
      <c r="C2250">
        <v>8</v>
      </c>
      <c r="D2250">
        <v>124</v>
      </c>
      <c r="E2250">
        <v>601</v>
      </c>
      <c r="F2250" t="s">
        <v>77</v>
      </c>
      <c r="G2250" t="s">
        <v>746</v>
      </c>
      <c r="H2250">
        <v>1</v>
      </c>
      <c r="I2250">
        <v>4.68</v>
      </c>
      <c r="J2250" t="s">
        <v>839</v>
      </c>
      <c r="K2250" t="s">
        <v>812</v>
      </c>
      <c r="M2250" t="s">
        <v>1519</v>
      </c>
      <c r="Q2250" t="s">
        <v>28</v>
      </c>
      <c r="R2250" t="s">
        <v>81</v>
      </c>
      <c r="W2250">
        <v>4</v>
      </c>
      <c r="X2250" t="s">
        <v>1135</v>
      </c>
      <c r="Z2250" t="s">
        <v>38</v>
      </c>
      <c r="AB2250" t="s">
        <v>921</v>
      </c>
      <c r="AC2250" t="s">
        <v>1429</v>
      </c>
      <c r="AD2250" t="s">
        <v>39</v>
      </c>
    </row>
    <row r="2251" spans="1:30" x14ac:dyDescent="0.25">
      <c r="A2251">
        <v>188</v>
      </c>
      <c r="B2251" t="s">
        <v>282</v>
      </c>
      <c r="C2251">
        <v>8</v>
      </c>
      <c r="D2251">
        <v>150</v>
      </c>
      <c r="E2251">
        <v>1381</v>
      </c>
      <c r="F2251" t="s">
        <v>77</v>
      </c>
      <c r="G2251" t="s">
        <v>746</v>
      </c>
      <c r="H2251">
        <v>1</v>
      </c>
      <c r="I2251">
        <v>13.01</v>
      </c>
      <c r="J2251" t="s">
        <v>839</v>
      </c>
      <c r="K2251" t="s">
        <v>812</v>
      </c>
      <c r="M2251" t="s">
        <v>1519</v>
      </c>
      <c r="Q2251" t="s">
        <v>28</v>
      </c>
      <c r="R2251" t="s">
        <v>81</v>
      </c>
      <c r="W2251">
        <v>4</v>
      </c>
      <c r="X2251" t="s">
        <v>1135</v>
      </c>
      <c r="Z2251" t="s">
        <v>38</v>
      </c>
      <c r="AB2251" t="s">
        <v>921</v>
      </c>
      <c r="AC2251" t="s">
        <v>1429</v>
      </c>
      <c r="AD2251" t="s">
        <v>39</v>
      </c>
    </row>
    <row r="2252" spans="1:30" x14ac:dyDescent="0.25">
      <c r="A2252">
        <v>189</v>
      </c>
      <c r="B2252" t="s">
        <v>284</v>
      </c>
      <c r="C2252">
        <v>8</v>
      </c>
      <c r="D2252">
        <v>124</v>
      </c>
      <c r="E2252">
        <v>1381</v>
      </c>
      <c r="F2252" t="s">
        <v>77</v>
      </c>
      <c r="G2252" t="s">
        <v>746</v>
      </c>
      <c r="H2252">
        <v>4</v>
      </c>
      <c r="I2252">
        <v>43.02</v>
      </c>
      <c r="J2252" t="s">
        <v>839</v>
      </c>
      <c r="K2252" t="s">
        <v>812</v>
      </c>
      <c r="M2252" t="s">
        <v>1519</v>
      </c>
      <c r="Q2252" t="s">
        <v>28</v>
      </c>
      <c r="R2252" t="s">
        <v>81</v>
      </c>
      <c r="W2252">
        <v>4</v>
      </c>
      <c r="X2252" t="s">
        <v>1135</v>
      </c>
      <c r="Z2252" t="s">
        <v>38</v>
      </c>
      <c r="AB2252" t="s">
        <v>921</v>
      </c>
      <c r="AC2252" t="s">
        <v>1429</v>
      </c>
      <c r="AD2252" t="s">
        <v>39</v>
      </c>
    </row>
    <row r="2253" spans="1:30" x14ac:dyDescent="0.25">
      <c r="A2253">
        <v>190</v>
      </c>
      <c r="B2253" t="s">
        <v>267</v>
      </c>
      <c r="C2253">
        <v>8</v>
      </c>
      <c r="D2253">
        <v>124</v>
      </c>
      <c r="E2253">
        <v>6824</v>
      </c>
      <c r="F2253" t="s">
        <v>77</v>
      </c>
      <c r="G2253" t="s">
        <v>746</v>
      </c>
      <c r="H2253">
        <v>1</v>
      </c>
      <c r="I2253">
        <v>53.14</v>
      </c>
      <c r="J2253" t="s">
        <v>839</v>
      </c>
      <c r="K2253" t="s">
        <v>812</v>
      </c>
      <c r="M2253" t="s">
        <v>1519</v>
      </c>
      <c r="Q2253" t="s">
        <v>28</v>
      </c>
      <c r="R2253" t="s">
        <v>81</v>
      </c>
      <c r="W2253">
        <v>4</v>
      </c>
      <c r="X2253" t="s">
        <v>1135</v>
      </c>
      <c r="Z2253" t="s">
        <v>38</v>
      </c>
      <c r="AB2253" t="s">
        <v>921</v>
      </c>
      <c r="AC2253" t="s">
        <v>1429</v>
      </c>
      <c r="AD2253" t="s">
        <v>39</v>
      </c>
    </row>
    <row r="2254" spans="1:30" x14ac:dyDescent="0.25">
      <c r="A2254">
        <v>191</v>
      </c>
      <c r="B2254" t="s">
        <v>269</v>
      </c>
      <c r="C2254">
        <v>8</v>
      </c>
      <c r="D2254">
        <v>124</v>
      </c>
      <c r="E2254">
        <v>792</v>
      </c>
      <c r="F2254" t="s">
        <v>77</v>
      </c>
      <c r="G2254" t="s">
        <v>746</v>
      </c>
      <c r="H2254">
        <v>2</v>
      </c>
      <c r="I2254">
        <v>12.33</v>
      </c>
      <c r="J2254" t="s">
        <v>839</v>
      </c>
      <c r="K2254" t="s">
        <v>812</v>
      </c>
      <c r="M2254" t="s">
        <v>1519</v>
      </c>
      <c r="Q2254" t="s">
        <v>28</v>
      </c>
      <c r="R2254" t="s">
        <v>81</v>
      </c>
      <c r="W2254">
        <v>4</v>
      </c>
      <c r="X2254" t="s">
        <v>1135</v>
      </c>
      <c r="Z2254" t="s">
        <v>38</v>
      </c>
      <c r="AB2254" t="s">
        <v>921</v>
      </c>
      <c r="AC2254" t="s">
        <v>1429</v>
      </c>
      <c r="AD2254" t="s">
        <v>39</v>
      </c>
    </row>
    <row r="2255" spans="1:30" x14ac:dyDescent="0.25">
      <c r="A2255">
        <v>192</v>
      </c>
      <c r="B2255" t="s">
        <v>286</v>
      </c>
      <c r="C2255">
        <v>8</v>
      </c>
      <c r="D2255">
        <v>450</v>
      </c>
      <c r="E2255">
        <v>12007</v>
      </c>
      <c r="F2255" t="s">
        <v>77</v>
      </c>
      <c r="G2255" t="s">
        <v>746</v>
      </c>
      <c r="H2255">
        <v>2</v>
      </c>
      <c r="I2255">
        <v>668.05</v>
      </c>
      <c r="J2255" t="s">
        <v>839</v>
      </c>
      <c r="K2255" t="s">
        <v>812</v>
      </c>
      <c r="M2255" t="s">
        <v>1519</v>
      </c>
      <c r="Q2255" t="s">
        <v>28</v>
      </c>
      <c r="R2255" t="s">
        <v>81</v>
      </c>
      <c r="W2255">
        <v>4</v>
      </c>
      <c r="X2255" t="s">
        <v>1135</v>
      </c>
      <c r="Z2255" t="s">
        <v>38</v>
      </c>
      <c r="AB2255" t="s">
        <v>921</v>
      </c>
      <c r="AC2255" t="s">
        <v>1431</v>
      </c>
      <c r="AD2255" t="s">
        <v>39</v>
      </c>
    </row>
    <row r="2256" spans="1:30" x14ac:dyDescent="0.25">
      <c r="A2256">
        <v>193</v>
      </c>
      <c r="B2256" t="s">
        <v>290</v>
      </c>
      <c r="C2256">
        <v>8</v>
      </c>
      <c r="D2256">
        <v>450</v>
      </c>
      <c r="E2256">
        <v>12007</v>
      </c>
      <c r="F2256" t="s">
        <v>77</v>
      </c>
      <c r="G2256" t="s">
        <v>746</v>
      </c>
      <c r="H2256">
        <v>2</v>
      </c>
      <c r="I2256">
        <v>668.05</v>
      </c>
      <c r="J2256" t="s">
        <v>839</v>
      </c>
      <c r="K2256" t="s">
        <v>812</v>
      </c>
      <c r="M2256" t="s">
        <v>1519</v>
      </c>
      <c r="Q2256" t="s">
        <v>28</v>
      </c>
      <c r="R2256" t="s">
        <v>81</v>
      </c>
      <c r="W2256">
        <v>4</v>
      </c>
      <c r="X2256" t="s">
        <v>1135</v>
      </c>
      <c r="Z2256" t="s">
        <v>38</v>
      </c>
      <c r="AB2256" t="s">
        <v>921</v>
      </c>
      <c r="AC2256" t="s">
        <v>1431</v>
      </c>
      <c r="AD2256" t="s">
        <v>39</v>
      </c>
    </row>
    <row r="2257" spans="1:30" x14ac:dyDescent="0.25">
      <c r="A2257">
        <v>194</v>
      </c>
      <c r="B2257" t="s">
        <v>229</v>
      </c>
      <c r="C2257">
        <v>8</v>
      </c>
      <c r="D2257">
        <v>90</v>
      </c>
      <c r="E2257">
        <v>150</v>
      </c>
      <c r="F2257" t="s">
        <v>77</v>
      </c>
      <c r="G2257" t="s">
        <v>746</v>
      </c>
      <c r="H2257">
        <v>1</v>
      </c>
      <c r="I2257">
        <v>0.62</v>
      </c>
      <c r="J2257" t="s">
        <v>839</v>
      </c>
      <c r="K2257" t="s">
        <v>812</v>
      </c>
      <c r="M2257" t="s">
        <v>1519</v>
      </c>
      <c r="Q2257" t="s">
        <v>26</v>
      </c>
      <c r="R2257" t="s">
        <v>81</v>
      </c>
      <c r="W2257">
        <v>4</v>
      </c>
      <c r="X2257" t="s">
        <v>1135</v>
      </c>
      <c r="Z2257" t="s">
        <v>38</v>
      </c>
      <c r="AB2257" t="s">
        <v>921</v>
      </c>
      <c r="AC2257" t="s">
        <v>1431</v>
      </c>
      <c r="AD2257" t="s">
        <v>39</v>
      </c>
    </row>
    <row r="2258" spans="1:30" x14ac:dyDescent="0.25">
      <c r="A2258">
        <v>195</v>
      </c>
      <c r="B2258" t="s">
        <v>275</v>
      </c>
      <c r="C2258">
        <v>8</v>
      </c>
      <c r="D2258">
        <v>150</v>
      </c>
      <c r="E2258">
        <v>2972</v>
      </c>
      <c r="F2258" t="s">
        <v>77</v>
      </c>
      <c r="G2258" t="s">
        <v>746</v>
      </c>
      <c r="H2258">
        <v>3</v>
      </c>
      <c r="I2258">
        <v>83.99</v>
      </c>
      <c r="J2258" t="s">
        <v>839</v>
      </c>
      <c r="K2258" t="s">
        <v>812</v>
      </c>
      <c r="M2258" t="s">
        <v>1519</v>
      </c>
      <c r="Q2258" t="s">
        <v>28</v>
      </c>
      <c r="R2258" t="s">
        <v>81</v>
      </c>
      <c r="W2258">
        <v>4</v>
      </c>
      <c r="X2258" t="s">
        <v>1135</v>
      </c>
      <c r="Z2258" t="s">
        <v>38</v>
      </c>
      <c r="AB2258" t="s">
        <v>921</v>
      </c>
      <c r="AC2258" t="s">
        <v>1431</v>
      </c>
      <c r="AD2258" t="s">
        <v>39</v>
      </c>
    </row>
    <row r="2259" spans="1:30" x14ac:dyDescent="0.25">
      <c r="A2259">
        <v>196</v>
      </c>
      <c r="B2259" t="s">
        <v>291</v>
      </c>
      <c r="C2259">
        <v>8</v>
      </c>
      <c r="D2259">
        <v>150</v>
      </c>
      <c r="E2259">
        <v>2972</v>
      </c>
      <c r="F2259" t="s">
        <v>77</v>
      </c>
      <c r="G2259" t="s">
        <v>746</v>
      </c>
      <c r="H2259">
        <v>1</v>
      </c>
      <c r="I2259">
        <v>28</v>
      </c>
      <c r="J2259" t="s">
        <v>839</v>
      </c>
      <c r="K2259" t="s">
        <v>812</v>
      </c>
      <c r="M2259" t="s">
        <v>1519</v>
      </c>
      <c r="Q2259" t="s">
        <v>28</v>
      </c>
      <c r="R2259" t="s">
        <v>81</v>
      </c>
      <c r="W2259">
        <v>4</v>
      </c>
      <c r="X2259" t="s">
        <v>1135</v>
      </c>
      <c r="Z2259" t="s">
        <v>38</v>
      </c>
      <c r="AB2259" t="s">
        <v>921</v>
      </c>
      <c r="AC2259" t="s">
        <v>1431</v>
      </c>
      <c r="AD2259" t="s">
        <v>39</v>
      </c>
    </row>
    <row r="2260" spans="1:30" x14ac:dyDescent="0.25">
      <c r="A2260">
        <v>197</v>
      </c>
      <c r="B2260" t="s">
        <v>292</v>
      </c>
      <c r="C2260">
        <v>8</v>
      </c>
      <c r="D2260">
        <v>446</v>
      </c>
      <c r="E2260">
        <v>7588</v>
      </c>
      <c r="F2260" t="s">
        <v>77</v>
      </c>
      <c r="G2260" t="s">
        <v>746</v>
      </c>
      <c r="H2260">
        <v>2</v>
      </c>
      <c r="I2260">
        <v>422.16</v>
      </c>
      <c r="J2260" t="s">
        <v>839</v>
      </c>
      <c r="K2260" t="s">
        <v>812</v>
      </c>
      <c r="M2260" t="s">
        <v>1519</v>
      </c>
      <c r="O2260" t="s">
        <v>228</v>
      </c>
      <c r="Q2260" t="s">
        <v>28</v>
      </c>
      <c r="R2260" t="s">
        <v>81</v>
      </c>
      <c r="W2260">
        <v>4</v>
      </c>
      <c r="X2260" t="s">
        <v>1135</v>
      </c>
      <c r="Z2260" t="s">
        <v>38</v>
      </c>
      <c r="AB2260" t="s">
        <v>921</v>
      </c>
      <c r="AC2260" t="s">
        <v>1433</v>
      </c>
      <c r="AD2260" t="s">
        <v>39</v>
      </c>
    </row>
    <row r="2261" spans="1:30" x14ac:dyDescent="0.25">
      <c r="A2261">
        <v>198</v>
      </c>
      <c r="B2261" t="s">
        <v>296</v>
      </c>
      <c r="C2261">
        <v>8</v>
      </c>
      <c r="D2261">
        <v>329</v>
      </c>
      <c r="E2261">
        <v>7565</v>
      </c>
      <c r="F2261" t="s">
        <v>77</v>
      </c>
      <c r="G2261" t="s">
        <v>746</v>
      </c>
      <c r="H2261">
        <v>2</v>
      </c>
      <c r="I2261">
        <v>309.73</v>
      </c>
      <c r="J2261" t="s">
        <v>839</v>
      </c>
      <c r="K2261" t="s">
        <v>812</v>
      </c>
      <c r="M2261" t="s">
        <v>1519</v>
      </c>
      <c r="O2261" t="s">
        <v>228</v>
      </c>
      <c r="Q2261" t="s">
        <v>28</v>
      </c>
      <c r="R2261" t="s">
        <v>81</v>
      </c>
      <c r="W2261">
        <v>4</v>
      </c>
      <c r="X2261" t="s">
        <v>1135</v>
      </c>
      <c r="Z2261" t="s">
        <v>38</v>
      </c>
      <c r="AB2261" t="s">
        <v>921</v>
      </c>
      <c r="AC2261" t="s">
        <v>1433</v>
      </c>
      <c r="AD2261" t="s">
        <v>39</v>
      </c>
    </row>
    <row r="2262" spans="1:30" x14ac:dyDescent="0.25">
      <c r="A2262">
        <v>199</v>
      </c>
      <c r="B2262" t="s">
        <v>298</v>
      </c>
      <c r="C2262">
        <v>8</v>
      </c>
      <c r="D2262">
        <v>329</v>
      </c>
      <c r="E2262">
        <v>7566</v>
      </c>
      <c r="F2262" t="s">
        <v>77</v>
      </c>
      <c r="G2262" t="s">
        <v>746</v>
      </c>
      <c r="H2262">
        <v>1</v>
      </c>
      <c r="I2262">
        <v>154.88</v>
      </c>
      <c r="J2262" t="s">
        <v>839</v>
      </c>
      <c r="K2262" t="s">
        <v>812</v>
      </c>
      <c r="M2262" t="s">
        <v>1519</v>
      </c>
      <c r="O2262" t="s">
        <v>228</v>
      </c>
      <c r="Q2262" t="s">
        <v>28</v>
      </c>
      <c r="R2262" t="s">
        <v>81</v>
      </c>
      <c r="W2262">
        <v>4</v>
      </c>
      <c r="X2262" t="s">
        <v>1135</v>
      </c>
      <c r="Z2262" t="s">
        <v>38</v>
      </c>
      <c r="AB2262" t="s">
        <v>921</v>
      </c>
      <c r="AC2262" t="s">
        <v>1433</v>
      </c>
      <c r="AD2262" t="s">
        <v>39</v>
      </c>
    </row>
    <row r="2263" spans="1:30" x14ac:dyDescent="0.25">
      <c r="A2263">
        <v>200</v>
      </c>
      <c r="B2263" t="s">
        <v>300</v>
      </c>
      <c r="C2263">
        <v>8</v>
      </c>
      <c r="D2263">
        <v>66</v>
      </c>
      <c r="E2263">
        <v>150</v>
      </c>
      <c r="F2263" t="s">
        <v>77</v>
      </c>
      <c r="G2263" t="s">
        <v>746</v>
      </c>
      <c r="H2263">
        <v>3</v>
      </c>
      <c r="I2263">
        <v>1.38</v>
      </c>
      <c r="J2263" t="s">
        <v>839</v>
      </c>
      <c r="K2263" t="s">
        <v>812</v>
      </c>
      <c r="M2263" t="s">
        <v>1519</v>
      </c>
      <c r="Q2263" t="s">
        <v>26</v>
      </c>
      <c r="R2263" t="s">
        <v>81</v>
      </c>
      <c r="W2263">
        <v>4</v>
      </c>
      <c r="X2263" t="s">
        <v>1135</v>
      </c>
      <c r="Z2263" t="s">
        <v>38</v>
      </c>
      <c r="AB2263" t="s">
        <v>921</v>
      </c>
      <c r="AC2263" t="s">
        <v>1433</v>
      </c>
      <c r="AD2263" t="s">
        <v>39</v>
      </c>
    </row>
    <row r="2264" spans="1:30" x14ac:dyDescent="0.25">
      <c r="A2264">
        <v>201</v>
      </c>
      <c r="B2264" t="s">
        <v>302</v>
      </c>
      <c r="C2264">
        <v>8</v>
      </c>
      <c r="D2264">
        <v>66</v>
      </c>
      <c r="E2264">
        <v>150</v>
      </c>
      <c r="F2264" t="s">
        <v>77</v>
      </c>
      <c r="G2264" t="s">
        <v>746</v>
      </c>
      <c r="H2264">
        <v>6</v>
      </c>
      <c r="I2264">
        <v>2.77</v>
      </c>
      <c r="J2264" t="s">
        <v>839</v>
      </c>
      <c r="K2264" t="s">
        <v>812</v>
      </c>
      <c r="M2264" t="s">
        <v>1519</v>
      </c>
      <c r="Q2264" t="s">
        <v>26</v>
      </c>
      <c r="R2264" t="s">
        <v>81</v>
      </c>
      <c r="W2264">
        <v>4</v>
      </c>
      <c r="X2264" t="s">
        <v>1135</v>
      </c>
      <c r="Z2264" t="s">
        <v>38</v>
      </c>
      <c r="AB2264" t="s">
        <v>921</v>
      </c>
      <c r="AC2264" t="s">
        <v>1433</v>
      </c>
      <c r="AD2264" t="s">
        <v>39</v>
      </c>
    </row>
    <row r="2265" spans="1:30" x14ac:dyDescent="0.25">
      <c r="A2265">
        <v>202</v>
      </c>
      <c r="B2265" t="s">
        <v>303</v>
      </c>
      <c r="C2265">
        <v>8</v>
      </c>
      <c r="D2265">
        <v>66</v>
      </c>
      <c r="E2265">
        <v>150</v>
      </c>
      <c r="F2265" t="s">
        <v>77</v>
      </c>
      <c r="G2265" t="s">
        <v>746</v>
      </c>
      <c r="H2265">
        <v>3</v>
      </c>
      <c r="I2265">
        <v>1.38</v>
      </c>
      <c r="J2265" t="s">
        <v>839</v>
      </c>
      <c r="K2265" t="s">
        <v>812</v>
      </c>
      <c r="M2265" t="s">
        <v>1519</v>
      </c>
      <c r="Q2265" t="s">
        <v>26</v>
      </c>
      <c r="R2265" t="s">
        <v>81</v>
      </c>
      <c r="W2265">
        <v>4</v>
      </c>
      <c r="X2265" t="s">
        <v>1135</v>
      </c>
      <c r="Z2265" t="s">
        <v>38</v>
      </c>
      <c r="AB2265" t="s">
        <v>921</v>
      </c>
      <c r="AC2265" t="s">
        <v>1433</v>
      </c>
      <c r="AD2265" t="s">
        <v>39</v>
      </c>
    </row>
    <row r="2266" spans="1:30" x14ac:dyDescent="0.25">
      <c r="A2266">
        <v>203</v>
      </c>
      <c r="B2266" t="s">
        <v>304</v>
      </c>
      <c r="C2266">
        <v>8</v>
      </c>
      <c r="D2266">
        <v>150</v>
      </c>
      <c r="E2266">
        <v>1882</v>
      </c>
      <c r="F2266" t="s">
        <v>77</v>
      </c>
      <c r="G2266" t="s">
        <v>746</v>
      </c>
      <c r="H2266">
        <v>6</v>
      </c>
      <c r="I2266">
        <v>106.37</v>
      </c>
      <c r="J2266" t="s">
        <v>839</v>
      </c>
      <c r="K2266" t="s">
        <v>812</v>
      </c>
      <c r="M2266" t="s">
        <v>1519</v>
      </c>
      <c r="Q2266" t="s">
        <v>28</v>
      </c>
      <c r="R2266" t="s">
        <v>81</v>
      </c>
      <c r="W2266">
        <v>4</v>
      </c>
      <c r="X2266" t="s">
        <v>1135</v>
      </c>
      <c r="Z2266" t="s">
        <v>38</v>
      </c>
      <c r="AB2266" t="s">
        <v>921</v>
      </c>
      <c r="AC2266" t="s">
        <v>1433</v>
      </c>
      <c r="AD2266" t="s">
        <v>39</v>
      </c>
    </row>
    <row r="2267" spans="1:30" x14ac:dyDescent="0.25">
      <c r="A2267">
        <v>204</v>
      </c>
      <c r="B2267" t="s">
        <v>306</v>
      </c>
      <c r="C2267">
        <v>8</v>
      </c>
      <c r="D2267">
        <v>124</v>
      </c>
      <c r="E2267">
        <v>1882</v>
      </c>
      <c r="F2267" t="s">
        <v>77</v>
      </c>
      <c r="G2267" t="s">
        <v>746</v>
      </c>
      <c r="H2267">
        <v>2</v>
      </c>
      <c r="I2267">
        <v>29.31</v>
      </c>
      <c r="J2267" t="s">
        <v>839</v>
      </c>
      <c r="K2267" t="s">
        <v>812</v>
      </c>
      <c r="M2267" t="s">
        <v>1519</v>
      </c>
      <c r="Q2267" t="s">
        <v>28</v>
      </c>
      <c r="R2267" t="s">
        <v>81</v>
      </c>
      <c r="W2267">
        <v>4</v>
      </c>
      <c r="X2267" t="s">
        <v>1135</v>
      </c>
      <c r="Z2267" t="s">
        <v>38</v>
      </c>
      <c r="AB2267" t="s">
        <v>921</v>
      </c>
      <c r="AC2267" t="s">
        <v>1433</v>
      </c>
      <c r="AD2267" t="s">
        <v>39</v>
      </c>
    </row>
    <row r="2268" spans="1:30" x14ac:dyDescent="0.25">
      <c r="A2268">
        <v>205</v>
      </c>
      <c r="B2268" t="s">
        <v>291</v>
      </c>
      <c r="C2268">
        <v>8</v>
      </c>
      <c r="D2268">
        <v>150</v>
      </c>
      <c r="E2268">
        <v>2972</v>
      </c>
      <c r="F2268" t="s">
        <v>77</v>
      </c>
      <c r="G2268" t="s">
        <v>746</v>
      </c>
      <c r="H2268">
        <v>3</v>
      </c>
      <c r="I2268">
        <v>83.99</v>
      </c>
      <c r="J2268" t="s">
        <v>839</v>
      </c>
      <c r="K2268" t="s">
        <v>812</v>
      </c>
      <c r="M2268" t="s">
        <v>1519</v>
      </c>
      <c r="Q2268" t="s">
        <v>28</v>
      </c>
      <c r="R2268" t="s">
        <v>81</v>
      </c>
      <c r="W2268">
        <v>4</v>
      </c>
      <c r="X2268" t="s">
        <v>1135</v>
      </c>
      <c r="Z2268" t="s">
        <v>38</v>
      </c>
      <c r="AB2268" t="s">
        <v>921</v>
      </c>
      <c r="AC2268" t="s">
        <v>1433</v>
      </c>
      <c r="AD2268" t="s">
        <v>39</v>
      </c>
    </row>
    <row r="2269" spans="1:30" x14ac:dyDescent="0.25">
      <c r="A2269">
        <v>206</v>
      </c>
      <c r="B2269" t="s">
        <v>279</v>
      </c>
      <c r="C2269">
        <v>8</v>
      </c>
      <c r="D2269">
        <v>124</v>
      </c>
      <c r="E2269">
        <v>2972</v>
      </c>
      <c r="F2269" t="s">
        <v>77</v>
      </c>
      <c r="G2269" t="s">
        <v>746</v>
      </c>
      <c r="H2269">
        <v>3</v>
      </c>
      <c r="I2269">
        <v>69.430000000000007</v>
      </c>
      <c r="J2269" t="s">
        <v>839</v>
      </c>
      <c r="K2269" t="s">
        <v>812</v>
      </c>
      <c r="M2269" t="s">
        <v>1519</v>
      </c>
      <c r="Q2269" t="s">
        <v>28</v>
      </c>
      <c r="R2269" t="s">
        <v>81</v>
      </c>
      <c r="W2269">
        <v>4</v>
      </c>
      <c r="X2269" t="s">
        <v>1135</v>
      </c>
      <c r="Z2269" t="s">
        <v>38</v>
      </c>
      <c r="AB2269" t="s">
        <v>921</v>
      </c>
      <c r="AC2269" t="s">
        <v>1433</v>
      </c>
      <c r="AD2269" t="s">
        <v>39</v>
      </c>
    </row>
    <row r="2270" spans="1:30" x14ac:dyDescent="0.25">
      <c r="A2270">
        <v>207</v>
      </c>
      <c r="B2270" t="s">
        <v>308</v>
      </c>
      <c r="C2270">
        <v>8</v>
      </c>
      <c r="D2270">
        <v>150</v>
      </c>
      <c r="E2270">
        <v>2523</v>
      </c>
      <c r="F2270" t="s">
        <v>77</v>
      </c>
      <c r="G2270" t="s">
        <v>746</v>
      </c>
      <c r="H2270">
        <v>2</v>
      </c>
      <c r="I2270">
        <v>47.53</v>
      </c>
      <c r="J2270" t="s">
        <v>839</v>
      </c>
      <c r="K2270" t="s">
        <v>812</v>
      </c>
      <c r="M2270" t="s">
        <v>1519</v>
      </c>
      <c r="Q2270" t="s">
        <v>28</v>
      </c>
      <c r="R2270" t="s">
        <v>81</v>
      </c>
      <c r="W2270">
        <v>4</v>
      </c>
      <c r="X2270" t="s">
        <v>1135</v>
      </c>
      <c r="Z2270" t="s">
        <v>38</v>
      </c>
      <c r="AB2270" t="s">
        <v>921</v>
      </c>
      <c r="AC2270" t="s">
        <v>1433</v>
      </c>
      <c r="AD2270" t="s">
        <v>39</v>
      </c>
    </row>
    <row r="2271" spans="1:30" x14ac:dyDescent="0.25">
      <c r="A2271">
        <v>208</v>
      </c>
      <c r="B2271" t="s">
        <v>310</v>
      </c>
      <c r="C2271">
        <v>8</v>
      </c>
      <c r="D2271">
        <v>124</v>
      </c>
      <c r="E2271">
        <v>2523</v>
      </c>
      <c r="F2271" t="s">
        <v>77</v>
      </c>
      <c r="G2271" t="s">
        <v>746</v>
      </c>
      <c r="H2271">
        <v>2</v>
      </c>
      <c r="I2271">
        <v>39.29</v>
      </c>
      <c r="J2271" t="s">
        <v>839</v>
      </c>
      <c r="K2271" t="s">
        <v>812</v>
      </c>
      <c r="M2271" t="s">
        <v>1519</v>
      </c>
      <c r="Q2271" t="s">
        <v>28</v>
      </c>
      <c r="R2271" t="s">
        <v>81</v>
      </c>
      <c r="W2271">
        <v>4</v>
      </c>
      <c r="X2271" t="s">
        <v>1135</v>
      </c>
      <c r="Z2271" t="s">
        <v>38</v>
      </c>
      <c r="AB2271" t="s">
        <v>921</v>
      </c>
      <c r="AC2271" t="s">
        <v>1433</v>
      </c>
      <c r="AD2271" t="s">
        <v>39</v>
      </c>
    </row>
    <row r="2272" spans="1:30" x14ac:dyDescent="0.25">
      <c r="A2272">
        <v>209</v>
      </c>
      <c r="B2272" t="s">
        <v>312</v>
      </c>
      <c r="C2272">
        <v>8</v>
      </c>
      <c r="D2272">
        <v>150</v>
      </c>
      <c r="E2272">
        <v>2523</v>
      </c>
      <c r="F2272" t="s">
        <v>77</v>
      </c>
      <c r="G2272" t="s">
        <v>746</v>
      </c>
      <c r="H2272">
        <v>4</v>
      </c>
      <c r="I2272">
        <v>95.07</v>
      </c>
      <c r="J2272" t="s">
        <v>839</v>
      </c>
      <c r="K2272" t="s">
        <v>812</v>
      </c>
      <c r="M2272" t="s">
        <v>1519</v>
      </c>
      <c r="Q2272" t="s">
        <v>28</v>
      </c>
      <c r="R2272" t="s">
        <v>81</v>
      </c>
      <c r="W2272">
        <v>4</v>
      </c>
      <c r="X2272" t="s">
        <v>1135</v>
      </c>
      <c r="Z2272" t="s">
        <v>38</v>
      </c>
      <c r="AB2272" t="s">
        <v>921</v>
      </c>
      <c r="AC2272" t="s">
        <v>1433</v>
      </c>
      <c r="AD2272" t="s">
        <v>39</v>
      </c>
    </row>
    <row r="2273" spans="1:30" x14ac:dyDescent="0.25">
      <c r="A2273">
        <v>210</v>
      </c>
      <c r="B2273" t="s">
        <v>280</v>
      </c>
      <c r="C2273">
        <v>8</v>
      </c>
      <c r="D2273">
        <v>124</v>
      </c>
      <c r="E2273">
        <v>601</v>
      </c>
      <c r="F2273" t="s">
        <v>77</v>
      </c>
      <c r="G2273" t="s">
        <v>746</v>
      </c>
      <c r="H2273">
        <v>3</v>
      </c>
      <c r="I2273">
        <v>14.04</v>
      </c>
      <c r="J2273" t="s">
        <v>839</v>
      </c>
      <c r="K2273" t="s">
        <v>812</v>
      </c>
      <c r="M2273" t="s">
        <v>1519</v>
      </c>
      <c r="Q2273" t="s">
        <v>28</v>
      </c>
      <c r="R2273" t="s">
        <v>81</v>
      </c>
      <c r="W2273">
        <v>4</v>
      </c>
      <c r="X2273" t="s">
        <v>1135</v>
      </c>
      <c r="Z2273" t="s">
        <v>38</v>
      </c>
      <c r="AB2273" t="s">
        <v>921</v>
      </c>
      <c r="AC2273" t="s">
        <v>1433</v>
      </c>
      <c r="AD2273" t="s">
        <v>39</v>
      </c>
    </row>
    <row r="2274" spans="1:30" x14ac:dyDescent="0.25">
      <c r="A2274">
        <v>211</v>
      </c>
      <c r="B2274" t="s">
        <v>282</v>
      </c>
      <c r="C2274">
        <v>8</v>
      </c>
      <c r="D2274">
        <v>150</v>
      </c>
      <c r="E2274">
        <v>1381</v>
      </c>
      <c r="F2274" t="s">
        <v>77</v>
      </c>
      <c r="G2274" t="s">
        <v>746</v>
      </c>
      <c r="H2274">
        <v>3</v>
      </c>
      <c r="I2274">
        <v>39.03</v>
      </c>
      <c r="J2274" t="s">
        <v>839</v>
      </c>
      <c r="K2274" t="s">
        <v>812</v>
      </c>
      <c r="M2274" t="s">
        <v>1519</v>
      </c>
      <c r="Q2274" t="s">
        <v>28</v>
      </c>
      <c r="R2274" t="s">
        <v>81</v>
      </c>
      <c r="W2274">
        <v>4</v>
      </c>
      <c r="X2274" t="s">
        <v>1135</v>
      </c>
      <c r="Z2274" t="s">
        <v>38</v>
      </c>
      <c r="AB2274" t="s">
        <v>921</v>
      </c>
      <c r="AC2274" t="s">
        <v>1433</v>
      </c>
      <c r="AD2274" t="s">
        <v>39</v>
      </c>
    </row>
    <row r="2275" spans="1:30" x14ac:dyDescent="0.25">
      <c r="A2275">
        <v>212</v>
      </c>
      <c r="B2275" t="s">
        <v>269</v>
      </c>
      <c r="C2275">
        <v>8</v>
      </c>
      <c r="D2275">
        <v>124</v>
      </c>
      <c r="E2275">
        <v>792</v>
      </c>
      <c r="F2275" t="s">
        <v>77</v>
      </c>
      <c r="G2275" t="s">
        <v>746</v>
      </c>
      <c r="H2275">
        <v>3</v>
      </c>
      <c r="I2275">
        <v>18.5</v>
      </c>
      <c r="J2275" t="s">
        <v>839</v>
      </c>
      <c r="K2275" t="s">
        <v>812</v>
      </c>
      <c r="M2275" t="s">
        <v>1519</v>
      </c>
      <c r="Q2275" t="s">
        <v>28</v>
      </c>
      <c r="R2275" t="s">
        <v>81</v>
      </c>
      <c r="W2275">
        <v>4</v>
      </c>
      <c r="X2275" t="s">
        <v>1135</v>
      </c>
      <c r="Z2275" t="s">
        <v>38</v>
      </c>
      <c r="AB2275" t="s">
        <v>921</v>
      </c>
      <c r="AC2275" t="s">
        <v>1433</v>
      </c>
      <c r="AD2275" t="s">
        <v>39</v>
      </c>
    </row>
    <row r="2276" spans="1:30" x14ac:dyDescent="0.25">
      <c r="A2276">
        <v>213</v>
      </c>
      <c r="B2276" t="s">
        <v>313</v>
      </c>
      <c r="C2276">
        <v>8</v>
      </c>
      <c r="D2276">
        <v>158</v>
      </c>
      <c r="E2276">
        <v>228</v>
      </c>
      <c r="F2276" t="s">
        <v>77</v>
      </c>
      <c r="G2276" t="s">
        <v>746</v>
      </c>
      <c r="H2276">
        <v>18</v>
      </c>
      <c r="I2276">
        <v>40.5</v>
      </c>
      <c r="J2276" t="s">
        <v>839</v>
      </c>
      <c r="K2276" t="s">
        <v>812</v>
      </c>
      <c r="M2276" t="s">
        <v>1519</v>
      </c>
      <c r="Q2276" t="s">
        <v>26</v>
      </c>
      <c r="R2276" t="s">
        <v>81</v>
      </c>
      <c r="W2276">
        <v>4</v>
      </c>
      <c r="X2276" t="s">
        <v>1135</v>
      </c>
      <c r="Z2276" t="s">
        <v>38</v>
      </c>
      <c r="AB2276" t="s">
        <v>921</v>
      </c>
      <c r="AC2276" t="s">
        <v>1435</v>
      </c>
      <c r="AD2276" t="s">
        <v>39</v>
      </c>
    </row>
    <row r="2277" spans="1:30" x14ac:dyDescent="0.25">
      <c r="A2277">
        <v>214</v>
      </c>
      <c r="B2277" t="s">
        <v>317</v>
      </c>
      <c r="C2277">
        <v>8</v>
      </c>
      <c r="D2277">
        <v>206</v>
      </c>
      <c r="E2277">
        <v>465</v>
      </c>
      <c r="F2277" t="s">
        <v>77</v>
      </c>
      <c r="G2277" t="s">
        <v>746</v>
      </c>
      <c r="H2277">
        <v>1</v>
      </c>
      <c r="I2277">
        <v>6.01</v>
      </c>
      <c r="J2277" t="s">
        <v>839</v>
      </c>
      <c r="K2277" t="s">
        <v>812</v>
      </c>
      <c r="M2277" t="s">
        <v>1519</v>
      </c>
      <c r="Q2277" t="s">
        <v>26</v>
      </c>
      <c r="R2277" t="s">
        <v>81</v>
      </c>
      <c r="W2277">
        <v>4</v>
      </c>
      <c r="X2277" t="s">
        <v>1135</v>
      </c>
      <c r="Z2277" t="s">
        <v>38</v>
      </c>
      <c r="AB2277" t="s">
        <v>921</v>
      </c>
      <c r="AC2277" t="s">
        <v>1435</v>
      </c>
      <c r="AD2277" t="s">
        <v>39</v>
      </c>
    </row>
    <row r="2278" spans="1:30" x14ac:dyDescent="0.25">
      <c r="A2278">
        <v>215</v>
      </c>
      <c r="B2278" t="s">
        <v>319</v>
      </c>
      <c r="C2278">
        <v>8</v>
      </c>
      <c r="D2278">
        <v>196</v>
      </c>
      <c r="E2278">
        <v>340</v>
      </c>
      <c r="F2278" t="s">
        <v>77</v>
      </c>
      <c r="G2278" t="s">
        <v>746</v>
      </c>
      <c r="H2278">
        <v>2</v>
      </c>
      <c r="I2278">
        <v>8.36</v>
      </c>
      <c r="J2278" t="s">
        <v>839</v>
      </c>
      <c r="K2278" t="s">
        <v>812</v>
      </c>
      <c r="M2278" t="s">
        <v>1519</v>
      </c>
      <c r="Q2278" t="s">
        <v>26</v>
      </c>
      <c r="R2278" t="s">
        <v>81</v>
      </c>
      <c r="W2278">
        <v>4</v>
      </c>
      <c r="X2278" t="s">
        <v>1135</v>
      </c>
      <c r="Z2278" t="s">
        <v>38</v>
      </c>
      <c r="AB2278" t="s">
        <v>921</v>
      </c>
      <c r="AC2278" t="s">
        <v>1435</v>
      </c>
      <c r="AD2278" t="s">
        <v>39</v>
      </c>
    </row>
    <row r="2279" spans="1:30" x14ac:dyDescent="0.25">
      <c r="A2279">
        <v>216</v>
      </c>
      <c r="B2279" t="s">
        <v>321</v>
      </c>
      <c r="C2279">
        <v>8</v>
      </c>
      <c r="D2279">
        <v>148</v>
      </c>
      <c r="E2279">
        <v>324</v>
      </c>
      <c r="F2279" t="s">
        <v>77</v>
      </c>
      <c r="G2279" t="s">
        <v>746</v>
      </c>
      <c r="H2279">
        <v>2</v>
      </c>
      <c r="I2279">
        <v>6.02</v>
      </c>
      <c r="J2279" t="s">
        <v>839</v>
      </c>
      <c r="K2279" t="s">
        <v>812</v>
      </c>
      <c r="M2279" t="s">
        <v>1519</v>
      </c>
      <c r="Q2279" t="s">
        <v>26</v>
      </c>
      <c r="R2279" t="s">
        <v>81</v>
      </c>
      <c r="W2279">
        <v>4</v>
      </c>
      <c r="X2279" t="s">
        <v>1135</v>
      </c>
      <c r="Z2279" t="s">
        <v>38</v>
      </c>
      <c r="AB2279" t="s">
        <v>921</v>
      </c>
      <c r="AC2279" t="s">
        <v>1435</v>
      </c>
      <c r="AD2279" t="s">
        <v>39</v>
      </c>
    </row>
    <row r="2280" spans="1:30" x14ac:dyDescent="0.25">
      <c r="A2280">
        <v>217</v>
      </c>
      <c r="B2280" t="s">
        <v>323</v>
      </c>
      <c r="C2280">
        <v>8</v>
      </c>
      <c r="D2280">
        <v>160</v>
      </c>
      <c r="E2280">
        <v>340</v>
      </c>
      <c r="F2280" t="s">
        <v>77</v>
      </c>
      <c r="G2280" t="s">
        <v>746</v>
      </c>
      <c r="H2280">
        <v>2</v>
      </c>
      <c r="I2280">
        <v>6.83</v>
      </c>
      <c r="J2280" t="s">
        <v>839</v>
      </c>
      <c r="K2280" t="s">
        <v>812</v>
      </c>
      <c r="M2280" t="s">
        <v>1519</v>
      </c>
      <c r="Q2280" t="s">
        <v>26</v>
      </c>
      <c r="R2280" t="s">
        <v>81</v>
      </c>
      <c r="W2280">
        <v>4</v>
      </c>
      <c r="X2280" t="s">
        <v>1135</v>
      </c>
      <c r="Z2280" t="s">
        <v>38</v>
      </c>
      <c r="AB2280" t="s">
        <v>921</v>
      </c>
      <c r="AC2280" t="s">
        <v>1435</v>
      </c>
      <c r="AD2280" t="s">
        <v>39</v>
      </c>
    </row>
    <row r="2281" spans="1:30" x14ac:dyDescent="0.25">
      <c r="A2281">
        <v>218</v>
      </c>
      <c r="B2281" t="s">
        <v>325</v>
      </c>
      <c r="C2281">
        <v>8</v>
      </c>
      <c r="D2281">
        <v>148</v>
      </c>
      <c r="E2281">
        <v>441</v>
      </c>
      <c r="F2281" t="s">
        <v>77</v>
      </c>
      <c r="G2281" t="s">
        <v>746</v>
      </c>
      <c r="H2281">
        <v>1</v>
      </c>
      <c r="I2281">
        <v>4.0999999999999996</v>
      </c>
      <c r="J2281" t="s">
        <v>839</v>
      </c>
      <c r="K2281" t="s">
        <v>812</v>
      </c>
      <c r="M2281" t="s">
        <v>1519</v>
      </c>
      <c r="Q2281" t="s">
        <v>26</v>
      </c>
      <c r="R2281" t="s">
        <v>81</v>
      </c>
      <c r="W2281">
        <v>4</v>
      </c>
      <c r="X2281" t="s">
        <v>1135</v>
      </c>
      <c r="Z2281" t="s">
        <v>38</v>
      </c>
      <c r="AB2281" t="s">
        <v>921</v>
      </c>
      <c r="AC2281" t="s">
        <v>1435</v>
      </c>
      <c r="AD2281" t="s">
        <v>39</v>
      </c>
    </row>
    <row r="2282" spans="1:30" x14ac:dyDescent="0.25">
      <c r="A2282">
        <v>219</v>
      </c>
      <c r="B2282" t="s">
        <v>326</v>
      </c>
      <c r="C2282">
        <v>8</v>
      </c>
      <c r="D2282">
        <v>148</v>
      </c>
      <c r="E2282">
        <v>324</v>
      </c>
      <c r="F2282" t="s">
        <v>77</v>
      </c>
      <c r="G2282" t="s">
        <v>746</v>
      </c>
      <c r="H2282">
        <v>2</v>
      </c>
      <c r="I2282">
        <v>6.02</v>
      </c>
      <c r="J2282" t="s">
        <v>839</v>
      </c>
      <c r="K2282" t="s">
        <v>812</v>
      </c>
      <c r="M2282" t="s">
        <v>1519</v>
      </c>
      <c r="Q2282" t="s">
        <v>26</v>
      </c>
      <c r="R2282" t="s">
        <v>81</v>
      </c>
      <c r="W2282">
        <v>4</v>
      </c>
      <c r="X2282" t="s">
        <v>1135</v>
      </c>
      <c r="Z2282" t="s">
        <v>38</v>
      </c>
      <c r="AB2282" t="s">
        <v>921</v>
      </c>
      <c r="AC2282" t="s">
        <v>1435</v>
      </c>
      <c r="AD2282" t="s">
        <v>39</v>
      </c>
    </row>
    <row r="2283" spans="1:30" x14ac:dyDescent="0.25">
      <c r="A2283">
        <v>220</v>
      </c>
      <c r="B2283" t="s">
        <v>327</v>
      </c>
      <c r="C2283">
        <v>8</v>
      </c>
      <c r="D2283">
        <v>148</v>
      </c>
      <c r="E2283">
        <v>441</v>
      </c>
      <c r="F2283" t="s">
        <v>77</v>
      </c>
      <c r="G2283" t="s">
        <v>746</v>
      </c>
      <c r="H2283">
        <v>2</v>
      </c>
      <c r="I2283">
        <v>8.19</v>
      </c>
      <c r="J2283" t="s">
        <v>839</v>
      </c>
      <c r="K2283" t="s">
        <v>812</v>
      </c>
      <c r="M2283" t="s">
        <v>1519</v>
      </c>
      <c r="Q2283" t="s">
        <v>26</v>
      </c>
      <c r="R2283" t="s">
        <v>81</v>
      </c>
      <c r="W2283">
        <v>4</v>
      </c>
      <c r="X2283" t="s">
        <v>1135</v>
      </c>
      <c r="Z2283" t="s">
        <v>38</v>
      </c>
      <c r="AB2283" t="s">
        <v>921</v>
      </c>
      <c r="AC2283" t="s">
        <v>1435</v>
      </c>
      <c r="AD2283" t="s">
        <v>39</v>
      </c>
    </row>
    <row r="2284" spans="1:30" x14ac:dyDescent="0.25">
      <c r="A2284">
        <v>221</v>
      </c>
      <c r="B2284" t="s">
        <v>328</v>
      </c>
      <c r="C2284">
        <v>8</v>
      </c>
      <c r="D2284">
        <v>148</v>
      </c>
      <c r="E2284">
        <v>324</v>
      </c>
      <c r="F2284" t="s">
        <v>77</v>
      </c>
      <c r="G2284" t="s">
        <v>746</v>
      </c>
      <c r="H2284">
        <v>4</v>
      </c>
      <c r="I2284">
        <v>12.03</v>
      </c>
      <c r="J2284" t="s">
        <v>839</v>
      </c>
      <c r="K2284" t="s">
        <v>812</v>
      </c>
      <c r="M2284" t="s">
        <v>1519</v>
      </c>
      <c r="Q2284" t="s">
        <v>26</v>
      </c>
      <c r="R2284" t="s">
        <v>81</v>
      </c>
      <c r="W2284">
        <v>4</v>
      </c>
      <c r="X2284" t="s">
        <v>1135</v>
      </c>
      <c r="Z2284" t="s">
        <v>38</v>
      </c>
      <c r="AB2284" t="s">
        <v>921</v>
      </c>
      <c r="AC2284" t="s">
        <v>1435</v>
      </c>
      <c r="AD2284" t="s">
        <v>39</v>
      </c>
    </row>
    <row r="2285" spans="1:30" x14ac:dyDescent="0.25">
      <c r="A2285">
        <v>222</v>
      </c>
      <c r="B2285" t="s">
        <v>296</v>
      </c>
      <c r="C2285">
        <v>8</v>
      </c>
      <c r="D2285">
        <v>329</v>
      </c>
      <c r="E2285">
        <v>7565</v>
      </c>
      <c r="F2285" t="s">
        <v>77</v>
      </c>
      <c r="G2285" t="s">
        <v>746</v>
      </c>
      <c r="H2285">
        <v>2</v>
      </c>
      <c r="I2285">
        <v>309.73</v>
      </c>
      <c r="J2285" t="s">
        <v>839</v>
      </c>
      <c r="K2285" t="s">
        <v>812</v>
      </c>
      <c r="M2285" t="s">
        <v>1519</v>
      </c>
      <c r="O2285" t="s">
        <v>228</v>
      </c>
      <c r="Q2285" t="s">
        <v>28</v>
      </c>
      <c r="R2285" t="s">
        <v>81</v>
      </c>
      <c r="W2285">
        <v>4</v>
      </c>
      <c r="X2285" t="s">
        <v>1135</v>
      </c>
      <c r="Z2285" t="s">
        <v>38</v>
      </c>
      <c r="AB2285" t="s">
        <v>921</v>
      </c>
      <c r="AC2285" t="s">
        <v>1435</v>
      </c>
      <c r="AD2285" t="s">
        <v>39</v>
      </c>
    </row>
    <row r="2286" spans="1:30" x14ac:dyDescent="0.25">
      <c r="A2286">
        <v>223</v>
      </c>
      <c r="B2286" t="s">
        <v>329</v>
      </c>
      <c r="C2286">
        <v>8</v>
      </c>
      <c r="D2286">
        <v>206</v>
      </c>
      <c r="E2286">
        <v>465</v>
      </c>
      <c r="F2286" t="s">
        <v>77</v>
      </c>
      <c r="G2286" t="s">
        <v>746</v>
      </c>
      <c r="H2286">
        <v>1</v>
      </c>
      <c r="I2286">
        <v>6.01</v>
      </c>
      <c r="J2286" t="s">
        <v>839</v>
      </c>
      <c r="K2286" t="s">
        <v>812</v>
      </c>
      <c r="M2286" t="s">
        <v>1519</v>
      </c>
      <c r="Q2286" t="s">
        <v>26</v>
      </c>
      <c r="R2286" t="s">
        <v>81</v>
      </c>
      <c r="W2286">
        <v>4</v>
      </c>
      <c r="X2286" t="s">
        <v>1135</v>
      </c>
      <c r="Z2286" t="s">
        <v>38</v>
      </c>
      <c r="AB2286" t="s">
        <v>921</v>
      </c>
      <c r="AC2286" t="s">
        <v>1435</v>
      </c>
      <c r="AD2286" t="s">
        <v>39</v>
      </c>
    </row>
    <row r="2287" spans="1:30" x14ac:dyDescent="0.25">
      <c r="A2287">
        <v>224</v>
      </c>
      <c r="B2287" t="s">
        <v>330</v>
      </c>
      <c r="C2287">
        <v>8</v>
      </c>
      <c r="D2287">
        <v>196</v>
      </c>
      <c r="E2287">
        <v>340</v>
      </c>
      <c r="F2287" t="s">
        <v>77</v>
      </c>
      <c r="G2287" t="s">
        <v>746</v>
      </c>
      <c r="H2287">
        <v>2</v>
      </c>
      <c r="I2287">
        <v>8.36</v>
      </c>
      <c r="J2287" t="s">
        <v>839</v>
      </c>
      <c r="K2287" t="s">
        <v>812</v>
      </c>
      <c r="M2287" t="s">
        <v>1519</v>
      </c>
      <c r="Q2287" t="s">
        <v>26</v>
      </c>
      <c r="R2287" t="s">
        <v>81</v>
      </c>
      <c r="W2287">
        <v>4</v>
      </c>
      <c r="X2287" t="s">
        <v>1135</v>
      </c>
      <c r="Z2287" t="s">
        <v>38</v>
      </c>
      <c r="AB2287" t="s">
        <v>921</v>
      </c>
      <c r="AC2287" t="s">
        <v>1435</v>
      </c>
      <c r="AD2287" t="s">
        <v>39</v>
      </c>
    </row>
    <row r="2288" spans="1:30" x14ac:dyDescent="0.25">
      <c r="A2288">
        <v>225</v>
      </c>
      <c r="B2288" t="s">
        <v>331</v>
      </c>
      <c r="C2288">
        <v>8</v>
      </c>
      <c r="D2288">
        <v>148</v>
      </c>
      <c r="E2288">
        <v>441</v>
      </c>
      <c r="F2288" t="s">
        <v>77</v>
      </c>
      <c r="G2288" t="s">
        <v>746</v>
      </c>
      <c r="H2288">
        <v>1</v>
      </c>
      <c r="I2288">
        <v>4.0999999999999996</v>
      </c>
      <c r="J2288" t="s">
        <v>839</v>
      </c>
      <c r="K2288" t="s">
        <v>812</v>
      </c>
      <c r="M2288" t="s">
        <v>1519</v>
      </c>
      <c r="Q2288" t="s">
        <v>26</v>
      </c>
      <c r="R2288" t="s">
        <v>81</v>
      </c>
      <c r="W2288">
        <v>4</v>
      </c>
      <c r="X2288" t="s">
        <v>1135</v>
      </c>
      <c r="Z2288" t="s">
        <v>38</v>
      </c>
      <c r="AB2288" t="s">
        <v>921</v>
      </c>
      <c r="AC2288" t="s">
        <v>1435</v>
      </c>
      <c r="AD2288" t="s">
        <v>39</v>
      </c>
    </row>
    <row r="2289" spans="1:30" x14ac:dyDescent="0.25">
      <c r="A2289">
        <v>226</v>
      </c>
      <c r="B2289" t="s">
        <v>332</v>
      </c>
      <c r="C2289">
        <v>8</v>
      </c>
      <c r="D2289">
        <v>148</v>
      </c>
      <c r="E2289">
        <v>324</v>
      </c>
      <c r="F2289" t="s">
        <v>77</v>
      </c>
      <c r="G2289" t="s">
        <v>746</v>
      </c>
      <c r="H2289">
        <v>2</v>
      </c>
      <c r="I2289">
        <v>6.02</v>
      </c>
      <c r="J2289" t="s">
        <v>839</v>
      </c>
      <c r="K2289" t="s">
        <v>812</v>
      </c>
      <c r="M2289" t="s">
        <v>1519</v>
      </c>
      <c r="Q2289" t="s">
        <v>26</v>
      </c>
      <c r="R2289" t="s">
        <v>81</v>
      </c>
      <c r="W2289">
        <v>4</v>
      </c>
      <c r="X2289" t="s">
        <v>1135</v>
      </c>
      <c r="Z2289" t="s">
        <v>38</v>
      </c>
      <c r="AB2289" t="s">
        <v>921</v>
      </c>
      <c r="AC2289" t="s">
        <v>1435</v>
      </c>
      <c r="AD2289" t="s">
        <v>39</v>
      </c>
    </row>
    <row r="2290" spans="1:30" x14ac:dyDescent="0.25">
      <c r="A2290">
        <v>227</v>
      </c>
      <c r="B2290" t="s">
        <v>333</v>
      </c>
      <c r="C2290">
        <v>8</v>
      </c>
      <c r="D2290">
        <v>156</v>
      </c>
      <c r="E2290">
        <v>465</v>
      </c>
      <c r="F2290" t="s">
        <v>77</v>
      </c>
      <c r="G2290" t="s">
        <v>746</v>
      </c>
      <c r="H2290">
        <v>1</v>
      </c>
      <c r="I2290">
        <v>4.55</v>
      </c>
      <c r="J2290" t="s">
        <v>839</v>
      </c>
      <c r="K2290" t="s">
        <v>812</v>
      </c>
      <c r="M2290" t="s">
        <v>1519</v>
      </c>
      <c r="Q2290" t="s">
        <v>26</v>
      </c>
      <c r="R2290" t="s">
        <v>81</v>
      </c>
      <c r="W2290">
        <v>4</v>
      </c>
      <c r="X2290" t="s">
        <v>1135</v>
      </c>
      <c r="Z2290" t="s">
        <v>38</v>
      </c>
      <c r="AB2290" t="s">
        <v>921</v>
      </c>
      <c r="AC2290" t="s">
        <v>1435</v>
      </c>
      <c r="AD2290" t="s">
        <v>39</v>
      </c>
    </row>
    <row r="2291" spans="1:30" x14ac:dyDescent="0.25">
      <c r="A2291">
        <v>228</v>
      </c>
      <c r="B2291" t="s">
        <v>334</v>
      </c>
      <c r="C2291">
        <v>8</v>
      </c>
      <c r="D2291">
        <v>160</v>
      </c>
      <c r="E2291">
        <v>340</v>
      </c>
      <c r="F2291" t="s">
        <v>77</v>
      </c>
      <c r="G2291" t="s">
        <v>746</v>
      </c>
      <c r="H2291">
        <v>2</v>
      </c>
      <c r="I2291">
        <v>6.83</v>
      </c>
      <c r="J2291" t="s">
        <v>839</v>
      </c>
      <c r="K2291" t="s">
        <v>812</v>
      </c>
      <c r="M2291" t="s">
        <v>1519</v>
      </c>
      <c r="Q2291" t="s">
        <v>26</v>
      </c>
      <c r="R2291" t="s">
        <v>81</v>
      </c>
      <c r="W2291">
        <v>4</v>
      </c>
      <c r="X2291" t="s">
        <v>1135</v>
      </c>
      <c r="Z2291" t="s">
        <v>38</v>
      </c>
      <c r="AB2291" t="s">
        <v>921</v>
      </c>
      <c r="AC2291" t="s">
        <v>1435</v>
      </c>
      <c r="AD2291" t="s">
        <v>39</v>
      </c>
    </row>
    <row r="2292" spans="1:30" x14ac:dyDescent="0.25">
      <c r="A2292">
        <v>229</v>
      </c>
      <c r="B2292" t="s">
        <v>335</v>
      </c>
      <c r="C2292">
        <v>8</v>
      </c>
      <c r="D2292">
        <v>148</v>
      </c>
      <c r="E2292">
        <v>441</v>
      </c>
      <c r="F2292" t="s">
        <v>77</v>
      </c>
      <c r="G2292" t="s">
        <v>746</v>
      </c>
      <c r="H2292">
        <v>1</v>
      </c>
      <c r="I2292">
        <v>4.0999999999999996</v>
      </c>
      <c r="J2292" t="s">
        <v>839</v>
      </c>
      <c r="K2292" t="s">
        <v>812</v>
      </c>
      <c r="M2292" t="s">
        <v>1519</v>
      </c>
      <c r="Q2292" t="s">
        <v>26</v>
      </c>
      <c r="R2292" t="s">
        <v>81</v>
      </c>
      <c r="W2292">
        <v>4</v>
      </c>
      <c r="X2292" t="s">
        <v>1135</v>
      </c>
      <c r="Z2292" t="s">
        <v>38</v>
      </c>
      <c r="AB2292" t="s">
        <v>921</v>
      </c>
      <c r="AC2292" t="s">
        <v>1435</v>
      </c>
      <c r="AD2292" t="s">
        <v>39</v>
      </c>
    </row>
    <row r="2293" spans="1:30" x14ac:dyDescent="0.25">
      <c r="A2293">
        <v>230</v>
      </c>
      <c r="B2293" t="s">
        <v>336</v>
      </c>
      <c r="C2293">
        <v>8</v>
      </c>
      <c r="D2293">
        <v>148</v>
      </c>
      <c r="E2293">
        <v>324</v>
      </c>
      <c r="F2293" t="s">
        <v>77</v>
      </c>
      <c r="G2293" t="s">
        <v>746</v>
      </c>
      <c r="H2293">
        <v>2</v>
      </c>
      <c r="I2293">
        <v>6.02</v>
      </c>
      <c r="J2293" t="s">
        <v>839</v>
      </c>
      <c r="K2293" t="s">
        <v>812</v>
      </c>
      <c r="M2293" t="s">
        <v>1519</v>
      </c>
      <c r="Q2293" t="s">
        <v>26</v>
      </c>
      <c r="R2293" t="s">
        <v>81</v>
      </c>
      <c r="W2293">
        <v>4</v>
      </c>
      <c r="X2293" t="s">
        <v>1135</v>
      </c>
      <c r="Z2293" t="s">
        <v>38</v>
      </c>
      <c r="AB2293" t="s">
        <v>921</v>
      </c>
      <c r="AC2293" t="s">
        <v>1435</v>
      </c>
      <c r="AD2293" t="s">
        <v>39</v>
      </c>
    </row>
    <row r="2294" spans="1:30" x14ac:dyDescent="0.25">
      <c r="A2294">
        <v>231</v>
      </c>
      <c r="B2294" t="s">
        <v>337</v>
      </c>
      <c r="C2294">
        <v>8</v>
      </c>
      <c r="D2294">
        <v>148</v>
      </c>
      <c r="E2294">
        <v>441</v>
      </c>
      <c r="F2294" t="s">
        <v>77</v>
      </c>
      <c r="G2294" t="s">
        <v>746</v>
      </c>
      <c r="H2294">
        <v>2</v>
      </c>
      <c r="I2294">
        <v>8.19</v>
      </c>
      <c r="J2294" t="s">
        <v>839</v>
      </c>
      <c r="K2294" t="s">
        <v>812</v>
      </c>
      <c r="M2294" t="s">
        <v>1519</v>
      </c>
      <c r="Q2294" t="s">
        <v>26</v>
      </c>
      <c r="R2294" t="s">
        <v>81</v>
      </c>
      <c r="W2294">
        <v>4</v>
      </c>
      <c r="X2294" t="s">
        <v>1135</v>
      </c>
      <c r="Z2294" t="s">
        <v>38</v>
      </c>
      <c r="AB2294" t="s">
        <v>921</v>
      </c>
      <c r="AC2294" t="s">
        <v>1435</v>
      </c>
      <c r="AD2294" t="s">
        <v>39</v>
      </c>
    </row>
    <row r="2295" spans="1:30" x14ac:dyDescent="0.25">
      <c r="A2295">
        <v>232</v>
      </c>
      <c r="B2295" t="s">
        <v>338</v>
      </c>
      <c r="C2295">
        <v>8</v>
      </c>
      <c r="D2295">
        <v>148</v>
      </c>
      <c r="E2295">
        <v>324</v>
      </c>
      <c r="F2295" t="s">
        <v>77</v>
      </c>
      <c r="G2295" t="s">
        <v>746</v>
      </c>
      <c r="H2295">
        <v>4</v>
      </c>
      <c r="I2295">
        <v>12.03</v>
      </c>
      <c r="J2295" t="s">
        <v>839</v>
      </c>
      <c r="K2295" t="s">
        <v>812</v>
      </c>
      <c r="M2295" t="s">
        <v>1519</v>
      </c>
      <c r="Q2295" t="s">
        <v>26</v>
      </c>
      <c r="R2295" t="s">
        <v>81</v>
      </c>
      <c r="W2295">
        <v>4</v>
      </c>
      <c r="X2295" t="s">
        <v>1135</v>
      </c>
      <c r="Z2295" t="s">
        <v>38</v>
      </c>
      <c r="AB2295" t="s">
        <v>921</v>
      </c>
      <c r="AC2295" t="s">
        <v>1435</v>
      </c>
      <c r="AD2295" t="s">
        <v>39</v>
      </c>
    </row>
    <row r="2296" spans="1:30" x14ac:dyDescent="0.25">
      <c r="A2296">
        <v>233</v>
      </c>
      <c r="B2296" t="s">
        <v>298</v>
      </c>
      <c r="C2296">
        <v>8</v>
      </c>
      <c r="D2296">
        <v>329</v>
      </c>
      <c r="E2296">
        <v>7566</v>
      </c>
      <c r="F2296" t="s">
        <v>77</v>
      </c>
      <c r="G2296" t="s">
        <v>746</v>
      </c>
      <c r="H2296">
        <v>3</v>
      </c>
      <c r="I2296">
        <v>464.63</v>
      </c>
      <c r="J2296" t="s">
        <v>839</v>
      </c>
      <c r="K2296" t="s">
        <v>812</v>
      </c>
      <c r="M2296" t="s">
        <v>1519</v>
      </c>
      <c r="O2296" t="s">
        <v>228</v>
      </c>
      <c r="Q2296" t="s">
        <v>28</v>
      </c>
      <c r="R2296" t="s">
        <v>81</v>
      </c>
      <c r="W2296">
        <v>4</v>
      </c>
      <c r="X2296" t="s">
        <v>1135</v>
      </c>
      <c r="Z2296" t="s">
        <v>38</v>
      </c>
      <c r="AB2296" t="s">
        <v>921</v>
      </c>
      <c r="AC2296" t="s">
        <v>1435</v>
      </c>
      <c r="AD2296" t="s">
        <v>39</v>
      </c>
    </row>
    <row r="2297" spans="1:30" x14ac:dyDescent="0.25">
      <c r="A2297">
        <v>234</v>
      </c>
      <c r="B2297" t="s">
        <v>339</v>
      </c>
      <c r="C2297">
        <v>8</v>
      </c>
      <c r="D2297">
        <v>142</v>
      </c>
      <c r="E2297">
        <v>1799</v>
      </c>
      <c r="F2297" t="s">
        <v>77</v>
      </c>
      <c r="G2297" t="s">
        <v>746</v>
      </c>
      <c r="H2297">
        <v>1</v>
      </c>
      <c r="I2297">
        <v>16.04</v>
      </c>
      <c r="J2297" t="s">
        <v>839</v>
      </c>
      <c r="K2297" t="s">
        <v>812</v>
      </c>
      <c r="M2297" t="s">
        <v>1519</v>
      </c>
      <c r="R2297" t="s">
        <v>81</v>
      </c>
      <c r="U2297" t="s">
        <v>81</v>
      </c>
      <c r="W2297">
        <v>4</v>
      </c>
      <c r="X2297" t="s">
        <v>1135</v>
      </c>
      <c r="Z2297" t="s">
        <v>38</v>
      </c>
      <c r="AB2297" t="s">
        <v>921</v>
      </c>
      <c r="AC2297" t="s">
        <v>1435</v>
      </c>
      <c r="AD2297" t="s">
        <v>39</v>
      </c>
    </row>
    <row r="2298" spans="1:30" x14ac:dyDescent="0.25">
      <c r="A2298">
        <v>235</v>
      </c>
      <c r="B2298" t="s">
        <v>341</v>
      </c>
      <c r="C2298">
        <v>8</v>
      </c>
      <c r="D2298">
        <v>74</v>
      </c>
      <c r="E2298">
        <v>172</v>
      </c>
      <c r="F2298" t="s">
        <v>77</v>
      </c>
      <c r="G2298" t="s">
        <v>746</v>
      </c>
      <c r="H2298">
        <v>2</v>
      </c>
      <c r="I2298">
        <v>1.07</v>
      </c>
      <c r="J2298" t="s">
        <v>839</v>
      </c>
      <c r="K2298" t="s">
        <v>812</v>
      </c>
      <c r="M2298" t="s">
        <v>1519</v>
      </c>
      <c r="Q2298" t="s">
        <v>26</v>
      </c>
      <c r="R2298" t="s">
        <v>81</v>
      </c>
      <c r="W2298">
        <v>4</v>
      </c>
      <c r="X2298" t="s">
        <v>1135</v>
      </c>
      <c r="Z2298" t="s">
        <v>38</v>
      </c>
      <c r="AB2298" t="s">
        <v>921</v>
      </c>
      <c r="AC2298" t="s">
        <v>1435</v>
      </c>
      <c r="AD2298" t="s">
        <v>39</v>
      </c>
    </row>
    <row r="2299" spans="1:30" x14ac:dyDescent="0.25">
      <c r="A2299">
        <v>236</v>
      </c>
      <c r="B2299" t="s">
        <v>343</v>
      </c>
      <c r="C2299">
        <v>8</v>
      </c>
      <c r="D2299">
        <v>90</v>
      </c>
      <c r="E2299">
        <v>150</v>
      </c>
      <c r="F2299" t="s">
        <v>77</v>
      </c>
      <c r="G2299" t="s">
        <v>746</v>
      </c>
      <c r="H2299">
        <v>6</v>
      </c>
      <c r="I2299">
        <v>3.71</v>
      </c>
      <c r="J2299" t="s">
        <v>839</v>
      </c>
      <c r="K2299" t="s">
        <v>812</v>
      </c>
      <c r="M2299" t="s">
        <v>1519</v>
      </c>
      <c r="Q2299" t="s">
        <v>26</v>
      </c>
      <c r="R2299" t="s">
        <v>81</v>
      </c>
      <c r="W2299">
        <v>4</v>
      </c>
      <c r="X2299" t="s">
        <v>1135</v>
      </c>
      <c r="Z2299" t="s">
        <v>38</v>
      </c>
      <c r="AB2299" t="s">
        <v>921</v>
      </c>
      <c r="AC2299" t="s">
        <v>1435</v>
      </c>
      <c r="AD2299" t="s">
        <v>39</v>
      </c>
    </row>
    <row r="2300" spans="1:30" x14ac:dyDescent="0.25">
      <c r="A2300">
        <v>237</v>
      </c>
      <c r="B2300" t="s">
        <v>344</v>
      </c>
      <c r="C2300">
        <v>8</v>
      </c>
      <c r="D2300">
        <v>142</v>
      </c>
      <c r="E2300">
        <v>1799</v>
      </c>
      <c r="F2300" t="s">
        <v>77</v>
      </c>
      <c r="G2300" t="s">
        <v>746</v>
      </c>
      <c r="H2300">
        <v>2</v>
      </c>
      <c r="I2300">
        <v>32.090000000000003</v>
      </c>
      <c r="J2300" t="s">
        <v>839</v>
      </c>
      <c r="K2300" t="s">
        <v>812</v>
      </c>
      <c r="M2300" t="s">
        <v>1519</v>
      </c>
      <c r="R2300" t="s">
        <v>81</v>
      </c>
      <c r="U2300" t="s">
        <v>81</v>
      </c>
      <c r="W2300">
        <v>4</v>
      </c>
      <c r="X2300" t="s">
        <v>1135</v>
      </c>
      <c r="Z2300" t="s">
        <v>38</v>
      </c>
      <c r="AB2300" t="s">
        <v>921</v>
      </c>
      <c r="AC2300" t="s">
        <v>1435</v>
      </c>
      <c r="AD2300" t="s">
        <v>39</v>
      </c>
    </row>
    <row r="2301" spans="1:30" x14ac:dyDescent="0.25">
      <c r="A2301">
        <v>238</v>
      </c>
      <c r="B2301" t="s">
        <v>229</v>
      </c>
      <c r="C2301">
        <v>8</v>
      </c>
      <c r="D2301">
        <v>90</v>
      </c>
      <c r="E2301">
        <v>150</v>
      </c>
      <c r="F2301" t="s">
        <v>77</v>
      </c>
      <c r="G2301" t="s">
        <v>746</v>
      </c>
      <c r="H2301">
        <v>9</v>
      </c>
      <c r="I2301">
        <v>5.57</v>
      </c>
      <c r="J2301" t="s">
        <v>839</v>
      </c>
      <c r="K2301" t="s">
        <v>812</v>
      </c>
      <c r="M2301" t="s">
        <v>1519</v>
      </c>
      <c r="Q2301" t="s">
        <v>26</v>
      </c>
      <c r="R2301" t="s">
        <v>81</v>
      </c>
      <c r="W2301">
        <v>4</v>
      </c>
      <c r="X2301" t="s">
        <v>1135</v>
      </c>
      <c r="Z2301" t="s">
        <v>38</v>
      </c>
      <c r="AB2301" t="s">
        <v>921</v>
      </c>
      <c r="AC2301" t="s">
        <v>1435</v>
      </c>
      <c r="AD2301" t="s">
        <v>39</v>
      </c>
    </row>
    <row r="2302" spans="1:30" x14ac:dyDescent="0.25">
      <c r="A2302">
        <v>239</v>
      </c>
      <c r="B2302" t="s">
        <v>345</v>
      </c>
      <c r="C2302">
        <v>8</v>
      </c>
      <c r="D2302">
        <v>142</v>
      </c>
      <c r="E2302">
        <v>1799</v>
      </c>
      <c r="F2302" t="s">
        <v>77</v>
      </c>
      <c r="G2302" t="s">
        <v>746</v>
      </c>
      <c r="H2302">
        <v>1</v>
      </c>
      <c r="I2302">
        <v>16.04</v>
      </c>
      <c r="J2302" t="s">
        <v>839</v>
      </c>
      <c r="K2302" t="s">
        <v>812</v>
      </c>
      <c r="M2302" t="s">
        <v>1519</v>
      </c>
      <c r="R2302" t="s">
        <v>81</v>
      </c>
      <c r="U2302" t="s">
        <v>81</v>
      </c>
      <c r="W2302">
        <v>4</v>
      </c>
      <c r="X2302" t="s">
        <v>1135</v>
      </c>
      <c r="Z2302" t="s">
        <v>38</v>
      </c>
      <c r="AB2302" t="s">
        <v>921</v>
      </c>
      <c r="AC2302" t="s">
        <v>1435</v>
      </c>
      <c r="AD2302" t="s">
        <v>39</v>
      </c>
    </row>
    <row r="2303" spans="1:30" x14ac:dyDescent="0.25">
      <c r="A2303">
        <v>240</v>
      </c>
      <c r="B2303" t="s">
        <v>346</v>
      </c>
      <c r="C2303">
        <v>8</v>
      </c>
      <c r="D2303">
        <v>74</v>
      </c>
      <c r="E2303">
        <v>172</v>
      </c>
      <c r="F2303" t="s">
        <v>77</v>
      </c>
      <c r="G2303" t="s">
        <v>746</v>
      </c>
      <c r="H2303">
        <v>3</v>
      </c>
      <c r="I2303">
        <v>1.6</v>
      </c>
      <c r="J2303" t="s">
        <v>839</v>
      </c>
      <c r="K2303" t="s">
        <v>812</v>
      </c>
      <c r="M2303" t="s">
        <v>1519</v>
      </c>
      <c r="Q2303" t="s">
        <v>26</v>
      </c>
      <c r="R2303" t="s">
        <v>81</v>
      </c>
      <c r="W2303">
        <v>4</v>
      </c>
      <c r="X2303" t="s">
        <v>1135</v>
      </c>
      <c r="Z2303" t="s">
        <v>38</v>
      </c>
      <c r="AB2303" t="s">
        <v>921</v>
      </c>
      <c r="AC2303" t="s">
        <v>1435</v>
      </c>
      <c r="AD2303" t="s">
        <v>39</v>
      </c>
    </row>
    <row r="2304" spans="1:30" x14ac:dyDescent="0.25">
      <c r="A2304">
        <v>241</v>
      </c>
      <c r="B2304" t="s">
        <v>347</v>
      </c>
      <c r="C2304">
        <v>8</v>
      </c>
      <c r="D2304">
        <v>90</v>
      </c>
      <c r="E2304">
        <v>150</v>
      </c>
      <c r="F2304" t="s">
        <v>77</v>
      </c>
      <c r="G2304" t="s">
        <v>746</v>
      </c>
      <c r="H2304">
        <v>5</v>
      </c>
      <c r="I2304">
        <v>3.09</v>
      </c>
      <c r="J2304" t="s">
        <v>839</v>
      </c>
      <c r="K2304" t="s">
        <v>812</v>
      </c>
      <c r="M2304" t="s">
        <v>1519</v>
      </c>
      <c r="Q2304" t="s">
        <v>26</v>
      </c>
      <c r="R2304" t="s">
        <v>81</v>
      </c>
      <c r="W2304">
        <v>4</v>
      </c>
      <c r="X2304" t="s">
        <v>1135</v>
      </c>
      <c r="Z2304" t="s">
        <v>38</v>
      </c>
      <c r="AB2304" t="s">
        <v>921</v>
      </c>
      <c r="AC2304" t="s">
        <v>1435</v>
      </c>
      <c r="AD2304" t="s">
        <v>39</v>
      </c>
    </row>
    <row r="2305" spans="1:30" x14ac:dyDescent="0.25">
      <c r="A2305">
        <v>242</v>
      </c>
      <c r="B2305" t="s">
        <v>348</v>
      </c>
      <c r="C2305">
        <v>8</v>
      </c>
      <c r="D2305">
        <v>158</v>
      </c>
      <c r="E2305">
        <v>228</v>
      </c>
      <c r="F2305" t="s">
        <v>77</v>
      </c>
      <c r="G2305" t="s">
        <v>746</v>
      </c>
      <c r="H2305">
        <v>27</v>
      </c>
      <c r="I2305">
        <v>59.73</v>
      </c>
      <c r="J2305" t="s">
        <v>839</v>
      </c>
      <c r="K2305" t="s">
        <v>812</v>
      </c>
      <c r="M2305" t="s">
        <v>1519</v>
      </c>
      <c r="Q2305" t="s">
        <v>26</v>
      </c>
      <c r="R2305" t="s">
        <v>81</v>
      </c>
      <c r="W2305">
        <v>4</v>
      </c>
      <c r="X2305" t="s">
        <v>1135</v>
      </c>
      <c r="Z2305" t="s">
        <v>38</v>
      </c>
      <c r="AB2305" t="s">
        <v>921</v>
      </c>
      <c r="AC2305" t="s">
        <v>1435</v>
      </c>
      <c r="AD2305" t="s">
        <v>39</v>
      </c>
    </row>
    <row r="2306" spans="1:30" x14ac:dyDescent="0.25">
      <c r="A2306">
        <v>243</v>
      </c>
      <c r="B2306" t="s">
        <v>306</v>
      </c>
      <c r="C2306">
        <v>8</v>
      </c>
      <c r="D2306">
        <v>124</v>
      </c>
      <c r="E2306">
        <v>1882</v>
      </c>
      <c r="F2306" t="s">
        <v>77</v>
      </c>
      <c r="G2306" t="s">
        <v>746</v>
      </c>
      <c r="H2306">
        <v>4</v>
      </c>
      <c r="I2306">
        <v>58.62</v>
      </c>
      <c r="J2306" t="s">
        <v>839</v>
      </c>
      <c r="K2306" t="s">
        <v>812</v>
      </c>
      <c r="M2306" t="s">
        <v>1519</v>
      </c>
      <c r="Q2306" t="s">
        <v>28</v>
      </c>
      <c r="R2306" t="s">
        <v>81</v>
      </c>
      <c r="W2306">
        <v>4</v>
      </c>
      <c r="X2306" t="s">
        <v>1135</v>
      </c>
      <c r="Z2306" t="s">
        <v>38</v>
      </c>
      <c r="AB2306" t="s">
        <v>921</v>
      </c>
      <c r="AC2306" t="s">
        <v>1435</v>
      </c>
      <c r="AD2306" t="s">
        <v>39</v>
      </c>
    </row>
    <row r="2307" spans="1:30" x14ac:dyDescent="0.25">
      <c r="A2307">
        <v>244</v>
      </c>
      <c r="B2307" t="s">
        <v>308</v>
      </c>
      <c r="C2307">
        <v>8</v>
      </c>
      <c r="D2307">
        <v>150</v>
      </c>
      <c r="E2307">
        <v>2523</v>
      </c>
      <c r="F2307" t="s">
        <v>77</v>
      </c>
      <c r="G2307" t="s">
        <v>746</v>
      </c>
      <c r="H2307">
        <v>2</v>
      </c>
      <c r="I2307">
        <v>47.53</v>
      </c>
      <c r="J2307" t="s">
        <v>839</v>
      </c>
      <c r="K2307" t="s">
        <v>812</v>
      </c>
      <c r="M2307" t="s">
        <v>1519</v>
      </c>
      <c r="Q2307" t="s">
        <v>28</v>
      </c>
      <c r="R2307" t="s">
        <v>81</v>
      </c>
      <c r="W2307">
        <v>4</v>
      </c>
      <c r="X2307" t="s">
        <v>1135</v>
      </c>
      <c r="Z2307" t="s">
        <v>38</v>
      </c>
      <c r="AB2307" t="s">
        <v>921</v>
      </c>
      <c r="AC2307" t="s">
        <v>1435</v>
      </c>
      <c r="AD2307" t="s">
        <v>39</v>
      </c>
    </row>
    <row r="2308" spans="1:30" x14ac:dyDescent="0.25">
      <c r="A2308">
        <v>245</v>
      </c>
      <c r="B2308" t="s">
        <v>310</v>
      </c>
      <c r="C2308">
        <v>8</v>
      </c>
      <c r="D2308">
        <v>124</v>
      </c>
      <c r="E2308">
        <v>2523</v>
      </c>
      <c r="F2308" t="s">
        <v>77</v>
      </c>
      <c r="G2308" t="s">
        <v>746</v>
      </c>
      <c r="H2308">
        <v>2</v>
      </c>
      <c r="I2308">
        <v>39.29</v>
      </c>
      <c r="J2308" t="s">
        <v>839</v>
      </c>
      <c r="K2308" t="s">
        <v>812</v>
      </c>
      <c r="M2308" t="s">
        <v>1519</v>
      </c>
      <c r="Q2308" t="s">
        <v>28</v>
      </c>
      <c r="R2308" t="s">
        <v>81</v>
      </c>
      <c r="W2308">
        <v>4</v>
      </c>
      <c r="X2308" t="s">
        <v>1135</v>
      </c>
      <c r="Z2308" t="s">
        <v>38</v>
      </c>
      <c r="AB2308" t="s">
        <v>921</v>
      </c>
      <c r="AC2308" t="s">
        <v>1435</v>
      </c>
      <c r="AD2308" t="s">
        <v>39</v>
      </c>
    </row>
    <row r="2309" spans="1:30" x14ac:dyDescent="0.25">
      <c r="A2309">
        <v>246</v>
      </c>
      <c r="B2309" t="s">
        <v>349</v>
      </c>
      <c r="C2309">
        <v>8</v>
      </c>
      <c r="D2309">
        <v>124</v>
      </c>
      <c r="E2309">
        <v>2523</v>
      </c>
      <c r="F2309" t="s">
        <v>77</v>
      </c>
      <c r="G2309" t="s">
        <v>746</v>
      </c>
      <c r="H2309">
        <v>4</v>
      </c>
      <c r="I2309">
        <v>78.59</v>
      </c>
      <c r="J2309" t="s">
        <v>839</v>
      </c>
      <c r="K2309" t="s">
        <v>812</v>
      </c>
      <c r="M2309" t="s">
        <v>1519</v>
      </c>
      <c r="Q2309" t="s">
        <v>28</v>
      </c>
      <c r="R2309" t="s">
        <v>81</v>
      </c>
      <c r="W2309">
        <v>4</v>
      </c>
      <c r="X2309" t="s">
        <v>1135</v>
      </c>
      <c r="Z2309" t="s">
        <v>38</v>
      </c>
      <c r="AB2309" t="s">
        <v>921</v>
      </c>
      <c r="AC2309" t="s">
        <v>1435</v>
      </c>
      <c r="AD2309" t="s">
        <v>39</v>
      </c>
    </row>
    <row r="2310" spans="1:30" x14ac:dyDescent="0.25">
      <c r="A2310">
        <v>247</v>
      </c>
      <c r="B2310" t="s">
        <v>350</v>
      </c>
      <c r="C2310">
        <v>8</v>
      </c>
      <c r="D2310">
        <v>150</v>
      </c>
      <c r="E2310">
        <v>601</v>
      </c>
      <c r="F2310" t="s">
        <v>77</v>
      </c>
      <c r="G2310" t="s">
        <v>746</v>
      </c>
      <c r="H2310">
        <v>4</v>
      </c>
      <c r="I2310">
        <v>22.65</v>
      </c>
      <c r="J2310" t="s">
        <v>839</v>
      </c>
      <c r="K2310" t="s">
        <v>812</v>
      </c>
      <c r="M2310" t="s">
        <v>1519</v>
      </c>
      <c r="Q2310" t="s">
        <v>28</v>
      </c>
      <c r="R2310" t="s">
        <v>81</v>
      </c>
      <c r="W2310">
        <v>4</v>
      </c>
      <c r="X2310" t="s">
        <v>1135</v>
      </c>
      <c r="Z2310" t="s">
        <v>38</v>
      </c>
      <c r="AB2310" t="s">
        <v>921</v>
      </c>
      <c r="AC2310" t="s">
        <v>1435</v>
      </c>
      <c r="AD2310" t="s">
        <v>39</v>
      </c>
    </row>
    <row r="2311" spans="1:30" x14ac:dyDescent="0.25">
      <c r="A2311">
        <v>248</v>
      </c>
      <c r="B2311" t="s">
        <v>267</v>
      </c>
      <c r="C2311">
        <v>8</v>
      </c>
      <c r="D2311">
        <v>124</v>
      </c>
      <c r="E2311">
        <v>6824</v>
      </c>
      <c r="F2311" t="s">
        <v>77</v>
      </c>
      <c r="G2311" t="s">
        <v>746</v>
      </c>
      <c r="H2311">
        <v>1</v>
      </c>
      <c r="I2311">
        <v>53.14</v>
      </c>
      <c r="J2311" t="s">
        <v>839</v>
      </c>
      <c r="K2311" t="s">
        <v>812</v>
      </c>
      <c r="M2311" t="s">
        <v>1519</v>
      </c>
      <c r="Q2311" t="s">
        <v>28</v>
      </c>
      <c r="R2311" t="s">
        <v>81</v>
      </c>
      <c r="W2311">
        <v>4</v>
      </c>
      <c r="X2311" t="s">
        <v>1135</v>
      </c>
      <c r="Z2311" t="s">
        <v>38</v>
      </c>
      <c r="AB2311" t="s">
        <v>921</v>
      </c>
      <c r="AC2311" t="s">
        <v>1435</v>
      </c>
      <c r="AD2311" t="s">
        <v>39</v>
      </c>
    </row>
    <row r="2312" spans="1:30" x14ac:dyDescent="0.25">
      <c r="A2312">
        <v>249</v>
      </c>
      <c r="B2312" t="s">
        <v>235</v>
      </c>
      <c r="C2312">
        <v>8</v>
      </c>
      <c r="D2312">
        <v>150</v>
      </c>
      <c r="E2312">
        <v>792</v>
      </c>
      <c r="F2312" t="s">
        <v>77</v>
      </c>
      <c r="G2312" t="s">
        <v>746</v>
      </c>
      <c r="H2312">
        <v>2</v>
      </c>
      <c r="I2312">
        <v>14.92</v>
      </c>
      <c r="J2312" t="s">
        <v>839</v>
      </c>
      <c r="K2312" t="s">
        <v>812</v>
      </c>
      <c r="M2312" t="s">
        <v>1519</v>
      </c>
      <c r="Q2312" t="s">
        <v>28</v>
      </c>
      <c r="R2312" t="s">
        <v>81</v>
      </c>
      <c r="W2312">
        <v>4</v>
      </c>
      <c r="X2312" t="s">
        <v>1135</v>
      </c>
      <c r="Z2312" t="s">
        <v>38</v>
      </c>
      <c r="AB2312" t="s">
        <v>921</v>
      </c>
      <c r="AC2312" t="s">
        <v>1435</v>
      </c>
      <c r="AD2312" t="s">
        <v>39</v>
      </c>
    </row>
    <row r="2313" spans="1:30" x14ac:dyDescent="0.25">
      <c r="A2313">
        <v>250</v>
      </c>
      <c r="B2313" t="s">
        <v>352</v>
      </c>
      <c r="C2313">
        <v>8</v>
      </c>
      <c r="D2313">
        <v>142</v>
      </c>
      <c r="E2313">
        <v>1799</v>
      </c>
      <c r="F2313" t="s">
        <v>77</v>
      </c>
      <c r="G2313" t="s">
        <v>746</v>
      </c>
      <c r="H2313">
        <v>2</v>
      </c>
      <c r="I2313">
        <v>32.090000000000003</v>
      </c>
      <c r="J2313" t="s">
        <v>839</v>
      </c>
      <c r="K2313" t="s">
        <v>812</v>
      </c>
      <c r="M2313" t="s">
        <v>1519</v>
      </c>
      <c r="R2313" t="s">
        <v>81</v>
      </c>
      <c r="U2313" t="s">
        <v>81</v>
      </c>
      <c r="W2313">
        <v>4</v>
      </c>
      <c r="X2313" t="s">
        <v>1135</v>
      </c>
      <c r="Z2313" t="s">
        <v>38</v>
      </c>
      <c r="AB2313" t="s">
        <v>921</v>
      </c>
      <c r="AC2313" t="s">
        <v>1435</v>
      </c>
      <c r="AD2313" t="s">
        <v>39</v>
      </c>
    </row>
    <row r="2314" spans="1:30" x14ac:dyDescent="0.25">
      <c r="A2314">
        <v>251</v>
      </c>
      <c r="B2314" t="s">
        <v>341</v>
      </c>
      <c r="C2314">
        <v>8</v>
      </c>
      <c r="D2314">
        <v>74</v>
      </c>
      <c r="E2314">
        <v>172</v>
      </c>
      <c r="F2314" t="s">
        <v>77</v>
      </c>
      <c r="G2314" t="s">
        <v>746</v>
      </c>
      <c r="H2314">
        <v>1</v>
      </c>
      <c r="I2314">
        <v>0.53</v>
      </c>
      <c r="J2314" t="s">
        <v>839</v>
      </c>
      <c r="K2314" t="s">
        <v>812</v>
      </c>
      <c r="M2314" t="s">
        <v>1519</v>
      </c>
      <c r="Q2314" t="s">
        <v>26</v>
      </c>
      <c r="S2314" t="s">
        <v>81</v>
      </c>
      <c r="W2314">
        <v>4</v>
      </c>
      <c r="X2314" t="s">
        <v>1135</v>
      </c>
      <c r="Z2314" t="s">
        <v>38</v>
      </c>
      <c r="AB2314" t="s">
        <v>921</v>
      </c>
      <c r="AC2314" t="s">
        <v>1438</v>
      </c>
      <c r="AD2314" t="s">
        <v>1439</v>
      </c>
    </row>
    <row r="2315" spans="1:30" x14ac:dyDescent="0.25">
      <c r="A2315">
        <v>252</v>
      </c>
      <c r="B2315" t="s">
        <v>357</v>
      </c>
      <c r="C2315">
        <v>8</v>
      </c>
      <c r="D2315">
        <v>74</v>
      </c>
      <c r="E2315">
        <v>172</v>
      </c>
      <c r="F2315" t="s">
        <v>77</v>
      </c>
      <c r="G2315" t="s">
        <v>746</v>
      </c>
      <c r="H2315">
        <v>6</v>
      </c>
      <c r="I2315">
        <v>3.2</v>
      </c>
      <c r="J2315" t="s">
        <v>839</v>
      </c>
      <c r="K2315" t="s">
        <v>812</v>
      </c>
      <c r="M2315" t="s">
        <v>1519</v>
      </c>
      <c r="Q2315" t="s">
        <v>26</v>
      </c>
      <c r="S2315" t="s">
        <v>81</v>
      </c>
      <c r="W2315">
        <v>4</v>
      </c>
      <c r="X2315" t="s">
        <v>1135</v>
      </c>
      <c r="Z2315" t="s">
        <v>38</v>
      </c>
      <c r="AB2315" t="s">
        <v>921</v>
      </c>
      <c r="AC2315" t="s">
        <v>1438</v>
      </c>
      <c r="AD2315" t="s">
        <v>1439</v>
      </c>
    </row>
    <row r="2316" spans="1:30" x14ac:dyDescent="0.25">
      <c r="A2316">
        <v>253</v>
      </c>
      <c r="B2316" t="s">
        <v>347</v>
      </c>
      <c r="C2316">
        <v>8</v>
      </c>
      <c r="D2316">
        <v>90</v>
      </c>
      <c r="E2316">
        <v>150</v>
      </c>
      <c r="F2316" t="s">
        <v>77</v>
      </c>
      <c r="G2316" t="s">
        <v>746</v>
      </c>
      <c r="H2316">
        <v>1</v>
      </c>
      <c r="I2316">
        <v>0.62</v>
      </c>
      <c r="J2316" t="s">
        <v>839</v>
      </c>
      <c r="K2316" t="s">
        <v>812</v>
      </c>
      <c r="M2316" t="s">
        <v>1519</v>
      </c>
      <c r="Q2316" t="s">
        <v>26</v>
      </c>
      <c r="S2316" t="s">
        <v>81</v>
      </c>
      <c r="W2316">
        <v>4</v>
      </c>
      <c r="X2316" t="s">
        <v>1135</v>
      </c>
      <c r="Z2316" t="s">
        <v>38</v>
      </c>
      <c r="AB2316" t="s">
        <v>921</v>
      </c>
      <c r="AC2316" t="s">
        <v>1438</v>
      </c>
      <c r="AD2316" t="s">
        <v>1439</v>
      </c>
    </row>
    <row r="2317" spans="1:30" x14ac:dyDescent="0.25">
      <c r="A2317">
        <v>254</v>
      </c>
      <c r="B2317" t="s">
        <v>348</v>
      </c>
      <c r="C2317">
        <v>8</v>
      </c>
      <c r="D2317">
        <v>158</v>
      </c>
      <c r="E2317">
        <v>228</v>
      </c>
      <c r="F2317" t="s">
        <v>77</v>
      </c>
      <c r="G2317" t="s">
        <v>746</v>
      </c>
      <c r="H2317">
        <v>3</v>
      </c>
      <c r="I2317">
        <v>6.64</v>
      </c>
      <c r="J2317" t="s">
        <v>839</v>
      </c>
      <c r="K2317" t="s">
        <v>812</v>
      </c>
      <c r="M2317" t="s">
        <v>1519</v>
      </c>
      <c r="Q2317" t="s">
        <v>26</v>
      </c>
      <c r="S2317" t="s">
        <v>81</v>
      </c>
      <c r="W2317">
        <v>4</v>
      </c>
      <c r="X2317" t="s">
        <v>1135</v>
      </c>
      <c r="Z2317" t="s">
        <v>38</v>
      </c>
      <c r="AB2317" t="s">
        <v>921</v>
      </c>
      <c r="AC2317" t="s">
        <v>1438</v>
      </c>
      <c r="AD2317" t="s">
        <v>1439</v>
      </c>
    </row>
    <row r="2318" spans="1:30" x14ac:dyDescent="0.25">
      <c r="A2318">
        <v>255</v>
      </c>
      <c r="B2318" t="s">
        <v>358</v>
      </c>
      <c r="C2318">
        <v>10</v>
      </c>
      <c r="D2318">
        <v>350</v>
      </c>
      <c r="E2318">
        <v>12000</v>
      </c>
      <c r="F2318" t="s">
        <v>77</v>
      </c>
      <c r="G2318" t="s">
        <v>746</v>
      </c>
      <c r="H2318">
        <v>1</v>
      </c>
      <c r="I2318">
        <v>329.7</v>
      </c>
      <c r="J2318" t="s">
        <v>839</v>
      </c>
      <c r="K2318" t="s">
        <v>812</v>
      </c>
      <c r="M2318" t="s">
        <v>1519</v>
      </c>
      <c r="Q2318" t="s">
        <v>28</v>
      </c>
      <c r="R2318" t="s">
        <v>81</v>
      </c>
      <c r="V2318" t="s">
        <v>81</v>
      </c>
      <c r="W2318">
        <v>4</v>
      </c>
      <c r="X2318" t="s">
        <v>1135</v>
      </c>
      <c r="Z2318" t="s">
        <v>38</v>
      </c>
      <c r="AB2318" t="s">
        <v>921</v>
      </c>
      <c r="AC2318" t="s">
        <v>1441</v>
      </c>
      <c r="AD2318" t="s">
        <v>39</v>
      </c>
    </row>
    <row r="2319" spans="1:30" x14ac:dyDescent="0.25">
      <c r="A2319">
        <v>256</v>
      </c>
      <c r="B2319" t="s">
        <v>363</v>
      </c>
      <c r="C2319">
        <v>10</v>
      </c>
      <c r="D2319">
        <v>350</v>
      </c>
      <c r="E2319">
        <v>12000</v>
      </c>
      <c r="F2319" t="s">
        <v>77</v>
      </c>
      <c r="G2319" t="s">
        <v>746</v>
      </c>
      <c r="H2319">
        <v>1</v>
      </c>
      <c r="I2319">
        <v>329.7</v>
      </c>
      <c r="J2319" t="s">
        <v>839</v>
      </c>
      <c r="K2319" t="s">
        <v>812</v>
      </c>
      <c r="M2319" t="s">
        <v>1519</v>
      </c>
      <c r="Q2319" t="s">
        <v>28</v>
      </c>
      <c r="R2319" t="s">
        <v>81</v>
      </c>
      <c r="V2319" t="s">
        <v>81</v>
      </c>
      <c r="W2319">
        <v>4</v>
      </c>
      <c r="X2319" t="s">
        <v>1135</v>
      </c>
      <c r="Z2319" t="s">
        <v>38</v>
      </c>
      <c r="AB2319" t="s">
        <v>921</v>
      </c>
      <c r="AC2319" t="s">
        <v>1441</v>
      </c>
      <c r="AD2319" t="s">
        <v>39</v>
      </c>
    </row>
    <row r="2320" spans="1:30" x14ac:dyDescent="0.25">
      <c r="A2320">
        <v>257</v>
      </c>
      <c r="B2320" t="s">
        <v>364</v>
      </c>
      <c r="C2320">
        <v>10</v>
      </c>
      <c r="D2320">
        <v>380</v>
      </c>
      <c r="E2320">
        <v>12000</v>
      </c>
      <c r="F2320" t="s">
        <v>77</v>
      </c>
      <c r="G2320" t="s">
        <v>746</v>
      </c>
      <c r="H2320">
        <v>2</v>
      </c>
      <c r="I2320">
        <v>715.91</v>
      </c>
      <c r="J2320" t="s">
        <v>839</v>
      </c>
      <c r="K2320" t="s">
        <v>812</v>
      </c>
      <c r="M2320" t="s">
        <v>1519</v>
      </c>
      <c r="Q2320" t="s">
        <v>28</v>
      </c>
      <c r="R2320" t="s">
        <v>81</v>
      </c>
      <c r="W2320">
        <v>4</v>
      </c>
      <c r="X2320" t="s">
        <v>1135</v>
      </c>
      <c r="Z2320" t="s">
        <v>38</v>
      </c>
      <c r="AB2320" t="s">
        <v>921</v>
      </c>
      <c r="AC2320" t="s">
        <v>1441</v>
      </c>
      <c r="AD2320" t="s">
        <v>39</v>
      </c>
    </row>
    <row r="2321" spans="1:30" x14ac:dyDescent="0.25">
      <c r="A2321">
        <v>258</v>
      </c>
      <c r="B2321" t="s">
        <v>366</v>
      </c>
      <c r="C2321">
        <v>10</v>
      </c>
      <c r="D2321">
        <v>380</v>
      </c>
      <c r="E2321">
        <v>12000</v>
      </c>
      <c r="F2321" t="s">
        <v>77</v>
      </c>
      <c r="G2321" t="s">
        <v>746</v>
      </c>
      <c r="H2321">
        <v>2</v>
      </c>
      <c r="I2321">
        <v>715.91</v>
      </c>
      <c r="J2321" t="s">
        <v>839</v>
      </c>
      <c r="K2321" t="s">
        <v>812</v>
      </c>
      <c r="M2321" t="s">
        <v>1519</v>
      </c>
      <c r="Q2321" t="s">
        <v>28</v>
      </c>
      <c r="R2321" t="s">
        <v>81</v>
      </c>
      <c r="W2321">
        <v>4</v>
      </c>
      <c r="X2321" t="s">
        <v>1135</v>
      </c>
      <c r="Z2321" t="s">
        <v>38</v>
      </c>
      <c r="AB2321" t="s">
        <v>921</v>
      </c>
      <c r="AC2321" t="s">
        <v>1443</v>
      </c>
      <c r="AD2321" t="s">
        <v>39</v>
      </c>
    </row>
    <row r="2322" spans="1:30" x14ac:dyDescent="0.25">
      <c r="A2322">
        <v>259</v>
      </c>
      <c r="B2322" t="s">
        <v>369</v>
      </c>
      <c r="C2322">
        <v>10</v>
      </c>
      <c r="D2322">
        <v>350</v>
      </c>
      <c r="E2322">
        <v>12000</v>
      </c>
      <c r="F2322" t="s">
        <v>77</v>
      </c>
      <c r="G2322" t="s">
        <v>746</v>
      </c>
      <c r="H2322">
        <v>1</v>
      </c>
      <c r="I2322">
        <v>329.7</v>
      </c>
      <c r="J2322" t="s">
        <v>839</v>
      </c>
      <c r="K2322" t="s">
        <v>812</v>
      </c>
      <c r="M2322" t="s">
        <v>1519</v>
      </c>
      <c r="Q2322" t="s">
        <v>28</v>
      </c>
      <c r="R2322" t="s">
        <v>81</v>
      </c>
      <c r="V2322" t="s">
        <v>81</v>
      </c>
      <c r="W2322">
        <v>4</v>
      </c>
      <c r="X2322" t="s">
        <v>1135</v>
      </c>
      <c r="Z2322" t="s">
        <v>38</v>
      </c>
      <c r="AB2322" t="s">
        <v>921</v>
      </c>
      <c r="AC2322" t="s">
        <v>1443</v>
      </c>
      <c r="AD2322" t="s">
        <v>39</v>
      </c>
    </row>
    <row r="2323" spans="1:30" x14ac:dyDescent="0.25">
      <c r="A2323">
        <v>260</v>
      </c>
      <c r="B2323" t="s">
        <v>370</v>
      </c>
      <c r="C2323">
        <v>10</v>
      </c>
      <c r="D2323">
        <v>350</v>
      </c>
      <c r="E2323">
        <v>12000</v>
      </c>
      <c r="F2323" t="s">
        <v>77</v>
      </c>
      <c r="G2323" t="s">
        <v>746</v>
      </c>
      <c r="H2323">
        <v>1</v>
      </c>
      <c r="I2323">
        <v>329.7</v>
      </c>
      <c r="J2323" t="s">
        <v>839</v>
      </c>
      <c r="K2323" t="s">
        <v>812</v>
      </c>
      <c r="M2323" t="s">
        <v>1519</v>
      </c>
      <c r="Q2323" t="s">
        <v>28</v>
      </c>
      <c r="R2323" t="s">
        <v>81</v>
      </c>
      <c r="V2323" t="s">
        <v>81</v>
      </c>
      <c r="W2323">
        <v>4</v>
      </c>
      <c r="X2323" t="s">
        <v>1135</v>
      </c>
      <c r="Z2323" t="s">
        <v>38</v>
      </c>
      <c r="AB2323" t="s">
        <v>921</v>
      </c>
      <c r="AC2323" t="s">
        <v>1443</v>
      </c>
      <c r="AD2323" t="s">
        <v>39</v>
      </c>
    </row>
    <row r="2324" spans="1:30" x14ac:dyDescent="0.25">
      <c r="A2324">
        <v>261</v>
      </c>
      <c r="B2324" t="s">
        <v>371</v>
      </c>
      <c r="C2324">
        <v>10</v>
      </c>
      <c r="D2324">
        <v>350</v>
      </c>
      <c r="E2324">
        <v>12000</v>
      </c>
      <c r="F2324" t="s">
        <v>77</v>
      </c>
      <c r="G2324" t="s">
        <v>746</v>
      </c>
      <c r="H2324">
        <v>2</v>
      </c>
      <c r="I2324">
        <v>659.41</v>
      </c>
      <c r="J2324" t="s">
        <v>839</v>
      </c>
      <c r="K2324" t="s">
        <v>812</v>
      </c>
      <c r="M2324" t="s">
        <v>1519</v>
      </c>
      <c r="Q2324" t="s">
        <v>28</v>
      </c>
      <c r="R2324" t="s">
        <v>81</v>
      </c>
      <c r="V2324" t="s">
        <v>81</v>
      </c>
      <c r="W2324">
        <v>4</v>
      </c>
      <c r="X2324" t="s">
        <v>1135</v>
      </c>
      <c r="Z2324" t="s">
        <v>38</v>
      </c>
      <c r="AB2324" t="s">
        <v>921</v>
      </c>
      <c r="AC2324" t="s">
        <v>1445</v>
      </c>
      <c r="AD2324" t="s">
        <v>39</v>
      </c>
    </row>
    <row r="2325" spans="1:30" x14ac:dyDescent="0.25">
      <c r="A2325">
        <v>262</v>
      </c>
      <c r="B2325" t="s">
        <v>366</v>
      </c>
      <c r="C2325">
        <v>10</v>
      </c>
      <c r="D2325">
        <v>380</v>
      </c>
      <c r="E2325">
        <v>12000</v>
      </c>
      <c r="F2325" t="s">
        <v>77</v>
      </c>
      <c r="G2325" t="s">
        <v>746</v>
      </c>
      <c r="H2325">
        <v>2</v>
      </c>
      <c r="I2325">
        <v>715.91</v>
      </c>
      <c r="J2325" t="s">
        <v>839</v>
      </c>
      <c r="K2325" t="s">
        <v>812</v>
      </c>
      <c r="M2325" t="s">
        <v>1519</v>
      </c>
      <c r="Q2325" t="s">
        <v>28</v>
      </c>
      <c r="R2325" t="s">
        <v>81</v>
      </c>
      <c r="W2325">
        <v>4</v>
      </c>
      <c r="X2325" t="s">
        <v>1135</v>
      </c>
      <c r="Z2325" t="s">
        <v>38</v>
      </c>
      <c r="AB2325" t="s">
        <v>921</v>
      </c>
      <c r="AC2325" t="s">
        <v>1445</v>
      </c>
      <c r="AD2325" t="s">
        <v>39</v>
      </c>
    </row>
    <row r="2326" spans="1:30" x14ac:dyDescent="0.25">
      <c r="A2326">
        <v>263</v>
      </c>
      <c r="B2326" t="s">
        <v>374</v>
      </c>
      <c r="C2326">
        <v>10</v>
      </c>
      <c r="D2326">
        <v>380</v>
      </c>
      <c r="E2326">
        <v>12000</v>
      </c>
      <c r="F2326" t="s">
        <v>77</v>
      </c>
      <c r="G2326" t="s">
        <v>746</v>
      </c>
      <c r="H2326">
        <v>2</v>
      </c>
      <c r="I2326">
        <v>715.91</v>
      </c>
      <c r="J2326" t="s">
        <v>839</v>
      </c>
      <c r="K2326" t="s">
        <v>812</v>
      </c>
      <c r="M2326" t="s">
        <v>1519</v>
      </c>
      <c r="Q2326" t="s">
        <v>28</v>
      </c>
      <c r="R2326" t="s">
        <v>81</v>
      </c>
      <c r="W2326">
        <v>4</v>
      </c>
      <c r="X2326" t="s">
        <v>1135</v>
      </c>
      <c r="Z2326" t="s">
        <v>38</v>
      </c>
      <c r="AB2326" t="s">
        <v>921</v>
      </c>
      <c r="AC2326" t="s">
        <v>1447</v>
      </c>
      <c r="AD2326" t="s">
        <v>39</v>
      </c>
    </row>
    <row r="2327" spans="1:30" x14ac:dyDescent="0.25">
      <c r="A2327">
        <v>264</v>
      </c>
      <c r="B2327" t="s">
        <v>377</v>
      </c>
      <c r="C2327">
        <v>10</v>
      </c>
      <c r="D2327">
        <v>230</v>
      </c>
      <c r="E2327">
        <v>12000</v>
      </c>
      <c r="F2327" t="s">
        <v>77</v>
      </c>
      <c r="G2327" t="s">
        <v>746</v>
      </c>
      <c r="H2327">
        <v>3</v>
      </c>
      <c r="I2327">
        <v>649.98</v>
      </c>
      <c r="J2327" t="s">
        <v>839</v>
      </c>
      <c r="K2327" t="s">
        <v>812</v>
      </c>
      <c r="M2327" t="s">
        <v>1519</v>
      </c>
      <c r="Q2327" t="s">
        <v>28</v>
      </c>
      <c r="R2327" t="s">
        <v>81</v>
      </c>
      <c r="W2327">
        <v>4</v>
      </c>
      <c r="X2327" t="s">
        <v>1135</v>
      </c>
      <c r="Z2327" t="s">
        <v>38</v>
      </c>
      <c r="AB2327" t="s">
        <v>921</v>
      </c>
      <c r="AC2327" t="s">
        <v>1447</v>
      </c>
      <c r="AD2327" t="s">
        <v>39</v>
      </c>
    </row>
    <row r="2328" spans="1:30" x14ac:dyDescent="0.25">
      <c r="A2328">
        <v>265</v>
      </c>
      <c r="B2328" t="s">
        <v>379</v>
      </c>
      <c r="C2328">
        <v>10</v>
      </c>
      <c r="D2328">
        <v>230</v>
      </c>
      <c r="E2328">
        <v>9518</v>
      </c>
      <c r="F2328" t="s">
        <v>77</v>
      </c>
      <c r="G2328" t="s">
        <v>746</v>
      </c>
      <c r="H2328">
        <v>2</v>
      </c>
      <c r="I2328">
        <v>343.69</v>
      </c>
      <c r="J2328" t="s">
        <v>839</v>
      </c>
      <c r="K2328" t="s">
        <v>812</v>
      </c>
      <c r="M2328" t="s">
        <v>1519</v>
      </c>
      <c r="Q2328" t="s">
        <v>28</v>
      </c>
      <c r="R2328" t="s">
        <v>81</v>
      </c>
      <c r="W2328">
        <v>4</v>
      </c>
      <c r="X2328" t="s">
        <v>1135</v>
      </c>
      <c r="Z2328" t="s">
        <v>38</v>
      </c>
      <c r="AB2328" t="s">
        <v>921</v>
      </c>
      <c r="AC2328" t="s">
        <v>1449</v>
      </c>
      <c r="AD2328" t="s">
        <v>39</v>
      </c>
    </row>
    <row r="2329" spans="1:30" x14ac:dyDescent="0.25">
      <c r="A2329">
        <v>266</v>
      </c>
      <c r="B2329" t="s">
        <v>383</v>
      </c>
      <c r="C2329">
        <v>10</v>
      </c>
      <c r="D2329">
        <v>375</v>
      </c>
      <c r="E2329">
        <v>500</v>
      </c>
      <c r="F2329" t="s">
        <v>77</v>
      </c>
      <c r="G2329" t="s">
        <v>746</v>
      </c>
      <c r="H2329">
        <v>4</v>
      </c>
      <c r="I2329">
        <v>58.88</v>
      </c>
      <c r="J2329" t="s">
        <v>839</v>
      </c>
      <c r="K2329" t="s">
        <v>812</v>
      </c>
      <c r="M2329" t="s">
        <v>1519</v>
      </c>
      <c r="Q2329" t="s">
        <v>26</v>
      </c>
      <c r="R2329" t="s">
        <v>81</v>
      </c>
      <c r="W2329">
        <v>4</v>
      </c>
      <c r="X2329" t="s">
        <v>1135</v>
      </c>
      <c r="Z2329" t="s">
        <v>38</v>
      </c>
      <c r="AB2329" t="s">
        <v>921</v>
      </c>
      <c r="AC2329" t="s">
        <v>1449</v>
      </c>
      <c r="AD2329" t="s">
        <v>39</v>
      </c>
    </row>
    <row r="2330" spans="1:30" x14ac:dyDescent="0.25">
      <c r="A2330">
        <v>267</v>
      </c>
      <c r="B2330" t="s">
        <v>385</v>
      </c>
      <c r="C2330">
        <v>10</v>
      </c>
      <c r="D2330">
        <v>375</v>
      </c>
      <c r="E2330">
        <v>500</v>
      </c>
      <c r="F2330" t="s">
        <v>77</v>
      </c>
      <c r="G2330" t="s">
        <v>746</v>
      </c>
      <c r="H2330">
        <v>2</v>
      </c>
      <c r="I2330">
        <v>29.44</v>
      </c>
      <c r="J2330" t="s">
        <v>839</v>
      </c>
      <c r="K2330" t="s">
        <v>812</v>
      </c>
      <c r="M2330" t="s">
        <v>1519</v>
      </c>
      <c r="Q2330" t="s">
        <v>26</v>
      </c>
      <c r="R2330" t="s">
        <v>81</v>
      </c>
      <c r="W2330">
        <v>4</v>
      </c>
      <c r="X2330" t="s">
        <v>1135</v>
      </c>
      <c r="Z2330" t="s">
        <v>38</v>
      </c>
      <c r="AB2330" t="s">
        <v>921</v>
      </c>
      <c r="AC2330" t="s">
        <v>1449</v>
      </c>
      <c r="AD2330" t="s">
        <v>39</v>
      </c>
    </row>
    <row r="2331" spans="1:30" x14ac:dyDescent="0.25">
      <c r="A2331">
        <v>268</v>
      </c>
      <c r="B2331" t="s">
        <v>386</v>
      </c>
      <c r="C2331">
        <v>10</v>
      </c>
      <c r="D2331">
        <v>148</v>
      </c>
      <c r="E2331">
        <v>441</v>
      </c>
      <c r="F2331" t="s">
        <v>77</v>
      </c>
      <c r="G2331" t="s">
        <v>746</v>
      </c>
      <c r="H2331">
        <v>1</v>
      </c>
      <c r="I2331">
        <v>5.0599999999999996</v>
      </c>
      <c r="J2331" t="s">
        <v>839</v>
      </c>
      <c r="K2331" t="s">
        <v>812</v>
      </c>
      <c r="M2331" t="s">
        <v>1519</v>
      </c>
      <c r="Q2331" t="s">
        <v>26</v>
      </c>
      <c r="R2331" t="s">
        <v>81</v>
      </c>
      <c r="W2331">
        <v>4</v>
      </c>
      <c r="X2331" t="s">
        <v>1135</v>
      </c>
      <c r="Z2331" t="s">
        <v>38</v>
      </c>
      <c r="AB2331" t="s">
        <v>921</v>
      </c>
      <c r="AC2331" t="s">
        <v>1449</v>
      </c>
      <c r="AD2331" t="s">
        <v>39</v>
      </c>
    </row>
    <row r="2332" spans="1:30" x14ac:dyDescent="0.25">
      <c r="A2332">
        <v>269</v>
      </c>
      <c r="B2332" t="s">
        <v>388</v>
      </c>
      <c r="C2332">
        <v>10</v>
      </c>
      <c r="D2332">
        <v>350</v>
      </c>
      <c r="E2332">
        <v>12000</v>
      </c>
      <c r="F2332" t="s">
        <v>77</v>
      </c>
      <c r="G2332" t="s">
        <v>746</v>
      </c>
      <c r="H2332">
        <v>2</v>
      </c>
      <c r="I2332">
        <v>659.41</v>
      </c>
      <c r="J2332" t="s">
        <v>839</v>
      </c>
      <c r="K2332" t="s">
        <v>812</v>
      </c>
      <c r="M2332" t="s">
        <v>1519</v>
      </c>
      <c r="Q2332" t="s">
        <v>28</v>
      </c>
      <c r="R2332" t="s">
        <v>81</v>
      </c>
      <c r="V2332" t="s">
        <v>81</v>
      </c>
      <c r="W2332">
        <v>4</v>
      </c>
      <c r="X2332" t="s">
        <v>1135</v>
      </c>
      <c r="Z2332" t="s">
        <v>38</v>
      </c>
      <c r="AB2332" t="s">
        <v>921</v>
      </c>
      <c r="AC2332" t="s">
        <v>1449</v>
      </c>
      <c r="AD2332" t="s">
        <v>39</v>
      </c>
    </row>
    <row r="2333" spans="1:30" x14ac:dyDescent="0.25">
      <c r="A2333">
        <v>270</v>
      </c>
      <c r="B2333" t="s">
        <v>377</v>
      </c>
      <c r="C2333">
        <v>10</v>
      </c>
      <c r="D2333">
        <v>230</v>
      </c>
      <c r="E2333">
        <v>12000</v>
      </c>
      <c r="F2333" t="s">
        <v>77</v>
      </c>
      <c r="G2333" t="s">
        <v>746</v>
      </c>
      <c r="H2333">
        <v>1</v>
      </c>
      <c r="I2333">
        <v>216.66</v>
      </c>
      <c r="J2333" t="s">
        <v>839</v>
      </c>
      <c r="K2333" t="s">
        <v>812</v>
      </c>
      <c r="M2333" t="s">
        <v>1519</v>
      </c>
      <c r="Q2333" t="s">
        <v>28</v>
      </c>
      <c r="R2333" t="s">
        <v>81</v>
      </c>
      <c r="W2333">
        <v>4</v>
      </c>
      <c r="X2333" t="s">
        <v>1135</v>
      </c>
      <c r="Z2333" t="s">
        <v>38</v>
      </c>
      <c r="AB2333" t="s">
        <v>921</v>
      </c>
      <c r="AC2333" t="s">
        <v>1449</v>
      </c>
      <c r="AD2333" t="s">
        <v>39</v>
      </c>
    </row>
    <row r="2334" spans="1:30" x14ac:dyDescent="0.25">
      <c r="A2334">
        <v>271</v>
      </c>
      <c r="B2334" t="s">
        <v>389</v>
      </c>
      <c r="C2334">
        <v>10</v>
      </c>
      <c r="D2334">
        <v>200</v>
      </c>
      <c r="E2334">
        <v>9518</v>
      </c>
      <c r="F2334" t="s">
        <v>77</v>
      </c>
      <c r="G2334" t="s">
        <v>746</v>
      </c>
      <c r="H2334">
        <v>3</v>
      </c>
      <c r="I2334">
        <v>448.3</v>
      </c>
      <c r="J2334" t="s">
        <v>839</v>
      </c>
      <c r="K2334" t="s">
        <v>812</v>
      </c>
      <c r="M2334" t="s">
        <v>1519</v>
      </c>
      <c r="Q2334" t="s">
        <v>28</v>
      </c>
      <c r="R2334" t="s">
        <v>81</v>
      </c>
      <c r="W2334">
        <v>4</v>
      </c>
      <c r="X2334" t="s">
        <v>1135</v>
      </c>
      <c r="Z2334" t="s">
        <v>38</v>
      </c>
      <c r="AB2334" t="s">
        <v>921</v>
      </c>
      <c r="AC2334" t="s">
        <v>1451</v>
      </c>
      <c r="AD2334" t="s">
        <v>39</v>
      </c>
    </row>
    <row r="2335" spans="1:30" x14ac:dyDescent="0.25">
      <c r="A2335">
        <v>272</v>
      </c>
      <c r="B2335" t="s">
        <v>379</v>
      </c>
      <c r="C2335">
        <v>10</v>
      </c>
      <c r="D2335">
        <v>230</v>
      </c>
      <c r="E2335">
        <v>9518</v>
      </c>
      <c r="F2335" t="s">
        <v>77</v>
      </c>
      <c r="G2335" t="s">
        <v>746</v>
      </c>
      <c r="H2335">
        <v>2</v>
      </c>
      <c r="I2335">
        <v>343.69</v>
      </c>
      <c r="J2335" t="s">
        <v>839</v>
      </c>
      <c r="K2335" t="s">
        <v>812</v>
      </c>
      <c r="M2335" t="s">
        <v>1519</v>
      </c>
      <c r="Q2335" t="s">
        <v>28</v>
      </c>
      <c r="R2335" t="s">
        <v>81</v>
      </c>
      <c r="W2335">
        <v>4</v>
      </c>
      <c r="X2335" t="s">
        <v>1135</v>
      </c>
      <c r="Z2335" t="s">
        <v>38</v>
      </c>
      <c r="AB2335" t="s">
        <v>921</v>
      </c>
      <c r="AC2335" t="s">
        <v>1451</v>
      </c>
      <c r="AD2335" t="s">
        <v>39</v>
      </c>
    </row>
    <row r="2336" spans="1:30" x14ac:dyDescent="0.25">
      <c r="A2336">
        <v>273</v>
      </c>
      <c r="B2336" t="s">
        <v>393</v>
      </c>
      <c r="C2336">
        <v>10</v>
      </c>
      <c r="D2336">
        <v>240</v>
      </c>
      <c r="E2336">
        <v>375</v>
      </c>
      <c r="F2336" t="s">
        <v>77</v>
      </c>
      <c r="G2336" t="s">
        <v>746</v>
      </c>
      <c r="H2336">
        <v>4</v>
      </c>
      <c r="I2336">
        <v>28.26</v>
      </c>
      <c r="J2336" t="s">
        <v>839</v>
      </c>
      <c r="K2336" t="s">
        <v>812</v>
      </c>
      <c r="M2336" t="s">
        <v>1519</v>
      </c>
      <c r="Q2336" t="s">
        <v>26</v>
      </c>
      <c r="R2336" t="s">
        <v>81</v>
      </c>
      <c r="W2336">
        <v>4</v>
      </c>
      <c r="X2336" t="s">
        <v>1135</v>
      </c>
      <c r="Z2336" t="s">
        <v>38</v>
      </c>
      <c r="AB2336" t="s">
        <v>921</v>
      </c>
      <c r="AC2336" t="s">
        <v>1451</v>
      </c>
      <c r="AD2336" t="s">
        <v>39</v>
      </c>
    </row>
    <row r="2337" spans="1:30" x14ac:dyDescent="0.25">
      <c r="A2337">
        <v>274</v>
      </c>
      <c r="B2337" t="s">
        <v>395</v>
      </c>
      <c r="C2337">
        <v>10</v>
      </c>
      <c r="D2337">
        <v>240</v>
      </c>
      <c r="E2337">
        <v>375</v>
      </c>
      <c r="F2337" t="s">
        <v>77</v>
      </c>
      <c r="G2337" t="s">
        <v>746</v>
      </c>
      <c r="H2337">
        <v>2</v>
      </c>
      <c r="I2337">
        <v>14.13</v>
      </c>
      <c r="J2337" t="s">
        <v>839</v>
      </c>
      <c r="K2337" t="s">
        <v>812</v>
      </c>
      <c r="M2337" t="s">
        <v>1519</v>
      </c>
      <c r="Q2337" t="s">
        <v>26</v>
      </c>
      <c r="R2337" t="s">
        <v>81</v>
      </c>
      <c r="W2337">
        <v>4</v>
      </c>
      <c r="X2337" t="s">
        <v>1135</v>
      </c>
      <c r="Z2337" t="s">
        <v>38</v>
      </c>
      <c r="AB2337" t="s">
        <v>921</v>
      </c>
      <c r="AC2337" t="s">
        <v>1451</v>
      </c>
      <c r="AD2337" t="s">
        <v>39</v>
      </c>
    </row>
    <row r="2338" spans="1:30" x14ac:dyDescent="0.25">
      <c r="A2338">
        <v>275</v>
      </c>
      <c r="B2338" t="s">
        <v>396</v>
      </c>
      <c r="C2338">
        <v>10</v>
      </c>
      <c r="D2338">
        <v>86</v>
      </c>
      <c r="E2338">
        <v>338</v>
      </c>
      <c r="F2338" t="s">
        <v>77</v>
      </c>
      <c r="G2338" t="s">
        <v>746</v>
      </c>
      <c r="H2338">
        <v>4</v>
      </c>
      <c r="I2338">
        <v>9.06</v>
      </c>
      <c r="J2338" t="s">
        <v>839</v>
      </c>
      <c r="K2338" t="s">
        <v>812</v>
      </c>
      <c r="M2338" t="s">
        <v>1519</v>
      </c>
      <c r="Q2338" t="s">
        <v>26</v>
      </c>
      <c r="R2338" t="s">
        <v>81</v>
      </c>
      <c r="W2338">
        <v>4</v>
      </c>
      <c r="X2338" t="s">
        <v>1135</v>
      </c>
      <c r="Z2338" t="s">
        <v>38</v>
      </c>
      <c r="AB2338" t="s">
        <v>921</v>
      </c>
      <c r="AC2338" t="s">
        <v>1451</v>
      </c>
      <c r="AD2338" t="s">
        <v>39</v>
      </c>
    </row>
    <row r="2339" spans="1:30" x14ac:dyDescent="0.25">
      <c r="A2339">
        <v>276</v>
      </c>
      <c r="B2339" t="s">
        <v>386</v>
      </c>
      <c r="C2339">
        <v>10</v>
      </c>
      <c r="D2339">
        <v>148</v>
      </c>
      <c r="E2339">
        <v>441</v>
      </c>
      <c r="F2339" t="s">
        <v>77</v>
      </c>
      <c r="G2339" t="s">
        <v>746</v>
      </c>
      <c r="H2339">
        <v>12</v>
      </c>
      <c r="I2339">
        <v>60.73</v>
      </c>
      <c r="J2339" t="s">
        <v>839</v>
      </c>
      <c r="K2339" t="s">
        <v>812</v>
      </c>
      <c r="M2339" t="s">
        <v>1519</v>
      </c>
      <c r="Q2339" t="s">
        <v>26</v>
      </c>
      <c r="R2339" t="s">
        <v>81</v>
      </c>
      <c r="W2339">
        <v>4</v>
      </c>
      <c r="X2339" t="s">
        <v>1135</v>
      </c>
      <c r="Z2339" t="s">
        <v>38</v>
      </c>
      <c r="AB2339" t="s">
        <v>921</v>
      </c>
      <c r="AC2339" t="s">
        <v>1451</v>
      </c>
      <c r="AD2339" t="s">
        <v>39</v>
      </c>
    </row>
    <row r="2340" spans="1:30" x14ac:dyDescent="0.25">
      <c r="A2340">
        <v>277</v>
      </c>
      <c r="B2340" t="s">
        <v>398</v>
      </c>
      <c r="C2340">
        <v>10</v>
      </c>
      <c r="D2340">
        <v>200</v>
      </c>
      <c r="E2340">
        <v>250</v>
      </c>
      <c r="F2340" t="s">
        <v>77</v>
      </c>
      <c r="G2340" t="s">
        <v>746</v>
      </c>
      <c r="H2340">
        <v>1</v>
      </c>
      <c r="I2340">
        <v>3.93</v>
      </c>
      <c r="J2340" t="s">
        <v>839</v>
      </c>
      <c r="K2340" t="s">
        <v>812</v>
      </c>
      <c r="M2340" t="s">
        <v>1519</v>
      </c>
      <c r="Q2340" t="s">
        <v>26</v>
      </c>
      <c r="R2340" t="s">
        <v>81</v>
      </c>
      <c r="W2340">
        <v>4</v>
      </c>
      <c r="X2340" t="s">
        <v>1135</v>
      </c>
      <c r="Z2340" t="s">
        <v>38</v>
      </c>
      <c r="AB2340" t="s">
        <v>921</v>
      </c>
      <c r="AC2340" t="s">
        <v>1451</v>
      </c>
      <c r="AD2340" t="s">
        <v>39</v>
      </c>
    </row>
    <row r="2341" spans="1:30" x14ac:dyDescent="0.25">
      <c r="A2341">
        <v>278</v>
      </c>
      <c r="B2341" t="s">
        <v>400</v>
      </c>
      <c r="C2341">
        <v>10</v>
      </c>
      <c r="D2341">
        <v>148</v>
      </c>
      <c r="E2341">
        <v>441</v>
      </c>
      <c r="F2341" t="s">
        <v>77</v>
      </c>
      <c r="G2341" t="s">
        <v>746</v>
      </c>
      <c r="H2341">
        <v>10</v>
      </c>
      <c r="I2341">
        <v>50.61</v>
      </c>
      <c r="J2341" t="s">
        <v>839</v>
      </c>
      <c r="K2341" t="s">
        <v>812</v>
      </c>
      <c r="M2341" t="s">
        <v>1519</v>
      </c>
      <c r="Q2341" t="s">
        <v>26</v>
      </c>
      <c r="R2341" t="s">
        <v>81</v>
      </c>
      <c r="W2341">
        <v>4</v>
      </c>
      <c r="X2341" t="s">
        <v>1135</v>
      </c>
      <c r="Z2341" t="s">
        <v>38</v>
      </c>
      <c r="AB2341" t="s">
        <v>921</v>
      </c>
      <c r="AC2341" t="s">
        <v>1451</v>
      </c>
      <c r="AD2341" t="s">
        <v>39</v>
      </c>
    </row>
    <row r="2342" spans="1:30" x14ac:dyDescent="0.25">
      <c r="A2342">
        <v>279</v>
      </c>
      <c r="B2342" t="s">
        <v>401</v>
      </c>
      <c r="C2342">
        <v>10</v>
      </c>
      <c r="D2342">
        <v>80</v>
      </c>
      <c r="E2342">
        <v>120</v>
      </c>
      <c r="F2342" t="s">
        <v>77</v>
      </c>
      <c r="G2342" t="s">
        <v>746</v>
      </c>
      <c r="H2342">
        <v>2</v>
      </c>
      <c r="I2342">
        <v>1.45</v>
      </c>
      <c r="J2342" t="s">
        <v>839</v>
      </c>
      <c r="K2342" t="s">
        <v>812</v>
      </c>
      <c r="M2342" t="s">
        <v>1519</v>
      </c>
      <c r="O2342" t="s">
        <v>228</v>
      </c>
      <c r="Q2342" t="s">
        <v>26</v>
      </c>
      <c r="R2342" t="s">
        <v>81</v>
      </c>
      <c r="W2342">
        <v>4</v>
      </c>
      <c r="X2342" t="s">
        <v>1135</v>
      </c>
      <c r="Z2342" t="s">
        <v>38</v>
      </c>
      <c r="AB2342" t="s">
        <v>921</v>
      </c>
      <c r="AC2342" t="s">
        <v>1451</v>
      </c>
      <c r="AD2342" t="s">
        <v>39</v>
      </c>
    </row>
    <row r="2343" spans="1:30" x14ac:dyDescent="0.25">
      <c r="A2343">
        <v>280</v>
      </c>
      <c r="B2343" t="s">
        <v>403</v>
      </c>
      <c r="C2343">
        <v>10</v>
      </c>
      <c r="D2343">
        <v>148</v>
      </c>
      <c r="E2343">
        <v>441</v>
      </c>
      <c r="F2343" t="s">
        <v>77</v>
      </c>
      <c r="G2343" t="s">
        <v>746</v>
      </c>
      <c r="H2343">
        <v>21</v>
      </c>
      <c r="I2343">
        <v>106.28</v>
      </c>
      <c r="J2343" t="s">
        <v>839</v>
      </c>
      <c r="K2343" t="s">
        <v>812</v>
      </c>
      <c r="M2343" t="s">
        <v>1519</v>
      </c>
      <c r="Q2343" t="s">
        <v>26</v>
      </c>
      <c r="R2343" t="s">
        <v>81</v>
      </c>
      <c r="W2343">
        <v>4</v>
      </c>
      <c r="X2343" t="s">
        <v>1135</v>
      </c>
      <c r="Z2343" t="s">
        <v>38</v>
      </c>
      <c r="AB2343" t="s">
        <v>921</v>
      </c>
      <c r="AC2343" t="s">
        <v>1451</v>
      </c>
      <c r="AD2343" t="s">
        <v>39</v>
      </c>
    </row>
    <row r="2344" spans="1:30" x14ac:dyDescent="0.25">
      <c r="A2344">
        <v>281</v>
      </c>
      <c r="B2344" t="s">
        <v>404</v>
      </c>
      <c r="C2344">
        <v>10</v>
      </c>
      <c r="D2344">
        <v>120</v>
      </c>
      <c r="E2344">
        <v>220</v>
      </c>
      <c r="F2344" t="s">
        <v>77</v>
      </c>
      <c r="G2344" t="s">
        <v>746</v>
      </c>
      <c r="H2344">
        <v>1</v>
      </c>
      <c r="I2344">
        <v>2.0099999999999998</v>
      </c>
      <c r="J2344" t="s">
        <v>839</v>
      </c>
      <c r="K2344" t="s">
        <v>812</v>
      </c>
      <c r="M2344" t="s">
        <v>1519</v>
      </c>
      <c r="O2344" t="s">
        <v>228</v>
      </c>
      <c r="Q2344" t="s">
        <v>26</v>
      </c>
      <c r="R2344" t="s">
        <v>81</v>
      </c>
      <c r="W2344">
        <v>4</v>
      </c>
      <c r="X2344" t="s">
        <v>1135</v>
      </c>
      <c r="Z2344" t="s">
        <v>38</v>
      </c>
      <c r="AB2344" t="s">
        <v>921</v>
      </c>
      <c r="AC2344" t="s">
        <v>1451</v>
      </c>
      <c r="AD2344" t="s">
        <v>39</v>
      </c>
    </row>
    <row r="2345" spans="1:30" x14ac:dyDescent="0.25">
      <c r="A2345">
        <v>282</v>
      </c>
      <c r="B2345" t="s">
        <v>406</v>
      </c>
      <c r="C2345">
        <v>10</v>
      </c>
      <c r="D2345">
        <v>380</v>
      </c>
      <c r="E2345">
        <v>4577</v>
      </c>
      <c r="F2345" t="s">
        <v>77</v>
      </c>
      <c r="G2345" t="s">
        <v>746</v>
      </c>
      <c r="H2345">
        <v>2</v>
      </c>
      <c r="I2345">
        <v>270.14999999999998</v>
      </c>
      <c r="J2345" t="s">
        <v>839</v>
      </c>
      <c r="K2345" t="s">
        <v>812</v>
      </c>
      <c r="M2345" t="s">
        <v>1519</v>
      </c>
      <c r="Q2345" t="s">
        <v>28</v>
      </c>
      <c r="R2345" t="s">
        <v>81</v>
      </c>
      <c r="W2345">
        <v>4</v>
      </c>
      <c r="X2345" t="s">
        <v>1135</v>
      </c>
      <c r="Z2345" t="s">
        <v>38</v>
      </c>
      <c r="AB2345" t="s">
        <v>921</v>
      </c>
      <c r="AC2345" t="s">
        <v>1451</v>
      </c>
      <c r="AD2345" t="s">
        <v>39</v>
      </c>
    </row>
    <row r="2346" spans="1:30" x14ac:dyDescent="0.25">
      <c r="A2346">
        <v>283</v>
      </c>
      <c r="B2346" t="s">
        <v>408</v>
      </c>
      <c r="C2346">
        <v>10</v>
      </c>
      <c r="D2346">
        <v>86</v>
      </c>
      <c r="E2346">
        <v>338</v>
      </c>
      <c r="F2346" t="s">
        <v>77</v>
      </c>
      <c r="G2346" t="s">
        <v>746</v>
      </c>
      <c r="H2346">
        <v>16</v>
      </c>
      <c r="I2346">
        <v>36.229999999999997</v>
      </c>
      <c r="J2346" t="s">
        <v>839</v>
      </c>
      <c r="K2346" t="s">
        <v>812</v>
      </c>
      <c r="M2346" t="s">
        <v>1519</v>
      </c>
      <c r="Q2346" t="s">
        <v>26</v>
      </c>
      <c r="R2346" t="s">
        <v>81</v>
      </c>
      <c r="W2346">
        <v>4</v>
      </c>
      <c r="X2346" t="s">
        <v>1135</v>
      </c>
      <c r="Z2346" t="s">
        <v>38</v>
      </c>
      <c r="AB2346" t="s">
        <v>921</v>
      </c>
      <c r="AC2346" t="s">
        <v>1453</v>
      </c>
      <c r="AD2346" t="s">
        <v>39</v>
      </c>
    </row>
    <row r="2347" spans="1:30" x14ac:dyDescent="0.25">
      <c r="A2347">
        <v>284</v>
      </c>
      <c r="B2347" t="s">
        <v>411</v>
      </c>
      <c r="C2347">
        <v>10</v>
      </c>
      <c r="D2347">
        <v>532</v>
      </c>
      <c r="E2347">
        <v>4080</v>
      </c>
      <c r="F2347" t="s">
        <v>77</v>
      </c>
      <c r="G2347" t="s">
        <v>746</v>
      </c>
      <c r="H2347">
        <v>2</v>
      </c>
      <c r="I2347">
        <v>336.54</v>
      </c>
      <c r="J2347" t="s">
        <v>839</v>
      </c>
      <c r="K2347" t="s">
        <v>812</v>
      </c>
      <c r="M2347" t="s">
        <v>1519</v>
      </c>
      <c r="R2347" t="s">
        <v>81</v>
      </c>
      <c r="U2347" t="s">
        <v>81</v>
      </c>
      <c r="V2347" t="s">
        <v>81</v>
      </c>
      <c r="W2347">
        <v>4</v>
      </c>
      <c r="X2347" t="s">
        <v>1135</v>
      </c>
      <c r="Z2347" t="s">
        <v>38</v>
      </c>
      <c r="AB2347" t="s">
        <v>921</v>
      </c>
      <c r="AC2347" t="s">
        <v>1453</v>
      </c>
      <c r="AD2347" t="s">
        <v>39</v>
      </c>
    </row>
    <row r="2348" spans="1:30" x14ac:dyDescent="0.25">
      <c r="A2348">
        <v>285</v>
      </c>
      <c r="B2348" t="s">
        <v>396</v>
      </c>
      <c r="C2348">
        <v>10</v>
      </c>
      <c r="D2348">
        <v>86</v>
      </c>
      <c r="E2348">
        <v>338</v>
      </c>
      <c r="F2348" t="s">
        <v>77</v>
      </c>
      <c r="G2348" t="s">
        <v>746</v>
      </c>
      <c r="H2348">
        <v>4</v>
      </c>
      <c r="I2348">
        <v>9.06</v>
      </c>
      <c r="J2348" t="s">
        <v>839</v>
      </c>
      <c r="K2348" t="s">
        <v>812</v>
      </c>
      <c r="M2348" t="s">
        <v>1519</v>
      </c>
      <c r="Q2348" t="s">
        <v>26</v>
      </c>
      <c r="R2348" t="s">
        <v>81</v>
      </c>
      <c r="W2348">
        <v>4</v>
      </c>
      <c r="X2348" t="s">
        <v>1135</v>
      </c>
      <c r="Z2348" t="s">
        <v>38</v>
      </c>
      <c r="AB2348" t="s">
        <v>921</v>
      </c>
      <c r="AC2348" t="s">
        <v>1453</v>
      </c>
      <c r="AD2348" t="s">
        <v>39</v>
      </c>
    </row>
    <row r="2349" spans="1:30" x14ac:dyDescent="0.25">
      <c r="A2349">
        <v>286</v>
      </c>
      <c r="B2349" t="s">
        <v>401</v>
      </c>
      <c r="C2349">
        <v>10</v>
      </c>
      <c r="D2349">
        <v>80</v>
      </c>
      <c r="E2349">
        <v>120</v>
      </c>
      <c r="F2349" t="s">
        <v>77</v>
      </c>
      <c r="G2349" t="s">
        <v>746</v>
      </c>
      <c r="H2349">
        <v>1</v>
      </c>
      <c r="I2349">
        <v>0.72</v>
      </c>
      <c r="J2349" t="s">
        <v>839</v>
      </c>
      <c r="K2349" t="s">
        <v>812</v>
      </c>
      <c r="M2349" t="s">
        <v>1519</v>
      </c>
      <c r="O2349" t="s">
        <v>228</v>
      </c>
      <c r="Q2349" t="s">
        <v>26</v>
      </c>
      <c r="R2349" t="s">
        <v>81</v>
      </c>
      <c r="W2349">
        <v>4</v>
      </c>
      <c r="X2349" t="s">
        <v>1135</v>
      </c>
      <c r="Z2349" t="s">
        <v>38</v>
      </c>
      <c r="AB2349" t="s">
        <v>921</v>
      </c>
      <c r="AC2349" t="s">
        <v>1453</v>
      </c>
      <c r="AD2349" t="s">
        <v>39</v>
      </c>
    </row>
    <row r="2350" spans="1:30" x14ac:dyDescent="0.25">
      <c r="A2350">
        <v>287</v>
      </c>
      <c r="B2350" t="s">
        <v>413</v>
      </c>
      <c r="C2350">
        <v>10</v>
      </c>
      <c r="D2350">
        <v>100</v>
      </c>
      <c r="E2350">
        <v>100</v>
      </c>
      <c r="F2350" t="s">
        <v>77</v>
      </c>
      <c r="G2350" t="s">
        <v>746</v>
      </c>
      <c r="H2350">
        <v>2</v>
      </c>
      <c r="I2350">
        <v>0.79</v>
      </c>
      <c r="J2350" t="s">
        <v>839</v>
      </c>
      <c r="K2350" t="s">
        <v>812</v>
      </c>
      <c r="M2350" t="s">
        <v>1519</v>
      </c>
      <c r="O2350" t="s">
        <v>228</v>
      </c>
      <c r="Q2350" t="s">
        <v>27</v>
      </c>
      <c r="R2350" t="s">
        <v>81</v>
      </c>
      <c r="W2350">
        <v>4</v>
      </c>
      <c r="X2350" t="s">
        <v>1135</v>
      </c>
      <c r="Z2350" t="s">
        <v>38</v>
      </c>
      <c r="AB2350" t="s">
        <v>921</v>
      </c>
      <c r="AC2350" t="s">
        <v>1453</v>
      </c>
      <c r="AD2350" t="s">
        <v>39</v>
      </c>
    </row>
    <row r="2351" spans="1:30" x14ac:dyDescent="0.25">
      <c r="A2351">
        <v>288</v>
      </c>
      <c r="B2351" t="s">
        <v>415</v>
      </c>
      <c r="C2351">
        <v>10</v>
      </c>
      <c r="D2351">
        <v>100</v>
      </c>
      <c r="E2351">
        <v>100</v>
      </c>
      <c r="F2351" t="s">
        <v>77</v>
      </c>
      <c r="G2351" t="s">
        <v>746</v>
      </c>
      <c r="H2351">
        <v>4</v>
      </c>
      <c r="I2351">
        <v>1.58</v>
      </c>
      <c r="J2351" t="s">
        <v>839</v>
      </c>
      <c r="K2351" t="s">
        <v>812</v>
      </c>
      <c r="M2351" t="s">
        <v>1519</v>
      </c>
      <c r="O2351" t="s">
        <v>228</v>
      </c>
      <c r="Q2351" t="s">
        <v>27</v>
      </c>
      <c r="R2351" t="s">
        <v>81</v>
      </c>
      <c r="W2351">
        <v>4</v>
      </c>
      <c r="X2351" t="s">
        <v>1135</v>
      </c>
      <c r="Z2351" t="s">
        <v>38</v>
      </c>
      <c r="AB2351" t="s">
        <v>921</v>
      </c>
      <c r="AC2351" t="s">
        <v>1453</v>
      </c>
      <c r="AD2351" t="s">
        <v>39</v>
      </c>
    </row>
    <row r="2352" spans="1:30" x14ac:dyDescent="0.25">
      <c r="A2352">
        <v>289</v>
      </c>
      <c r="B2352" t="s">
        <v>404</v>
      </c>
      <c r="C2352">
        <v>10</v>
      </c>
      <c r="D2352">
        <v>120</v>
      </c>
      <c r="E2352">
        <v>220</v>
      </c>
      <c r="F2352" t="s">
        <v>77</v>
      </c>
      <c r="G2352" t="s">
        <v>746</v>
      </c>
      <c r="H2352">
        <v>5</v>
      </c>
      <c r="I2352">
        <v>10.06</v>
      </c>
      <c r="J2352" t="s">
        <v>839</v>
      </c>
      <c r="K2352" t="s">
        <v>812</v>
      </c>
      <c r="M2352" t="s">
        <v>1519</v>
      </c>
      <c r="O2352" t="s">
        <v>228</v>
      </c>
      <c r="Q2352" t="s">
        <v>26</v>
      </c>
      <c r="R2352" t="s">
        <v>81</v>
      </c>
      <c r="W2352">
        <v>4</v>
      </c>
      <c r="X2352" t="s">
        <v>1135</v>
      </c>
      <c r="Z2352" t="s">
        <v>38</v>
      </c>
      <c r="AB2352" t="s">
        <v>921</v>
      </c>
      <c r="AC2352" t="s">
        <v>1453</v>
      </c>
      <c r="AD2352" t="s">
        <v>39</v>
      </c>
    </row>
    <row r="2353" spans="1:30" x14ac:dyDescent="0.25">
      <c r="A2353">
        <v>290</v>
      </c>
      <c r="B2353" t="s">
        <v>416</v>
      </c>
      <c r="C2353">
        <v>10</v>
      </c>
      <c r="D2353">
        <v>100</v>
      </c>
      <c r="E2353">
        <v>100</v>
      </c>
      <c r="F2353" t="s">
        <v>77</v>
      </c>
      <c r="G2353" t="s">
        <v>746</v>
      </c>
      <c r="H2353">
        <v>1</v>
      </c>
      <c r="I2353">
        <v>0.39</v>
      </c>
      <c r="J2353" t="s">
        <v>839</v>
      </c>
      <c r="K2353" t="s">
        <v>812</v>
      </c>
      <c r="M2353" t="s">
        <v>1519</v>
      </c>
      <c r="O2353" t="s">
        <v>228</v>
      </c>
      <c r="Q2353" t="s">
        <v>27</v>
      </c>
      <c r="R2353" t="s">
        <v>81</v>
      </c>
      <c r="W2353">
        <v>4</v>
      </c>
      <c r="X2353" t="s">
        <v>1135</v>
      </c>
      <c r="Z2353" t="s">
        <v>38</v>
      </c>
      <c r="AB2353" t="s">
        <v>921</v>
      </c>
      <c r="AC2353" t="s">
        <v>1453</v>
      </c>
      <c r="AD2353" t="s">
        <v>39</v>
      </c>
    </row>
    <row r="2354" spans="1:30" x14ac:dyDescent="0.25">
      <c r="A2354">
        <v>291</v>
      </c>
      <c r="B2354" t="s">
        <v>417</v>
      </c>
      <c r="C2354">
        <v>10</v>
      </c>
      <c r="D2354">
        <v>200</v>
      </c>
      <c r="E2354">
        <v>12000</v>
      </c>
      <c r="F2354" t="s">
        <v>77</v>
      </c>
      <c r="G2354" t="s">
        <v>746</v>
      </c>
      <c r="H2354">
        <v>4</v>
      </c>
      <c r="I2354">
        <v>753.62</v>
      </c>
      <c r="J2354" t="s">
        <v>839</v>
      </c>
      <c r="K2354" t="s">
        <v>812</v>
      </c>
      <c r="M2354" t="s">
        <v>1519</v>
      </c>
      <c r="Q2354" t="s">
        <v>28</v>
      </c>
      <c r="R2354" t="s">
        <v>81</v>
      </c>
      <c r="W2354">
        <v>4</v>
      </c>
      <c r="X2354" t="s">
        <v>1135</v>
      </c>
      <c r="Z2354" t="s">
        <v>38</v>
      </c>
      <c r="AB2354" t="s">
        <v>921</v>
      </c>
      <c r="AC2354" t="s">
        <v>1453</v>
      </c>
      <c r="AD2354" t="s">
        <v>39</v>
      </c>
    </row>
    <row r="2355" spans="1:30" x14ac:dyDescent="0.25">
      <c r="A2355">
        <v>292</v>
      </c>
      <c r="B2355" t="s">
        <v>419</v>
      </c>
      <c r="C2355">
        <v>10</v>
      </c>
      <c r="D2355">
        <v>200</v>
      </c>
      <c r="E2355">
        <v>3586</v>
      </c>
      <c r="F2355" t="s">
        <v>77</v>
      </c>
      <c r="G2355" t="s">
        <v>746</v>
      </c>
      <c r="H2355">
        <v>2</v>
      </c>
      <c r="I2355">
        <v>112.6</v>
      </c>
      <c r="J2355" t="s">
        <v>839</v>
      </c>
      <c r="K2355" t="s">
        <v>812</v>
      </c>
      <c r="M2355" t="s">
        <v>1519</v>
      </c>
      <c r="Q2355" t="s">
        <v>28</v>
      </c>
      <c r="R2355" t="s">
        <v>81</v>
      </c>
      <c r="W2355">
        <v>4</v>
      </c>
      <c r="X2355" t="s">
        <v>1135</v>
      </c>
      <c r="Z2355" t="s">
        <v>38</v>
      </c>
      <c r="AB2355" t="s">
        <v>921</v>
      </c>
      <c r="AC2355" t="s">
        <v>1453</v>
      </c>
      <c r="AD2355" t="s">
        <v>39</v>
      </c>
    </row>
    <row r="2356" spans="1:30" x14ac:dyDescent="0.25">
      <c r="A2356">
        <v>293</v>
      </c>
      <c r="B2356" t="s">
        <v>421</v>
      </c>
      <c r="C2356">
        <v>10</v>
      </c>
      <c r="D2356">
        <v>230</v>
      </c>
      <c r="E2356">
        <v>3586</v>
      </c>
      <c r="F2356" t="s">
        <v>77</v>
      </c>
      <c r="G2356" t="s">
        <v>746</v>
      </c>
      <c r="H2356">
        <v>1</v>
      </c>
      <c r="I2356">
        <v>64.75</v>
      </c>
      <c r="J2356" t="s">
        <v>839</v>
      </c>
      <c r="K2356" t="s">
        <v>812</v>
      </c>
      <c r="M2356" t="s">
        <v>1519</v>
      </c>
      <c r="Q2356" t="s">
        <v>28</v>
      </c>
      <c r="R2356" t="s">
        <v>81</v>
      </c>
      <c r="W2356">
        <v>4</v>
      </c>
      <c r="X2356" t="s">
        <v>1135</v>
      </c>
      <c r="Z2356" t="s">
        <v>38</v>
      </c>
      <c r="AB2356" t="s">
        <v>921</v>
      </c>
      <c r="AC2356" t="s">
        <v>1453</v>
      </c>
      <c r="AD2356" t="s">
        <v>39</v>
      </c>
    </row>
    <row r="2357" spans="1:30" x14ac:dyDescent="0.25">
      <c r="A2357">
        <v>294</v>
      </c>
      <c r="B2357" t="s">
        <v>423</v>
      </c>
      <c r="C2357">
        <v>10</v>
      </c>
      <c r="D2357">
        <v>100</v>
      </c>
      <c r="E2357">
        <v>100</v>
      </c>
      <c r="F2357" t="s">
        <v>77</v>
      </c>
      <c r="G2357" t="s">
        <v>746</v>
      </c>
      <c r="H2357">
        <v>4</v>
      </c>
      <c r="I2357">
        <v>1.58</v>
      </c>
      <c r="J2357" t="s">
        <v>839</v>
      </c>
      <c r="K2357" t="s">
        <v>812</v>
      </c>
      <c r="M2357" t="s">
        <v>1519</v>
      </c>
      <c r="O2357" t="s">
        <v>228</v>
      </c>
      <c r="Q2357" t="s">
        <v>27</v>
      </c>
      <c r="R2357" t="s">
        <v>81</v>
      </c>
      <c r="W2357">
        <v>4</v>
      </c>
      <c r="X2357" t="s">
        <v>1135</v>
      </c>
      <c r="Z2357" t="s">
        <v>38</v>
      </c>
      <c r="AB2357" t="s">
        <v>921</v>
      </c>
      <c r="AC2357" t="s">
        <v>1453</v>
      </c>
      <c r="AD2357" t="s">
        <v>39</v>
      </c>
    </row>
    <row r="2358" spans="1:30" x14ac:dyDescent="0.25">
      <c r="A2358">
        <v>295</v>
      </c>
      <c r="B2358" t="s">
        <v>389</v>
      </c>
      <c r="C2358">
        <v>10</v>
      </c>
      <c r="D2358">
        <v>200</v>
      </c>
      <c r="E2358">
        <v>9518</v>
      </c>
      <c r="F2358" t="s">
        <v>77</v>
      </c>
      <c r="G2358" t="s">
        <v>746</v>
      </c>
      <c r="H2358">
        <v>1</v>
      </c>
      <c r="I2358">
        <v>149.43</v>
      </c>
      <c r="J2358" t="s">
        <v>839</v>
      </c>
      <c r="K2358" t="s">
        <v>812</v>
      </c>
      <c r="M2358" t="s">
        <v>1519</v>
      </c>
      <c r="Q2358" t="s">
        <v>28</v>
      </c>
      <c r="R2358" t="s">
        <v>81</v>
      </c>
      <c r="W2358">
        <v>4</v>
      </c>
      <c r="X2358" t="s">
        <v>1135</v>
      </c>
      <c r="Z2358" t="s">
        <v>38</v>
      </c>
      <c r="AB2358" t="s">
        <v>921</v>
      </c>
      <c r="AC2358" t="s">
        <v>1455</v>
      </c>
      <c r="AD2358" t="s">
        <v>39</v>
      </c>
    </row>
    <row r="2359" spans="1:30" x14ac:dyDescent="0.25">
      <c r="A2359">
        <v>296</v>
      </c>
      <c r="B2359" t="s">
        <v>426</v>
      </c>
      <c r="C2359">
        <v>10</v>
      </c>
      <c r="D2359">
        <v>532</v>
      </c>
      <c r="E2359">
        <v>4080</v>
      </c>
      <c r="F2359" t="s">
        <v>77</v>
      </c>
      <c r="G2359" t="s">
        <v>746</v>
      </c>
      <c r="H2359">
        <v>2</v>
      </c>
      <c r="I2359">
        <v>336.54</v>
      </c>
      <c r="J2359" t="s">
        <v>839</v>
      </c>
      <c r="K2359" t="s">
        <v>812</v>
      </c>
      <c r="M2359" t="s">
        <v>1519</v>
      </c>
      <c r="R2359" t="s">
        <v>81</v>
      </c>
      <c r="U2359" t="s">
        <v>81</v>
      </c>
      <c r="V2359" t="s">
        <v>81</v>
      </c>
      <c r="W2359">
        <v>4</v>
      </c>
      <c r="X2359" t="s">
        <v>1135</v>
      </c>
      <c r="Z2359" t="s">
        <v>38</v>
      </c>
      <c r="AB2359" t="s">
        <v>921</v>
      </c>
      <c r="AC2359" t="s">
        <v>1455</v>
      </c>
      <c r="AD2359" t="s">
        <v>39</v>
      </c>
    </row>
    <row r="2360" spans="1:30" x14ac:dyDescent="0.25">
      <c r="A2360">
        <v>297</v>
      </c>
      <c r="B2360" t="s">
        <v>427</v>
      </c>
      <c r="C2360">
        <v>10</v>
      </c>
      <c r="D2360">
        <v>280</v>
      </c>
      <c r="E2360">
        <v>349</v>
      </c>
      <c r="F2360" t="s">
        <v>77</v>
      </c>
      <c r="G2360" t="s">
        <v>746</v>
      </c>
      <c r="H2360">
        <v>8</v>
      </c>
      <c r="I2360">
        <v>42.42</v>
      </c>
      <c r="J2360" t="s">
        <v>839</v>
      </c>
      <c r="K2360" t="s">
        <v>812</v>
      </c>
      <c r="M2360" t="s">
        <v>1519</v>
      </c>
      <c r="Q2360" t="s">
        <v>26</v>
      </c>
      <c r="R2360" t="s">
        <v>81</v>
      </c>
      <c r="W2360">
        <v>4</v>
      </c>
      <c r="X2360" t="s">
        <v>1135</v>
      </c>
      <c r="Z2360" t="s">
        <v>38</v>
      </c>
      <c r="AB2360" t="s">
        <v>921</v>
      </c>
      <c r="AC2360" t="s">
        <v>1455</v>
      </c>
      <c r="AD2360" t="s">
        <v>39</v>
      </c>
    </row>
    <row r="2361" spans="1:30" x14ac:dyDescent="0.25">
      <c r="A2361">
        <v>298</v>
      </c>
      <c r="B2361" t="s">
        <v>429</v>
      </c>
      <c r="C2361">
        <v>10</v>
      </c>
      <c r="D2361">
        <v>80</v>
      </c>
      <c r="E2361">
        <v>120</v>
      </c>
      <c r="F2361" t="s">
        <v>77</v>
      </c>
      <c r="G2361" t="s">
        <v>746</v>
      </c>
      <c r="H2361">
        <v>1</v>
      </c>
      <c r="I2361">
        <v>0.72</v>
      </c>
      <c r="J2361" t="s">
        <v>839</v>
      </c>
      <c r="K2361" t="s">
        <v>812</v>
      </c>
      <c r="M2361" t="s">
        <v>1519</v>
      </c>
      <c r="O2361" t="s">
        <v>228</v>
      </c>
      <c r="Q2361" t="s">
        <v>26</v>
      </c>
      <c r="R2361" t="s">
        <v>81</v>
      </c>
      <c r="W2361">
        <v>4</v>
      </c>
      <c r="X2361" t="s">
        <v>1135</v>
      </c>
      <c r="Z2361" t="s">
        <v>38</v>
      </c>
      <c r="AB2361" t="s">
        <v>921</v>
      </c>
      <c r="AC2361" t="s">
        <v>1455</v>
      </c>
      <c r="AD2361" t="s">
        <v>39</v>
      </c>
    </row>
    <row r="2362" spans="1:30" x14ac:dyDescent="0.25">
      <c r="A2362">
        <v>299</v>
      </c>
      <c r="B2362" t="s">
        <v>430</v>
      </c>
      <c r="C2362">
        <v>10</v>
      </c>
      <c r="D2362">
        <v>120</v>
      </c>
      <c r="E2362">
        <v>250</v>
      </c>
      <c r="F2362" t="s">
        <v>77</v>
      </c>
      <c r="G2362" t="s">
        <v>746</v>
      </c>
      <c r="H2362">
        <v>1</v>
      </c>
      <c r="I2362">
        <v>2.36</v>
      </c>
      <c r="J2362" t="s">
        <v>839</v>
      </c>
      <c r="K2362" t="s">
        <v>812</v>
      </c>
      <c r="M2362" t="s">
        <v>1519</v>
      </c>
      <c r="Q2362" t="s">
        <v>26</v>
      </c>
      <c r="R2362" t="s">
        <v>81</v>
      </c>
      <c r="W2362">
        <v>4</v>
      </c>
      <c r="X2362" t="s">
        <v>1135</v>
      </c>
      <c r="Z2362" t="s">
        <v>38</v>
      </c>
      <c r="AB2362" t="s">
        <v>921</v>
      </c>
      <c r="AC2362" t="s">
        <v>1455</v>
      </c>
      <c r="AD2362" t="s">
        <v>39</v>
      </c>
    </row>
    <row r="2363" spans="1:30" x14ac:dyDescent="0.25">
      <c r="A2363">
        <v>300</v>
      </c>
      <c r="B2363" t="s">
        <v>432</v>
      </c>
      <c r="C2363">
        <v>10</v>
      </c>
      <c r="D2363">
        <v>105</v>
      </c>
      <c r="E2363">
        <v>195</v>
      </c>
      <c r="F2363" t="s">
        <v>77</v>
      </c>
      <c r="G2363" t="s">
        <v>746</v>
      </c>
      <c r="H2363">
        <v>1</v>
      </c>
      <c r="I2363">
        <v>1.02</v>
      </c>
      <c r="J2363" t="s">
        <v>839</v>
      </c>
      <c r="K2363" t="s">
        <v>812</v>
      </c>
      <c r="M2363" t="s">
        <v>1519</v>
      </c>
      <c r="Q2363" t="s">
        <v>26</v>
      </c>
      <c r="R2363" t="s">
        <v>81</v>
      </c>
      <c r="W2363">
        <v>4</v>
      </c>
      <c r="X2363" t="s">
        <v>1135</v>
      </c>
      <c r="Z2363" t="s">
        <v>38</v>
      </c>
      <c r="AB2363" t="s">
        <v>921</v>
      </c>
      <c r="AC2363" t="s">
        <v>1455</v>
      </c>
      <c r="AD2363" t="s">
        <v>39</v>
      </c>
    </row>
    <row r="2364" spans="1:30" x14ac:dyDescent="0.25">
      <c r="A2364">
        <v>301</v>
      </c>
      <c r="B2364" t="s">
        <v>434</v>
      </c>
      <c r="C2364">
        <v>10</v>
      </c>
      <c r="D2364">
        <v>148</v>
      </c>
      <c r="E2364">
        <v>324</v>
      </c>
      <c r="F2364" t="s">
        <v>77</v>
      </c>
      <c r="G2364" t="s">
        <v>746</v>
      </c>
      <c r="H2364">
        <v>2</v>
      </c>
      <c r="I2364">
        <v>7.4</v>
      </c>
      <c r="J2364" t="s">
        <v>839</v>
      </c>
      <c r="K2364" t="s">
        <v>812</v>
      </c>
      <c r="M2364" t="s">
        <v>1519</v>
      </c>
      <c r="Q2364" t="s">
        <v>26</v>
      </c>
      <c r="R2364" t="s">
        <v>81</v>
      </c>
      <c r="W2364">
        <v>4</v>
      </c>
      <c r="X2364" t="s">
        <v>1135</v>
      </c>
      <c r="Z2364" t="s">
        <v>38</v>
      </c>
      <c r="AB2364" t="s">
        <v>921</v>
      </c>
      <c r="AC2364" t="s">
        <v>1455</v>
      </c>
      <c r="AD2364" t="s">
        <v>39</v>
      </c>
    </row>
    <row r="2365" spans="1:30" x14ac:dyDescent="0.25">
      <c r="A2365">
        <v>302</v>
      </c>
      <c r="B2365" t="s">
        <v>436</v>
      </c>
      <c r="C2365">
        <v>10</v>
      </c>
      <c r="D2365">
        <v>148</v>
      </c>
      <c r="E2365">
        <v>441</v>
      </c>
      <c r="F2365" t="s">
        <v>77</v>
      </c>
      <c r="G2365" t="s">
        <v>746</v>
      </c>
      <c r="H2365">
        <v>9</v>
      </c>
      <c r="I2365">
        <v>45.55</v>
      </c>
      <c r="J2365" t="s">
        <v>839</v>
      </c>
      <c r="K2365" t="s">
        <v>812</v>
      </c>
      <c r="M2365" t="s">
        <v>1519</v>
      </c>
      <c r="Q2365" t="s">
        <v>26</v>
      </c>
      <c r="R2365" t="s">
        <v>81</v>
      </c>
      <c r="W2365">
        <v>4</v>
      </c>
      <c r="X2365" t="s">
        <v>1135</v>
      </c>
      <c r="Z2365" t="s">
        <v>38</v>
      </c>
      <c r="AB2365" t="s">
        <v>921</v>
      </c>
      <c r="AC2365" t="s">
        <v>1455</v>
      </c>
      <c r="AD2365" t="s">
        <v>39</v>
      </c>
    </row>
    <row r="2366" spans="1:30" x14ac:dyDescent="0.25">
      <c r="A2366">
        <v>303</v>
      </c>
      <c r="B2366" t="s">
        <v>437</v>
      </c>
      <c r="C2366">
        <v>10</v>
      </c>
      <c r="D2366">
        <v>148</v>
      </c>
      <c r="E2366">
        <v>441</v>
      </c>
      <c r="F2366" t="s">
        <v>77</v>
      </c>
      <c r="G2366" t="s">
        <v>746</v>
      </c>
      <c r="H2366">
        <v>13</v>
      </c>
      <c r="I2366">
        <v>65.790000000000006</v>
      </c>
      <c r="J2366" t="s">
        <v>839</v>
      </c>
      <c r="K2366" t="s">
        <v>812</v>
      </c>
      <c r="M2366" t="s">
        <v>1519</v>
      </c>
      <c r="Q2366" t="s">
        <v>26</v>
      </c>
      <c r="R2366" t="s">
        <v>81</v>
      </c>
      <c r="W2366">
        <v>4</v>
      </c>
      <c r="X2366" t="s">
        <v>1135</v>
      </c>
      <c r="Z2366" t="s">
        <v>38</v>
      </c>
      <c r="AB2366" t="s">
        <v>921</v>
      </c>
      <c r="AC2366" t="s">
        <v>1455</v>
      </c>
      <c r="AD2366" t="s">
        <v>39</v>
      </c>
    </row>
    <row r="2367" spans="1:30" x14ac:dyDescent="0.25">
      <c r="A2367">
        <v>304</v>
      </c>
      <c r="B2367" t="s">
        <v>400</v>
      </c>
      <c r="C2367">
        <v>10</v>
      </c>
      <c r="D2367">
        <v>148</v>
      </c>
      <c r="E2367">
        <v>441</v>
      </c>
      <c r="F2367" t="s">
        <v>77</v>
      </c>
      <c r="G2367" t="s">
        <v>746</v>
      </c>
      <c r="H2367">
        <v>2</v>
      </c>
      <c r="I2367">
        <v>10.119999999999999</v>
      </c>
      <c r="J2367" t="s">
        <v>839</v>
      </c>
      <c r="K2367" t="s">
        <v>812</v>
      </c>
      <c r="M2367" t="s">
        <v>1519</v>
      </c>
      <c r="Q2367" t="s">
        <v>26</v>
      </c>
      <c r="R2367" t="s">
        <v>81</v>
      </c>
      <c r="W2367">
        <v>4</v>
      </c>
      <c r="X2367" t="s">
        <v>1135</v>
      </c>
      <c r="Z2367" t="s">
        <v>38</v>
      </c>
      <c r="AB2367" t="s">
        <v>921</v>
      </c>
      <c r="AC2367" t="s">
        <v>1455</v>
      </c>
      <c r="AD2367" t="s">
        <v>39</v>
      </c>
    </row>
    <row r="2368" spans="1:30" x14ac:dyDescent="0.25">
      <c r="A2368">
        <v>305</v>
      </c>
      <c r="B2368" t="s">
        <v>401</v>
      </c>
      <c r="C2368">
        <v>10</v>
      </c>
      <c r="D2368">
        <v>80</v>
      </c>
      <c r="E2368">
        <v>120</v>
      </c>
      <c r="F2368" t="s">
        <v>77</v>
      </c>
      <c r="G2368" t="s">
        <v>746</v>
      </c>
      <c r="H2368">
        <v>5</v>
      </c>
      <c r="I2368">
        <v>3.62</v>
      </c>
      <c r="J2368" t="s">
        <v>839</v>
      </c>
      <c r="K2368" t="s">
        <v>812</v>
      </c>
      <c r="M2368" t="s">
        <v>1519</v>
      </c>
      <c r="O2368" t="s">
        <v>228</v>
      </c>
      <c r="Q2368" t="s">
        <v>26</v>
      </c>
      <c r="R2368" t="s">
        <v>81</v>
      </c>
      <c r="W2368">
        <v>4</v>
      </c>
      <c r="X2368" t="s">
        <v>1135</v>
      </c>
      <c r="Z2368" t="s">
        <v>38</v>
      </c>
      <c r="AB2368" t="s">
        <v>921</v>
      </c>
      <c r="AC2368" t="s">
        <v>1455</v>
      </c>
      <c r="AD2368" t="s">
        <v>39</v>
      </c>
    </row>
    <row r="2369" spans="1:30" x14ac:dyDescent="0.25">
      <c r="A2369">
        <v>306</v>
      </c>
      <c r="B2369" t="s">
        <v>438</v>
      </c>
      <c r="C2369">
        <v>10</v>
      </c>
      <c r="D2369">
        <v>120</v>
      </c>
      <c r="E2369">
        <v>220</v>
      </c>
      <c r="F2369" t="s">
        <v>77</v>
      </c>
      <c r="G2369" t="s">
        <v>746</v>
      </c>
      <c r="H2369">
        <v>6</v>
      </c>
      <c r="I2369">
        <v>12.08</v>
      </c>
      <c r="J2369" t="s">
        <v>839</v>
      </c>
      <c r="K2369" t="s">
        <v>812</v>
      </c>
      <c r="M2369" t="s">
        <v>1519</v>
      </c>
      <c r="O2369" t="s">
        <v>228</v>
      </c>
      <c r="Q2369" t="s">
        <v>26</v>
      </c>
      <c r="R2369" t="s">
        <v>81</v>
      </c>
      <c r="W2369">
        <v>4</v>
      </c>
      <c r="X2369" t="s">
        <v>1135</v>
      </c>
      <c r="Z2369" t="s">
        <v>38</v>
      </c>
      <c r="AB2369" t="s">
        <v>921</v>
      </c>
      <c r="AC2369" t="s">
        <v>1455</v>
      </c>
      <c r="AD2369" t="s">
        <v>39</v>
      </c>
    </row>
    <row r="2370" spans="1:30" x14ac:dyDescent="0.25">
      <c r="A2370">
        <v>307</v>
      </c>
      <c r="B2370" t="s">
        <v>439</v>
      </c>
      <c r="C2370">
        <v>10</v>
      </c>
      <c r="D2370">
        <v>350</v>
      </c>
      <c r="E2370">
        <v>4580</v>
      </c>
      <c r="F2370" t="s">
        <v>77</v>
      </c>
      <c r="G2370" t="s">
        <v>746</v>
      </c>
      <c r="H2370">
        <v>1</v>
      </c>
      <c r="I2370">
        <v>125.84</v>
      </c>
      <c r="J2370" t="s">
        <v>839</v>
      </c>
      <c r="K2370" t="s">
        <v>812</v>
      </c>
      <c r="M2370" t="s">
        <v>1519</v>
      </c>
      <c r="Q2370" t="s">
        <v>28</v>
      </c>
      <c r="R2370" t="s">
        <v>81</v>
      </c>
      <c r="V2370" t="s">
        <v>81</v>
      </c>
      <c r="W2370">
        <v>4</v>
      </c>
      <c r="X2370" t="s">
        <v>1135</v>
      </c>
      <c r="Z2370" t="s">
        <v>38</v>
      </c>
      <c r="AB2370" t="s">
        <v>921</v>
      </c>
      <c r="AC2370" t="s">
        <v>1455</v>
      </c>
      <c r="AD2370" t="s">
        <v>39</v>
      </c>
    </row>
    <row r="2371" spans="1:30" x14ac:dyDescent="0.25">
      <c r="A2371">
        <v>308</v>
      </c>
      <c r="B2371" t="s">
        <v>441</v>
      </c>
      <c r="C2371">
        <v>10</v>
      </c>
      <c r="D2371">
        <v>380</v>
      </c>
      <c r="E2371">
        <v>4577</v>
      </c>
      <c r="F2371" t="s">
        <v>77</v>
      </c>
      <c r="G2371" t="s">
        <v>746</v>
      </c>
      <c r="H2371">
        <v>2</v>
      </c>
      <c r="I2371">
        <v>270.14999999999998</v>
      </c>
      <c r="J2371" t="s">
        <v>839</v>
      </c>
      <c r="K2371" t="s">
        <v>812</v>
      </c>
      <c r="M2371" t="s">
        <v>1519</v>
      </c>
      <c r="Q2371" t="s">
        <v>28</v>
      </c>
      <c r="R2371" t="s">
        <v>81</v>
      </c>
      <c r="W2371">
        <v>4</v>
      </c>
      <c r="X2371" t="s">
        <v>1135</v>
      </c>
      <c r="Z2371" t="s">
        <v>38</v>
      </c>
      <c r="AB2371" t="s">
        <v>921</v>
      </c>
      <c r="AC2371" t="s">
        <v>1455</v>
      </c>
      <c r="AD2371" t="s">
        <v>39</v>
      </c>
    </row>
    <row r="2372" spans="1:30" x14ac:dyDescent="0.25">
      <c r="A2372">
        <v>309</v>
      </c>
      <c r="B2372" t="s">
        <v>404</v>
      </c>
      <c r="C2372">
        <v>10</v>
      </c>
      <c r="D2372">
        <v>120</v>
      </c>
      <c r="E2372">
        <v>220</v>
      </c>
      <c r="F2372" t="s">
        <v>77</v>
      </c>
      <c r="G2372" t="s">
        <v>746</v>
      </c>
      <c r="H2372">
        <v>5</v>
      </c>
      <c r="I2372">
        <v>10.06</v>
      </c>
      <c r="J2372" t="s">
        <v>839</v>
      </c>
      <c r="K2372" t="s">
        <v>812</v>
      </c>
      <c r="M2372" t="s">
        <v>1519</v>
      </c>
      <c r="O2372" t="s">
        <v>228</v>
      </c>
      <c r="Q2372" t="s">
        <v>26</v>
      </c>
      <c r="R2372" t="s">
        <v>81</v>
      </c>
      <c r="W2372">
        <v>4</v>
      </c>
      <c r="X2372" t="s">
        <v>1135</v>
      </c>
      <c r="Z2372" t="s">
        <v>38</v>
      </c>
      <c r="AB2372" t="s">
        <v>921</v>
      </c>
      <c r="AC2372" t="s">
        <v>1455</v>
      </c>
      <c r="AD2372" t="s">
        <v>39</v>
      </c>
    </row>
    <row r="2373" spans="1:30" x14ac:dyDescent="0.25">
      <c r="A2373">
        <v>310</v>
      </c>
      <c r="B2373" t="s">
        <v>442</v>
      </c>
      <c r="C2373">
        <v>10</v>
      </c>
      <c r="D2373">
        <v>350</v>
      </c>
      <c r="E2373">
        <v>4580</v>
      </c>
      <c r="F2373" t="s">
        <v>77</v>
      </c>
      <c r="G2373" t="s">
        <v>746</v>
      </c>
      <c r="H2373">
        <v>1</v>
      </c>
      <c r="I2373">
        <v>125.84</v>
      </c>
      <c r="J2373" t="s">
        <v>839</v>
      </c>
      <c r="K2373" t="s">
        <v>812</v>
      </c>
      <c r="M2373" t="s">
        <v>1519</v>
      </c>
      <c r="Q2373" t="s">
        <v>28</v>
      </c>
      <c r="R2373" t="s">
        <v>81</v>
      </c>
      <c r="V2373" t="s">
        <v>81</v>
      </c>
      <c r="W2373">
        <v>4</v>
      </c>
      <c r="X2373" t="s">
        <v>1135</v>
      </c>
      <c r="Z2373" t="s">
        <v>38</v>
      </c>
      <c r="AB2373" t="s">
        <v>921</v>
      </c>
      <c r="AC2373" t="s">
        <v>1455</v>
      </c>
      <c r="AD2373" t="s">
        <v>39</v>
      </c>
    </row>
    <row r="2374" spans="1:30" x14ac:dyDescent="0.25">
      <c r="A2374">
        <v>311</v>
      </c>
      <c r="B2374" t="s">
        <v>416</v>
      </c>
      <c r="C2374">
        <v>10</v>
      </c>
      <c r="D2374">
        <v>100</v>
      </c>
      <c r="E2374">
        <v>100</v>
      </c>
      <c r="F2374" t="s">
        <v>77</v>
      </c>
      <c r="G2374" t="s">
        <v>746</v>
      </c>
      <c r="H2374">
        <v>1</v>
      </c>
      <c r="I2374">
        <v>0.39</v>
      </c>
      <c r="J2374" t="s">
        <v>839</v>
      </c>
      <c r="K2374" t="s">
        <v>812</v>
      </c>
      <c r="M2374" t="s">
        <v>1519</v>
      </c>
      <c r="O2374" t="s">
        <v>228</v>
      </c>
      <c r="Q2374" t="s">
        <v>27</v>
      </c>
      <c r="R2374" t="s">
        <v>81</v>
      </c>
      <c r="W2374">
        <v>4</v>
      </c>
      <c r="X2374" t="s">
        <v>1135</v>
      </c>
      <c r="Z2374" t="s">
        <v>38</v>
      </c>
      <c r="AB2374" t="s">
        <v>921</v>
      </c>
      <c r="AC2374" t="s">
        <v>1455</v>
      </c>
      <c r="AD2374" t="s">
        <v>39</v>
      </c>
    </row>
    <row r="2375" spans="1:30" x14ac:dyDescent="0.25">
      <c r="A2375">
        <v>312</v>
      </c>
      <c r="B2375" t="s">
        <v>421</v>
      </c>
      <c r="C2375">
        <v>10</v>
      </c>
      <c r="D2375">
        <v>230</v>
      </c>
      <c r="E2375">
        <v>3586</v>
      </c>
      <c r="F2375" t="s">
        <v>77</v>
      </c>
      <c r="G2375" t="s">
        <v>746</v>
      </c>
      <c r="H2375">
        <v>2</v>
      </c>
      <c r="I2375">
        <v>129.49</v>
      </c>
      <c r="J2375" t="s">
        <v>839</v>
      </c>
      <c r="K2375" t="s">
        <v>812</v>
      </c>
      <c r="M2375" t="s">
        <v>1519</v>
      </c>
      <c r="Q2375" t="s">
        <v>28</v>
      </c>
      <c r="R2375" t="s">
        <v>81</v>
      </c>
      <c r="W2375">
        <v>4</v>
      </c>
      <c r="X2375" t="s">
        <v>1135</v>
      </c>
      <c r="Z2375" t="s">
        <v>38</v>
      </c>
      <c r="AB2375" t="s">
        <v>921</v>
      </c>
      <c r="AC2375" t="s">
        <v>1455</v>
      </c>
      <c r="AD2375" t="s">
        <v>39</v>
      </c>
    </row>
    <row r="2376" spans="1:30" x14ac:dyDescent="0.25">
      <c r="A2376">
        <v>313</v>
      </c>
      <c r="B2376" t="s">
        <v>429</v>
      </c>
      <c r="C2376">
        <v>10</v>
      </c>
      <c r="D2376">
        <v>80</v>
      </c>
      <c r="E2376">
        <v>120</v>
      </c>
      <c r="F2376" t="s">
        <v>77</v>
      </c>
      <c r="G2376" t="s">
        <v>746</v>
      </c>
      <c r="H2376">
        <v>1</v>
      </c>
      <c r="I2376">
        <v>0.72</v>
      </c>
      <c r="J2376" t="s">
        <v>839</v>
      </c>
      <c r="K2376" t="s">
        <v>812</v>
      </c>
      <c r="M2376" t="s">
        <v>1519</v>
      </c>
      <c r="O2376" t="s">
        <v>228</v>
      </c>
      <c r="Q2376" t="s">
        <v>26</v>
      </c>
      <c r="R2376" t="s">
        <v>81</v>
      </c>
      <c r="W2376">
        <v>4</v>
      </c>
      <c r="X2376" t="s">
        <v>1135</v>
      </c>
      <c r="Z2376" t="s">
        <v>38</v>
      </c>
      <c r="AB2376" t="s">
        <v>921</v>
      </c>
      <c r="AC2376" t="s">
        <v>1457</v>
      </c>
      <c r="AD2376" t="s">
        <v>39</v>
      </c>
    </row>
    <row r="2377" spans="1:30" x14ac:dyDescent="0.25">
      <c r="A2377">
        <v>314</v>
      </c>
      <c r="B2377" t="s">
        <v>445</v>
      </c>
      <c r="C2377">
        <v>10</v>
      </c>
      <c r="D2377">
        <v>148</v>
      </c>
      <c r="E2377">
        <v>324</v>
      </c>
      <c r="F2377" t="s">
        <v>77</v>
      </c>
      <c r="G2377" t="s">
        <v>746</v>
      </c>
      <c r="H2377">
        <v>26</v>
      </c>
      <c r="I2377">
        <v>96.24</v>
      </c>
      <c r="J2377" t="s">
        <v>839</v>
      </c>
      <c r="K2377" t="s">
        <v>812</v>
      </c>
      <c r="M2377" t="s">
        <v>1519</v>
      </c>
      <c r="Q2377" t="s">
        <v>26</v>
      </c>
      <c r="R2377" t="s">
        <v>81</v>
      </c>
      <c r="W2377">
        <v>4</v>
      </c>
      <c r="X2377" t="s">
        <v>1135</v>
      </c>
      <c r="Z2377" t="s">
        <v>38</v>
      </c>
      <c r="AB2377" t="s">
        <v>921</v>
      </c>
      <c r="AC2377" t="s">
        <v>1457</v>
      </c>
      <c r="AD2377" t="s">
        <v>39</v>
      </c>
    </row>
    <row r="2378" spans="1:30" x14ac:dyDescent="0.25">
      <c r="A2378">
        <v>315</v>
      </c>
      <c r="B2378" t="s">
        <v>446</v>
      </c>
      <c r="C2378">
        <v>10</v>
      </c>
      <c r="D2378">
        <v>148</v>
      </c>
      <c r="E2378">
        <v>441</v>
      </c>
      <c r="F2378" t="s">
        <v>77</v>
      </c>
      <c r="G2378" t="s">
        <v>746</v>
      </c>
      <c r="H2378">
        <v>8</v>
      </c>
      <c r="I2378">
        <v>40.49</v>
      </c>
      <c r="J2378" t="s">
        <v>839</v>
      </c>
      <c r="K2378" t="s">
        <v>812</v>
      </c>
      <c r="M2378" t="s">
        <v>1519</v>
      </c>
      <c r="Q2378" t="s">
        <v>26</v>
      </c>
      <c r="R2378" t="s">
        <v>81</v>
      </c>
      <c r="W2378">
        <v>4</v>
      </c>
      <c r="X2378" t="s">
        <v>1135</v>
      </c>
      <c r="Z2378" t="s">
        <v>38</v>
      </c>
      <c r="AB2378" t="s">
        <v>921</v>
      </c>
      <c r="AC2378" t="s">
        <v>1457</v>
      </c>
      <c r="AD2378" t="s">
        <v>39</v>
      </c>
    </row>
    <row r="2379" spans="1:30" x14ac:dyDescent="0.25">
      <c r="A2379">
        <v>316</v>
      </c>
      <c r="B2379" t="s">
        <v>434</v>
      </c>
      <c r="C2379">
        <v>10</v>
      </c>
      <c r="D2379">
        <v>148</v>
      </c>
      <c r="E2379">
        <v>324</v>
      </c>
      <c r="F2379" t="s">
        <v>77</v>
      </c>
      <c r="G2379" t="s">
        <v>746</v>
      </c>
      <c r="H2379">
        <v>26</v>
      </c>
      <c r="I2379">
        <v>96.24</v>
      </c>
      <c r="J2379" t="s">
        <v>839</v>
      </c>
      <c r="K2379" t="s">
        <v>812</v>
      </c>
      <c r="M2379" t="s">
        <v>1519</v>
      </c>
      <c r="Q2379" t="s">
        <v>26</v>
      </c>
      <c r="R2379" t="s">
        <v>81</v>
      </c>
      <c r="W2379">
        <v>4</v>
      </c>
      <c r="X2379" t="s">
        <v>1135</v>
      </c>
      <c r="Z2379" t="s">
        <v>38</v>
      </c>
      <c r="AB2379" t="s">
        <v>921</v>
      </c>
      <c r="AC2379" t="s">
        <v>1457</v>
      </c>
      <c r="AD2379" t="s">
        <v>39</v>
      </c>
    </row>
    <row r="2380" spans="1:30" x14ac:dyDescent="0.25">
      <c r="A2380">
        <v>317</v>
      </c>
      <c r="B2380" t="s">
        <v>436</v>
      </c>
      <c r="C2380">
        <v>10</v>
      </c>
      <c r="D2380">
        <v>148</v>
      </c>
      <c r="E2380">
        <v>441</v>
      </c>
      <c r="F2380" t="s">
        <v>77</v>
      </c>
      <c r="G2380" t="s">
        <v>746</v>
      </c>
      <c r="H2380">
        <v>12</v>
      </c>
      <c r="I2380">
        <v>60.73</v>
      </c>
      <c r="J2380" t="s">
        <v>839</v>
      </c>
      <c r="K2380" t="s">
        <v>812</v>
      </c>
      <c r="M2380" t="s">
        <v>1519</v>
      </c>
      <c r="Q2380" t="s">
        <v>26</v>
      </c>
      <c r="R2380" t="s">
        <v>81</v>
      </c>
      <c r="W2380">
        <v>4</v>
      </c>
      <c r="X2380" t="s">
        <v>1135</v>
      </c>
      <c r="Z2380" t="s">
        <v>38</v>
      </c>
      <c r="AB2380" t="s">
        <v>921</v>
      </c>
      <c r="AC2380" t="s">
        <v>1457</v>
      </c>
      <c r="AD2380" t="s">
        <v>39</v>
      </c>
    </row>
    <row r="2381" spans="1:30" x14ac:dyDescent="0.25">
      <c r="A2381">
        <v>318</v>
      </c>
      <c r="B2381" t="s">
        <v>438</v>
      </c>
      <c r="C2381">
        <v>10</v>
      </c>
      <c r="D2381">
        <v>120</v>
      </c>
      <c r="E2381">
        <v>220</v>
      </c>
      <c r="F2381" t="s">
        <v>77</v>
      </c>
      <c r="G2381" t="s">
        <v>746</v>
      </c>
      <c r="H2381">
        <v>2</v>
      </c>
      <c r="I2381">
        <v>4.03</v>
      </c>
      <c r="J2381" t="s">
        <v>839</v>
      </c>
      <c r="K2381" t="s">
        <v>812</v>
      </c>
      <c r="M2381" t="s">
        <v>1519</v>
      </c>
      <c r="O2381" t="s">
        <v>228</v>
      </c>
      <c r="Q2381" t="s">
        <v>26</v>
      </c>
      <c r="R2381" t="s">
        <v>81</v>
      </c>
      <c r="W2381">
        <v>4</v>
      </c>
      <c r="X2381" t="s">
        <v>1135</v>
      </c>
      <c r="Z2381" t="s">
        <v>38</v>
      </c>
      <c r="AB2381" t="s">
        <v>921</v>
      </c>
      <c r="AC2381" t="s">
        <v>1457</v>
      </c>
      <c r="AD2381" t="s">
        <v>39</v>
      </c>
    </row>
    <row r="2382" spans="1:30" x14ac:dyDescent="0.25">
      <c r="A2382">
        <v>319</v>
      </c>
      <c r="B2382" t="s">
        <v>447</v>
      </c>
      <c r="C2382">
        <v>10</v>
      </c>
      <c r="D2382">
        <v>148</v>
      </c>
      <c r="E2382">
        <v>324</v>
      </c>
      <c r="F2382" t="s">
        <v>77</v>
      </c>
      <c r="G2382" t="s">
        <v>746</v>
      </c>
      <c r="H2382">
        <v>2</v>
      </c>
      <c r="I2382">
        <v>7.4</v>
      </c>
      <c r="J2382" t="s">
        <v>839</v>
      </c>
      <c r="K2382" t="s">
        <v>812</v>
      </c>
      <c r="M2382" t="s">
        <v>1519</v>
      </c>
      <c r="Q2382" t="s">
        <v>26</v>
      </c>
      <c r="R2382" t="s">
        <v>81</v>
      </c>
      <c r="W2382">
        <v>4</v>
      </c>
      <c r="X2382" t="s">
        <v>1135</v>
      </c>
      <c r="Z2382" t="s">
        <v>38</v>
      </c>
      <c r="AB2382" t="s">
        <v>921</v>
      </c>
      <c r="AC2382" t="s">
        <v>1457</v>
      </c>
      <c r="AD2382" t="s">
        <v>39</v>
      </c>
    </row>
    <row r="2383" spans="1:30" x14ac:dyDescent="0.25">
      <c r="A2383">
        <v>320</v>
      </c>
      <c r="B2383" t="s">
        <v>448</v>
      </c>
      <c r="C2383">
        <v>10</v>
      </c>
      <c r="D2383">
        <v>380</v>
      </c>
      <c r="E2383">
        <v>4577</v>
      </c>
      <c r="F2383" t="s">
        <v>77</v>
      </c>
      <c r="G2383" t="s">
        <v>746</v>
      </c>
      <c r="H2383">
        <v>2</v>
      </c>
      <c r="I2383">
        <v>270.14999999999998</v>
      </c>
      <c r="J2383" t="s">
        <v>839</v>
      </c>
      <c r="K2383" t="s">
        <v>812</v>
      </c>
      <c r="M2383" t="s">
        <v>1519</v>
      </c>
      <c r="Q2383" t="s">
        <v>28</v>
      </c>
      <c r="R2383" t="s">
        <v>81</v>
      </c>
      <c r="W2383">
        <v>4</v>
      </c>
      <c r="X2383" t="s">
        <v>1135</v>
      </c>
      <c r="Z2383" t="s">
        <v>38</v>
      </c>
      <c r="AB2383" t="s">
        <v>921</v>
      </c>
      <c r="AC2383" t="s">
        <v>1457</v>
      </c>
      <c r="AD2383" t="s">
        <v>39</v>
      </c>
    </row>
    <row r="2384" spans="1:30" x14ac:dyDescent="0.25">
      <c r="A2384">
        <v>321</v>
      </c>
      <c r="B2384" t="s">
        <v>439</v>
      </c>
      <c r="C2384">
        <v>10</v>
      </c>
      <c r="D2384">
        <v>350</v>
      </c>
      <c r="E2384">
        <v>4580</v>
      </c>
      <c r="F2384" t="s">
        <v>77</v>
      </c>
      <c r="G2384" t="s">
        <v>746</v>
      </c>
      <c r="H2384">
        <v>1</v>
      </c>
      <c r="I2384">
        <v>125.84</v>
      </c>
      <c r="J2384" t="s">
        <v>839</v>
      </c>
      <c r="K2384" t="s">
        <v>812</v>
      </c>
      <c r="M2384" t="s">
        <v>1519</v>
      </c>
      <c r="Q2384" t="s">
        <v>28</v>
      </c>
      <c r="R2384" t="s">
        <v>81</v>
      </c>
      <c r="V2384" t="s">
        <v>81</v>
      </c>
      <c r="W2384">
        <v>4</v>
      </c>
      <c r="X2384" t="s">
        <v>1135</v>
      </c>
      <c r="Z2384" t="s">
        <v>38</v>
      </c>
      <c r="AB2384" t="s">
        <v>921</v>
      </c>
      <c r="AC2384" t="s">
        <v>1457</v>
      </c>
      <c r="AD2384" t="s">
        <v>39</v>
      </c>
    </row>
    <row r="2385" spans="1:30" x14ac:dyDescent="0.25">
      <c r="A2385">
        <v>322</v>
      </c>
      <c r="B2385" t="s">
        <v>449</v>
      </c>
      <c r="C2385">
        <v>10</v>
      </c>
      <c r="D2385">
        <v>350</v>
      </c>
      <c r="E2385">
        <v>4480</v>
      </c>
      <c r="F2385" t="s">
        <v>77</v>
      </c>
      <c r="G2385" t="s">
        <v>746</v>
      </c>
      <c r="H2385">
        <v>2</v>
      </c>
      <c r="I2385">
        <v>246.18</v>
      </c>
      <c r="J2385" t="s">
        <v>839</v>
      </c>
      <c r="K2385" t="s">
        <v>812</v>
      </c>
      <c r="M2385" t="s">
        <v>1519</v>
      </c>
      <c r="Q2385" t="s">
        <v>28</v>
      </c>
      <c r="R2385" t="s">
        <v>81</v>
      </c>
      <c r="V2385" t="s">
        <v>81</v>
      </c>
      <c r="W2385">
        <v>4</v>
      </c>
      <c r="X2385" t="s">
        <v>1135</v>
      </c>
      <c r="Z2385" t="s">
        <v>38</v>
      </c>
      <c r="AB2385" t="s">
        <v>921</v>
      </c>
      <c r="AC2385" t="s">
        <v>1457</v>
      </c>
      <c r="AD2385" t="s">
        <v>39</v>
      </c>
    </row>
    <row r="2386" spans="1:30" x14ac:dyDescent="0.25">
      <c r="A2386">
        <v>323</v>
      </c>
      <c r="B2386" t="s">
        <v>441</v>
      </c>
      <c r="C2386">
        <v>10</v>
      </c>
      <c r="D2386">
        <v>380</v>
      </c>
      <c r="E2386">
        <v>4577</v>
      </c>
      <c r="F2386" t="s">
        <v>77</v>
      </c>
      <c r="G2386" t="s">
        <v>746</v>
      </c>
      <c r="H2386">
        <v>2</v>
      </c>
      <c r="I2386">
        <v>270.14999999999998</v>
      </c>
      <c r="J2386" t="s">
        <v>839</v>
      </c>
      <c r="K2386" t="s">
        <v>812</v>
      </c>
      <c r="M2386" t="s">
        <v>1519</v>
      </c>
      <c r="Q2386" t="s">
        <v>28</v>
      </c>
      <c r="R2386" t="s">
        <v>81</v>
      </c>
      <c r="W2386">
        <v>4</v>
      </c>
      <c r="X2386" t="s">
        <v>1135</v>
      </c>
      <c r="Z2386" t="s">
        <v>38</v>
      </c>
      <c r="AB2386" t="s">
        <v>921</v>
      </c>
      <c r="AC2386" t="s">
        <v>1457</v>
      </c>
      <c r="AD2386" t="s">
        <v>39</v>
      </c>
    </row>
    <row r="2387" spans="1:30" x14ac:dyDescent="0.25">
      <c r="A2387">
        <v>324</v>
      </c>
      <c r="B2387" t="s">
        <v>451</v>
      </c>
      <c r="C2387">
        <v>10</v>
      </c>
      <c r="D2387">
        <v>127</v>
      </c>
      <c r="E2387">
        <v>220</v>
      </c>
      <c r="F2387" t="s">
        <v>77</v>
      </c>
      <c r="G2387" t="s">
        <v>746</v>
      </c>
      <c r="H2387">
        <v>1</v>
      </c>
      <c r="I2387">
        <v>2.13</v>
      </c>
      <c r="J2387" t="s">
        <v>839</v>
      </c>
      <c r="K2387" t="s">
        <v>812</v>
      </c>
      <c r="M2387" t="s">
        <v>1519</v>
      </c>
      <c r="O2387" t="s">
        <v>228</v>
      </c>
      <c r="Q2387" t="s">
        <v>26</v>
      </c>
      <c r="R2387" t="s">
        <v>81</v>
      </c>
      <c r="W2387">
        <v>4</v>
      </c>
      <c r="X2387" t="s">
        <v>1135</v>
      </c>
      <c r="Z2387" t="s">
        <v>38</v>
      </c>
      <c r="AB2387" t="s">
        <v>921</v>
      </c>
      <c r="AC2387" t="s">
        <v>1457</v>
      </c>
      <c r="AD2387" t="s">
        <v>39</v>
      </c>
    </row>
    <row r="2388" spans="1:30" x14ac:dyDescent="0.25">
      <c r="A2388">
        <v>325</v>
      </c>
      <c r="B2388" t="s">
        <v>453</v>
      </c>
      <c r="C2388">
        <v>10</v>
      </c>
      <c r="D2388">
        <v>350</v>
      </c>
      <c r="E2388">
        <v>4480</v>
      </c>
      <c r="F2388" t="s">
        <v>77</v>
      </c>
      <c r="G2388" t="s">
        <v>746</v>
      </c>
      <c r="H2388">
        <v>1</v>
      </c>
      <c r="I2388">
        <v>123.09</v>
      </c>
      <c r="J2388" t="s">
        <v>839</v>
      </c>
      <c r="K2388" t="s">
        <v>812</v>
      </c>
      <c r="M2388" t="s">
        <v>1519</v>
      </c>
      <c r="Q2388" t="s">
        <v>28</v>
      </c>
      <c r="R2388" t="s">
        <v>81</v>
      </c>
      <c r="V2388" t="s">
        <v>81</v>
      </c>
      <c r="W2388">
        <v>4</v>
      </c>
      <c r="X2388" t="s">
        <v>1135</v>
      </c>
      <c r="Z2388" t="s">
        <v>38</v>
      </c>
      <c r="AB2388" t="s">
        <v>921</v>
      </c>
      <c r="AC2388" t="s">
        <v>1457</v>
      </c>
      <c r="AD2388" t="s">
        <v>39</v>
      </c>
    </row>
    <row r="2389" spans="1:30" x14ac:dyDescent="0.25">
      <c r="A2389">
        <v>326</v>
      </c>
      <c r="B2389" t="s">
        <v>426</v>
      </c>
      <c r="C2389">
        <v>10</v>
      </c>
      <c r="D2389">
        <v>532</v>
      </c>
      <c r="E2389">
        <v>4080</v>
      </c>
      <c r="F2389" t="s">
        <v>77</v>
      </c>
      <c r="G2389" t="s">
        <v>746</v>
      </c>
      <c r="H2389">
        <v>2</v>
      </c>
      <c r="I2389">
        <v>336.54</v>
      </c>
      <c r="J2389" t="s">
        <v>839</v>
      </c>
      <c r="K2389" t="s">
        <v>812</v>
      </c>
      <c r="M2389" t="s">
        <v>1519</v>
      </c>
      <c r="R2389" t="s">
        <v>81</v>
      </c>
      <c r="U2389" t="s">
        <v>81</v>
      </c>
      <c r="V2389" t="s">
        <v>81</v>
      </c>
      <c r="W2389">
        <v>4</v>
      </c>
      <c r="X2389" t="s">
        <v>1135</v>
      </c>
      <c r="Z2389" t="s">
        <v>38</v>
      </c>
      <c r="AB2389" t="s">
        <v>921</v>
      </c>
      <c r="AC2389" t="s">
        <v>1459</v>
      </c>
      <c r="AD2389" t="s">
        <v>39</v>
      </c>
    </row>
    <row r="2390" spans="1:30" x14ac:dyDescent="0.25">
      <c r="A2390">
        <v>327</v>
      </c>
      <c r="B2390" t="s">
        <v>456</v>
      </c>
      <c r="C2390">
        <v>10</v>
      </c>
      <c r="D2390">
        <v>70</v>
      </c>
      <c r="E2390">
        <v>120</v>
      </c>
      <c r="F2390" t="s">
        <v>77</v>
      </c>
      <c r="G2390" t="s">
        <v>746</v>
      </c>
      <c r="H2390">
        <v>4</v>
      </c>
      <c r="I2390">
        <v>2.52</v>
      </c>
      <c r="J2390" t="s">
        <v>839</v>
      </c>
      <c r="K2390" t="s">
        <v>812</v>
      </c>
      <c r="M2390" t="s">
        <v>1519</v>
      </c>
      <c r="O2390" t="s">
        <v>228</v>
      </c>
      <c r="Q2390" t="s">
        <v>26</v>
      </c>
      <c r="R2390" t="s">
        <v>81</v>
      </c>
      <c r="W2390">
        <v>4</v>
      </c>
      <c r="X2390" t="s">
        <v>1135</v>
      </c>
      <c r="Z2390" t="s">
        <v>38</v>
      </c>
      <c r="AB2390" t="s">
        <v>921</v>
      </c>
      <c r="AC2390" t="s">
        <v>1459</v>
      </c>
      <c r="AD2390" t="s">
        <v>39</v>
      </c>
    </row>
    <row r="2391" spans="1:30" x14ac:dyDescent="0.25">
      <c r="A2391">
        <v>328</v>
      </c>
      <c r="B2391" t="s">
        <v>429</v>
      </c>
      <c r="C2391">
        <v>10</v>
      </c>
      <c r="D2391">
        <v>80</v>
      </c>
      <c r="E2391">
        <v>120</v>
      </c>
      <c r="F2391" t="s">
        <v>77</v>
      </c>
      <c r="G2391" t="s">
        <v>746</v>
      </c>
      <c r="H2391">
        <v>4</v>
      </c>
      <c r="I2391">
        <v>2.9</v>
      </c>
      <c r="J2391" t="s">
        <v>839</v>
      </c>
      <c r="K2391" t="s">
        <v>812</v>
      </c>
      <c r="M2391" t="s">
        <v>1519</v>
      </c>
      <c r="O2391" t="s">
        <v>228</v>
      </c>
      <c r="Q2391" t="s">
        <v>26</v>
      </c>
      <c r="R2391" t="s">
        <v>81</v>
      </c>
      <c r="W2391">
        <v>4</v>
      </c>
      <c r="X2391" t="s">
        <v>1135</v>
      </c>
      <c r="Z2391" t="s">
        <v>38</v>
      </c>
      <c r="AB2391" t="s">
        <v>921</v>
      </c>
      <c r="AC2391" t="s">
        <v>1459</v>
      </c>
      <c r="AD2391" t="s">
        <v>39</v>
      </c>
    </row>
    <row r="2392" spans="1:30" x14ac:dyDescent="0.25">
      <c r="A2392">
        <v>329</v>
      </c>
      <c r="B2392" t="s">
        <v>458</v>
      </c>
      <c r="C2392">
        <v>10</v>
      </c>
      <c r="D2392">
        <v>120</v>
      </c>
      <c r="E2392">
        <v>220</v>
      </c>
      <c r="F2392" t="s">
        <v>77</v>
      </c>
      <c r="G2392" t="s">
        <v>746</v>
      </c>
      <c r="H2392">
        <v>9</v>
      </c>
      <c r="I2392">
        <v>18.11</v>
      </c>
      <c r="J2392" t="s">
        <v>839</v>
      </c>
      <c r="K2392" t="s">
        <v>812</v>
      </c>
      <c r="M2392" t="s">
        <v>1519</v>
      </c>
      <c r="O2392" t="s">
        <v>228</v>
      </c>
      <c r="Q2392" t="s">
        <v>26</v>
      </c>
      <c r="R2392" t="s">
        <v>81</v>
      </c>
      <c r="W2392">
        <v>4</v>
      </c>
      <c r="X2392" t="s">
        <v>1135</v>
      </c>
      <c r="Z2392" t="s">
        <v>38</v>
      </c>
      <c r="AB2392" t="s">
        <v>921</v>
      </c>
      <c r="AC2392" t="s">
        <v>1459</v>
      </c>
      <c r="AD2392" t="s">
        <v>39</v>
      </c>
    </row>
    <row r="2393" spans="1:30" x14ac:dyDescent="0.25">
      <c r="A2393">
        <v>330</v>
      </c>
      <c r="B2393" t="s">
        <v>459</v>
      </c>
      <c r="C2393">
        <v>10</v>
      </c>
      <c r="D2393">
        <v>80</v>
      </c>
      <c r="E2393">
        <v>120</v>
      </c>
      <c r="F2393" t="s">
        <v>77</v>
      </c>
      <c r="G2393" t="s">
        <v>746</v>
      </c>
      <c r="H2393">
        <v>1</v>
      </c>
      <c r="I2393">
        <v>0.72</v>
      </c>
      <c r="J2393" t="s">
        <v>839</v>
      </c>
      <c r="K2393" t="s">
        <v>812</v>
      </c>
      <c r="M2393" t="s">
        <v>1519</v>
      </c>
      <c r="O2393" t="s">
        <v>228</v>
      </c>
      <c r="Q2393" t="s">
        <v>26</v>
      </c>
      <c r="R2393" t="s">
        <v>81</v>
      </c>
      <c r="W2393">
        <v>4</v>
      </c>
      <c r="X2393" t="s">
        <v>1135</v>
      </c>
      <c r="Z2393" t="s">
        <v>38</v>
      </c>
      <c r="AB2393" t="s">
        <v>921</v>
      </c>
      <c r="AC2393" t="s">
        <v>1459</v>
      </c>
      <c r="AD2393" t="s">
        <v>39</v>
      </c>
    </row>
    <row r="2394" spans="1:30" x14ac:dyDescent="0.25">
      <c r="A2394">
        <v>331</v>
      </c>
      <c r="B2394" t="s">
        <v>446</v>
      </c>
      <c r="C2394">
        <v>10</v>
      </c>
      <c r="D2394">
        <v>148</v>
      </c>
      <c r="E2394">
        <v>441</v>
      </c>
      <c r="F2394" t="s">
        <v>77</v>
      </c>
      <c r="G2394" t="s">
        <v>746</v>
      </c>
      <c r="H2394">
        <v>4</v>
      </c>
      <c r="I2394">
        <v>20.239999999999998</v>
      </c>
      <c r="J2394" t="s">
        <v>839</v>
      </c>
      <c r="K2394" t="s">
        <v>812</v>
      </c>
      <c r="M2394" t="s">
        <v>1519</v>
      </c>
      <c r="Q2394" t="s">
        <v>26</v>
      </c>
      <c r="R2394" t="s">
        <v>81</v>
      </c>
      <c r="W2394">
        <v>4</v>
      </c>
      <c r="X2394" t="s">
        <v>1135</v>
      </c>
      <c r="Z2394" t="s">
        <v>38</v>
      </c>
      <c r="AB2394" t="s">
        <v>921</v>
      </c>
      <c r="AC2394" t="s">
        <v>1459</v>
      </c>
      <c r="AD2394" t="s">
        <v>39</v>
      </c>
    </row>
    <row r="2395" spans="1:30" x14ac:dyDescent="0.25">
      <c r="A2395">
        <v>332</v>
      </c>
      <c r="B2395" t="s">
        <v>460</v>
      </c>
      <c r="C2395">
        <v>10</v>
      </c>
      <c r="D2395">
        <v>148</v>
      </c>
      <c r="E2395">
        <v>324</v>
      </c>
      <c r="F2395" t="s">
        <v>77</v>
      </c>
      <c r="G2395" t="s">
        <v>746</v>
      </c>
      <c r="H2395">
        <v>40</v>
      </c>
      <c r="I2395">
        <v>148.06</v>
      </c>
      <c r="J2395" t="s">
        <v>839</v>
      </c>
      <c r="K2395" t="s">
        <v>812</v>
      </c>
      <c r="M2395" t="s">
        <v>1519</v>
      </c>
      <c r="Q2395" t="s">
        <v>26</v>
      </c>
      <c r="R2395" t="s">
        <v>81</v>
      </c>
      <c r="W2395">
        <v>4</v>
      </c>
      <c r="X2395" t="s">
        <v>1135</v>
      </c>
      <c r="Z2395" t="s">
        <v>38</v>
      </c>
      <c r="AB2395" t="s">
        <v>921</v>
      </c>
      <c r="AC2395" t="s">
        <v>1459</v>
      </c>
      <c r="AD2395" t="s">
        <v>39</v>
      </c>
    </row>
    <row r="2396" spans="1:30" x14ac:dyDescent="0.25">
      <c r="A2396">
        <v>333</v>
      </c>
      <c r="B2396" t="s">
        <v>461</v>
      </c>
      <c r="C2396">
        <v>10</v>
      </c>
      <c r="D2396">
        <v>148</v>
      </c>
      <c r="E2396">
        <v>324</v>
      </c>
      <c r="F2396" t="s">
        <v>77</v>
      </c>
      <c r="G2396" t="s">
        <v>746</v>
      </c>
      <c r="H2396">
        <v>26</v>
      </c>
      <c r="I2396">
        <v>96.24</v>
      </c>
      <c r="J2396" t="s">
        <v>839</v>
      </c>
      <c r="K2396" t="s">
        <v>812</v>
      </c>
      <c r="M2396" t="s">
        <v>1519</v>
      </c>
      <c r="Q2396" t="s">
        <v>26</v>
      </c>
      <c r="R2396" t="s">
        <v>81</v>
      </c>
      <c r="W2396">
        <v>4</v>
      </c>
      <c r="X2396" t="s">
        <v>1135</v>
      </c>
      <c r="Z2396" t="s">
        <v>38</v>
      </c>
      <c r="AB2396" t="s">
        <v>921</v>
      </c>
      <c r="AC2396" t="s">
        <v>1459</v>
      </c>
      <c r="AD2396" t="s">
        <v>39</v>
      </c>
    </row>
    <row r="2397" spans="1:30" x14ac:dyDescent="0.25">
      <c r="A2397">
        <v>334</v>
      </c>
      <c r="B2397" t="s">
        <v>462</v>
      </c>
      <c r="C2397">
        <v>10</v>
      </c>
      <c r="D2397">
        <v>148</v>
      </c>
      <c r="E2397">
        <v>324</v>
      </c>
      <c r="F2397" t="s">
        <v>77</v>
      </c>
      <c r="G2397" t="s">
        <v>746</v>
      </c>
      <c r="H2397">
        <v>28</v>
      </c>
      <c r="I2397">
        <v>103.64</v>
      </c>
      <c r="J2397" t="s">
        <v>839</v>
      </c>
      <c r="K2397" t="s">
        <v>812</v>
      </c>
      <c r="M2397" t="s">
        <v>1519</v>
      </c>
      <c r="Q2397" t="s">
        <v>26</v>
      </c>
      <c r="R2397" t="s">
        <v>81</v>
      </c>
      <c r="W2397">
        <v>4</v>
      </c>
      <c r="X2397" t="s">
        <v>1135</v>
      </c>
      <c r="Z2397" t="s">
        <v>38</v>
      </c>
      <c r="AB2397" t="s">
        <v>921</v>
      </c>
      <c r="AC2397" t="s">
        <v>1459</v>
      </c>
      <c r="AD2397" t="s">
        <v>39</v>
      </c>
    </row>
    <row r="2398" spans="1:30" x14ac:dyDescent="0.25">
      <c r="A2398">
        <v>335</v>
      </c>
      <c r="B2398" t="s">
        <v>438</v>
      </c>
      <c r="C2398">
        <v>10</v>
      </c>
      <c r="D2398">
        <v>120</v>
      </c>
      <c r="E2398">
        <v>220</v>
      </c>
      <c r="F2398" t="s">
        <v>77</v>
      </c>
      <c r="G2398" t="s">
        <v>746</v>
      </c>
      <c r="H2398">
        <v>3</v>
      </c>
      <c r="I2398">
        <v>6.04</v>
      </c>
      <c r="J2398" t="s">
        <v>839</v>
      </c>
      <c r="K2398" t="s">
        <v>812</v>
      </c>
      <c r="M2398" t="s">
        <v>1519</v>
      </c>
      <c r="O2398" t="s">
        <v>228</v>
      </c>
      <c r="Q2398" t="s">
        <v>26</v>
      </c>
      <c r="R2398" t="s">
        <v>81</v>
      </c>
      <c r="W2398">
        <v>4</v>
      </c>
      <c r="X2398" t="s">
        <v>1135</v>
      </c>
      <c r="Z2398" t="s">
        <v>38</v>
      </c>
      <c r="AB2398" t="s">
        <v>921</v>
      </c>
      <c r="AC2398" t="s">
        <v>1459</v>
      </c>
      <c r="AD2398" t="s">
        <v>39</v>
      </c>
    </row>
    <row r="2399" spans="1:30" x14ac:dyDescent="0.25">
      <c r="A2399">
        <v>336</v>
      </c>
      <c r="B2399" t="s">
        <v>447</v>
      </c>
      <c r="C2399">
        <v>10</v>
      </c>
      <c r="D2399">
        <v>148</v>
      </c>
      <c r="E2399">
        <v>324</v>
      </c>
      <c r="F2399" t="s">
        <v>77</v>
      </c>
      <c r="G2399" t="s">
        <v>746</v>
      </c>
      <c r="H2399">
        <v>40</v>
      </c>
      <c r="I2399">
        <v>148.06</v>
      </c>
      <c r="J2399" t="s">
        <v>839</v>
      </c>
      <c r="K2399" t="s">
        <v>812</v>
      </c>
      <c r="M2399" t="s">
        <v>1519</v>
      </c>
      <c r="Q2399" t="s">
        <v>26</v>
      </c>
      <c r="R2399" t="s">
        <v>81</v>
      </c>
      <c r="W2399">
        <v>4</v>
      </c>
      <c r="X2399" t="s">
        <v>1135</v>
      </c>
      <c r="Z2399" t="s">
        <v>38</v>
      </c>
      <c r="AB2399" t="s">
        <v>921</v>
      </c>
      <c r="AC2399" t="s">
        <v>1459</v>
      </c>
      <c r="AD2399" t="s">
        <v>39</v>
      </c>
    </row>
    <row r="2400" spans="1:30" x14ac:dyDescent="0.25">
      <c r="A2400">
        <v>337</v>
      </c>
      <c r="B2400" t="s">
        <v>463</v>
      </c>
      <c r="C2400">
        <v>10</v>
      </c>
      <c r="D2400">
        <v>350</v>
      </c>
      <c r="E2400">
        <v>4580</v>
      </c>
      <c r="F2400" t="s">
        <v>77</v>
      </c>
      <c r="G2400" t="s">
        <v>746</v>
      </c>
      <c r="H2400">
        <v>1</v>
      </c>
      <c r="I2400">
        <v>125.84</v>
      </c>
      <c r="J2400" t="s">
        <v>839</v>
      </c>
      <c r="K2400" t="s">
        <v>812</v>
      </c>
      <c r="M2400" t="s">
        <v>1519</v>
      </c>
      <c r="Q2400" t="s">
        <v>28</v>
      </c>
      <c r="R2400" t="s">
        <v>81</v>
      </c>
      <c r="V2400" t="s">
        <v>81</v>
      </c>
      <c r="W2400">
        <v>4</v>
      </c>
      <c r="X2400" t="s">
        <v>1135</v>
      </c>
      <c r="Z2400" t="s">
        <v>38</v>
      </c>
      <c r="AB2400" t="s">
        <v>921</v>
      </c>
      <c r="AC2400" t="s">
        <v>1459</v>
      </c>
      <c r="AD2400" t="s">
        <v>39</v>
      </c>
    </row>
    <row r="2401" spans="1:30" x14ac:dyDescent="0.25">
      <c r="A2401">
        <v>338</v>
      </c>
      <c r="B2401" t="s">
        <v>464</v>
      </c>
      <c r="C2401">
        <v>10</v>
      </c>
      <c r="D2401">
        <v>350</v>
      </c>
      <c r="E2401">
        <v>4480</v>
      </c>
      <c r="F2401" t="s">
        <v>77</v>
      </c>
      <c r="G2401" t="s">
        <v>746</v>
      </c>
      <c r="H2401">
        <v>1</v>
      </c>
      <c r="I2401">
        <v>123.09</v>
      </c>
      <c r="J2401" t="s">
        <v>839</v>
      </c>
      <c r="K2401" t="s">
        <v>812</v>
      </c>
      <c r="M2401" t="s">
        <v>1519</v>
      </c>
      <c r="Q2401" t="s">
        <v>28</v>
      </c>
      <c r="R2401" t="s">
        <v>81</v>
      </c>
      <c r="V2401" t="s">
        <v>81</v>
      </c>
      <c r="W2401">
        <v>4</v>
      </c>
      <c r="X2401" t="s">
        <v>1135</v>
      </c>
      <c r="Z2401" t="s">
        <v>38</v>
      </c>
      <c r="AB2401" t="s">
        <v>921</v>
      </c>
      <c r="AC2401" t="s">
        <v>1459</v>
      </c>
      <c r="AD2401" t="s">
        <v>39</v>
      </c>
    </row>
    <row r="2402" spans="1:30" x14ac:dyDescent="0.25">
      <c r="A2402">
        <v>339</v>
      </c>
      <c r="B2402" t="s">
        <v>419</v>
      </c>
      <c r="C2402">
        <v>10</v>
      </c>
      <c r="D2402">
        <v>200</v>
      </c>
      <c r="E2402">
        <v>3586</v>
      </c>
      <c r="F2402" t="s">
        <v>77</v>
      </c>
      <c r="G2402" t="s">
        <v>746</v>
      </c>
      <c r="H2402">
        <v>2</v>
      </c>
      <c r="I2402">
        <v>112.6</v>
      </c>
      <c r="J2402" t="s">
        <v>839</v>
      </c>
      <c r="K2402" t="s">
        <v>812</v>
      </c>
      <c r="M2402" t="s">
        <v>1519</v>
      </c>
      <c r="Q2402" t="s">
        <v>28</v>
      </c>
      <c r="R2402" t="s">
        <v>81</v>
      </c>
      <c r="W2402">
        <v>4</v>
      </c>
      <c r="X2402" t="s">
        <v>1135</v>
      </c>
      <c r="Z2402" t="s">
        <v>38</v>
      </c>
      <c r="AB2402" t="s">
        <v>921</v>
      </c>
      <c r="AC2402" t="s">
        <v>1459</v>
      </c>
      <c r="AD2402" t="s">
        <v>39</v>
      </c>
    </row>
    <row r="2403" spans="1:30" x14ac:dyDescent="0.25">
      <c r="A2403">
        <v>340</v>
      </c>
      <c r="B2403" t="s">
        <v>421</v>
      </c>
      <c r="C2403">
        <v>10</v>
      </c>
      <c r="D2403">
        <v>230</v>
      </c>
      <c r="E2403">
        <v>3586</v>
      </c>
      <c r="F2403" t="s">
        <v>77</v>
      </c>
      <c r="G2403" t="s">
        <v>746</v>
      </c>
      <c r="H2403">
        <v>1</v>
      </c>
      <c r="I2403">
        <v>64.75</v>
      </c>
      <c r="J2403" t="s">
        <v>839</v>
      </c>
      <c r="K2403" t="s">
        <v>812</v>
      </c>
      <c r="M2403" t="s">
        <v>1519</v>
      </c>
      <c r="Q2403" t="s">
        <v>28</v>
      </c>
      <c r="R2403" t="s">
        <v>81</v>
      </c>
      <c r="W2403">
        <v>4</v>
      </c>
      <c r="X2403" t="s">
        <v>1135</v>
      </c>
      <c r="Z2403" t="s">
        <v>38</v>
      </c>
      <c r="AB2403" t="s">
        <v>921</v>
      </c>
      <c r="AC2403" t="s">
        <v>1459</v>
      </c>
      <c r="AD2403" t="s">
        <v>39</v>
      </c>
    </row>
    <row r="2404" spans="1:30" x14ac:dyDescent="0.25">
      <c r="A2404">
        <v>341</v>
      </c>
      <c r="B2404" t="s">
        <v>456</v>
      </c>
      <c r="C2404">
        <v>10</v>
      </c>
      <c r="D2404">
        <v>70</v>
      </c>
      <c r="E2404">
        <v>120</v>
      </c>
      <c r="F2404" t="s">
        <v>77</v>
      </c>
      <c r="G2404" t="s">
        <v>746</v>
      </c>
      <c r="H2404">
        <v>2</v>
      </c>
      <c r="I2404">
        <v>1.26</v>
      </c>
      <c r="J2404" t="s">
        <v>839</v>
      </c>
      <c r="K2404" t="s">
        <v>812</v>
      </c>
      <c r="M2404" t="s">
        <v>1519</v>
      </c>
      <c r="O2404" t="s">
        <v>228</v>
      </c>
      <c r="Q2404" t="s">
        <v>26</v>
      </c>
      <c r="S2404" t="s">
        <v>81</v>
      </c>
      <c r="W2404">
        <v>4</v>
      </c>
      <c r="X2404" t="s">
        <v>1135</v>
      </c>
      <c r="Z2404" t="s">
        <v>38</v>
      </c>
      <c r="AB2404" t="s">
        <v>921</v>
      </c>
      <c r="AC2404" t="s">
        <v>1462</v>
      </c>
      <c r="AD2404" t="s">
        <v>1463</v>
      </c>
    </row>
    <row r="2405" spans="1:30" x14ac:dyDescent="0.25">
      <c r="A2405">
        <v>342</v>
      </c>
      <c r="B2405" t="s">
        <v>459</v>
      </c>
      <c r="C2405">
        <v>10</v>
      </c>
      <c r="D2405">
        <v>80</v>
      </c>
      <c r="E2405">
        <v>120</v>
      </c>
      <c r="F2405" t="s">
        <v>77</v>
      </c>
      <c r="G2405" t="s">
        <v>746</v>
      </c>
      <c r="H2405">
        <v>3</v>
      </c>
      <c r="I2405">
        <v>2.17</v>
      </c>
      <c r="J2405" t="s">
        <v>839</v>
      </c>
      <c r="K2405" t="s">
        <v>812</v>
      </c>
      <c r="M2405" t="s">
        <v>1519</v>
      </c>
      <c r="O2405" t="s">
        <v>228</v>
      </c>
      <c r="Q2405" t="s">
        <v>26</v>
      </c>
      <c r="S2405" t="s">
        <v>81</v>
      </c>
      <c r="W2405">
        <v>4</v>
      </c>
      <c r="X2405" t="s">
        <v>1135</v>
      </c>
      <c r="Z2405" t="s">
        <v>38</v>
      </c>
      <c r="AB2405" t="s">
        <v>921</v>
      </c>
      <c r="AC2405" t="s">
        <v>1462</v>
      </c>
      <c r="AD2405" t="s">
        <v>1463</v>
      </c>
    </row>
    <row r="2406" spans="1:30" x14ac:dyDescent="0.25">
      <c r="A2406">
        <v>343</v>
      </c>
      <c r="B2406" t="s">
        <v>467</v>
      </c>
      <c r="C2406">
        <v>10</v>
      </c>
      <c r="D2406">
        <v>120</v>
      </c>
      <c r="E2406">
        <v>220</v>
      </c>
      <c r="F2406" t="s">
        <v>77</v>
      </c>
      <c r="G2406" t="s">
        <v>746</v>
      </c>
      <c r="H2406">
        <v>7</v>
      </c>
      <c r="I2406">
        <v>14.09</v>
      </c>
      <c r="J2406" t="s">
        <v>839</v>
      </c>
      <c r="K2406" t="s">
        <v>812</v>
      </c>
      <c r="M2406" t="s">
        <v>1519</v>
      </c>
      <c r="O2406" t="s">
        <v>228</v>
      </c>
      <c r="Q2406" t="s">
        <v>26</v>
      </c>
      <c r="S2406" t="s">
        <v>81</v>
      </c>
      <c r="W2406">
        <v>4</v>
      </c>
      <c r="X2406" t="s">
        <v>1135</v>
      </c>
      <c r="Z2406" t="s">
        <v>38</v>
      </c>
      <c r="AB2406" t="s">
        <v>921</v>
      </c>
      <c r="AC2406" t="s">
        <v>1462</v>
      </c>
      <c r="AD2406" t="s">
        <v>1463</v>
      </c>
    </row>
    <row r="2407" spans="1:30" x14ac:dyDescent="0.25">
      <c r="A2407">
        <v>344</v>
      </c>
      <c r="B2407" t="s">
        <v>460</v>
      </c>
      <c r="C2407">
        <v>10</v>
      </c>
      <c r="D2407">
        <v>148</v>
      </c>
      <c r="E2407">
        <v>324</v>
      </c>
      <c r="F2407" t="s">
        <v>77</v>
      </c>
      <c r="G2407" t="s">
        <v>746</v>
      </c>
      <c r="H2407">
        <v>2</v>
      </c>
      <c r="I2407">
        <v>7.4</v>
      </c>
      <c r="J2407" t="s">
        <v>839</v>
      </c>
      <c r="K2407" t="s">
        <v>812</v>
      </c>
      <c r="M2407" t="s">
        <v>1519</v>
      </c>
      <c r="Q2407" t="s">
        <v>26</v>
      </c>
      <c r="S2407" t="s">
        <v>81</v>
      </c>
      <c r="W2407">
        <v>4</v>
      </c>
      <c r="X2407" t="s">
        <v>1135</v>
      </c>
      <c r="Z2407" t="s">
        <v>38</v>
      </c>
      <c r="AB2407" t="s">
        <v>921</v>
      </c>
      <c r="AC2407" t="s">
        <v>1462</v>
      </c>
      <c r="AD2407" t="s">
        <v>1463</v>
      </c>
    </row>
    <row r="2408" spans="1:30" x14ac:dyDescent="0.25">
      <c r="A2408">
        <v>345</v>
      </c>
      <c r="B2408" t="s">
        <v>468</v>
      </c>
      <c r="C2408">
        <v>10</v>
      </c>
      <c r="D2408">
        <v>160</v>
      </c>
      <c r="E2408">
        <v>160</v>
      </c>
      <c r="F2408" t="s">
        <v>77</v>
      </c>
      <c r="G2408" t="s">
        <v>746</v>
      </c>
      <c r="H2408">
        <v>2</v>
      </c>
      <c r="I2408">
        <v>2.16</v>
      </c>
      <c r="J2408" t="s">
        <v>839</v>
      </c>
      <c r="K2408" t="s">
        <v>812</v>
      </c>
      <c r="M2408" t="s">
        <v>1519</v>
      </c>
      <c r="O2408" t="s">
        <v>228</v>
      </c>
      <c r="Q2408" t="s">
        <v>27</v>
      </c>
      <c r="S2408" t="s">
        <v>81</v>
      </c>
      <c r="W2408">
        <v>4</v>
      </c>
      <c r="X2408" t="s">
        <v>1135</v>
      </c>
      <c r="Z2408" t="s">
        <v>38</v>
      </c>
      <c r="AB2408" t="s">
        <v>921</v>
      </c>
      <c r="AC2408" t="s">
        <v>1462</v>
      </c>
      <c r="AD2408" t="s">
        <v>1463</v>
      </c>
    </row>
    <row r="2409" spans="1:30" x14ac:dyDescent="0.25">
      <c r="A2409">
        <v>346</v>
      </c>
      <c r="B2409" t="s">
        <v>470</v>
      </c>
      <c r="C2409">
        <v>10</v>
      </c>
      <c r="D2409">
        <v>160</v>
      </c>
      <c r="E2409">
        <v>160</v>
      </c>
      <c r="F2409" t="s">
        <v>77</v>
      </c>
      <c r="G2409" t="s">
        <v>746</v>
      </c>
      <c r="H2409">
        <v>4</v>
      </c>
      <c r="I2409">
        <v>4.32</v>
      </c>
      <c r="J2409" t="s">
        <v>839</v>
      </c>
      <c r="K2409" t="s">
        <v>812</v>
      </c>
      <c r="M2409" t="s">
        <v>1519</v>
      </c>
      <c r="O2409" t="s">
        <v>228</v>
      </c>
      <c r="Q2409" t="s">
        <v>27</v>
      </c>
      <c r="S2409" t="s">
        <v>81</v>
      </c>
      <c r="W2409">
        <v>4</v>
      </c>
      <c r="X2409" t="s">
        <v>1135</v>
      </c>
      <c r="Z2409" t="s">
        <v>38</v>
      </c>
      <c r="AB2409" t="s">
        <v>921</v>
      </c>
      <c r="AC2409" t="s">
        <v>1462</v>
      </c>
      <c r="AD2409" t="s">
        <v>1463</v>
      </c>
    </row>
    <row r="2410" spans="1:30" x14ac:dyDescent="0.25">
      <c r="A2410">
        <v>347</v>
      </c>
      <c r="B2410" t="s">
        <v>471</v>
      </c>
      <c r="C2410">
        <v>10</v>
      </c>
      <c r="D2410">
        <v>160</v>
      </c>
      <c r="E2410">
        <v>160</v>
      </c>
      <c r="F2410" t="s">
        <v>77</v>
      </c>
      <c r="G2410" t="s">
        <v>746</v>
      </c>
      <c r="H2410">
        <v>2</v>
      </c>
      <c r="I2410">
        <v>2.16</v>
      </c>
      <c r="J2410" t="s">
        <v>839</v>
      </c>
      <c r="K2410" t="s">
        <v>812</v>
      </c>
      <c r="M2410" t="s">
        <v>1519</v>
      </c>
      <c r="O2410" t="s">
        <v>228</v>
      </c>
      <c r="Q2410" t="s">
        <v>27</v>
      </c>
      <c r="S2410" t="s">
        <v>81</v>
      </c>
      <c r="W2410">
        <v>4</v>
      </c>
      <c r="X2410" t="s">
        <v>1135</v>
      </c>
      <c r="Z2410" t="s">
        <v>38</v>
      </c>
      <c r="AB2410" t="s">
        <v>921</v>
      </c>
      <c r="AC2410" t="s">
        <v>1462</v>
      </c>
      <c r="AD2410" t="s">
        <v>1463</v>
      </c>
    </row>
    <row r="2411" spans="1:30" x14ac:dyDescent="0.25">
      <c r="A2411">
        <v>348</v>
      </c>
      <c r="B2411" t="s">
        <v>472</v>
      </c>
      <c r="C2411">
        <v>10</v>
      </c>
      <c r="D2411">
        <v>160</v>
      </c>
      <c r="E2411">
        <v>160</v>
      </c>
      <c r="F2411" t="s">
        <v>77</v>
      </c>
      <c r="G2411" t="s">
        <v>746</v>
      </c>
      <c r="H2411">
        <v>4</v>
      </c>
      <c r="I2411">
        <v>4.32</v>
      </c>
      <c r="J2411" t="s">
        <v>839</v>
      </c>
      <c r="K2411" t="s">
        <v>812</v>
      </c>
      <c r="M2411" t="s">
        <v>1519</v>
      </c>
      <c r="O2411" t="s">
        <v>228</v>
      </c>
      <c r="Q2411" t="s">
        <v>27</v>
      </c>
      <c r="S2411" t="s">
        <v>81</v>
      </c>
      <c r="W2411">
        <v>4</v>
      </c>
      <c r="X2411" t="s">
        <v>1135</v>
      </c>
      <c r="Z2411" t="s">
        <v>38</v>
      </c>
      <c r="AB2411" t="s">
        <v>921</v>
      </c>
      <c r="AC2411" t="s">
        <v>1462</v>
      </c>
      <c r="AD2411" t="s">
        <v>1463</v>
      </c>
    </row>
    <row r="2412" spans="1:30" x14ac:dyDescent="0.25">
      <c r="A2412">
        <v>349</v>
      </c>
      <c r="B2412" t="s">
        <v>473</v>
      </c>
      <c r="C2412">
        <v>12</v>
      </c>
      <c r="D2412">
        <v>220</v>
      </c>
      <c r="E2412">
        <v>12000</v>
      </c>
      <c r="F2412" t="s">
        <v>77</v>
      </c>
      <c r="G2412" t="s">
        <v>746</v>
      </c>
      <c r="H2412">
        <v>2</v>
      </c>
      <c r="I2412">
        <v>497.38</v>
      </c>
      <c r="J2412" t="s">
        <v>839</v>
      </c>
      <c r="K2412" t="s">
        <v>812</v>
      </c>
      <c r="M2412" t="s">
        <v>1519</v>
      </c>
      <c r="Q2412" t="s">
        <v>28</v>
      </c>
      <c r="R2412" t="s">
        <v>81</v>
      </c>
      <c r="U2412" t="s">
        <v>81</v>
      </c>
      <c r="W2412">
        <v>4</v>
      </c>
      <c r="X2412" t="s">
        <v>1135</v>
      </c>
      <c r="Z2412" t="s">
        <v>38</v>
      </c>
      <c r="AB2412" t="s">
        <v>921</v>
      </c>
      <c r="AC2412" t="s">
        <v>1465</v>
      </c>
      <c r="AD2412" t="s">
        <v>39</v>
      </c>
    </row>
    <row r="2413" spans="1:30" x14ac:dyDescent="0.25">
      <c r="A2413">
        <v>350</v>
      </c>
      <c r="B2413" t="s">
        <v>478</v>
      </c>
      <c r="C2413">
        <v>12</v>
      </c>
      <c r="D2413">
        <v>220</v>
      </c>
      <c r="E2413">
        <v>12000</v>
      </c>
      <c r="F2413" t="s">
        <v>77</v>
      </c>
      <c r="G2413" t="s">
        <v>746</v>
      </c>
      <c r="H2413">
        <v>2</v>
      </c>
      <c r="I2413">
        <v>497.38</v>
      </c>
      <c r="J2413" t="s">
        <v>839</v>
      </c>
      <c r="K2413" t="s">
        <v>812</v>
      </c>
      <c r="M2413" t="s">
        <v>1519</v>
      </c>
      <c r="Q2413" t="s">
        <v>28</v>
      </c>
      <c r="R2413" t="s">
        <v>81</v>
      </c>
      <c r="U2413" t="s">
        <v>81</v>
      </c>
      <c r="W2413">
        <v>4</v>
      </c>
      <c r="X2413" t="s">
        <v>1135</v>
      </c>
      <c r="Z2413" t="s">
        <v>38</v>
      </c>
      <c r="AB2413" t="s">
        <v>921</v>
      </c>
      <c r="AC2413" t="s">
        <v>1465</v>
      </c>
      <c r="AD2413" t="s">
        <v>39</v>
      </c>
    </row>
    <row r="2414" spans="1:30" x14ac:dyDescent="0.25">
      <c r="A2414">
        <v>351</v>
      </c>
      <c r="B2414" t="s">
        <v>479</v>
      </c>
      <c r="C2414">
        <v>12</v>
      </c>
      <c r="D2414">
        <v>220</v>
      </c>
      <c r="E2414">
        <v>12000</v>
      </c>
      <c r="F2414" t="s">
        <v>77</v>
      </c>
      <c r="G2414" t="s">
        <v>746</v>
      </c>
      <c r="H2414">
        <v>2</v>
      </c>
      <c r="I2414">
        <v>497.38</v>
      </c>
      <c r="J2414" t="s">
        <v>839</v>
      </c>
      <c r="K2414" t="s">
        <v>812</v>
      </c>
      <c r="M2414" t="s">
        <v>1519</v>
      </c>
      <c r="Q2414" t="s">
        <v>28</v>
      </c>
      <c r="R2414" t="s">
        <v>81</v>
      </c>
      <c r="U2414" t="s">
        <v>81</v>
      </c>
      <c r="W2414">
        <v>4</v>
      </c>
      <c r="X2414" t="s">
        <v>1135</v>
      </c>
      <c r="Z2414" t="s">
        <v>38</v>
      </c>
      <c r="AB2414" t="s">
        <v>921</v>
      </c>
      <c r="AC2414" t="s">
        <v>1465</v>
      </c>
      <c r="AD2414" t="s">
        <v>39</v>
      </c>
    </row>
    <row r="2415" spans="1:30" x14ac:dyDescent="0.25">
      <c r="A2415">
        <v>352</v>
      </c>
      <c r="B2415" t="s">
        <v>480</v>
      </c>
      <c r="C2415">
        <v>12</v>
      </c>
      <c r="D2415">
        <v>220</v>
      </c>
      <c r="E2415">
        <v>11989</v>
      </c>
      <c r="F2415" t="s">
        <v>77</v>
      </c>
      <c r="G2415" t="s">
        <v>746</v>
      </c>
      <c r="H2415">
        <v>2</v>
      </c>
      <c r="I2415">
        <v>496.92</v>
      </c>
      <c r="J2415" t="s">
        <v>839</v>
      </c>
      <c r="K2415" t="s">
        <v>812</v>
      </c>
      <c r="M2415" t="s">
        <v>1519</v>
      </c>
      <c r="Q2415" t="s">
        <v>28</v>
      </c>
      <c r="R2415" t="s">
        <v>81</v>
      </c>
      <c r="U2415" t="s">
        <v>81</v>
      </c>
      <c r="W2415">
        <v>4</v>
      </c>
      <c r="X2415" t="s">
        <v>1135</v>
      </c>
      <c r="Z2415" t="s">
        <v>38</v>
      </c>
      <c r="AB2415" t="s">
        <v>921</v>
      </c>
      <c r="AC2415" t="s">
        <v>1467</v>
      </c>
      <c r="AD2415" t="s">
        <v>39</v>
      </c>
    </row>
    <row r="2416" spans="1:30" x14ac:dyDescent="0.25">
      <c r="A2416">
        <v>353</v>
      </c>
      <c r="B2416" t="s">
        <v>484</v>
      </c>
      <c r="C2416">
        <v>12</v>
      </c>
      <c r="D2416">
        <v>220</v>
      </c>
      <c r="E2416">
        <v>12000</v>
      </c>
      <c r="F2416" t="s">
        <v>77</v>
      </c>
      <c r="G2416" t="s">
        <v>746</v>
      </c>
      <c r="H2416">
        <v>2</v>
      </c>
      <c r="I2416">
        <v>497.39</v>
      </c>
      <c r="J2416" t="s">
        <v>839</v>
      </c>
      <c r="K2416" t="s">
        <v>812</v>
      </c>
      <c r="M2416" t="s">
        <v>1519</v>
      </c>
      <c r="Q2416" t="s">
        <v>28</v>
      </c>
      <c r="R2416" t="s">
        <v>81</v>
      </c>
      <c r="U2416" t="s">
        <v>81</v>
      </c>
      <c r="W2416">
        <v>4</v>
      </c>
      <c r="X2416" t="s">
        <v>1135</v>
      </c>
      <c r="Z2416" t="s">
        <v>38</v>
      </c>
      <c r="AB2416" t="s">
        <v>921</v>
      </c>
      <c r="AC2416" t="s">
        <v>1467</v>
      </c>
      <c r="AD2416" t="s">
        <v>39</v>
      </c>
    </row>
    <row r="2417" spans="1:30" x14ac:dyDescent="0.25">
      <c r="A2417">
        <v>354</v>
      </c>
      <c r="B2417" t="s">
        <v>485</v>
      </c>
      <c r="C2417">
        <v>12</v>
      </c>
      <c r="D2417">
        <v>220</v>
      </c>
      <c r="E2417">
        <v>11989</v>
      </c>
      <c r="F2417" t="s">
        <v>77</v>
      </c>
      <c r="G2417" t="s">
        <v>746</v>
      </c>
      <c r="H2417">
        <v>2</v>
      </c>
      <c r="I2417">
        <v>496.92</v>
      </c>
      <c r="J2417" t="s">
        <v>839</v>
      </c>
      <c r="K2417" t="s">
        <v>812</v>
      </c>
      <c r="M2417" t="s">
        <v>1519</v>
      </c>
      <c r="Q2417" t="s">
        <v>28</v>
      </c>
      <c r="R2417" t="s">
        <v>81</v>
      </c>
      <c r="U2417" t="s">
        <v>81</v>
      </c>
      <c r="W2417">
        <v>4</v>
      </c>
      <c r="X2417" t="s">
        <v>1135</v>
      </c>
      <c r="Z2417" t="s">
        <v>38</v>
      </c>
      <c r="AB2417" t="s">
        <v>921</v>
      </c>
      <c r="AC2417" t="s">
        <v>1467</v>
      </c>
      <c r="AD2417" t="s">
        <v>39</v>
      </c>
    </row>
    <row r="2418" spans="1:30" x14ac:dyDescent="0.25">
      <c r="A2418">
        <v>355</v>
      </c>
      <c r="B2418" t="s">
        <v>486</v>
      </c>
      <c r="C2418">
        <v>12</v>
      </c>
      <c r="D2418">
        <v>220</v>
      </c>
      <c r="E2418">
        <v>7562</v>
      </c>
      <c r="F2418" t="s">
        <v>77</v>
      </c>
      <c r="G2418" t="s">
        <v>746</v>
      </c>
      <c r="H2418">
        <v>2</v>
      </c>
      <c r="I2418">
        <v>313.44</v>
      </c>
      <c r="J2418" t="s">
        <v>839</v>
      </c>
      <c r="K2418" t="s">
        <v>812</v>
      </c>
      <c r="M2418" t="s">
        <v>1519</v>
      </c>
      <c r="Q2418" t="s">
        <v>28</v>
      </c>
      <c r="R2418" t="s">
        <v>81</v>
      </c>
      <c r="U2418" t="s">
        <v>81</v>
      </c>
      <c r="W2418">
        <v>4</v>
      </c>
      <c r="X2418" t="s">
        <v>1135</v>
      </c>
      <c r="Z2418" t="s">
        <v>38</v>
      </c>
      <c r="AB2418" t="s">
        <v>921</v>
      </c>
      <c r="AC2418" t="s">
        <v>1469</v>
      </c>
      <c r="AD2418" t="s">
        <v>39</v>
      </c>
    </row>
    <row r="2419" spans="1:30" x14ac:dyDescent="0.25">
      <c r="A2419">
        <v>356</v>
      </c>
      <c r="B2419" t="s">
        <v>490</v>
      </c>
      <c r="C2419">
        <v>12</v>
      </c>
      <c r="D2419">
        <v>220</v>
      </c>
      <c r="E2419">
        <v>7565</v>
      </c>
      <c r="F2419" t="s">
        <v>77</v>
      </c>
      <c r="G2419" t="s">
        <v>746</v>
      </c>
      <c r="H2419">
        <v>2</v>
      </c>
      <c r="I2419">
        <v>313.56</v>
      </c>
      <c r="J2419" t="s">
        <v>839</v>
      </c>
      <c r="K2419" t="s">
        <v>812</v>
      </c>
      <c r="M2419" t="s">
        <v>1519</v>
      </c>
      <c r="Q2419" t="s">
        <v>28</v>
      </c>
      <c r="R2419" t="s">
        <v>81</v>
      </c>
      <c r="U2419" t="s">
        <v>81</v>
      </c>
      <c r="W2419">
        <v>4</v>
      </c>
      <c r="X2419" t="s">
        <v>1135</v>
      </c>
      <c r="Z2419" t="s">
        <v>38</v>
      </c>
      <c r="AB2419" t="s">
        <v>921</v>
      </c>
      <c r="AC2419" t="s">
        <v>1469</v>
      </c>
      <c r="AD2419" t="s">
        <v>39</v>
      </c>
    </row>
    <row r="2420" spans="1:30" x14ac:dyDescent="0.25">
      <c r="A2420">
        <v>357</v>
      </c>
      <c r="B2420" t="s">
        <v>492</v>
      </c>
      <c r="C2420">
        <v>12</v>
      </c>
      <c r="D2420">
        <v>220</v>
      </c>
      <c r="E2420">
        <v>7561</v>
      </c>
      <c r="F2420" t="s">
        <v>77</v>
      </c>
      <c r="G2420" t="s">
        <v>746</v>
      </c>
      <c r="H2420">
        <v>2</v>
      </c>
      <c r="I2420">
        <v>313.39</v>
      </c>
      <c r="J2420" t="s">
        <v>839</v>
      </c>
      <c r="K2420" t="s">
        <v>812</v>
      </c>
      <c r="M2420" t="s">
        <v>1519</v>
      </c>
      <c r="Q2420" t="s">
        <v>28</v>
      </c>
      <c r="R2420" t="s">
        <v>81</v>
      </c>
      <c r="U2420" t="s">
        <v>81</v>
      </c>
      <c r="W2420">
        <v>4</v>
      </c>
      <c r="X2420" t="s">
        <v>1135</v>
      </c>
      <c r="Z2420" t="s">
        <v>38</v>
      </c>
      <c r="AB2420" t="s">
        <v>921</v>
      </c>
      <c r="AC2420" t="s">
        <v>1469</v>
      </c>
      <c r="AD2420" t="s">
        <v>39</v>
      </c>
    </row>
    <row r="2421" spans="1:30" x14ac:dyDescent="0.25">
      <c r="A2421">
        <v>358</v>
      </c>
      <c r="B2421" t="s">
        <v>494</v>
      </c>
      <c r="C2421">
        <v>12</v>
      </c>
      <c r="D2421">
        <v>220</v>
      </c>
      <c r="E2421">
        <v>11993</v>
      </c>
      <c r="F2421" t="s">
        <v>77</v>
      </c>
      <c r="G2421" t="s">
        <v>746</v>
      </c>
      <c r="H2421">
        <v>2</v>
      </c>
      <c r="I2421">
        <v>497.09</v>
      </c>
      <c r="J2421" t="s">
        <v>839</v>
      </c>
      <c r="K2421" t="s">
        <v>812</v>
      </c>
      <c r="M2421" t="s">
        <v>1519</v>
      </c>
      <c r="Q2421" t="s">
        <v>28</v>
      </c>
      <c r="R2421" t="s">
        <v>81</v>
      </c>
      <c r="U2421" t="s">
        <v>81</v>
      </c>
      <c r="W2421">
        <v>4</v>
      </c>
      <c r="X2421" t="s">
        <v>1135</v>
      </c>
      <c r="Z2421" t="s">
        <v>38</v>
      </c>
      <c r="AB2421" t="s">
        <v>921</v>
      </c>
      <c r="AC2421" t="s">
        <v>1471</v>
      </c>
      <c r="AD2421" t="s">
        <v>39</v>
      </c>
    </row>
    <row r="2422" spans="1:30" x14ac:dyDescent="0.25">
      <c r="A2422">
        <v>359</v>
      </c>
      <c r="B2422" t="s">
        <v>498</v>
      </c>
      <c r="C2422">
        <v>12</v>
      </c>
      <c r="D2422">
        <v>220</v>
      </c>
      <c r="E2422">
        <v>11991</v>
      </c>
      <c r="F2422" t="s">
        <v>77</v>
      </c>
      <c r="G2422" t="s">
        <v>746</v>
      </c>
      <c r="H2422">
        <v>2</v>
      </c>
      <c r="I2422">
        <v>497</v>
      </c>
      <c r="J2422" t="s">
        <v>839</v>
      </c>
      <c r="K2422" t="s">
        <v>812</v>
      </c>
      <c r="M2422" t="s">
        <v>1519</v>
      </c>
      <c r="Q2422" t="s">
        <v>28</v>
      </c>
      <c r="R2422" t="s">
        <v>81</v>
      </c>
      <c r="U2422" t="s">
        <v>81</v>
      </c>
      <c r="W2422">
        <v>4</v>
      </c>
      <c r="X2422" t="s">
        <v>1135</v>
      </c>
      <c r="Z2422" t="s">
        <v>38</v>
      </c>
      <c r="AB2422" t="s">
        <v>921</v>
      </c>
      <c r="AC2422" t="s">
        <v>1471</v>
      </c>
      <c r="AD2422" t="s">
        <v>39</v>
      </c>
    </row>
    <row r="2423" spans="1:30" x14ac:dyDescent="0.25">
      <c r="A2423">
        <v>360</v>
      </c>
      <c r="B2423" t="s">
        <v>500</v>
      </c>
      <c r="C2423">
        <v>12</v>
      </c>
      <c r="D2423">
        <v>220</v>
      </c>
      <c r="E2423">
        <v>11993</v>
      </c>
      <c r="F2423" t="s">
        <v>77</v>
      </c>
      <c r="G2423" t="s">
        <v>746</v>
      </c>
      <c r="H2423">
        <v>2</v>
      </c>
      <c r="I2423">
        <v>497.09</v>
      </c>
      <c r="J2423" t="s">
        <v>839</v>
      </c>
      <c r="K2423" t="s">
        <v>812</v>
      </c>
      <c r="M2423" t="s">
        <v>1519</v>
      </c>
      <c r="Q2423" t="s">
        <v>28</v>
      </c>
      <c r="R2423" t="s">
        <v>81</v>
      </c>
      <c r="U2423" t="s">
        <v>81</v>
      </c>
      <c r="W2423">
        <v>4</v>
      </c>
      <c r="X2423" t="s">
        <v>1135</v>
      </c>
      <c r="Z2423" t="s">
        <v>38</v>
      </c>
      <c r="AB2423" t="s">
        <v>921</v>
      </c>
      <c r="AC2423" t="s">
        <v>1471</v>
      </c>
      <c r="AD2423" t="s">
        <v>39</v>
      </c>
    </row>
    <row r="2424" spans="1:30" x14ac:dyDescent="0.25">
      <c r="A2424">
        <v>361</v>
      </c>
      <c r="B2424" t="s">
        <v>501</v>
      </c>
      <c r="C2424">
        <v>12</v>
      </c>
      <c r="D2424">
        <v>220</v>
      </c>
      <c r="E2424">
        <v>11991</v>
      </c>
      <c r="F2424" t="s">
        <v>77</v>
      </c>
      <c r="G2424" t="s">
        <v>746</v>
      </c>
      <c r="H2424">
        <v>2</v>
      </c>
      <c r="I2424">
        <v>497</v>
      </c>
      <c r="J2424" t="s">
        <v>839</v>
      </c>
      <c r="K2424" t="s">
        <v>812</v>
      </c>
      <c r="M2424" t="s">
        <v>1519</v>
      </c>
      <c r="Q2424" t="s">
        <v>28</v>
      </c>
      <c r="R2424" t="s">
        <v>81</v>
      </c>
      <c r="U2424" t="s">
        <v>81</v>
      </c>
      <c r="W2424">
        <v>4</v>
      </c>
      <c r="X2424" t="s">
        <v>1135</v>
      </c>
      <c r="Z2424" t="s">
        <v>38</v>
      </c>
      <c r="AB2424" t="s">
        <v>921</v>
      </c>
      <c r="AC2424" t="s">
        <v>1473</v>
      </c>
      <c r="AD2424" t="s">
        <v>39</v>
      </c>
    </row>
    <row r="2425" spans="1:30" x14ac:dyDescent="0.25">
      <c r="A2425">
        <v>362</v>
      </c>
      <c r="B2425" t="s">
        <v>504</v>
      </c>
      <c r="C2425">
        <v>12</v>
      </c>
      <c r="D2425">
        <v>220</v>
      </c>
      <c r="E2425">
        <v>11991</v>
      </c>
      <c r="F2425" t="s">
        <v>77</v>
      </c>
      <c r="G2425" t="s">
        <v>746</v>
      </c>
      <c r="H2425">
        <v>2</v>
      </c>
      <c r="I2425">
        <v>497</v>
      </c>
      <c r="J2425" t="s">
        <v>839</v>
      </c>
      <c r="K2425" t="s">
        <v>812</v>
      </c>
      <c r="M2425" t="s">
        <v>1519</v>
      </c>
      <c r="Q2425" t="s">
        <v>28</v>
      </c>
      <c r="R2425" t="s">
        <v>81</v>
      </c>
      <c r="U2425" t="s">
        <v>81</v>
      </c>
      <c r="W2425">
        <v>4</v>
      </c>
      <c r="X2425" t="s">
        <v>1135</v>
      </c>
      <c r="Z2425" t="s">
        <v>38</v>
      </c>
      <c r="AB2425" t="s">
        <v>921</v>
      </c>
      <c r="AC2425" t="s">
        <v>1473</v>
      </c>
      <c r="AD2425" t="s">
        <v>39</v>
      </c>
    </row>
    <row r="2426" spans="1:30" x14ac:dyDescent="0.25">
      <c r="A2426">
        <v>363</v>
      </c>
      <c r="B2426" t="s">
        <v>505</v>
      </c>
      <c r="C2426">
        <v>12</v>
      </c>
      <c r="D2426">
        <v>220</v>
      </c>
      <c r="E2426">
        <v>11991</v>
      </c>
      <c r="F2426" t="s">
        <v>77</v>
      </c>
      <c r="G2426" t="s">
        <v>746</v>
      </c>
      <c r="H2426">
        <v>2</v>
      </c>
      <c r="I2426">
        <v>497</v>
      </c>
      <c r="J2426" t="s">
        <v>839</v>
      </c>
      <c r="K2426" t="s">
        <v>812</v>
      </c>
      <c r="M2426" t="s">
        <v>1519</v>
      </c>
      <c r="Q2426" t="s">
        <v>28</v>
      </c>
      <c r="R2426" t="s">
        <v>81</v>
      </c>
      <c r="U2426" t="s">
        <v>81</v>
      </c>
      <c r="W2426">
        <v>4</v>
      </c>
      <c r="X2426" t="s">
        <v>1135</v>
      </c>
      <c r="Z2426" t="s">
        <v>38</v>
      </c>
      <c r="AB2426" t="s">
        <v>921</v>
      </c>
      <c r="AC2426" t="s">
        <v>1473</v>
      </c>
      <c r="AD2426" t="s">
        <v>39</v>
      </c>
    </row>
    <row r="2427" spans="1:30" x14ac:dyDescent="0.25">
      <c r="A2427">
        <v>364</v>
      </c>
      <c r="B2427" t="s">
        <v>506</v>
      </c>
      <c r="C2427">
        <v>12</v>
      </c>
      <c r="D2427">
        <v>220</v>
      </c>
      <c r="E2427">
        <v>7564</v>
      </c>
      <c r="F2427" t="s">
        <v>77</v>
      </c>
      <c r="G2427" t="s">
        <v>746</v>
      </c>
      <c r="H2427">
        <v>2</v>
      </c>
      <c r="I2427">
        <v>313.51</v>
      </c>
      <c r="J2427" t="s">
        <v>839</v>
      </c>
      <c r="K2427" t="s">
        <v>812</v>
      </c>
      <c r="M2427" t="s">
        <v>1519</v>
      </c>
      <c r="Q2427" t="s">
        <v>28</v>
      </c>
      <c r="R2427" t="s">
        <v>81</v>
      </c>
      <c r="U2427" t="s">
        <v>81</v>
      </c>
      <c r="W2427">
        <v>4</v>
      </c>
      <c r="X2427" t="s">
        <v>1135</v>
      </c>
      <c r="Z2427" t="s">
        <v>38</v>
      </c>
      <c r="AB2427" t="s">
        <v>921</v>
      </c>
      <c r="AC2427" t="s">
        <v>1475</v>
      </c>
      <c r="AD2427" t="s">
        <v>39</v>
      </c>
    </row>
    <row r="2428" spans="1:30" x14ac:dyDescent="0.25">
      <c r="A2428">
        <v>365</v>
      </c>
      <c r="B2428" t="s">
        <v>510</v>
      </c>
      <c r="C2428">
        <v>16</v>
      </c>
      <c r="D2428">
        <v>50</v>
      </c>
      <c r="E2428">
        <v>120</v>
      </c>
      <c r="F2428" t="s">
        <v>77</v>
      </c>
      <c r="G2428" t="s">
        <v>746</v>
      </c>
      <c r="H2428">
        <v>16</v>
      </c>
      <c r="I2428">
        <v>11.15</v>
      </c>
      <c r="J2428" t="s">
        <v>839</v>
      </c>
      <c r="K2428" t="s">
        <v>812</v>
      </c>
      <c r="M2428" t="s">
        <v>1519</v>
      </c>
      <c r="O2428" t="s">
        <v>228</v>
      </c>
      <c r="Q2428" t="s">
        <v>27</v>
      </c>
      <c r="R2428" t="s">
        <v>81</v>
      </c>
      <c r="W2428">
        <v>4</v>
      </c>
      <c r="X2428" t="s">
        <v>1135</v>
      </c>
      <c r="Z2428" t="s">
        <v>38</v>
      </c>
      <c r="AB2428" t="s">
        <v>921</v>
      </c>
      <c r="AC2428" t="s">
        <v>1477</v>
      </c>
      <c r="AD2428" t="s">
        <v>39</v>
      </c>
    </row>
    <row r="2429" spans="1:30" x14ac:dyDescent="0.25">
      <c r="A2429">
        <v>366</v>
      </c>
      <c r="B2429" t="s">
        <v>515</v>
      </c>
      <c r="C2429">
        <v>16</v>
      </c>
      <c r="D2429">
        <v>220</v>
      </c>
      <c r="E2429">
        <v>280</v>
      </c>
      <c r="F2429" t="s">
        <v>77</v>
      </c>
      <c r="G2429" t="s">
        <v>746</v>
      </c>
      <c r="H2429">
        <v>4</v>
      </c>
      <c r="I2429">
        <v>30.85</v>
      </c>
      <c r="J2429" t="s">
        <v>839</v>
      </c>
      <c r="K2429" t="s">
        <v>812</v>
      </c>
      <c r="M2429" t="s">
        <v>1519</v>
      </c>
      <c r="Q2429" t="s">
        <v>26</v>
      </c>
      <c r="R2429" t="s">
        <v>81</v>
      </c>
      <c r="W2429">
        <v>4</v>
      </c>
      <c r="X2429" t="s">
        <v>1135</v>
      </c>
      <c r="Z2429" t="s">
        <v>38</v>
      </c>
      <c r="AB2429" t="s">
        <v>921</v>
      </c>
      <c r="AC2429" t="s">
        <v>1477</v>
      </c>
      <c r="AD2429" t="s">
        <v>39</v>
      </c>
    </row>
    <row r="2430" spans="1:30" x14ac:dyDescent="0.25">
      <c r="A2430">
        <v>367</v>
      </c>
      <c r="B2430" t="s">
        <v>517</v>
      </c>
      <c r="C2430">
        <v>16</v>
      </c>
      <c r="D2430">
        <v>200</v>
      </c>
      <c r="E2430">
        <v>300</v>
      </c>
      <c r="F2430" t="s">
        <v>77</v>
      </c>
      <c r="G2430" t="s">
        <v>746</v>
      </c>
      <c r="H2430">
        <v>2</v>
      </c>
      <c r="I2430">
        <v>9.73</v>
      </c>
      <c r="J2430" t="s">
        <v>839</v>
      </c>
      <c r="K2430" t="s">
        <v>812</v>
      </c>
      <c r="M2430" t="s">
        <v>1519</v>
      </c>
      <c r="Q2430" t="s">
        <v>26</v>
      </c>
      <c r="R2430" t="s">
        <v>81</v>
      </c>
      <c r="W2430">
        <v>4</v>
      </c>
      <c r="X2430" t="s">
        <v>1135</v>
      </c>
      <c r="Z2430" t="s">
        <v>38</v>
      </c>
      <c r="AB2430" t="s">
        <v>921</v>
      </c>
      <c r="AC2430" t="s">
        <v>1477</v>
      </c>
      <c r="AD2430" t="s">
        <v>39</v>
      </c>
    </row>
    <row r="2431" spans="1:30" x14ac:dyDescent="0.25">
      <c r="A2431">
        <v>368</v>
      </c>
      <c r="B2431" t="s">
        <v>519</v>
      </c>
      <c r="C2431">
        <v>16</v>
      </c>
      <c r="D2431">
        <v>200</v>
      </c>
      <c r="E2431">
        <v>300</v>
      </c>
      <c r="F2431" t="s">
        <v>77</v>
      </c>
      <c r="G2431" t="s">
        <v>746</v>
      </c>
      <c r="H2431">
        <v>2</v>
      </c>
      <c r="I2431">
        <v>9.73</v>
      </c>
      <c r="J2431" t="s">
        <v>839</v>
      </c>
      <c r="K2431" t="s">
        <v>812</v>
      </c>
      <c r="M2431" t="s">
        <v>1519</v>
      </c>
      <c r="Q2431" t="s">
        <v>26</v>
      </c>
      <c r="R2431" t="s">
        <v>81</v>
      </c>
      <c r="W2431">
        <v>4</v>
      </c>
      <c r="X2431" t="s">
        <v>1135</v>
      </c>
      <c r="Z2431" t="s">
        <v>38</v>
      </c>
      <c r="AB2431" t="s">
        <v>921</v>
      </c>
      <c r="AC2431" t="s">
        <v>1477</v>
      </c>
      <c r="AD2431" t="s">
        <v>39</v>
      </c>
    </row>
    <row r="2432" spans="1:30" x14ac:dyDescent="0.25">
      <c r="A2432">
        <v>369</v>
      </c>
      <c r="B2432" t="s">
        <v>520</v>
      </c>
      <c r="C2432">
        <v>16</v>
      </c>
      <c r="D2432">
        <v>275</v>
      </c>
      <c r="E2432">
        <v>12000</v>
      </c>
      <c r="F2432" t="s">
        <v>77</v>
      </c>
      <c r="G2432" t="s">
        <v>746</v>
      </c>
      <c r="H2432">
        <v>1</v>
      </c>
      <c r="I2432">
        <v>414.49</v>
      </c>
      <c r="J2432" t="s">
        <v>839</v>
      </c>
      <c r="K2432" t="s">
        <v>812</v>
      </c>
      <c r="M2432" t="s">
        <v>1519</v>
      </c>
      <c r="Q2432" t="s">
        <v>28</v>
      </c>
      <c r="R2432" t="s">
        <v>81</v>
      </c>
      <c r="U2432" t="s">
        <v>81</v>
      </c>
      <c r="W2432">
        <v>4</v>
      </c>
      <c r="X2432" t="s">
        <v>1135</v>
      </c>
      <c r="Z2432" t="s">
        <v>38</v>
      </c>
      <c r="AB2432" t="s">
        <v>921</v>
      </c>
      <c r="AC2432" t="s">
        <v>1477</v>
      </c>
      <c r="AD2432" t="s">
        <v>39</v>
      </c>
    </row>
    <row r="2433" spans="1:30" x14ac:dyDescent="0.25">
      <c r="A2433">
        <v>370</v>
      </c>
      <c r="B2433" t="s">
        <v>522</v>
      </c>
      <c r="C2433">
        <v>16</v>
      </c>
      <c r="D2433">
        <v>275</v>
      </c>
      <c r="E2433">
        <v>12000</v>
      </c>
      <c r="F2433" t="s">
        <v>77</v>
      </c>
      <c r="G2433" t="s">
        <v>746</v>
      </c>
      <c r="H2433">
        <v>1</v>
      </c>
      <c r="I2433">
        <v>414.48</v>
      </c>
      <c r="J2433" t="s">
        <v>839</v>
      </c>
      <c r="K2433" t="s">
        <v>812</v>
      </c>
      <c r="M2433" t="s">
        <v>1519</v>
      </c>
      <c r="Q2433" t="s">
        <v>28</v>
      </c>
      <c r="R2433" t="s">
        <v>81</v>
      </c>
      <c r="U2433" t="s">
        <v>81</v>
      </c>
      <c r="W2433">
        <v>4</v>
      </c>
      <c r="X2433" t="s">
        <v>1135</v>
      </c>
      <c r="Z2433" t="s">
        <v>38</v>
      </c>
      <c r="AB2433" t="s">
        <v>921</v>
      </c>
      <c r="AC2433" t="s">
        <v>1477</v>
      </c>
      <c r="AD2433" t="s">
        <v>39</v>
      </c>
    </row>
    <row r="2434" spans="1:30" x14ac:dyDescent="0.25">
      <c r="A2434">
        <v>371</v>
      </c>
      <c r="B2434" t="s">
        <v>523</v>
      </c>
      <c r="C2434">
        <v>16</v>
      </c>
      <c r="D2434">
        <v>275</v>
      </c>
      <c r="E2434">
        <v>11976</v>
      </c>
      <c r="F2434" t="s">
        <v>77</v>
      </c>
      <c r="G2434" t="s">
        <v>746</v>
      </c>
      <c r="H2434">
        <v>1</v>
      </c>
      <c r="I2434">
        <v>413.65</v>
      </c>
      <c r="J2434" t="s">
        <v>839</v>
      </c>
      <c r="K2434" t="s">
        <v>812</v>
      </c>
      <c r="M2434" t="s">
        <v>1519</v>
      </c>
      <c r="Q2434" t="s">
        <v>28</v>
      </c>
      <c r="R2434" t="s">
        <v>81</v>
      </c>
      <c r="U2434" t="s">
        <v>81</v>
      </c>
      <c r="W2434">
        <v>4</v>
      </c>
      <c r="X2434" t="s">
        <v>1135</v>
      </c>
      <c r="Z2434" t="s">
        <v>38</v>
      </c>
      <c r="AB2434" t="s">
        <v>921</v>
      </c>
      <c r="AC2434" t="s">
        <v>1477</v>
      </c>
      <c r="AD2434" t="s">
        <v>39</v>
      </c>
    </row>
    <row r="2435" spans="1:30" x14ac:dyDescent="0.25">
      <c r="A2435">
        <v>372</v>
      </c>
      <c r="B2435" t="s">
        <v>525</v>
      </c>
      <c r="C2435">
        <v>16</v>
      </c>
      <c r="D2435">
        <v>200</v>
      </c>
      <c r="E2435">
        <v>300</v>
      </c>
      <c r="F2435" t="s">
        <v>77</v>
      </c>
      <c r="G2435" t="s">
        <v>746</v>
      </c>
      <c r="H2435">
        <v>2</v>
      </c>
      <c r="I2435">
        <v>9.73</v>
      </c>
      <c r="J2435" t="s">
        <v>839</v>
      </c>
      <c r="K2435" t="s">
        <v>812</v>
      </c>
      <c r="M2435" t="s">
        <v>1519</v>
      </c>
      <c r="Q2435" t="s">
        <v>26</v>
      </c>
      <c r="R2435" t="s">
        <v>81</v>
      </c>
      <c r="W2435">
        <v>4</v>
      </c>
      <c r="X2435" t="s">
        <v>1135</v>
      </c>
      <c r="Z2435" t="s">
        <v>38</v>
      </c>
      <c r="AB2435" t="s">
        <v>921</v>
      </c>
      <c r="AC2435" t="s">
        <v>1477</v>
      </c>
      <c r="AD2435" t="s">
        <v>39</v>
      </c>
    </row>
    <row r="2436" spans="1:30" x14ac:dyDescent="0.25">
      <c r="A2436">
        <v>373</v>
      </c>
      <c r="B2436" t="s">
        <v>526</v>
      </c>
      <c r="C2436">
        <v>16</v>
      </c>
      <c r="D2436">
        <v>200</v>
      </c>
      <c r="E2436">
        <v>300</v>
      </c>
      <c r="F2436" t="s">
        <v>77</v>
      </c>
      <c r="G2436" t="s">
        <v>746</v>
      </c>
      <c r="H2436">
        <v>2</v>
      </c>
      <c r="I2436">
        <v>9.73</v>
      </c>
      <c r="J2436" t="s">
        <v>839</v>
      </c>
      <c r="K2436" t="s">
        <v>812</v>
      </c>
      <c r="M2436" t="s">
        <v>1519</v>
      </c>
      <c r="Q2436" t="s">
        <v>26</v>
      </c>
      <c r="R2436" t="s">
        <v>81</v>
      </c>
      <c r="W2436">
        <v>4</v>
      </c>
      <c r="X2436" t="s">
        <v>1135</v>
      </c>
      <c r="Z2436" t="s">
        <v>38</v>
      </c>
      <c r="AB2436" t="s">
        <v>921</v>
      </c>
      <c r="AC2436" t="s">
        <v>1477</v>
      </c>
      <c r="AD2436" t="s">
        <v>39</v>
      </c>
    </row>
    <row r="2437" spans="1:30" x14ac:dyDescent="0.25">
      <c r="A2437">
        <v>374</v>
      </c>
      <c r="B2437" t="s">
        <v>527</v>
      </c>
      <c r="C2437">
        <v>16</v>
      </c>
      <c r="D2437">
        <v>275</v>
      </c>
      <c r="E2437">
        <v>12000</v>
      </c>
      <c r="F2437" t="s">
        <v>77</v>
      </c>
      <c r="G2437" t="s">
        <v>746</v>
      </c>
      <c r="H2437">
        <v>1</v>
      </c>
      <c r="I2437">
        <v>414.48</v>
      </c>
      <c r="J2437" t="s">
        <v>839</v>
      </c>
      <c r="K2437" t="s">
        <v>812</v>
      </c>
      <c r="M2437" t="s">
        <v>1519</v>
      </c>
      <c r="Q2437" t="s">
        <v>28</v>
      </c>
      <c r="R2437" t="s">
        <v>81</v>
      </c>
      <c r="U2437" t="s">
        <v>81</v>
      </c>
      <c r="W2437">
        <v>4</v>
      </c>
      <c r="X2437" t="s">
        <v>1135</v>
      </c>
      <c r="Z2437" t="s">
        <v>38</v>
      </c>
      <c r="AB2437" t="s">
        <v>921</v>
      </c>
      <c r="AC2437" t="s">
        <v>1477</v>
      </c>
      <c r="AD2437" t="s">
        <v>39</v>
      </c>
    </row>
    <row r="2438" spans="1:30" x14ac:dyDescent="0.25">
      <c r="A2438">
        <v>375</v>
      </c>
      <c r="B2438" t="s">
        <v>528</v>
      </c>
      <c r="C2438">
        <v>16</v>
      </c>
      <c r="D2438">
        <v>275</v>
      </c>
      <c r="E2438">
        <v>7587</v>
      </c>
      <c r="F2438" t="s">
        <v>77</v>
      </c>
      <c r="G2438" t="s">
        <v>746</v>
      </c>
      <c r="H2438">
        <v>1</v>
      </c>
      <c r="I2438">
        <v>262.06</v>
      </c>
      <c r="J2438" t="s">
        <v>839</v>
      </c>
      <c r="K2438" t="s">
        <v>812</v>
      </c>
      <c r="M2438" t="s">
        <v>1519</v>
      </c>
      <c r="Q2438" t="s">
        <v>28</v>
      </c>
      <c r="R2438" t="s">
        <v>81</v>
      </c>
      <c r="U2438" t="s">
        <v>81</v>
      </c>
      <c r="W2438">
        <v>4</v>
      </c>
      <c r="X2438" t="s">
        <v>1135</v>
      </c>
      <c r="Z2438" t="s">
        <v>38</v>
      </c>
      <c r="AB2438" t="s">
        <v>921</v>
      </c>
      <c r="AC2438" t="s">
        <v>1477</v>
      </c>
      <c r="AD2438" t="s">
        <v>39</v>
      </c>
    </row>
    <row r="2439" spans="1:30" x14ac:dyDescent="0.25">
      <c r="A2439">
        <v>376</v>
      </c>
      <c r="B2439" t="s">
        <v>530</v>
      </c>
      <c r="C2439">
        <v>16</v>
      </c>
      <c r="D2439">
        <v>275</v>
      </c>
      <c r="E2439">
        <v>12000</v>
      </c>
      <c r="F2439" t="s">
        <v>77</v>
      </c>
      <c r="G2439" t="s">
        <v>746</v>
      </c>
      <c r="H2439">
        <v>1</v>
      </c>
      <c r="I2439">
        <v>414.48</v>
      </c>
      <c r="J2439" t="s">
        <v>839</v>
      </c>
      <c r="K2439" t="s">
        <v>812</v>
      </c>
      <c r="M2439" t="s">
        <v>1519</v>
      </c>
      <c r="Q2439" t="s">
        <v>28</v>
      </c>
      <c r="R2439" t="s">
        <v>81</v>
      </c>
      <c r="U2439" t="s">
        <v>81</v>
      </c>
      <c r="W2439">
        <v>4</v>
      </c>
      <c r="X2439" t="s">
        <v>1135</v>
      </c>
      <c r="Z2439" t="s">
        <v>38</v>
      </c>
      <c r="AB2439" t="s">
        <v>921</v>
      </c>
      <c r="AC2439" t="s">
        <v>1477</v>
      </c>
      <c r="AD2439" t="s">
        <v>39</v>
      </c>
    </row>
    <row r="2440" spans="1:30" x14ac:dyDescent="0.25">
      <c r="A2440">
        <v>377</v>
      </c>
      <c r="B2440" t="s">
        <v>531</v>
      </c>
      <c r="C2440">
        <v>16</v>
      </c>
      <c r="D2440">
        <v>275</v>
      </c>
      <c r="E2440">
        <v>7583</v>
      </c>
      <c r="F2440" t="s">
        <v>77</v>
      </c>
      <c r="G2440" t="s">
        <v>746</v>
      </c>
      <c r="H2440">
        <v>1</v>
      </c>
      <c r="I2440">
        <v>261.92</v>
      </c>
      <c r="J2440" t="s">
        <v>839</v>
      </c>
      <c r="K2440" t="s">
        <v>812</v>
      </c>
      <c r="M2440" t="s">
        <v>1519</v>
      </c>
      <c r="Q2440" t="s">
        <v>28</v>
      </c>
      <c r="R2440" t="s">
        <v>81</v>
      </c>
      <c r="U2440" t="s">
        <v>81</v>
      </c>
      <c r="W2440">
        <v>4</v>
      </c>
      <c r="X2440" t="s">
        <v>1135</v>
      </c>
      <c r="Z2440" t="s">
        <v>38</v>
      </c>
      <c r="AB2440" t="s">
        <v>921</v>
      </c>
      <c r="AC2440" t="s">
        <v>1477</v>
      </c>
      <c r="AD2440" t="s">
        <v>39</v>
      </c>
    </row>
    <row r="2441" spans="1:30" x14ac:dyDescent="0.25">
      <c r="A2441">
        <v>378</v>
      </c>
      <c r="B2441" t="s">
        <v>535</v>
      </c>
      <c r="C2441">
        <v>16</v>
      </c>
      <c r="D2441">
        <v>220</v>
      </c>
      <c r="E2441">
        <v>280</v>
      </c>
      <c r="F2441" t="s">
        <v>77</v>
      </c>
      <c r="G2441" t="s">
        <v>746</v>
      </c>
      <c r="H2441">
        <v>4</v>
      </c>
      <c r="I2441">
        <v>30.85</v>
      </c>
      <c r="J2441" t="s">
        <v>839</v>
      </c>
      <c r="K2441" t="s">
        <v>812</v>
      </c>
      <c r="M2441" t="s">
        <v>1519</v>
      </c>
      <c r="Q2441" t="s">
        <v>26</v>
      </c>
      <c r="R2441" t="s">
        <v>81</v>
      </c>
      <c r="W2441">
        <v>4</v>
      </c>
      <c r="X2441" t="s">
        <v>1135</v>
      </c>
      <c r="Z2441" t="s">
        <v>38</v>
      </c>
      <c r="AB2441" t="s">
        <v>921</v>
      </c>
      <c r="AC2441" t="s">
        <v>1477</v>
      </c>
      <c r="AD2441" t="s">
        <v>39</v>
      </c>
    </row>
    <row r="2442" spans="1:30" x14ac:dyDescent="0.25">
      <c r="A2442">
        <v>379</v>
      </c>
      <c r="B2442" t="s">
        <v>536</v>
      </c>
      <c r="C2442">
        <v>16</v>
      </c>
      <c r="D2442">
        <v>170</v>
      </c>
      <c r="E2442">
        <v>170</v>
      </c>
      <c r="F2442" t="s">
        <v>77</v>
      </c>
      <c r="G2442" t="s">
        <v>746</v>
      </c>
      <c r="H2442">
        <v>6</v>
      </c>
      <c r="I2442">
        <v>21.63</v>
      </c>
      <c r="J2442" t="s">
        <v>839</v>
      </c>
      <c r="K2442" t="s">
        <v>812</v>
      </c>
      <c r="M2442" t="s">
        <v>1519</v>
      </c>
      <c r="Q2442" t="s">
        <v>26</v>
      </c>
      <c r="R2442" t="s">
        <v>81</v>
      </c>
      <c r="W2442">
        <v>4</v>
      </c>
      <c r="X2442" t="s">
        <v>1135</v>
      </c>
      <c r="Z2442" t="s">
        <v>38</v>
      </c>
      <c r="AB2442" t="s">
        <v>921</v>
      </c>
      <c r="AC2442" t="s">
        <v>1477</v>
      </c>
      <c r="AD2442" t="s">
        <v>39</v>
      </c>
    </row>
    <row r="2443" spans="1:30" x14ac:dyDescent="0.25">
      <c r="A2443">
        <v>380</v>
      </c>
      <c r="B2443" t="s">
        <v>538</v>
      </c>
      <c r="C2443">
        <v>16</v>
      </c>
      <c r="D2443">
        <v>170</v>
      </c>
      <c r="E2443">
        <v>170</v>
      </c>
      <c r="F2443" t="s">
        <v>77</v>
      </c>
      <c r="G2443" t="s">
        <v>746</v>
      </c>
      <c r="H2443">
        <v>4</v>
      </c>
      <c r="I2443">
        <v>14.42</v>
      </c>
      <c r="J2443" t="s">
        <v>839</v>
      </c>
      <c r="K2443" t="s">
        <v>812</v>
      </c>
      <c r="M2443" t="s">
        <v>1519</v>
      </c>
      <c r="Q2443" t="s">
        <v>26</v>
      </c>
      <c r="R2443" t="s">
        <v>81</v>
      </c>
      <c r="W2443">
        <v>4</v>
      </c>
      <c r="X2443" t="s">
        <v>1135</v>
      </c>
      <c r="Z2443" t="s">
        <v>38</v>
      </c>
      <c r="AB2443" t="s">
        <v>921</v>
      </c>
      <c r="AC2443" t="s">
        <v>1477</v>
      </c>
      <c r="AD2443" t="s">
        <v>39</v>
      </c>
    </row>
    <row r="2444" spans="1:30" x14ac:dyDescent="0.25">
      <c r="A2444">
        <v>381</v>
      </c>
      <c r="B2444" t="s">
        <v>539</v>
      </c>
      <c r="C2444">
        <v>16</v>
      </c>
      <c r="D2444">
        <v>170</v>
      </c>
      <c r="E2444">
        <v>170</v>
      </c>
      <c r="F2444" t="s">
        <v>77</v>
      </c>
      <c r="G2444" t="s">
        <v>746</v>
      </c>
      <c r="H2444">
        <v>4</v>
      </c>
      <c r="I2444">
        <v>14.42</v>
      </c>
      <c r="J2444" t="s">
        <v>839</v>
      </c>
      <c r="K2444" t="s">
        <v>812</v>
      </c>
      <c r="M2444" t="s">
        <v>1519</v>
      </c>
      <c r="Q2444" t="s">
        <v>26</v>
      </c>
      <c r="R2444" t="s">
        <v>81</v>
      </c>
      <c r="W2444">
        <v>4</v>
      </c>
      <c r="X2444" t="s">
        <v>1135</v>
      </c>
      <c r="Z2444" t="s">
        <v>38</v>
      </c>
      <c r="AB2444" t="s">
        <v>921</v>
      </c>
      <c r="AC2444" t="s">
        <v>1477</v>
      </c>
      <c r="AD2444" t="s">
        <v>39</v>
      </c>
    </row>
    <row r="2445" spans="1:30" x14ac:dyDescent="0.25">
      <c r="A2445">
        <v>382</v>
      </c>
      <c r="B2445" t="s">
        <v>540</v>
      </c>
      <c r="C2445">
        <v>16</v>
      </c>
      <c r="D2445">
        <v>170</v>
      </c>
      <c r="E2445">
        <v>170</v>
      </c>
      <c r="F2445" t="s">
        <v>77</v>
      </c>
      <c r="G2445" t="s">
        <v>746</v>
      </c>
      <c r="H2445">
        <v>4</v>
      </c>
      <c r="I2445">
        <v>14.42</v>
      </c>
      <c r="J2445" t="s">
        <v>839</v>
      </c>
      <c r="K2445" t="s">
        <v>812</v>
      </c>
      <c r="M2445" t="s">
        <v>1519</v>
      </c>
      <c r="Q2445" t="s">
        <v>26</v>
      </c>
      <c r="R2445" t="s">
        <v>81</v>
      </c>
      <c r="W2445">
        <v>4</v>
      </c>
      <c r="X2445" t="s">
        <v>1135</v>
      </c>
      <c r="Z2445" t="s">
        <v>38</v>
      </c>
      <c r="AB2445" t="s">
        <v>921</v>
      </c>
      <c r="AC2445" t="s">
        <v>1477</v>
      </c>
      <c r="AD2445" t="s">
        <v>39</v>
      </c>
    </row>
    <row r="2446" spans="1:30" x14ac:dyDescent="0.25">
      <c r="A2446">
        <v>383</v>
      </c>
      <c r="B2446" t="s">
        <v>541</v>
      </c>
      <c r="C2446">
        <v>16</v>
      </c>
      <c r="D2446">
        <v>170</v>
      </c>
      <c r="E2446">
        <v>170</v>
      </c>
      <c r="F2446" t="s">
        <v>77</v>
      </c>
      <c r="G2446" t="s">
        <v>746</v>
      </c>
      <c r="H2446">
        <v>4</v>
      </c>
      <c r="I2446">
        <v>14.42</v>
      </c>
      <c r="J2446" t="s">
        <v>839</v>
      </c>
      <c r="K2446" t="s">
        <v>812</v>
      </c>
      <c r="M2446" t="s">
        <v>1519</v>
      </c>
      <c r="Q2446" t="s">
        <v>26</v>
      </c>
      <c r="R2446" t="s">
        <v>81</v>
      </c>
      <c r="W2446">
        <v>4</v>
      </c>
      <c r="X2446" t="s">
        <v>1135</v>
      </c>
      <c r="Z2446" t="s">
        <v>38</v>
      </c>
      <c r="AB2446" t="s">
        <v>921</v>
      </c>
      <c r="AC2446" t="s">
        <v>1477</v>
      </c>
      <c r="AD2446" t="s">
        <v>39</v>
      </c>
    </row>
    <row r="2447" spans="1:30" x14ac:dyDescent="0.25">
      <c r="A2447">
        <v>384</v>
      </c>
      <c r="B2447" t="s">
        <v>542</v>
      </c>
      <c r="C2447">
        <v>16</v>
      </c>
      <c r="D2447">
        <v>170</v>
      </c>
      <c r="E2447">
        <v>170</v>
      </c>
      <c r="F2447" t="s">
        <v>77</v>
      </c>
      <c r="G2447" t="s">
        <v>746</v>
      </c>
      <c r="H2447">
        <v>4</v>
      </c>
      <c r="I2447">
        <v>14.42</v>
      </c>
      <c r="J2447" t="s">
        <v>839</v>
      </c>
      <c r="K2447" t="s">
        <v>812</v>
      </c>
      <c r="M2447" t="s">
        <v>1519</v>
      </c>
      <c r="Q2447" t="s">
        <v>26</v>
      </c>
      <c r="R2447" t="s">
        <v>81</v>
      </c>
      <c r="W2447">
        <v>4</v>
      </c>
      <c r="X2447" t="s">
        <v>1135</v>
      </c>
      <c r="Z2447" t="s">
        <v>38</v>
      </c>
      <c r="AB2447" t="s">
        <v>921</v>
      </c>
      <c r="AC2447" t="s">
        <v>1477</v>
      </c>
      <c r="AD2447" t="s">
        <v>39</v>
      </c>
    </row>
    <row r="2448" spans="1:30" x14ac:dyDescent="0.25">
      <c r="A2448">
        <v>385</v>
      </c>
      <c r="B2448" t="s">
        <v>543</v>
      </c>
      <c r="C2448">
        <v>16</v>
      </c>
      <c r="D2448">
        <v>170</v>
      </c>
      <c r="E2448">
        <v>170</v>
      </c>
      <c r="F2448" t="s">
        <v>77</v>
      </c>
      <c r="G2448" t="s">
        <v>746</v>
      </c>
      <c r="H2448">
        <v>4</v>
      </c>
      <c r="I2448">
        <v>14.42</v>
      </c>
      <c r="J2448" t="s">
        <v>839</v>
      </c>
      <c r="K2448" t="s">
        <v>812</v>
      </c>
      <c r="M2448" t="s">
        <v>1519</v>
      </c>
      <c r="Q2448" t="s">
        <v>26</v>
      </c>
      <c r="R2448" t="s">
        <v>81</v>
      </c>
      <c r="W2448">
        <v>4</v>
      </c>
      <c r="X2448" t="s">
        <v>1135</v>
      </c>
      <c r="Z2448" t="s">
        <v>38</v>
      </c>
      <c r="AB2448" t="s">
        <v>921</v>
      </c>
      <c r="AC2448" t="s">
        <v>1477</v>
      </c>
      <c r="AD2448" t="s">
        <v>39</v>
      </c>
    </row>
    <row r="2449" spans="1:30" x14ac:dyDescent="0.25">
      <c r="A2449">
        <v>386</v>
      </c>
      <c r="B2449" t="s">
        <v>544</v>
      </c>
      <c r="C2449">
        <v>16</v>
      </c>
      <c r="D2449">
        <v>170</v>
      </c>
      <c r="E2449">
        <v>170</v>
      </c>
      <c r="F2449" t="s">
        <v>77</v>
      </c>
      <c r="G2449" t="s">
        <v>746</v>
      </c>
      <c r="H2449">
        <v>4</v>
      </c>
      <c r="I2449">
        <v>14.42</v>
      </c>
      <c r="J2449" t="s">
        <v>839</v>
      </c>
      <c r="K2449" t="s">
        <v>812</v>
      </c>
      <c r="M2449" t="s">
        <v>1519</v>
      </c>
      <c r="Q2449" t="s">
        <v>26</v>
      </c>
      <c r="R2449" t="s">
        <v>81</v>
      </c>
      <c r="W2449">
        <v>4</v>
      </c>
      <c r="X2449" t="s">
        <v>1135</v>
      </c>
      <c r="Z2449" t="s">
        <v>38</v>
      </c>
      <c r="AB2449" t="s">
        <v>921</v>
      </c>
      <c r="AC2449" t="s">
        <v>1477</v>
      </c>
      <c r="AD2449" t="s">
        <v>39</v>
      </c>
    </row>
    <row r="2450" spans="1:30" x14ac:dyDescent="0.25">
      <c r="A2450">
        <v>387</v>
      </c>
      <c r="B2450" t="s">
        <v>545</v>
      </c>
      <c r="C2450">
        <v>16</v>
      </c>
      <c r="D2450">
        <v>170</v>
      </c>
      <c r="E2450">
        <v>170</v>
      </c>
      <c r="F2450" t="s">
        <v>77</v>
      </c>
      <c r="G2450" t="s">
        <v>746</v>
      </c>
      <c r="H2450">
        <v>4</v>
      </c>
      <c r="I2450">
        <v>14.42</v>
      </c>
      <c r="J2450" t="s">
        <v>839</v>
      </c>
      <c r="K2450" t="s">
        <v>812</v>
      </c>
      <c r="M2450" t="s">
        <v>1519</v>
      </c>
      <c r="Q2450" t="s">
        <v>26</v>
      </c>
      <c r="R2450" t="s">
        <v>81</v>
      </c>
      <c r="W2450">
        <v>4</v>
      </c>
      <c r="X2450" t="s">
        <v>1135</v>
      </c>
      <c r="Z2450" t="s">
        <v>38</v>
      </c>
      <c r="AB2450" t="s">
        <v>921</v>
      </c>
      <c r="AC2450" t="s">
        <v>1477</v>
      </c>
      <c r="AD2450" t="s">
        <v>39</v>
      </c>
    </row>
    <row r="2451" spans="1:30" x14ac:dyDescent="0.25">
      <c r="A2451">
        <v>388</v>
      </c>
      <c r="B2451" t="s">
        <v>546</v>
      </c>
      <c r="C2451">
        <v>16</v>
      </c>
      <c r="D2451">
        <v>170</v>
      </c>
      <c r="E2451">
        <v>170</v>
      </c>
      <c r="F2451" t="s">
        <v>77</v>
      </c>
      <c r="G2451" t="s">
        <v>746</v>
      </c>
      <c r="H2451">
        <v>6</v>
      </c>
      <c r="I2451">
        <v>21.63</v>
      </c>
      <c r="J2451" t="s">
        <v>839</v>
      </c>
      <c r="K2451" t="s">
        <v>812</v>
      </c>
      <c r="M2451" t="s">
        <v>1519</v>
      </c>
      <c r="Q2451" t="s">
        <v>26</v>
      </c>
      <c r="R2451" t="s">
        <v>81</v>
      </c>
      <c r="W2451">
        <v>4</v>
      </c>
      <c r="X2451" t="s">
        <v>1135</v>
      </c>
      <c r="Z2451" t="s">
        <v>38</v>
      </c>
      <c r="AB2451" t="s">
        <v>921</v>
      </c>
      <c r="AC2451" t="s">
        <v>1477</v>
      </c>
      <c r="AD2451" t="s">
        <v>39</v>
      </c>
    </row>
    <row r="2452" spans="1:30" x14ac:dyDescent="0.25">
      <c r="A2452">
        <v>389</v>
      </c>
      <c r="B2452" t="s">
        <v>533</v>
      </c>
      <c r="C2452">
        <v>16</v>
      </c>
      <c r="D2452">
        <v>240</v>
      </c>
      <c r="E2452">
        <v>240</v>
      </c>
      <c r="F2452" t="s">
        <v>77</v>
      </c>
      <c r="G2452" t="s">
        <v>746</v>
      </c>
      <c r="H2452">
        <v>2</v>
      </c>
      <c r="I2452">
        <v>8.0299999999999994</v>
      </c>
      <c r="J2452" t="s">
        <v>839</v>
      </c>
      <c r="K2452" t="s">
        <v>812</v>
      </c>
      <c r="M2452" t="s">
        <v>1519</v>
      </c>
      <c r="O2452" t="s">
        <v>228</v>
      </c>
      <c r="Q2452" t="s">
        <v>27</v>
      </c>
      <c r="R2452" t="s">
        <v>81</v>
      </c>
      <c r="W2452">
        <v>4</v>
      </c>
      <c r="X2452" t="s">
        <v>1135</v>
      </c>
      <c r="Z2452" t="s">
        <v>38</v>
      </c>
      <c r="AB2452" t="s">
        <v>921</v>
      </c>
      <c r="AC2452" t="s">
        <v>1477</v>
      </c>
      <c r="AD2452" t="s">
        <v>39</v>
      </c>
    </row>
    <row r="2453" spans="1:30" x14ac:dyDescent="0.25">
      <c r="A2453">
        <v>390</v>
      </c>
      <c r="B2453" t="s">
        <v>547</v>
      </c>
      <c r="C2453">
        <v>16</v>
      </c>
      <c r="D2453">
        <v>275</v>
      </c>
      <c r="E2453">
        <v>11976</v>
      </c>
      <c r="F2453" t="s">
        <v>77</v>
      </c>
      <c r="G2453" t="s">
        <v>746</v>
      </c>
      <c r="H2453">
        <v>1</v>
      </c>
      <c r="I2453">
        <v>413.65</v>
      </c>
      <c r="J2453" t="s">
        <v>839</v>
      </c>
      <c r="K2453" t="s">
        <v>812</v>
      </c>
      <c r="M2453" t="s">
        <v>1519</v>
      </c>
      <c r="Q2453" t="s">
        <v>28</v>
      </c>
      <c r="R2453" t="s">
        <v>81</v>
      </c>
      <c r="U2453" t="s">
        <v>81</v>
      </c>
      <c r="W2453">
        <v>4</v>
      </c>
      <c r="X2453" t="s">
        <v>1135</v>
      </c>
      <c r="Z2453" t="s">
        <v>38</v>
      </c>
      <c r="AB2453" t="s">
        <v>921</v>
      </c>
      <c r="AC2453" t="s">
        <v>1479</v>
      </c>
      <c r="AD2453" t="s">
        <v>39</v>
      </c>
    </row>
    <row r="2454" spans="1:30" x14ac:dyDescent="0.25">
      <c r="A2454">
        <v>391</v>
      </c>
      <c r="B2454" t="s">
        <v>550</v>
      </c>
      <c r="C2454">
        <v>16</v>
      </c>
      <c r="D2454">
        <v>275</v>
      </c>
      <c r="E2454">
        <v>11978</v>
      </c>
      <c r="F2454" t="s">
        <v>77</v>
      </c>
      <c r="G2454" t="s">
        <v>746</v>
      </c>
      <c r="H2454">
        <v>1</v>
      </c>
      <c r="I2454">
        <v>413.72</v>
      </c>
      <c r="J2454" t="s">
        <v>839</v>
      </c>
      <c r="K2454" t="s">
        <v>812</v>
      </c>
      <c r="M2454" t="s">
        <v>1519</v>
      </c>
      <c r="Q2454" t="s">
        <v>28</v>
      </c>
      <c r="R2454" t="s">
        <v>81</v>
      </c>
      <c r="U2454" t="s">
        <v>81</v>
      </c>
      <c r="W2454">
        <v>4</v>
      </c>
      <c r="X2454" t="s">
        <v>1135</v>
      </c>
      <c r="Z2454" t="s">
        <v>38</v>
      </c>
      <c r="AB2454" t="s">
        <v>921</v>
      </c>
      <c r="AC2454" t="s">
        <v>1479</v>
      </c>
      <c r="AD2454" t="s">
        <v>39</v>
      </c>
    </row>
    <row r="2455" spans="1:30" x14ac:dyDescent="0.25">
      <c r="A2455">
        <v>392</v>
      </c>
      <c r="B2455" t="s">
        <v>552</v>
      </c>
      <c r="C2455">
        <v>16</v>
      </c>
      <c r="D2455">
        <v>275</v>
      </c>
      <c r="E2455">
        <v>12007</v>
      </c>
      <c r="F2455" t="s">
        <v>77</v>
      </c>
      <c r="G2455" t="s">
        <v>746</v>
      </c>
      <c r="H2455">
        <v>1</v>
      </c>
      <c r="I2455">
        <v>414.72</v>
      </c>
      <c r="J2455" t="s">
        <v>839</v>
      </c>
      <c r="K2455" t="s">
        <v>812</v>
      </c>
      <c r="M2455" t="s">
        <v>1519</v>
      </c>
      <c r="Q2455" t="s">
        <v>28</v>
      </c>
      <c r="R2455" t="s">
        <v>81</v>
      </c>
      <c r="U2455" t="s">
        <v>81</v>
      </c>
      <c r="W2455">
        <v>4</v>
      </c>
      <c r="X2455" t="s">
        <v>1135</v>
      </c>
      <c r="Z2455" t="s">
        <v>38</v>
      </c>
      <c r="AB2455" t="s">
        <v>921</v>
      </c>
      <c r="AC2455" t="s">
        <v>1479</v>
      </c>
      <c r="AD2455" t="s">
        <v>39</v>
      </c>
    </row>
    <row r="2456" spans="1:30" x14ac:dyDescent="0.25">
      <c r="A2456">
        <v>393</v>
      </c>
      <c r="B2456" t="s">
        <v>554</v>
      </c>
      <c r="C2456">
        <v>16</v>
      </c>
      <c r="D2456">
        <v>275</v>
      </c>
      <c r="E2456">
        <v>12005</v>
      </c>
      <c r="F2456" t="s">
        <v>77</v>
      </c>
      <c r="G2456" t="s">
        <v>746</v>
      </c>
      <c r="H2456">
        <v>1</v>
      </c>
      <c r="I2456">
        <v>414.65</v>
      </c>
      <c r="J2456" t="s">
        <v>839</v>
      </c>
      <c r="K2456" t="s">
        <v>812</v>
      </c>
      <c r="M2456" t="s">
        <v>1519</v>
      </c>
      <c r="Q2456" t="s">
        <v>28</v>
      </c>
      <c r="R2456" t="s">
        <v>81</v>
      </c>
      <c r="U2456" t="s">
        <v>81</v>
      </c>
      <c r="W2456">
        <v>4</v>
      </c>
      <c r="X2456" t="s">
        <v>1135</v>
      </c>
      <c r="Z2456" t="s">
        <v>38</v>
      </c>
      <c r="AB2456" t="s">
        <v>921</v>
      </c>
      <c r="AC2456" t="s">
        <v>1479</v>
      </c>
      <c r="AD2456" t="s">
        <v>39</v>
      </c>
    </row>
    <row r="2457" spans="1:30" x14ac:dyDescent="0.25">
      <c r="A2457">
        <v>394</v>
      </c>
      <c r="B2457" t="s">
        <v>556</v>
      </c>
      <c r="C2457">
        <v>16</v>
      </c>
      <c r="D2457">
        <v>275</v>
      </c>
      <c r="E2457">
        <v>11978</v>
      </c>
      <c r="F2457" t="s">
        <v>77</v>
      </c>
      <c r="G2457" t="s">
        <v>746</v>
      </c>
      <c r="H2457">
        <v>1</v>
      </c>
      <c r="I2457">
        <v>413.72</v>
      </c>
      <c r="J2457" t="s">
        <v>839</v>
      </c>
      <c r="K2457" t="s">
        <v>812</v>
      </c>
      <c r="M2457" t="s">
        <v>1519</v>
      </c>
      <c r="Q2457" t="s">
        <v>28</v>
      </c>
      <c r="R2457" t="s">
        <v>81</v>
      </c>
      <c r="U2457" t="s">
        <v>81</v>
      </c>
      <c r="W2457">
        <v>4</v>
      </c>
      <c r="X2457" t="s">
        <v>1135</v>
      </c>
      <c r="Z2457" t="s">
        <v>38</v>
      </c>
      <c r="AB2457" t="s">
        <v>921</v>
      </c>
      <c r="AC2457" t="s">
        <v>1479</v>
      </c>
      <c r="AD2457" t="s">
        <v>39</v>
      </c>
    </row>
    <row r="2458" spans="1:30" x14ac:dyDescent="0.25">
      <c r="A2458">
        <v>395</v>
      </c>
      <c r="B2458" t="s">
        <v>557</v>
      </c>
      <c r="C2458">
        <v>16</v>
      </c>
      <c r="D2458">
        <v>275</v>
      </c>
      <c r="E2458">
        <v>12007</v>
      </c>
      <c r="F2458" t="s">
        <v>77</v>
      </c>
      <c r="G2458" t="s">
        <v>746</v>
      </c>
      <c r="H2458">
        <v>1</v>
      </c>
      <c r="I2458">
        <v>414.72</v>
      </c>
      <c r="J2458" t="s">
        <v>839</v>
      </c>
      <c r="K2458" t="s">
        <v>812</v>
      </c>
      <c r="M2458" t="s">
        <v>1519</v>
      </c>
      <c r="Q2458" t="s">
        <v>28</v>
      </c>
      <c r="R2458" t="s">
        <v>81</v>
      </c>
      <c r="U2458" t="s">
        <v>81</v>
      </c>
      <c r="W2458">
        <v>4</v>
      </c>
      <c r="X2458" t="s">
        <v>1135</v>
      </c>
      <c r="Z2458" t="s">
        <v>38</v>
      </c>
      <c r="AB2458" t="s">
        <v>921</v>
      </c>
      <c r="AC2458" t="s">
        <v>1479</v>
      </c>
      <c r="AD2458" t="s">
        <v>39</v>
      </c>
    </row>
    <row r="2459" spans="1:30" x14ac:dyDescent="0.25">
      <c r="A2459">
        <v>396</v>
      </c>
      <c r="B2459" t="s">
        <v>558</v>
      </c>
      <c r="C2459">
        <v>16</v>
      </c>
      <c r="D2459">
        <v>275</v>
      </c>
      <c r="E2459">
        <v>12005</v>
      </c>
      <c r="F2459" t="s">
        <v>77</v>
      </c>
      <c r="G2459" t="s">
        <v>746</v>
      </c>
      <c r="H2459">
        <v>1</v>
      </c>
      <c r="I2459">
        <v>414.65</v>
      </c>
      <c r="J2459" t="s">
        <v>839</v>
      </c>
      <c r="K2459" t="s">
        <v>812</v>
      </c>
      <c r="M2459" t="s">
        <v>1519</v>
      </c>
      <c r="Q2459" t="s">
        <v>28</v>
      </c>
      <c r="R2459" t="s">
        <v>81</v>
      </c>
      <c r="U2459" t="s">
        <v>81</v>
      </c>
      <c r="W2459">
        <v>4</v>
      </c>
      <c r="X2459" t="s">
        <v>1135</v>
      </c>
      <c r="Z2459" t="s">
        <v>38</v>
      </c>
      <c r="AB2459" t="s">
        <v>921</v>
      </c>
      <c r="AC2459" t="s">
        <v>1479</v>
      </c>
      <c r="AD2459" t="s">
        <v>39</v>
      </c>
    </row>
    <row r="2460" spans="1:30" x14ac:dyDescent="0.25">
      <c r="A2460">
        <v>397</v>
      </c>
      <c r="B2460" t="s">
        <v>559</v>
      </c>
      <c r="C2460">
        <v>16</v>
      </c>
      <c r="D2460">
        <v>275</v>
      </c>
      <c r="E2460">
        <v>7588</v>
      </c>
      <c r="F2460" t="s">
        <v>77</v>
      </c>
      <c r="G2460" t="s">
        <v>746</v>
      </c>
      <c r="H2460">
        <v>1</v>
      </c>
      <c r="I2460">
        <v>262.08999999999997</v>
      </c>
      <c r="J2460" t="s">
        <v>839</v>
      </c>
      <c r="K2460" t="s">
        <v>812</v>
      </c>
      <c r="M2460" t="s">
        <v>1519</v>
      </c>
      <c r="Q2460" t="s">
        <v>28</v>
      </c>
      <c r="S2460" t="s">
        <v>81</v>
      </c>
      <c r="U2460" t="s">
        <v>81</v>
      </c>
      <c r="W2460">
        <v>4</v>
      </c>
      <c r="X2460" t="s">
        <v>1135</v>
      </c>
      <c r="Z2460" t="s">
        <v>38</v>
      </c>
      <c r="AB2460" t="s">
        <v>921</v>
      </c>
      <c r="AC2460" t="s">
        <v>1481</v>
      </c>
      <c r="AD2460" t="s">
        <v>1482</v>
      </c>
    </row>
    <row r="2461" spans="1:30" x14ac:dyDescent="0.25">
      <c r="A2461">
        <v>398</v>
      </c>
      <c r="B2461" t="s">
        <v>564</v>
      </c>
      <c r="C2461">
        <v>16</v>
      </c>
      <c r="D2461">
        <v>240</v>
      </c>
      <c r="E2461">
        <v>240</v>
      </c>
      <c r="F2461" t="s">
        <v>77</v>
      </c>
      <c r="G2461" t="s">
        <v>746</v>
      </c>
      <c r="H2461">
        <v>2</v>
      </c>
      <c r="I2461">
        <v>8.75</v>
      </c>
      <c r="J2461" t="s">
        <v>839</v>
      </c>
      <c r="K2461" t="s">
        <v>812</v>
      </c>
      <c r="M2461" t="s">
        <v>1519</v>
      </c>
      <c r="O2461" t="s">
        <v>228</v>
      </c>
      <c r="Q2461" t="s">
        <v>27</v>
      </c>
      <c r="S2461" t="s">
        <v>81</v>
      </c>
      <c r="W2461">
        <v>4</v>
      </c>
      <c r="X2461" t="s">
        <v>1135</v>
      </c>
      <c r="Z2461" t="s">
        <v>38</v>
      </c>
      <c r="AB2461" t="s">
        <v>921</v>
      </c>
      <c r="AC2461" t="s">
        <v>1481</v>
      </c>
      <c r="AD2461" t="s">
        <v>1482</v>
      </c>
    </row>
    <row r="2462" spans="1:30" x14ac:dyDescent="0.25">
      <c r="A2462">
        <v>399</v>
      </c>
      <c r="B2462" t="s">
        <v>565</v>
      </c>
      <c r="C2462">
        <v>16</v>
      </c>
      <c r="D2462">
        <v>240</v>
      </c>
      <c r="E2462">
        <v>240</v>
      </c>
      <c r="F2462" t="s">
        <v>77</v>
      </c>
      <c r="G2462" t="s">
        <v>746</v>
      </c>
      <c r="H2462">
        <v>1</v>
      </c>
      <c r="I2462">
        <v>4.38</v>
      </c>
      <c r="J2462" t="s">
        <v>839</v>
      </c>
      <c r="K2462" t="s">
        <v>812</v>
      </c>
      <c r="M2462" t="s">
        <v>1519</v>
      </c>
      <c r="O2462" t="s">
        <v>228</v>
      </c>
      <c r="Q2462" t="s">
        <v>27</v>
      </c>
      <c r="S2462" t="s">
        <v>81</v>
      </c>
      <c r="W2462">
        <v>4</v>
      </c>
      <c r="X2462" t="s">
        <v>1135</v>
      </c>
      <c r="Z2462" t="s">
        <v>38</v>
      </c>
      <c r="AB2462" t="s">
        <v>921</v>
      </c>
      <c r="AC2462" t="s">
        <v>1481</v>
      </c>
      <c r="AD2462" t="s">
        <v>1482</v>
      </c>
    </row>
    <row r="2463" spans="1:30" x14ac:dyDescent="0.25">
      <c r="A2463">
        <v>400</v>
      </c>
      <c r="B2463" t="s">
        <v>563</v>
      </c>
      <c r="C2463">
        <v>16</v>
      </c>
      <c r="D2463">
        <v>275</v>
      </c>
      <c r="E2463">
        <v>7583</v>
      </c>
      <c r="F2463" t="s">
        <v>77</v>
      </c>
      <c r="G2463" t="s">
        <v>746</v>
      </c>
      <c r="H2463">
        <v>1</v>
      </c>
      <c r="I2463">
        <v>261.92</v>
      </c>
      <c r="J2463" t="s">
        <v>839</v>
      </c>
      <c r="K2463" t="s">
        <v>812</v>
      </c>
      <c r="M2463" t="s">
        <v>1519</v>
      </c>
      <c r="Q2463" t="s">
        <v>28</v>
      </c>
      <c r="R2463" t="s">
        <v>81</v>
      </c>
      <c r="U2463" t="s">
        <v>81</v>
      </c>
      <c r="W2463">
        <v>4</v>
      </c>
      <c r="X2463" t="s">
        <v>1135</v>
      </c>
      <c r="Z2463" t="s">
        <v>38</v>
      </c>
      <c r="AB2463" t="s">
        <v>921</v>
      </c>
      <c r="AC2463" t="s">
        <v>1484</v>
      </c>
      <c r="AD2463" t="s">
        <v>39</v>
      </c>
    </row>
    <row r="2464" spans="1:30" x14ac:dyDescent="0.25">
      <c r="A2464">
        <v>401</v>
      </c>
      <c r="B2464" t="s">
        <v>565</v>
      </c>
      <c r="C2464">
        <v>16</v>
      </c>
      <c r="D2464">
        <v>240</v>
      </c>
      <c r="E2464">
        <v>240</v>
      </c>
      <c r="F2464" t="s">
        <v>77</v>
      </c>
      <c r="G2464" t="s">
        <v>746</v>
      </c>
      <c r="H2464">
        <v>3</v>
      </c>
      <c r="I2464">
        <v>13.13</v>
      </c>
      <c r="J2464" t="s">
        <v>839</v>
      </c>
      <c r="K2464" t="s">
        <v>812</v>
      </c>
      <c r="M2464" t="s">
        <v>1519</v>
      </c>
      <c r="O2464" t="s">
        <v>228</v>
      </c>
      <c r="Q2464" t="s">
        <v>27</v>
      </c>
      <c r="R2464" t="s">
        <v>81</v>
      </c>
      <c r="W2464">
        <v>4</v>
      </c>
      <c r="X2464" t="s">
        <v>1135</v>
      </c>
      <c r="Z2464" t="s">
        <v>38</v>
      </c>
      <c r="AB2464" t="s">
        <v>921</v>
      </c>
      <c r="AC2464" t="s">
        <v>1484</v>
      </c>
      <c r="AD2464" t="s">
        <v>39</v>
      </c>
    </row>
    <row r="2465" spans="1:30" x14ac:dyDescent="0.25">
      <c r="A2465">
        <v>402</v>
      </c>
      <c r="B2465" t="s">
        <v>566</v>
      </c>
      <c r="C2465">
        <v>20</v>
      </c>
      <c r="D2465">
        <v>240</v>
      </c>
      <c r="E2465">
        <v>250</v>
      </c>
      <c r="F2465" t="s">
        <v>77</v>
      </c>
      <c r="G2465" t="s">
        <v>746</v>
      </c>
      <c r="H2465">
        <v>8</v>
      </c>
      <c r="I2465">
        <v>53.41</v>
      </c>
      <c r="J2465" t="s">
        <v>839</v>
      </c>
      <c r="K2465" t="s">
        <v>812</v>
      </c>
      <c r="M2465" t="s">
        <v>1519</v>
      </c>
      <c r="O2465" t="s">
        <v>228</v>
      </c>
      <c r="Q2465" t="s">
        <v>27</v>
      </c>
      <c r="R2465" t="s">
        <v>81</v>
      </c>
      <c r="W2465">
        <v>4</v>
      </c>
      <c r="X2465" t="s">
        <v>1135</v>
      </c>
      <c r="Z2465" t="s">
        <v>38</v>
      </c>
      <c r="AB2465" t="s">
        <v>921</v>
      </c>
      <c r="AC2465" t="s">
        <v>1486</v>
      </c>
      <c r="AD2465" t="s">
        <v>39</v>
      </c>
    </row>
    <row r="2466" spans="1:30" x14ac:dyDescent="0.25">
      <c r="A2466">
        <v>403</v>
      </c>
      <c r="B2466" t="s">
        <v>571</v>
      </c>
      <c r="C2466">
        <v>20</v>
      </c>
      <c r="D2466">
        <v>400</v>
      </c>
      <c r="E2466">
        <v>780</v>
      </c>
      <c r="F2466" t="s">
        <v>77</v>
      </c>
      <c r="G2466" t="s">
        <v>746</v>
      </c>
      <c r="H2466">
        <v>8</v>
      </c>
      <c r="I2466">
        <v>391.87</v>
      </c>
      <c r="J2466" t="s">
        <v>839</v>
      </c>
      <c r="K2466" t="s">
        <v>812</v>
      </c>
      <c r="M2466" t="s">
        <v>1519</v>
      </c>
      <c r="O2466" t="s">
        <v>228</v>
      </c>
      <c r="Q2466" t="s">
        <v>27</v>
      </c>
      <c r="R2466" t="s">
        <v>81</v>
      </c>
      <c r="W2466">
        <v>4</v>
      </c>
      <c r="X2466" t="s">
        <v>1135</v>
      </c>
      <c r="Z2466" t="s">
        <v>38</v>
      </c>
      <c r="AB2466" t="s">
        <v>921</v>
      </c>
      <c r="AC2466" t="s">
        <v>1486</v>
      </c>
      <c r="AD2466" t="s">
        <v>39</v>
      </c>
    </row>
    <row r="2467" spans="1:30" x14ac:dyDescent="0.25">
      <c r="A2467">
        <v>404</v>
      </c>
      <c r="B2467" t="s">
        <v>573</v>
      </c>
      <c r="C2467">
        <v>20</v>
      </c>
      <c r="D2467">
        <v>400</v>
      </c>
      <c r="E2467">
        <v>780</v>
      </c>
      <c r="F2467" t="s">
        <v>77</v>
      </c>
      <c r="G2467" t="s">
        <v>746</v>
      </c>
      <c r="H2467">
        <v>4</v>
      </c>
      <c r="I2467">
        <v>195.94</v>
      </c>
      <c r="J2467" t="s">
        <v>839</v>
      </c>
      <c r="K2467" t="s">
        <v>812</v>
      </c>
      <c r="M2467" t="s">
        <v>1519</v>
      </c>
      <c r="O2467" t="s">
        <v>228</v>
      </c>
      <c r="Q2467" t="s">
        <v>27</v>
      </c>
      <c r="R2467" t="s">
        <v>81</v>
      </c>
      <c r="W2467">
        <v>4</v>
      </c>
      <c r="X2467" t="s">
        <v>1135</v>
      </c>
      <c r="Z2467" t="s">
        <v>38</v>
      </c>
      <c r="AB2467" t="s">
        <v>921</v>
      </c>
      <c r="AC2467" t="s">
        <v>1486</v>
      </c>
      <c r="AD2467" t="s">
        <v>39</v>
      </c>
    </row>
    <row r="2468" spans="1:30" x14ac:dyDescent="0.25">
      <c r="A2468">
        <v>405</v>
      </c>
      <c r="B2468" t="s">
        <v>574</v>
      </c>
      <c r="C2468">
        <v>20</v>
      </c>
      <c r="D2468">
        <v>400</v>
      </c>
      <c r="E2468">
        <v>780</v>
      </c>
      <c r="F2468" t="s">
        <v>77</v>
      </c>
      <c r="G2468" t="s">
        <v>746</v>
      </c>
      <c r="H2468">
        <v>4</v>
      </c>
      <c r="I2468">
        <v>195.94</v>
      </c>
      <c r="J2468" t="s">
        <v>839</v>
      </c>
      <c r="K2468" t="s">
        <v>812</v>
      </c>
      <c r="M2468" t="s">
        <v>1519</v>
      </c>
      <c r="O2468" t="s">
        <v>228</v>
      </c>
      <c r="Q2468" t="s">
        <v>27</v>
      </c>
      <c r="R2468" t="s">
        <v>81</v>
      </c>
      <c r="W2468">
        <v>4</v>
      </c>
      <c r="X2468" t="s">
        <v>1135</v>
      </c>
      <c r="Z2468" t="s">
        <v>38</v>
      </c>
      <c r="AB2468" t="s">
        <v>921</v>
      </c>
      <c r="AC2468" t="s">
        <v>1486</v>
      </c>
      <c r="AD2468" t="s">
        <v>39</v>
      </c>
    </row>
    <row r="2469" spans="1:30" x14ac:dyDescent="0.25">
      <c r="A2469">
        <v>406</v>
      </c>
      <c r="B2469" t="s">
        <v>575</v>
      </c>
      <c r="C2469">
        <v>20</v>
      </c>
      <c r="D2469">
        <v>326</v>
      </c>
      <c r="E2469">
        <v>525</v>
      </c>
      <c r="F2469" t="s">
        <v>77</v>
      </c>
      <c r="G2469" t="s">
        <v>746</v>
      </c>
      <c r="H2469">
        <v>4</v>
      </c>
      <c r="I2469">
        <v>94.66</v>
      </c>
      <c r="J2469" t="s">
        <v>839</v>
      </c>
      <c r="K2469" t="s">
        <v>812</v>
      </c>
      <c r="M2469" t="s">
        <v>1519</v>
      </c>
      <c r="O2469" t="s">
        <v>228</v>
      </c>
      <c r="Q2469" t="s">
        <v>27</v>
      </c>
      <c r="R2469" t="s">
        <v>81</v>
      </c>
      <c r="W2469">
        <v>4</v>
      </c>
      <c r="X2469" t="s">
        <v>1135</v>
      </c>
      <c r="Z2469" t="s">
        <v>38</v>
      </c>
      <c r="AB2469" t="s">
        <v>921</v>
      </c>
      <c r="AC2469" t="s">
        <v>1486</v>
      </c>
      <c r="AD2469" t="s">
        <v>39</v>
      </c>
    </row>
    <row r="2470" spans="1:30" x14ac:dyDescent="0.25">
      <c r="A2470">
        <v>407</v>
      </c>
      <c r="B2470" t="s">
        <v>577</v>
      </c>
      <c r="C2470">
        <v>20</v>
      </c>
      <c r="D2470">
        <v>175</v>
      </c>
      <c r="E2470">
        <v>180</v>
      </c>
      <c r="F2470" t="s">
        <v>77</v>
      </c>
      <c r="G2470" t="s">
        <v>746</v>
      </c>
      <c r="H2470">
        <v>8</v>
      </c>
      <c r="I2470">
        <v>36.6</v>
      </c>
      <c r="J2470" t="s">
        <v>839</v>
      </c>
      <c r="K2470" t="s">
        <v>812</v>
      </c>
      <c r="M2470" t="s">
        <v>1519</v>
      </c>
      <c r="O2470" t="s">
        <v>228</v>
      </c>
      <c r="Q2470" t="s">
        <v>27</v>
      </c>
      <c r="R2470" t="s">
        <v>81</v>
      </c>
      <c r="W2470">
        <v>4</v>
      </c>
      <c r="X2470" t="s">
        <v>1135</v>
      </c>
      <c r="Z2470" t="s">
        <v>38</v>
      </c>
      <c r="AB2470" t="s">
        <v>921</v>
      </c>
      <c r="AC2470" t="s">
        <v>1486</v>
      </c>
      <c r="AD2470" t="s">
        <v>39</v>
      </c>
    </row>
    <row r="2471" spans="1:30" x14ac:dyDescent="0.25">
      <c r="A2471">
        <v>408</v>
      </c>
      <c r="B2471" t="s">
        <v>581</v>
      </c>
      <c r="C2471">
        <v>20</v>
      </c>
      <c r="D2471">
        <v>326</v>
      </c>
      <c r="E2471">
        <v>525</v>
      </c>
      <c r="F2471" t="s">
        <v>77</v>
      </c>
      <c r="G2471" t="s">
        <v>746</v>
      </c>
      <c r="H2471">
        <v>4</v>
      </c>
      <c r="I2471">
        <v>107.48</v>
      </c>
      <c r="J2471" t="s">
        <v>839</v>
      </c>
      <c r="K2471" t="s">
        <v>812</v>
      </c>
      <c r="M2471" t="s">
        <v>1519</v>
      </c>
      <c r="Q2471" t="s">
        <v>26</v>
      </c>
      <c r="R2471" t="s">
        <v>81</v>
      </c>
      <c r="W2471">
        <v>4</v>
      </c>
      <c r="X2471" t="s">
        <v>1135</v>
      </c>
      <c r="Z2471" t="s">
        <v>38</v>
      </c>
      <c r="AB2471" t="s">
        <v>921</v>
      </c>
      <c r="AC2471" t="s">
        <v>1486</v>
      </c>
      <c r="AD2471" t="s">
        <v>39</v>
      </c>
    </row>
    <row r="2472" spans="1:30" x14ac:dyDescent="0.25">
      <c r="A2472">
        <v>409</v>
      </c>
      <c r="B2472" t="s">
        <v>582</v>
      </c>
      <c r="C2472">
        <v>20</v>
      </c>
      <c r="D2472">
        <v>200</v>
      </c>
      <c r="E2472">
        <v>200</v>
      </c>
      <c r="F2472" t="s">
        <v>77</v>
      </c>
      <c r="G2472" t="s">
        <v>746</v>
      </c>
      <c r="H2472">
        <v>2</v>
      </c>
      <c r="I2472">
        <v>12.56</v>
      </c>
      <c r="J2472" t="s">
        <v>839</v>
      </c>
      <c r="K2472" t="s">
        <v>812</v>
      </c>
      <c r="M2472" t="s">
        <v>1519</v>
      </c>
      <c r="Q2472" t="s">
        <v>26</v>
      </c>
      <c r="R2472" t="s">
        <v>81</v>
      </c>
      <c r="W2472">
        <v>4</v>
      </c>
      <c r="X2472" t="s">
        <v>1135</v>
      </c>
      <c r="Z2472" t="s">
        <v>38</v>
      </c>
      <c r="AB2472" t="s">
        <v>921</v>
      </c>
      <c r="AC2472" t="s">
        <v>1486</v>
      </c>
      <c r="AD2472" t="s">
        <v>39</v>
      </c>
    </row>
    <row r="2473" spans="1:30" x14ac:dyDescent="0.25">
      <c r="A2473">
        <v>410</v>
      </c>
      <c r="B2473" t="s">
        <v>584</v>
      </c>
      <c r="C2473">
        <v>20</v>
      </c>
      <c r="D2473">
        <v>400</v>
      </c>
      <c r="E2473">
        <v>780</v>
      </c>
      <c r="F2473" t="s">
        <v>77</v>
      </c>
      <c r="G2473" t="s">
        <v>746</v>
      </c>
      <c r="H2473">
        <v>2</v>
      </c>
      <c r="I2473">
        <v>97.97</v>
      </c>
      <c r="J2473" t="s">
        <v>839</v>
      </c>
      <c r="K2473" t="s">
        <v>812</v>
      </c>
      <c r="M2473" t="s">
        <v>1519</v>
      </c>
      <c r="O2473" t="s">
        <v>228</v>
      </c>
      <c r="Q2473" t="s">
        <v>27</v>
      </c>
      <c r="R2473" t="s">
        <v>81</v>
      </c>
      <c r="W2473">
        <v>4</v>
      </c>
      <c r="X2473" t="s">
        <v>1135</v>
      </c>
      <c r="Z2473" t="s">
        <v>38</v>
      </c>
      <c r="AB2473" t="s">
        <v>921</v>
      </c>
      <c r="AC2473" t="s">
        <v>1486</v>
      </c>
      <c r="AD2473" t="s">
        <v>39</v>
      </c>
    </row>
    <row r="2474" spans="1:30" x14ac:dyDescent="0.25">
      <c r="A2474">
        <v>411</v>
      </c>
      <c r="B2474" t="s">
        <v>585</v>
      </c>
      <c r="C2474">
        <v>20</v>
      </c>
      <c r="D2474">
        <v>175</v>
      </c>
      <c r="E2474">
        <v>180</v>
      </c>
      <c r="F2474" t="s">
        <v>77</v>
      </c>
      <c r="G2474" t="s">
        <v>746</v>
      </c>
      <c r="H2474">
        <v>4</v>
      </c>
      <c r="I2474">
        <v>18.3</v>
      </c>
      <c r="J2474" t="s">
        <v>839</v>
      </c>
      <c r="K2474" t="s">
        <v>812</v>
      </c>
      <c r="M2474" t="s">
        <v>1519</v>
      </c>
      <c r="O2474" t="s">
        <v>228</v>
      </c>
      <c r="Q2474" t="s">
        <v>27</v>
      </c>
      <c r="R2474" t="s">
        <v>81</v>
      </c>
      <c r="W2474">
        <v>4</v>
      </c>
      <c r="X2474" t="s">
        <v>1135</v>
      </c>
      <c r="Z2474" t="s">
        <v>38</v>
      </c>
      <c r="AB2474" t="s">
        <v>921</v>
      </c>
      <c r="AC2474" t="s">
        <v>1486</v>
      </c>
      <c r="AD2474" t="s">
        <v>39</v>
      </c>
    </row>
    <row r="2475" spans="1:30" x14ac:dyDescent="0.25">
      <c r="A2475">
        <v>412</v>
      </c>
      <c r="B2475" t="s">
        <v>1058</v>
      </c>
      <c r="C2475">
        <v>20</v>
      </c>
      <c r="D2475">
        <v>326</v>
      </c>
      <c r="E2475">
        <v>500</v>
      </c>
      <c r="F2475" t="s">
        <v>77</v>
      </c>
      <c r="G2475" t="s">
        <v>746</v>
      </c>
      <c r="H2475">
        <v>2</v>
      </c>
      <c r="I2475">
        <v>42.39</v>
      </c>
      <c r="J2475" t="s">
        <v>839</v>
      </c>
      <c r="K2475" t="s">
        <v>812</v>
      </c>
      <c r="M2475" t="s">
        <v>1519</v>
      </c>
      <c r="O2475" t="s">
        <v>228</v>
      </c>
      <c r="Q2475" t="s">
        <v>26</v>
      </c>
      <c r="R2475" t="s">
        <v>81</v>
      </c>
      <c r="W2475">
        <v>4</v>
      </c>
      <c r="X2475" t="s">
        <v>1135</v>
      </c>
      <c r="Z2475" t="s">
        <v>38</v>
      </c>
      <c r="AB2475" t="s">
        <v>921</v>
      </c>
      <c r="AC2475" t="s">
        <v>1486</v>
      </c>
      <c r="AD2475" t="s">
        <v>39</v>
      </c>
    </row>
    <row r="2476" spans="1:30" x14ac:dyDescent="0.25">
      <c r="A2476">
        <v>413</v>
      </c>
      <c r="B2476" t="s">
        <v>589</v>
      </c>
      <c r="C2476">
        <v>20</v>
      </c>
      <c r="D2476">
        <v>326</v>
      </c>
      <c r="E2476">
        <v>500</v>
      </c>
      <c r="F2476" t="s">
        <v>77</v>
      </c>
      <c r="G2476" t="s">
        <v>746</v>
      </c>
      <c r="H2476">
        <v>2</v>
      </c>
      <c r="I2476">
        <v>51.18</v>
      </c>
      <c r="J2476" t="s">
        <v>839</v>
      </c>
      <c r="K2476" t="s">
        <v>812</v>
      </c>
      <c r="M2476" t="s">
        <v>1519</v>
      </c>
      <c r="Q2476" t="s">
        <v>26</v>
      </c>
      <c r="R2476" t="s">
        <v>81</v>
      </c>
      <c r="W2476">
        <v>4</v>
      </c>
      <c r="X2476" t="s">
        <v>1135</v>
      </c>
      <c r="Z2476" t="s">
        <v>38</v>
      </c>
      <c r="AB2476" t="s">
        <v>921</v>
      </c>
      <c r="AC2476" t="s">
        <v>1486</v>
      </c>
      <c r="AD2476" t="s">
        <v>39</v>
      </c>
    </row>
    <row r="2477" spans="1:30" x14ac:dyDescent="0.25">
      <c r="A2477">
        <v>414</v>
      </c>
      <c r="B2477" t="s">
        <v>590</v>
      </c>
      <c r="C2477">
        <v>20</v>
      </c>
      <c r="D2477">
        <v>200</v>
      </c>
      <c r="E2477">
        <v>200</v>
      </c>
      <c r="F2477" t="s">
        <v>77</v>
      </c>
      <c r="G2477" t="s">
        <v>746</v>
      </c>
      <c r="H2477">
        <v>2</v>
      </c>
      <c r="I2477">
        <v>12.56</v>
      </c>
      <c r="J2477" t="s">
        <v>839</v>
      </c>
      <c r="K2477" t="s">
        <v>812</v>
      </c>
      <c r="M2477" t="s">
        <v>1519</v>
      </c>
      <c r="Q2477" t="s">
        <v>26</v>
      </c>
      <c r="R2477" t="s">
        <v>81</v>
      </c>
      <c r="W2477">
        <v>4</v>
      </c>
      <c r="X2477" t="s">
        <v>1135</v>
      </c>
      <c r="Z2477" t="s">
        <v>38</v>
      </c>
      <c r="AB2477" t="s">
        <v>921</v>
      </c>
      <c r="AC2477" t="s">
        <v>1486</v>
      </c>
      <c r="AD2477" t="s">
        <v>39</v>
      </c>
    </row>
    <row r="2478" spans="1:30" x14ac:dyDescent="0.25">
      <c r="A2478">
        <v>415</v>
      </c>
      <c r="B2478" t="s">
        <v>591</v>
      </c>
      <c r="C2478">
        <v>20</v>
      </c>
      <c r="D2478">
        <v>326</v>
      </c>
      <c r="E2478">
        <v>550</v>
      </c>
      <c r="F2478" t="s">
        <v>77</v>
      </c>
      <c r="G2478" t="s">
        <v>746</v>
      </c>
      <c r="H2478">
        <v>1</v>
      </c>
      <c r="I2478">
        <v>24.95</v>
      </c>
      <c r="J2478" t="s">
        <v>839</v>
      </c>
      <c r="K2478" t="s">
        <v>812</v>
      </c>
      <c r="M2478" t="s">
        <v>1519</v>
      </c>
      <c r="O2478" t="s">
        <v>228</v>
      </c>
      <c r="Q2478" t="s">
        <v>27</v>
      </c>
      <c r="R2478" t="s">
        <v>81</v>
      </c>
      <c r="W2478">
        <v>4</v>
      </c>
      <c r="X2478" t="s">
        <v>1135</v>
      </c>
      <c r="Z2478" t="s">
        <v>38</v>
      </c>
      <c r="AB2478" t="s">
        <v>921</v>
      </c>
      <c r="AC2478" t="s">
        <v>1486</v>
      </c>
      <c r="AD2478" t="s">
        <v>39</v>
      </c>
    </row>
    <row r="2479" spans="1:30" x14ac:dyDescent="0.25">
      <c r="A2479">
        <v>416</v>
      </c>
      <c r="B2479" t="s">
        <v>593</v>
      </c>
      <c r="C2479">
        <v>20</v>
      </c>
      <c r="D2479">
        <v>326</v>
      </c>
      <c r="E2479">
        <v>550</v>
      </c>
      <c r="F2479" t="s">
        <v>77</v>
      </c>
      <c r="G2479" t="s">
        <v>746</v>
      </c>
      <c r="H2479">
        <v>4</v>
      </c>
      <c r="I2479">
        <v>112.6</v>
      </c>
      <c r="J2479" t="s">
        <v>839</v>
      </c>
      <c r="K2479" t="s">
        <v>812</v>
      </c>
      <c r="M2479" t="s">
        <v>1519</v>
      </c>
      <c r="Q2479" t="s">
        <v>26</v>
      </c>
      <c r="R2479" t="s">
        <v>81</v>
      </c>
      <c r="W2479">
        <v>4</v>
      </c>
      <c r="X2479" t="s">
        <v>1135</v>
      </c>
      <c r="Z2479" t="s">
        <v>38</v>
      </c>
      <c r="AB2479" t="s">
        <v>921</v>
      </c>
      <c r="AC2479" t="s">
        <v>1486</v>
      </c>
      <c r="AD2479" t="s">
        <v>39</v>
      </c>
    </row>
    <row r="2480" spans="1:30" x14ac:dyDescent="0.25">
      <c r="A2480">
        <v>417</v>
      </c>
      <c r="B2480" t="s">
        <v>594</v>
      </c>
      <c r="C2480">
        <v>20</v>
      </c>
      <c r="D2480">
        <v>400</v>
      </c>
      <c r="E2480">
        <v>780</v>
      </c>
      <c r="F2480" t="s">
        <v>77</v>
      </c>
      <c r="G2480" t="s">
        <v>746</v>
      </c>
      <c r="H2480">
        <v>4</v>
      </c>
      <c r="I2480">
        <v>195.94</v>
      </c>
      <c r="J2480" t="s">
        <v>839</v>
      </c>
      <c r="K2480" t="s">
        <v>812</v>
      </c>
      <c r="M2480" t="s">
        <v>1519</v>
      </c>
      <c r="O2480" t="s">
        <v>228</v>
      </c>
      <c r="Q2480" t="s">
        <v>27</v>
      </c>
      <c r="R2480" t="s">
        <v>81</v>
      </c>
      <c r="W2480">
        <v>4</v>
      </c>
      <c r="X2480" t="s">
        <v>1135</v>
      </c>
      <c r="Z2480" t="s">
        <v>38</v>
      </c>
      <c r="AB2480" t="s">
        <v>921</v>
      </c>
      <c r="AC2480" t="s">
        <v>1486</v>
      </c>
      <c r="AD2480" t="s">
        <v>39</v>
      </c>
    </row>
    <row r="2481" spans="1:30" x14ac:dyDescent="0.25">
      <c r="A2481">
        <v>418</v>
      </c>
      <c r="B2481" t="s">
        <v>595</v>
      </c>
      <c r="C2481">
        <v>20</v>
      </c>
      <c r="D2481">
        <v>326</v>
      </c>
      <c r="E2481">
        <v>525</v>
      </c>
      <c r="F2481" t="s">
        <v>77</v>
      </c>
      <c r="G2481" t="s">
        <v>746</v>
      </c>
      <c r="H2481">
        <v>4</v>
      </c>
      <c r="I2481">
        <v>94.66</v>
      </c>
      <c r="J2481" t="s">
        <v>839</v>
      </c>
      <c r="K2481" t="s">
        <v>812</v>
      </c>
      <c r="M2481" t="s">
        <v>1519</v>
      </c>
      <c r="O2481" t="s">
        <v>228</v>
      </c>
      <c r="Q2481" t="s">
        <v>27</v>
      </c>
      <c r="R2481" t="s">
        <v>81</v>
      </c>
      <c r="W2481">
        <v>4</v>
      </c>
      <c r="X2481" t="s">
        <v>1135</v>
      </c>
      <c r="Z2481" t="s">
        <v>38</v>
      </c>
      <c r="AB2481" t="s">
        <v>921</v>
      </c>
      <c r="AC2481" t="s">
        <v>1486</v>
      </c>
      <c r="AD2481" t="s">
        <v>39</v>
      </c>
    </row>
    <row r="2482" spans="1:30" x14ac:dyDescent="0.25">
      <c r="A2482">
        <v>419</v>
      </c>
      <c r="B2482" t="s">
        <v>596</v>
      </c>
      <c r="C2482">
        <v>20</v>
      </c>
      <c r="D2482">
        <v>175</v>
      </c>
      <c r="E2482">
        <v>180</v>
      </c>
      <c r="F2482" t="s">
        <v>77</v>
      </c>
      <c r="G2482" t="s">
        <v>746</v>
      </c>
      <c r="H2482">
        <v>8</v>
      </c>
      <c r="I2482">
        <v>36.6</v>
      </c>
      <c r="J2482" t="s">
        <v>839</v>
      </c>
      <c r="K2482" t="s">
        <v>812</v>
      </c>
      <c r="M2482" t="s">
        <v>1519</v>
      </c>
      <c r="O2482" t="s">
        <v>228</v>
      </c>
      <c r="Q2482" t="s">
        <v>27</v>
      </c>
      <c r="R2482" t="s">
        <v>81</v>
      </c>
      <c r="W2482">
        <v>4</v>
      </c>
      <c r="X2482" t="s">
        <v>1135</v>
      </c>
      <c r="Z2482" t="s">
        <v>38</v>
      </c>
      <c r="AB2482" t="s">
        <v>921</v>
      </c>
      <c r="AC2482" t="s">
        <v>1486</v>
      </c>
      <c r="AD2482" t="s">
        <v>39</v>
      </c>
    </row>
    <row r="2483" spans="1:30" x14ac:dyDescent="0.25">
      <c r="A2483">
        <v>420</v>
      </c>
      <c r="B2483" t="s">
        <v>597</v>
      </c>
      <c r="C2483">
        <v>20</v>
      </c>
      <c r="D2483">
        <v>180</v>
      </c>
      <c r="E2483">
        <v>300</v>
      </c>
      <c r="F2483" t="s">
        <v>77</v>
      </c>
      <c r="G2483" t="s">
        <v>746</v>
      </c>
      <c r="H2483">
        <v>1</v>
      </c>
      <c r="I2483">
        <v>8.48</v>
      </c>
      <c r="J2483" t="s">
        <v>839</v>
      </c>
      <c r="K2483" t="s">
        <v>812</v>
      </c>
      <c r="M2483" t="s">
        <v>1519</v>
      </c>
      <c r="Q2483" t="s">
        <v>26</v>
      </c>
      <c r="R2483" t="s">
        <v>81</v>
      </c>
      <c r="W2483">
        <v>4</v>
      </c>
      <c r="X2483" t="s">
        <v>1135</v>
      </c>
      <c r="Z2483" t="s">
        <v>38</v>
      </c>
      <c r="AB2483" t="s">
        <v>921</v>
      </c>
      <c r="AC2483" t="s">
        <v>1486</v>
      </c>
      <c r="AD2483" t="s">
        <v>39</v>
      </c>
    </row>
    <row r="2484" spans="1:30" x14ac:dyDescent="0.25">
      <c r="A2484">
        <v>421</v>
      </c>
      <c r="B2484" t="s">
        <v>598</v>
      </c>
      <c r="C2484">
        <v>20</v>
      </c>
      <c r="D2484">
        <v>326</v>
      </c>
      <c r="E2484">
        <v>525</v>
      </c>
      <c r="F2484" t="s">
        <v>77</v>
      </c>
      <c r="G2484" t="s">
        <v>746</v>
      </c>
      <c r="H2484">
        <v>4</v>
      </c>
      <c r="I2484">
        <v>107.48</v>
      </c>
      <c r="J2484" t="s">
        <v>839</v>
      </c>
      <c r="K2484" t="s">
        <v>812</v>
      </c>
      <c r="M2484" t="s">
        <v>1519</v>
      </c>
      <c r="Q2484" t="s">
        <v>26</v>
      </c>
      <c r="R2484" t="s">
        <v>81</v>
      </c>
      <c r="W2484">
        <v>4</v>
      </c>
      <c r="X2484" t="s">
        <v>1135</v>
      </c>
      <c r="Z2484" t="s">
        <v>38</v>
      </c>
      <c r="AB2484" t="s">
        <v>921</v>
      </c>
      <c r="AC2484" t="s">
        <v>1486</v>
      </c>
      <c r="AD2484" t="s">
        <v>39</v>
      </c>
    </row>
    <row r="2485" spans="1:30" x14ac:dyDescent="0.25">
      <c r="A2485">
        <v>422</v>
      </c>
      <c r="B2485" t="s">
        <v>599</v>
      </c>
      <c r="C2485">
        <v>20</v>
      </c>
      <c r="D2485">
        <v>200</v>
      </c>
      <c r="E2485">
        <v>200</v>
      </c>
      <c r="F2485" t="s">
        <v>77</v>
      </c>
      <c r="G2485" t="s">
        <v>746</v>
      </c>
      <c r="H2485">
        <v>2</v>
      </c>
      <c r="I2485">
        <v>12.56</v>
      </c>
      <c r="J2485" t="s">
        <v>839</v>
      </c>
      <c r="K2485" t="s">
        <v>812</v>
      </c>
      <c r="M2485" t="s">
        <v>1519</v>
      </c>
      <c r="Q2485" t="s">
        <v>26</v>
      </c>
      <c r="R2485" t="s">
        <v>81</v>
      </c>
      <c r="W2485">
        <v>4</v>
      </c>
      <c r="X2485" t="s">
        <v>1135</v>
      </c>
      <c r="Z2485" t="s">
        <v>38</v>
      </c>
      <c r="AB2485" t="s">
        <v>921</v>
      </c>
      <c r="AC2485" t="s">
        <v>1486</v>
      </c>
      <c r="AD2485" t="s">
        <v>39</v>
      </c>
    </row>
    <row r="2486" spans="1:30" x14ac:dyDescent="0.25">
      <c r="A2486">
        <v>423</v>
      </c>
      <c r="B2486" t="s">
        <v>601</v>
      </c>
      <c r="C2486">
        <v>20</v>
      </c>
      <c r="D2486">
        <v>175</v>
      </c>
      <c r="E2486">
        <v>180</v>
      </c>
      <c r="F2486" t="s">
        <v>77</v>
      </c>
      <c r="G2486" t="s">
        <v>746</v>
      </c>
      <c r="H2486">
        <v>4</v>
      </c>
      <c r="I2486">
        <v>18.3</v>
      </c>
      <c r="J2486" t="s">
        <v>839</v>
      </c>
      <c r="K2486" t="s">
        <v>812</v>
      </c>
      <c r="M2486" t="s">
        <v>1519</v>
      </c>
      <c r="O2486" t="s">
        <v>228</v>
      </c>
      <c r="Q2486" t="s">
        <v>27</v>
      </c>
      <c r="R2486" t="s">
        <v>81</v>
      </c>
      <c r="W2486">
        <v>4</v>
      </c>
      <c r="X2486" t="s">
        <v>1135</v>
      </c>
      <c r="Z2486" t="s">
        <v>38</v>
      </c>
      <c r="AB2486" t="s">
        <v>921</v>
      </c>
      <c r="AC2486" t="s">
        <v>1486</v>
      </c>
      <c r="AD2486" t="s">
        <v>39</v>
      </c>
    </row>
    <row r="2487" spans="1:30" x14ac:dyDescent="0.25">
      <c r="A2487">
        <v>424</v>
      </c>
      <c r="B2487" t="s">
        <v>602</v>
      </c>
      <c r="C2487">
        <v>20</v>
      </c>
      <c r="D2487">
        <v>180</v>
      </c>
      <c r="E2487">
        <v>300</v>
      </c>
      <c r="F2487" t="s">
        <v>77</v>
      </c>
      <c r="G2487" t="s">
        <v>746</v>
      </c>
      <c r="H2487">
        <v>1</v>
      </c>
      <c r="I2487">
        <v>8.48</v>
      </c>
      <c r="J2487" t="s">
        <v>839</v>
      </c>
      <c r="K2487" t="s">
        <v>812</v>
      </c>
      <c r="M2487" t="s">
        <v>1519</v>
      </c>
      <c r="Q2487" t="s">
        <v>26</v>
      </c>
      <c r="R2487" t="s">
        <v>81</v>
      </c>
      <c r="W2487">
        <v>4</v>
      </c>
      <c r="X2487" t="s">
        <v>1135</v>
      </c>
      <c r="Z2487" t="s">
        <v>38</v>
      </c>
      <c r="AB2487" t="s">
        <v>921</v>
      </c>
      <c r="AC2487" t="s">
        <v>1486</v>
      </c>
      <c r="AD2487" t="s">
        <v>39</v>
      </c>
    </row>
    <row r="2488" spans="1:30" x14ac:dyDescent="0.25">
      <c r="A2488">
        <v>425</v>
      </c>
      <c r="B2488" t="s">
        <v>1059</v>
      </c>
      <c r="C2488">
        <v>20</v>
      </c>
      <c r="D2488">
        <v>326</v>
      </c>
      <c r="E2488">
        <v>500</v>
      </c>
      <c r="F2488" t="s">
        <v>77</v>
      </c>
      <c r="G2488" t="s">
        <v>746</v>
      </c>
      <c r="H2488">
        <v>2</v>
      </c>
      <c r="I2488">
        <v>42.39</v>
      </c>
      <c r="J2488" t="s">
        <v>839</v>
      </c>
      <c r="K2488" t="s">
        <v>812</v>
      </c>
      <c r="M2488" t="s">
        <v>1519</v>
      </c>
      <c r="O2488" t="s">
        <v>228</v>
      </c>
      <c r="Q2488" t="s">
        <v>26</v>
      </c>
      <c r="R2488" t="s">
        <v>81</v>
      </c>
      <c r="W2488">
        <v>4</v>
      </c>
      <c r="X2488" t="s">
        <v>1135</v>
      </c>
      <c r="Z2488" t="s">
        <v>38</v>
      </c>
      <c r="AB2488" t="s">
        <v>921</v>
      </c>
      <c r="AC2488" t="s">
        <v>1486</v>
      </c>
      <c r="AD2488" t="s">
        <v>39</v>
      </c>
    </row>
    <row r="2489" spans="1:30" x14ac:dyDescent="0.25">
      <c r="A2489">
        <v>426</v>
      </c>
      <c r="B2489" t="s">
        <v>604</v>
      </c>
      <c r="C2489">
        <v>20</v>
      </c>
      <c r="D2489">
        <v>326</v>
      </c>
      <c r="E2489">
        <v>500</v>
      </c>
      <c r="F2489" t="s">
        <v>77</v>
      </c>
      <c r="G2489" t="s">
        <v>746</v>
      </c>
      <c r="H2489">
        <v>2</v>
      </c>
      <c r="I2489">
        <v>51.18</v>
      </c>
      <c r="J2489" t="s">
        <v>839</v>
      </c>
      <c r="K2489" t="s">
        <v>812</v>
      </c>
      <c r="M2489" t="s">
        <v>1519</v>
      </c>
      <c r="Q2489" t="s">
        <v>26</v>
      </c>
      <c r="R2489" t="s">
        <v>81</v>
      </c>
      <c r="W2489">
        <v>4</v>
      </c>
      <c r="X2489" t="s">
        <v>1135</v>
      </c>
      <c r="Z2489" t="s">
        <v>38</v>
      </c>
      <c r="AB2489" t="s">
        <v>921</v>
      </c>
      <c r="AC2489" t="s">
        <v>1486</v>
      </c>
      <c r="AD2489" t="s">
        <v>39</v>
      </c>
    </row>
    <row r="2490" spans="1:30" x14ac:dyDescent="0.25">
      <c r="A2490">
        <v>427</v>
      </c>
      <c r="B2490" t="s">
        <v>605</v>
      </c>
      <c r="C2490">
        <v>20</v>
      </c>
      <c r="D2490">
        <v>200</v>
      </c>
      <c r="E2490">
        <v>200</v>
      </c>
      <c r="F2490" t="s">
        <v>77</v>
      </c>
      <c r="G2490" t="s">
        <v>746</v>
      </c>
      <c r="H2490">
        <v>2</v>
      </c>
      <c r="I2490">
        <v>12.56</v>
      </c>
      <c r="J2490" t="s">
        <v>839</v>
      </c>
      <c r="K2490" t="s">
        <v>812</v>
      </c>
      <c r="M2490" t="s">
        <v>1519</v>
      </c>
      <c r="Q2490" t="s">
        <v>26</v>
      </c>
      <c r="R2490" t="s">
        <v>81</v>
      </c>
      <c r="W2490">
        <v>4</v>
      </c>
      <c r="X2490" t="s">
        <v>1135</v>
      </c>
      <c r="Z2490" t="s">
        <v>38</v>
      </c>
      <c r="AB2490" t="s">
        <v>921</v>
      </c>
      <c r="AC2490" t="s">
        <v>1486</v>
      </c>
      <c r="AD2490" t="s">
        <v>39</v>
      </c>
    </row>
    <row r="2491" spans="1:30" x14ac:dyDescent="0.25">
      <c r="A2491">
        <v>428</v>
      </c>
      <c r="B2491" t="s">
        <v>606</v>
      </c>
      <c r="C2491">
        <v>20</v>
      </c>
      <c r="D2491">
        <v>326</v>
      </c>
      <c r="E2491">
        <v>550</v>
      </c>
      <c r="F2491" t="s">
        <v>77</v>
      </c>
      <c r="G2491" t="s">
        <v>746</v>
      </c>
      <c r="H2491">
        <v>4</v>
      </c>
      <c r="I2491">
        <v>99.78</v>
      </c>
      <c r="J2491" t="s">
        <v>839</v>
      </c>
      <c r="K2491" t="s">
        <v>812</v>
      </c>
      <c r="M2491" t="s">
        <v>1519</v>
      </c>
      <c r="O2491" t="s">
        <v>228</v>
      </c>
      <c r="Q2491" t="s">
        <v>27</v>
      </c>
      <c r="R2491" t="s">
        <v>81</v>
      </c>
      <c r="W2491">
        <v>4</v>
      </c>
      <c r="X2491" t="s">
        <v>1135</v>
      </c>
      <c r="Z2491" t="s">
        <v>38</v>
      </c>
      <c r="AB2491" t="s">
        <v>921</v>
      </c>
      <c r="AC2491" t="s">
        <v>1486</v>
      </c>
      <c r="AD2491" t="s">
        <v>39</v>
      </c>
    </row>
    <row r="2492" spans="1:30" x14ac:dyDescent="0.25">
      <c r="A2492">
        <v>429</v>
      </c>
      <c r="B2492" t="s">
        <v>607</v>
      </c>
      <c r="C2492">
        <v>20</v>
      </c>
      <c r="D2492">
        <v>326</v>
      </c>
      <c r="E2492">
        <v>550</v>
      </c>
      <c r="F2492" t="s">
        <v>77</v>
      </c>
      <c r="G2492" t="s">
        <v>746</v>
      </c>
      <c r="H2492">
        <v>4</v>
      </c>
      <c r="I2492">
        <v>112.6</v>
      </c>
      <c r="J2492" t="s">
        <v>839</v>
      </c>
      <c r="K2492" t="s">
        <v>812</v>
      </c>
      <c r="M2492" t="s">
        <v>1519</v>
      </c>
      <c r="Q2492" t="s">
        <v>26</v>
      </c>
      <c r="R2492" t="s">
        <v>81</v>
      </c>
      <c r="W2492">
        <v>4</v>
      </c>
      <c r="X2492" t="s">
        <v>1135</v>
      </c>
      <c r="Z2492" t="s">
        <v>38</v>
      </c>
      <c r="AB2492" t="s">
        <v>921</v>
      </c>
      <c r="AC2492" t="s">
        <v>1486</v>
      </c>
      <c r="AD2492" t="s">
        <v>39</v>
      </c>
    </row>
    <row r="2493" spans="1:30" x14ac:dyDescent="0.25">
      <c r="A2493">
        <v>430</v>
      </c>
      <c r="B2493" t="s">
        <v>608</v>
      </c>
      <c r="C2493">
        <v>20</v>
      </c>
      <c r="D2493">
        <v>348</v>
      </c>
      <c r="E2493">
        <v>350</v>
      </c>
      <c r="F2493" t="s">
        <v>77</v>
      </c>
      <c r="G2493" t="s">
        <v>746</v>
      </c>
      <c r="H2493">
        <v>2</v>
      </c>
      <c r="I2493">
        <v>28.83</v>
      </c>
      <c r="J2493" t="s">
        <v>839</v>
      </c>
      <c r="K2493" t="s">
        <v>812</v>
      </c>
      <c r="M2493" t="s">
        <v>1519</v>
      </c>
      <c r="O2493" t="s">
        <v>228</v>
      </c>
      <c r="Q2493" t="s">
        <v>27</v>
      </c>
      <c r="R2493" t="s">
        <v>81</v>
      </c>
      <c r="W2493">
        <v>4</v>
      </c>
      <c r="X2493" t="s">
        <v>1135</v>
      </c>
      <c r="Z2493" t="s">
        <v>38</v>
      </c>
      <c r="AB2493" t="s">
        <v>921</v>
      </c>
      <c r="AC2493" t="s">
        <v>1486</v>
      </c>
      <c r="AD2493" t="s">
        <v>39</v>
      </c>
    </row>
    <row r="2494" spans="1:30" x14ac:dyDescent="0.25">
      <c r="A2494">
        <v>431</v>
      </c>
      <c r="B2494" t="s">
        <v>610</v>
      </c>
      <c r="C2494">
        <v>20</v>
      </c>
      <c r="D2494">
        <v>240</v>
      </c>
      <c r="E2494">
        <v>250</v>
      </c>
      <c r="F2494" t="s">
        <v>77</v>
      </c>
      <c r="G2494" t="s">
        <v>746</v>
      </c>
      <c r="H2494">
        <v>12</v>
      </c>
      <c r="I2494">
        <v>80.11</v>
      </c>
      <c r="J2494" t="s">
        <v>839</v>
      </c>
      <c r="K2494" t="s">
        <v>812</v>
      </c>
      <c r="M2494" t="s">
        <v>1519</v>
      </c>
      <c r="O2494" t="s">
        <v>228</v>
      </c>
      <c r="Q2494" t="s">
        <v>27</v>
      </c>
      <c r="R2494" t="s">
        <v>81</v>
      </c>
      <c r="W2494">
        <v>4</v>
      </c>
      <c r="X2494" t="s">
        <v>1135</v>
      </c>
      <c r="Z2494" t="s">
        <v>38</v>
      </c>
      <c r="AB2494" t="s">
        <v>921</v>
      </c>
      <c r="AC2494" t="s">
        <v>1486</v>
      </c>
      <c r="AD2494" t="s">
        <v>39</v>
      </c>
    </row>
    <row r="2495" spans="1:30" x14ac:dyDescent="0.25">
      <c r="A2495">
        <v>432</v>
      </c>
      <c r="B2495" t="s">
        <v>611</v>
      </c>
      <c r="C2495">
        <v>20</v>
      </c>
      <c r="D2495">
        <v>348</v>
      </c>
      <c r="E2495">
        <v>350</v>
      </c>
      <c r="F2495" t="s">
        <v>77</v>
      </c>
      <c r="G2495" t="s">
        <v>746</v>
      </c>
      <c r="H2495">
        <v>4</v>
      </c>
      <c r="I2495">
        <v>57.65</v>
      </c>
      <c r="J2495" t="s">
        <v>839</v>
      </c>
      <c r="K2495" t="s">
        <v>812</v>
      </c>
      <c r="M2495" t="s">
        <v>1519</v>
      </c>
      <c r="O2495" t="s">
        <v>228</v>
      </c>
      <c r="Q2495" t="s">
        <v>27</v>
      </c>
      <c r="R2495" t="s">
        <v>81</v>
      </c>
      <c r="W2495">
        <v>4</v>
      </c>
      <c r="X2495" t="s">
        <v>1135</v>
      </c>
      <c r="Z2495" t="s">
        <v>38</v>
      </c>
      <c r="AB2495" t="s">
        <v>921</v>
      </c>
      <c r="AC2495" t="s">
        <v>1486</v>
      </c>
      <c r="AD2495" t="s">
        <v>39</v>
      </c>
    </row>
    <row r="2496" spans="1:30" x14ac:dyDescent="0.25">
      <c r="A2496">
        <v>433</v>
      </c>
      <c r="B2496" t="s">
        <v>612</v>
      </c>
      <c r="C2496">
        <v>20</v>
      </c>
      <c r="D2496">
        <v>240</v>
      </c>
      <c r="E2496">
        <v>250</v>
      </c>
      <c r="F2496" t="s">
        <v>77</v>
      </c>
      <c r="G2496" t="s">
        <v>746</v>
      </c>
      <c r="H2496">
        <v>16</v>
      </c>
      <c r="I2496">
        <v>106.81</v>
      </c>
      <c r="J2496" t="s">
        <v>839</v>
      </c>
      <c r="K2496" t="s">
        <v>812</v>
      </c>
      <c r="M2496" t="s">
        <v>1519</v>
      </c>
      <c r="O2496" t="s">
        <v>228</v>
      </c>
      <c r="Q2496" t="s">
        <v>27</v>
      </c>
      <c r="R2496" t="s">
        <v>81</v>
      </c>
      <c r="W2496">
        <v>4</v>
      </c>
      <c r="X2496" t="s">
        <v>1135</v>
      </c>
      <c r="Z2496" t="s">
        <v>38</v>
      </c>
      <c r="AB2496" t="s">
        <v>921</v>
      </c>
      <c r="AC2496" t="s">
        <v>1486</v>
      </c>
      <c r="AD2496" t="s">
        <v>39</v>
      </c>
    </row>
    <row r="2497" spans="1:30" x14ac:dyDescent="0.25">
      <c r="A2497">
        <v>434</v>
      </c>
      <c r="B2497" t="s">
        <v>613</v>
      </c>
      <c r="C2497">
        <v>20</v>
      </c>
      <c r="D2497">
        <v>348</v>
      </c>
      <c r="E2497">
        <v>350</v>
      </c>
      <c r="F2497" t="s">
        <v>77</v>
      </c>
      <c r="G2497" t="s">
        <v>746</v>
      </c>
      <c r="H2497">
        <v>2</v>
      </c>
      <c r="I2497">
        <v>28.83</v>
      </c>
      <c r="J2497" t="s">
        <v>839</v>
      </c>
      <c r="K2497" t="s">
        <v>812</v>
      </c>
      <c r="M2497" t="s">
        <v>1519</v>
      </c>
      <c r="O2497" t="s">
        <v>228</v>
      </c>
      <c r="Q2497" t="s">
        <v>27</v>
      </c>
      <c r="R2497" t="s">
        <v>81</v>
      </c>
      <c r="W2497">
        <v>4</v>
      </c>
      <c r="X2497" t="s">
        <v>1135</v>
      </c>
      <c r="Z2497" t="s">
        <v>38</v>
      </c>
      <c r="AB2497" t="s">
        <v>921</v>
      </c>
      <c r="AC2497" t="s">
        <v>1486</v>
      </c>
      <c r="AD2497" t="s">
        <v>39</v>
      </c>
    </row>
    <row r="2498" spans="1:30" x14ac:dyDescent="0.25">
      <c r="A2498">
        <v>435</v>
      </c>
      <c r="B2498" t="s">
        <v>614</v>
      </c>
      <c r="C2498">
        <v>20</v>
      </c>
      <c r="D2498">
        <v>240</v>
      </c>
      <c r="E2498">
        <v>250</v>
      </c>
      <c r="F2498" t="s">
        <v>77</v>
      </c>
      <c r="G2498" t="s">
        <v>746</v>
      </c>
      <c r="H2498">
        <v>12</v>
      </c>
      <c r="I2498">
        <v>80.11</v>
      </c>
      <c r="J2498" t="s">
        <v>839</v>
      </c>
      <c r="K2498" t="s">
        <v>812</v>
      </c>
      <c r="M2498" t="s">
        <v>1519</v>
      </c>
      <c r="O2498" t="s">
        <v>228</v>
      </c>
      <c r="Q2498" t="s">
        <v>27</v>
      </c>
      <c r="R2498" t="s">
        <v>81</v>
      </c>
      <c r="W2498">
        <v>4</v>
      </c>
      <c r="X2498" t="s">
        <v>1135</v>
      </c>
      <c r="Z2498" t="s">
        <v>38</v>
      </c>
      <c r="AB2498" t="s">
        <v>921</v>
      </c>
      <c r="AC2498" t="s">
        <v>1486</v>
      </c>
      <c r="AD2498" t="s">
        <v>39</v>
      </c>
    </row>
    <row r="2499" spans="1:30" x14ac:dyDescent="0.25">
      <c r="A2499">
        <v>436</v>
      </c>
      <c r="B2499" t="s">
        <v>615</v>
      </c>
      <c r="C2499">
        <v>20</v>
      </c>
      <c r="D2499">
        <v>240</v>
      </c>
      <c r="E2499">
        <v>250</v>
      </c>
      <c r="F2499" t="s">
        <v>77</v>
      </c>
      <c r="G2499" t="s">
        <v>746</v>
      </c>
      <c r="H2499">
        <v>8</v>
      </c>
      <c r="I2499">
        <v>53.41</v>
      </c>
      <c r="J2499" t="s">
        <v>839</v>
      </c>
      <c r="K2499" t="s">
        <v>812</v>
      </c>
      <c r="M2499" t="s">
        <v>1519</v>
      </c>
      <c r="O2499" t="s">
        <v>228</v>
      </c>
      <c r="Q2499" t="s">
        <v>27</v>
      </c>
      <c r="R2499" t="s">
        <v>81</v>
      </c>
      <c r="W2499">
        <v>4</v>
      </c>
      <c r="X2499" t="s">
        <v>1135</v>
      </c>
      <c r="Z2499" t="s">
        <v>38</v>
      </c>
      <c r="AB2499" t="s">
        <v>921</v>
      </c>
      <c r="AC2499" t="s">
        <v>1486</v>
      </c>
      <c r="AD2499" t="s">
        <v>39</v>
      </c>
    </row>
    <row r="2500" spans="1:30" x14ac:dyDescent="0.25">
      <c r="A2500">
        <v>437</v>
      </c>
      <c r="B2500" t="s">
        <v>616</v>
      </c>
      <c r="C2500">
        <v>20</v>
      </c>
      <c r="D2500">
        <v>140</v>
      </c>
      <c r="E2500">
        <v>200</v>
      </c>
      <c r="F2500" t="s">
        <v>77</v>
      </c>
      <c r="G2500" t="s">
        <v>746</v>
      </c>
      <c r="H2500">
        <v>12</v>
      </c>
      <c r="I2500">
        <v>47.36</v>
      </c>
      <c r="J2500" t="s">
        <v>839</v>
      </c>
      <c r="K2500" t="s">
        <v>812</v>
      </c>
      <c r="M2500" t="s">
        <v>1519</v>
      </c>
      <c r="O2500" t="s">
        <v>228</v>
      </c>
      <c r="Q2500" t="s">
        <v>27</v>
      </c>
      <c r="R2500" t="s">
        <v>81</v>
      </c>
      <c r="W2500">
        <v>4</v>
      </c>
      <c r="X2500" t="s">
        <v>1135</v>
      </c>
      <c r="Z2500" t="s">
        <v>38</v>
      </c>
      <c r="AB2500" t="s">
        <v>921</v>
      </c>
      <c r="AC2500" t="s">
        <v>1486</v>
      </c>
      <c r="AD2500" t="s">
        <v>39</v>
      </c>
    </row>
    <row r="2501" spans="1:30" x14ac:dyDescent="0.25">
      <c r="A2501">
        <v>438</v>
      </c>
      <c r="B2501" t="s">
        <v>618</v>
      </c>
      <c r="C2501">
        <v>20</v>
      </c>
      <c r="D2501">
        <v>140</v>
      </c>
      <c r="E2501">
        <v>200</v>
      </c>
      <c r="F2501" t="s">
        <v>77</v>
      </c>
      <c r="G2501" t="s">
        <v>746</v>
      </c>
      <c r="H2501">
        <v>8</v>
      </c>
      <c r="I2501">
        <v>34.04</v>
      </c>
      <c r="J2501" t="s">
        <v>839</v>
      </c>
      <c r="K2501" t="s">
        <v>812</v>
      </c>
      <c r="M2501" t="s">
        <v>1519</v>
      </c>
      <c r="O2501" t="s">
        <v>228</v>
      </c>
      <c r="Q2501" t="s">
        <v>27</v>
      </c>
      <c r="R2501" t="s">
        <v>81</v>
      </c>
      <c r="W2501">
        <v>4</v>
      </c>
      <c r="X2501" t="s">
        <v>1135</v>
      </c>
      <c r="Z2501" t="s">
        <v>38</v>
      </c>
      <c r="AB2501" t="s">
        <v>921</v>
      </c>
      <c r="AC2501" t="s">
        <v>1486</v>
      </c>
      <c r="AD2501" t="s">
        <v>39</v>
      </c>
    </row>
    <row r="2502" spans="1:30" x14ac:dyDescent="0.25">
      <c r="A2502">
        <v>439</v>
      </c>
      <c r="B2502" t="s">
        <v>620</v>
      </c>
      <c r="C2502">
        <v>20</v>
      </c>
      <c r="D2502">
        <v>140</v>
      </c>
      <c r="E2502">
        <v>200</v>
      </c>
      <c r="F2502" t="s">
        <v>77</v>
      </c>
      <c r="G2502" t="s">
        <v>746</v>
      </c>
      <c r="H2502">
        <v>8</v>
      </c>
      <c r="I2502">
        <v>33.42</v>
      </c>
      <c r="J2502" t="s">
        <v>839</v>
      </c>
      <c r="K2502" t="s">
        <v>812</v>
      </c>
      <c r="M2502" t="s">
        <v>1519</v>
      </c>
      <c r="O2502" t="s">
        <v>228</v>
      </c>
      <c r="Q2502" t="s">
        <v>27</v>
      </c>
      <c r="R2502" t="s">
        <v>81</v>
      </c>
      <c r="W2502">
        <v>4</v>
      </c>
      <c r="X2502" t="s">
        <v>1135</v>
      </c>
      <c r="Z2502" t="s">
        <v>38</v>
      </c>
      <c r="AB2502" t="s">
        <v>921</v>
      </c>
      <c r="AC2502" t="s">
        <v>1486</v>
      </c>
      <c r="AD2502" t="s">
        <v>39</v>
      </c>
    </row>
    <row r="2503" spans="1:30" x14ac:dyDescent="0.25">
      <c r="A2503">
        <v>440</v>
      </c>
      <c r="B2503" t="s">
        <v>621</v>
      </c>
      <c r="C2503">
        <v>20</v>
      </c>
      <c r="D2503">
        <v>140</v>
      </c>
      <c r="E2503">
        <v>200</v>
      </c>
      <c r="F2503" t="s">
        <v>77</v>
      </c>
      <c r="G2503" t="s">
        <v>746</v>
      </c>
      <c r="H2503">
        <v>8</v>
      </c>
      <c r="I2503">
        <v>31.57</v>
      </c>
      <c r="J2503" t="s">
        <v>839</v>
      </c>
      <c r="K2503" t="s">
        <v>812</v>
      </c>
      <c r="M2503" t="s">
        <v>1519</v>
      </c>
      <c r="O2503" t="s">
        <v>228</v>
      </c>
      <c r="Q2503" t="s">
        <v>27</v>
      </c>
      <c r="R2503" t="s">
        <v>81</v>
      </c>
      <c r="W2503">
        <v>4</v>
      </c>
      <c r="X2503" t="s">
        <v>1135</v>
      </c>
      <c r="Z2503" t="s">
        <v>38</v>
      </c>
      <c r="AB2503" t="s">
        <v>921</v>
      </c>
      <c r="AC2503" t="s">
        <v>1486</v>
      </c>
      <c r="AD2503" t="s">
        <v>39</v>
      </c>
    </row>
    <row r="2504" spans="1:30" x14ac:dyDescent="0.25">
      <c r="A2504">
        <v>441</v>
      </c>
      <c r="B2504" t="s">
        <v>622</v>
      </c>
      <c r="C2504">
        <v>20</v>
      </c>
      <c r="D2504">
        <v>140</v>
      </c>
      <c r="E2504">
        <v>200</v>
      </c>
      <c r="F2504" t="s">
        <v>77</v>
      </c>
      <c r="G2504" t="s">
        <v>746</v>
      </c>
      <c r="H2504">
        <v>8</v>
      </c>
      <c r="I2504">
        <v>31.57</v>
      </c>
      <c r="J2504" t="s">
        <v>839</v>
      </c>
      <c r="K2504" t="s">
        <v>812</v>
      </c>
      <c r="M2504" t="s">
        <v>1519</v>
      </c>
      <c r="O2504" t="s">
        <v>228</v>
      </c>
      <c r="Q2504" t="s">
        <v>27</v>
      </c>
      <c r="R2504" t="s">
        <v>81</v>
      </c>
      <c r="W2504">
        <v>4</v>
      </c>
      <c r="X2504" t="s">
        <v>1135</v>
      </c>
      <c r="Z2504" t="s">
        <v>38</v>
      </c>
      <c r="AB2504" t="s">
        <v>921</v>
      </c>
      <c r="AC2504" t="s">
        <v>1486</v>
      </c>
      <c r="AD2504" t="s">
        <v>39</v>
      </c>
    </row>
    <row r="2505" spans="1:30" x14ac:dyDescent="0.25">
      <c r="A2505">
        <v>442</v>
      </c>
      <c r="B2505" t="s">
        <v>623</v>
      </c>
      <c r="C2505">
        <v>20</v>
      </c>
      <c r="D2505">
        <v>140</v>
      </c>
      <c r="E2505">
        <v>200</v>
      </c>
      <c r="F2505" t="s">
        <v>77</v>
      </c>
      <c r="G2505" t="s">
        <v>746</v>
      </c>
      <c r="H2505">
        <v>8</v>
      </c>
      <c r="I2505">
        <v>31.57</v>
      </c>
      <c r="J2505" t="s">
        <v>839</v>
      </c>
      <c r="K2505" t="s">
        <v>812</v>
      </c>
      <c r="M2505" t="s">
        <v>1519</v>
      </c>
      <c r="O2505" t="s">
        <v>228</v>
      </c>
      <c r="Q2505" t="s">
        <v>27</v>
      </c>
      <c r="R2505" t="s">
        <v>81</v>
      </c>
      <c r="W2505">
        <v>4</v>
      </c>
      <c r="X2505" t="s">
        <v>1135</v>
      </c>
      <c r="Z2505" t="s">
        <v>38</v>
      </c>
      <c r="AB2505" t="s">
        <v>921</v>
      </c>
      <c r="AC2505" t="s">
        <v>1486</v>
      </c>
      <c r="AD2505" t="s">
        <v>39</v>
      </c>
    </row>
    <row r="2506" spans="1:30" x14ac:dyDescent="0.25">
      <c r="A2506">
        <v>443</v>
      </c>
      <c r="B2506" t="s">
        <v>624</v>
      </c>
      <c r="C2506">
        <v>20</v>
      </c>
      <c r="D2506">
        <v>140</v>
      </c>
      <c r="E2506">
        <v>200</v>
      </c>
      <c r="F2506" t="s">
        <v>77</v>
      </c>
      <c r="G2506" t="s">
        <v>746</v>
      </c>
      <c r="H2506">
        <v>8</v>
      </c>
      <c r="I2506">
        <v>31.57</v>
      </c>
      <c r="J2506" t="s">
        <v>839</v>
      </c>
      <c r="K2506" t="s">
        <v>812</v>
      </c>
      <c r="M2506" t="s">
        <v>1519</v>
      </c>
      <c r="O2506" t="s">
        <v>228</v>
      </c>
      <c r="Q2506" t="s">
        <v>27</v>
      </c>
      <c r="R2506" t="s">
        <v>81</v>
      </c>
      <c r="W2506">
        <v>4</v>
      </c>
      <c r="X2506" t="s">
        <v>1135</v>
      </c>
      <c r="Z2506" t="s">
        <v>38</v>
      </c>
      <c r="AB2506" t="s">
        <v>921</v>
      </c>
      <c r="AC2506" t="s">
        <v>1486</v>
      </c>
      <c r="AD2506" t="s">
        <v>39</v>
      </c>
    </row>
    <row r="2507" spans="1:30" x14ac:dyDescent="0.25">
      <c r="A2507">
        <v>444</v>
      </c>
      <c r="B2507" t="s">
        <v>625</v>
      </c>
      <c r="C2507">
        <v>20</v>
      </c>
      <c r="D2507">
        <v>140</v>
      </c>
      <c r="E2507">
        <v>200</v>
      </c>
      <c r="F2507" t="s">
        <v>77</v>
      </c>
      <c r="G2507" t="s">
        <v>746</v>
      </c>
      <c r="H2507">
        <v>8</v>
      </c>
      <c r="I2507">
        <v>31.57</v>
      </c>
      <c r="J2507" t="s">
        <v>839</v>
      </c>
      <c r="K2507" t="s">
        <v>812</v>
      </c>
      <c r="M2507" t="s">
        <v>1519</v>
      </c>
      <c r="O2507" t="s">
        <v>228</v>
      </c>
      <c r="Q2507" t="s">
        <v>27</v>
      </c>
      <c r="R2507" t="s">
        <v>81</v>
      </c>
      <c r="W2507">
        <v>4</v>
      </c>
      <c r="X2507" t="s">
        <v>1135</v>
      </c>
      <c r="Z2507" t="s">
        <v>38</v>
      </c>
      <c r="AB2507" t="s">
        <v>921</v>
      </c>
      <c r="AC2507" t="s">
        <v>1486</v>
      </c>
      <c r="AD2507" t="s">
        <v>39</v>
      </c>
    </row>
    <row r="2508" spans="1:30" x14ac:dyDescent="0.25">
      <c r="A2508">
        <v>445</v>
      </c>
      <c r="B2508" t="s">
        <v>626</v>
      </c>
      <c r="C2508">
        <v>20</v>
      </c>
      <c r="D2508">
        <v>140</v>
      </c>
      <c r="E2508">
        <v>200</v>
      </c>
      <c r="F2508" t="s">
        <v>77</v>
      </c>
      <c r="G2508" t="s">
        <v>746</v>
      </c>
      <c r="H2508">
        <v>12</v>
      </c>
      <c r="I2508">
        <v>47.36</v>
      </c>
      <c r="J2508" t="s">
        <v>839</v>
      </c>
      <c r="K2508" t="s">
        <v>812</v>
      </c>
      <c r="M2508" t="s">
        <v>1519</v>
      </c>
      <c r="O2508" t="s">
        <v>228</v>
      </c>
      <c r="Q2508" t="s">
        <v>27</v>
      </c>
      <c r="R2508" t="s">
        <v>81</v>
      </c>
      <c r="W2508">
        <v>4</v>
      </c>
      <c r="X2508" t="s">
        <v>1135</v>
      </c>
      <c r="Z2508" t="s">
        <v>38</v>
      </c>
      <c r="AB2508" t="s">
        <v>921</v>
      </c>
      <c r="AC2508" t="s">
        <v>1486</v>
      </c>
      <c r="AD2508" t="s">
        <v>39</v>
      </c>
    </row>
    <row r="2509" spans="1:30" x14ac:dyDescent="0.25">
      <c r="A2509">
        <v>446</v>
      </c>
      <c r="B2509" t="s">
        <v>591</v>
      </c>
      <c r="C2509">
        <v>20</v>
      </c>
      <c r="D2509">
        <v>326</v>
      </c>
      <c r="E2509">
        <v>550</v>
      </c>
      <c r="F2509" t="s">
        <v>77</v>
      </c>
      <c r="G2509" t="s">
        <v>746</v>
      </c>
      <c r="H2509">
        <v>1</v>
      </c>
      <c r="I2509">
        <v>24.95</v>
      </c>
      <c r="J2509" t="s">
        <v>839</v>
      </c>
      <c r="K2509" t="s">
        <v>812</v>
      </c>
      <c r="M2509" t="s">
        <v>1519</v>
      </c>
      <c r="O2509" t="s">
        <v>228</v>
      </c>
      <c r="Q2509" t="s">
        <v>27</v>
      </c>
      <c r="S2509" t="s">
        <v>81</v>
      </c>
      <c r="W2509">
        <v>4</v>
      </c>
      <c r="X2509" t="s">
        <v>1135</v>
      </c>
      <c r="Z2509" t="s">
        <v>38</v>
      </c>
      <c r="AB2509" t="s">
        <v>921</v>
      </c>
      <c r="AC2509" t="s">
        <v>1489</v>
      </c>
      <c r="AD2509" t="s">
        <v>1490</v>
      </c>
    </row>
    <row r="2510" spans="1:30" x14ac:dyDescent="0.25">
      <c r="A2510">
        <v>447</v>
      </c>
      <c r="B2510" t="s">
        <v>600</v>
      </c>
      <c r="C2510">
        <v>20</v>
      </c>
      <c r="D2510">
        <v>400</v>
      </c>
      <c r="E2510">
        <v>780</v>
      </c>
      <c r="F2510" t="s">
        <v>77</v>
      </c>
      <c r="G2510" t="s">
        <v>746</v>
      </c>
      <c r="H2510">
        <v>2</v>
      </c>
      <c r="I2510">
        <v>97.97</v>
      </c>
      <c r="J2510" t="s">
        <v>839</v>
      </c>
      <c r="K2510" t="s">
        <v>812</v>
      </c>
      <c r="M2510" t="s">
        <v>1519</v>
      </c>
      <c r="O2510" t="s">
        <v>228</v>
      </c>
      <c r="Q2510" t="s">
        <v>27</v>
      </c>
      <c r="S2510" t="s">
        <v>81</v>
      </c>
      <c r="W2510">
        <v>4</v>
      </c>
      <c r="X2510" t="s">
        <v>1135</v>
      </c>
      <c r="Z2510" t="s">
        <v>38</v>
      </c>
      <c r="AB2510" t="s">
        <v>921</v>
      </c>
      <c r="AC2510" t="s">
        <v>1489</v>
      </c>
      <c r="AD2510" t="s">
        <v>1490</v>
      </c>
    </row>
    <row r="2511" spans="1:30" x14ac:dyDescent="0.25">
      <c r="A2511">
        <v>448</v>
      </c>
      <c r="B2511" t="s">
        <v>619</v>
      </c>
      <c r="C2511">
        <v>20</v>
      </c>
      <c r="D2511">
        <v>140</v>
      </c>
      <c r="E2511">
        <v>200</v>
      </c>
      <c r="F2511" t="s">
        <v>77</v>
      </c>
      <c r="G2511" t="s">
        <v>746</v>
      </c>
      <c r="H2511">
        <v>8</v>
      </c>
      <c r="I2511">
        <v>34.04</v>
      </c>
      <c r="J2511" t="s">
        <v>839</v>
      </c>
      <c r="K2511" t="s">
        <v>812</v>
      </c>
      <c r="M2511" t="s">
        <v>1519</v>
      </c>
      <c r="O2511" t="s">
        <v>228</v>
      </c>
      <c r="Q2511" t="s">
        <v>27</v>
      </c>
      <c r="S2511" t="s">
        <v>81</v>
      </c>
      <c r="W2511">
        <v>4</v>
      </c>
      <c r="X2511" t="s">
        <v>1135</v>
      </c>
      <c r="Z2511" t="s">
        <v>38</v>
      </c>
      <c r="AB2511" t="s">
        <v>921</v>
      </c>
      <c r="AC2511" t="s">
        <v>1489</v>
      </c>
      <c r="AD2511" t="s">
        <v>1490</v>
      </c>
    </row>
    <row r="2512" spans="1:30" x14ac:dyDescent="0.25">
      <c r="A2512">
        <v>449</v>
      </c>
      <c r="B2512" t="s">
        <v>579</v>
      </c>
      <c r="C2512">
        <v>20</v>
      </c>
      <c r="D2512">
        <v>180</v>
      </c>
      <c r="E2512">
        <v>300</v>
      </c>
      <c r="F2512" t="s">
        <v>77</v>
      </c>
      <c r="G2512" t="s">
        <v>746</v>
      </c>
      <c r="H2512">
        <v>1</v>
      </c>
      <c r="I2512">
        <v>8.48</v>
      </c>
      <c r="J2512" t="s">
        <v>839</v>
      </c>
      <c r="K2512" t="s">
        <v>812</v>
      </c>
      <c r="M2512" t="s">
        <v>1519</v>
      </c>
      <c r="Q2512" t="s">
        <v>26</v>
      </c>
      <c r="S2512" t="s">
        <v>81</v>
      </c>
      <c r="W2512">
        <v>4</v>
      </c>
      <c r="X2512" t="s">
        <v>1135</v>
      </c>
      <c r="Z2512" t="s">
        <v>38</v>
      </c>
      <c r="AB2512" t="s">
        <v>921</v>
      </c>
      <c r="AC2512" t="s">
        <v>1493</v>
      </c>
      <c r="AD2512" t="s">
        <v>1494</v>
      </c>
    </row>
    <row r="2513" spans="1:30" x14ac:dyDescent="0.25">
      <c r="A2513">
        <v>450</v>
      </c>
      <c r="B2513" t="s">
        <v>586</v>
      </c>
      <c r="C2513">
        <v>20</v>
      </c>
      <c r="D2513">
        <v>180</v>
      </c>
      <c r="E2513">
        <v>300</v>
      </c>
      <c r="F2513" t="s">
        <v>77</v>
      </c>
      <c r="G2513" t="s">
        <v>746</v>
      </c>
      <c r="H2513">
        <v>1</v>
      </c>
      <c r="I2513">
        <v>8.48</v>
      </c>
      <c r="J2513" t="s">
        <v>839</v>
      </c>
      <c r="K2513" t="s">
        <v>812</v>
      </c>
      <c r="M2513" t="s">
        <v>1519</v>
      </c>
      <c r="Q2513" t="s">
        <v>26</v>
      </c>
      <c r="S2513" t="s">
        <v>81</v>
      </c>
      <c r="W2513">
        <v>4</v>
      </c>
      <c r="X2513" t="s">
        <v>1135</v>
      </c>
      <c r="Z2513" t="s">
        <v>38</v>
      </c>
      <c r="AB2513" t="s">
        <v>921</v>
      </c>
      <c r="AC2513" t="s">
        <v>1493</v>
      </c>
      <c r="AD2513" t="s">
        <v>1494</v>
      </c>
    </row>
    <row r="2514" spans="1:30" x14ac:dyDescent="0.25">
      <c r="A2514">
        <v>451</v>
      </c>
      <c r="B2514" t="s">
        <v>591</v>
      </c>
      <c r="C2514">
        <v>20</v>
      </c>
      <c r="D2514">
        <v>326</v>
      </c>
      <c r="E2514">
        <v>550</v>
      </c>
      <c r="F2514" t="s">
        <v>77</v>
      </c>
      <c r="G2514" t="s">
        <v>746</v>
      </c>
      <c r="H2514">
        <v>2</v>
      </c>
      <c r="I2514">
        <v>49.89</v>
      </c>
      <c r="J2514" t="s">
        <v>839</v>
      </c>
      <c r="K2514" t="s">
        <v>812</v>
      </c>
      <c r="M2514" t="s">
        <v>1519</v>
      </c>
      <c r="O2514" t="s">
        <v>228</v>
      </c>
      <c r="Q2514" t="s">
        <v>27</v>
      </c>
      <c r="S2514" t="s">
        <v>81</v>
      </c>
      <c r="W2514">
        <v>4</v>
      </c>
      <c r="X2514" t="s">
        <v>1135</v>
      </c>
      <c r="Z2514" t="s">
        <v>38</v>
      </c>
      <c r="AB2514" t="s">
        <v>921</v>
      </c>
      <c r="AC2514" t="s">
        <v>1493</v>
      </c>
      <c r="AD2514" t="s">
        <v>1494</v>
      </c>
    </row>
    <row r="2515" spans="1:30" x14ac:dyDescent="0.25">
      <c r="A2515">
        <v>452</v>
      </c>
      <c r="B2515" t="s">
        <v>663</v>
      </c>
      <c r="C2515">
        <v>25</v>
      </c>
      <c r="D2515">
        <v>250</v>
      </c>
      <c r="E2515">
        <v>300</v>
      </c>
      <c r="F2515" t="s">
        <v>77</v>
      </c>
      <c r="G2515" t="s">
        <v>746</v>
      </c>
      <c r="H2515">
        <v>8</v>
      </c>
      <c r="I2515">
        <v>109.2</v>
      </c>
      <c r="J2515" t="s">
        <v>839</v>
      </c>
      <c r="K2515" t="s">
        <v>812</v>
      </c>
      <c r="M2515" t="s">
        <v>1519</v>
      </c>
      <c r="O2515" t="s">
        <v>228</v>
      </c>
      <c r="Q2515" t="s">
        <v>27</v>
      </c>
      <c r="S2515" t="s">
        <v>81</v>
      </c>
      <c r="W2515">
        <v>4</v>
      </c>
      <c r="X2515" t="s">
        <v>1135</v>
      </c>
      <c r="Z2515" t="s">
        <v>38</v>
      </c>
      <c r="AB2515" t="s">
        <v>921</v>
      </c>
      <c r="AC2515" t="s">
        <v>1496</v>
      </c>
      <c r="AD2515" t="s">
        <v>1283</v>
      </c>
    </row>
    <row r="2516" spans="1:30" x14ac:dyDescent="0.25">
      <c r="A2516">
        <v>453</v>
      </c>
      <c r="B2516" t="s">
        <v>669</v>
      </c>
      <c r="C2516">
        <v>25</v>
      </c>
      <c r="D2516">
        <v>240</v>
      </c>
      <c r="E2516">
        <v>300</v>
      </c>
      <c r="F2516" t="s">
        <v>77</v>
      </c>
      <c r="G2516" t="s">
        <v>746</v>
      </c>
      <c r="H2516">
        <v>8</v>
      </c>
      <c r="I2516">
        <v>109.96</v>
      </c>
      <c r="J2516" t="s">
        <v>839</v>
      </c>
      <c r="K2516" t="s">
        <v>812</v>
      </c>
      <c r="M2516" t="s">
        <v>1519</v>
      </c>
      <c r="O2516" t="s">
        <v>228</v>
      </c>
      <c r="Q2516" t="s">
        <v>27</v>
      </c>
      <c r="S2516" t="s">
        <v>81</v>
      </c>
      <c r="W2516">
        <v>4</v>
      </c>
      <c r="X2516" t="s">
        <v>1135</v>
      </c>
      <c r="Z2516" t="s">
        <v>38</v>
      </c>
      <c r="AB2516" t="s">
        <v>921</v>
      </c>
      <c r="AC2516" t="s">
        <v>1496</v>
      </c>
      <c r="AD2516" t="s">
        <v>1283</v>
      </c>
    </row>
    <row r="2517" spans="1:30" x14ac:dyDescent="0.25">
      <c r="A2517">
        <v>454</v>
      </c>
      <c r="B2517" t="s">
        <v>667</v>
      </c>
      <c r="C2517">
        <v>25</v>
      </c>
      <c r="D2517">
        <v>240</v>
      </c>
      <c r="E2517">
        <v>300</v>
      </c>
      <c r="F2517" t="s">
        <v>77</v>
      </c>
      <c r="G2517" t="s">
        <v>746</v>
      </c>
      <c r="H2517">
        <v>5</v>
      </c>
      <c r="I2517">
        <v>64.41</v>
      </c>
      <c r="J2517" t="s">
        <v>839</v>
      </c>
      <c r="K2517" t="s">
        <v>812</v>
      </c>
      <c r="M2517" t="s">
        <v>1519</v>
      </c>
      <c r="O2517" t="s">
        <v>228</v>
      </c>
      <c r="Q2517" t="s">
        <v>27</v>
      </c>
      <c r="S2517" t="s">
        <v>81</v>
      </c>
      <c r="W2517">
        <v>4</v>
      </c>
      <c r="X2517" t="s">
        <v>1135</v>
      </c>
      <c r="Z2517" t="s">
        <v>38</v>
      </c>
      <c r="AB2517" t="s">
        <v>921</v>
      </c>
      <c r="AC2517" t="s">
        <v>1496</v>
      </c>
      <c r="AD2517" t="s">
        <v>1283</v>
      </c>
    </row>
    <row r="2518" spans="1:30" x14ac:dyDescent="0.25">
      <c r="A2518">
        <v>455</v>
      </c>
      <c r="B2518" t="s">
        <v>1068</v>
      </c>
      <c r="C2518">
        <v>25</v>
      </c>
      <c r="D2518">
        <v>120</v>
      </c>
      <c r="E2518">
        <v>240</v>
      </c>
      <c r="F2518" t="s">
        <v>77</v>
      </c>
      <c r="G2518" t="s">
        <v>746</v>
      </c>
      <c r="H2518">
        <v>8</v>
      </c>
      <c r="I2518">
        <v>42.13</v>
      </c>
      <c r="J2518" t="s">
        <v>839</v>
      </c>
      <c r="K2518" t="s">
        <v>812</v>
      </c>
      <c r="M2518" t="s">
        <v>1519</v>
      </c>
      <c r="O2518" t="s">
        <v>228</v>
      </c>
      <c r="Q2518" t="s">
        <v>27</v>
      </c>
      <c r="S2518" t="s">
        <v>81</v>
      </c>
      <c r="W2518">
        <v>4</v>
      </c>
      <c r="X2518" t="s">
        <v>1135</v>
      </c>
      <c r="Z2518" t="s">
        <v>38</v>
      </c>
      <c r="AB2518" t="s">
        <v>921</v>
      </c>
      <c r="AC2518" t="s">
        <v>1496</v>
      </c>
      <c r="AD2518" t="s">
        <v>1283</v>
      </c>
    </row>
    <row r="2519" spans="1:30" x14ac:dyDescent="0.25">
      <c r="A2519">
        <v>456</v>
      </c>
      <c r="B2519" t="s">
        <v>672</v>
      </c>
      <c r="C2519">
        <v>25</v>
      </c>
      <c r="D2519">
        <v>240</v>
      </c>
      <c r="E2519">
        <v>300</v>
      </c>
      <c r="F2519" t="s">
        <v>77</v>
      </c>
      <c r="G2519" t="s">
        <v>746</v>
      </c>
      <c r="H2519">
        <v>4</v>
      </c>
      <c r="I2519">
        <v>54.98</v>
      </c>
      <c r="J2519" t="s">
        <v>839</v>
      </c>
      <c r="K2519" t="s">
        <v>812</v>
      </c>
      <c r="M2519" t="s">
        <v>1519</v>
      </c>
      <c r="O2519" t="s">
        <v>228</v>
      </c>
      <c r="Q2519" t="s">
        <v>27</v>
      </c>
      <c r="S2519" t="s">
        <v>81</v>
      </c>
      <c r="W2519">
        <v>4</v>
      </c>
      <c r="X2519" t="s">
        <v>1135</v>
      </c>
      <c r="Z2519" t="s">
        <v>38</v>
      </c>
      <c r="AB2519" t="s">
        <v>921</v>
      </c>
      <c r="AC2519" t="s">
        <v>1496</v>
      </c>
      <c r="AD2519" t="s">
        <v>1283</v>
      </c>
    </row>
    <row r="2520" spans="1:30" x14ac:dyDescent="0.25">
      <c r="A2520">
        <v>457</v>
      </c>
      <c r="B2520" t="s">
        <v>670</v>
      </c>
      <c r="C2520">
        <v>25</v>
      </c>
      <c r="D2520">
        <v>240</v>
      </c>
      <c r="E2520">
        <v>300</v>
      </c>
      <c r="F2520" t="s">
        <v>77</v>
      </c>
      <c r="G2520" t="s">
        <v>746</v>
      </c>
      <c r="H2520">
        <v>4</v>
      </c>
      <c r="I2520">
        <v>51.53</v>
      </c>
      <c r="J2520" t="s">
        <v>839</v>
      </c>
      <c r="K2520" t="s">
        <v>812</v>
      </c>
      <c r="M2520" t="s">
        <v>1519</v>
      </c>
      <c r="O2520" t="s">
        <v>228</v>
      </c>
      <c r="Q2520" t="s">
        <v>27</v>
      </c>
      <c r="S2520" t="s">
        <v>81</v>
      </c>
      <c r="W2520">
        <v>4</v>
      </c>
      <c r="X2520" t="s">
        <v>1135</v>
      </c>
      <c r="Z2520" t="s">
        <v>38</v>
      </c>
      <c r="AB2520" t="s">
        <v>921</v>
      </c>
      <c r="AC2520" t="s">
        <v>1496</v>
      </c>
      <c r="AD2520" t="s">
        <v>1283</v>
      </c>
    </row>
    <row r="2521" spans="1:30" x14ac:dyDescent="0.25">
      <c r="A2521">
        <v>458</v>
      </c>
      <c r="B2521" t="s">
        <v>1072</v>
      </c>
      <c r="C2521">
        <v>25</v>
      </c>
      <c r="D2521">
        <v>120</v>
      </c>
      <c r="E2521">
        <v>240</v>
      </c>
      <c r="F2521" t="s">
        <v>77</v>
      </c>
      <c r="G2521" t="s">
        <v>746</v>
      </c>
      <c r="H2521">
        <v>4</v>
      </c>
      <c r="I2521">
        <v>21.07</v>
      </c>
      <c r="J2521" t="s">
        <v>839</v>
      </c>
      <c r="K2521" t="s">
        <v>812</v>
      </c>
      <c r="M2521" t="s">
        <v>1519</v>
      </c>
      <c r="O2521" t="s">
        <v>228</v>
      </c>
      <c r="Q2521" t="s">
        <v>27</v>
      </c>
      <c r="S2521" t="s">
        <v>81</v>
      </c>
      <c r="W2521">
        <v>4</v>
      </c>
      <c r="X2521" t="s">
        <v>1135</v>
      </c>
      <c r="Z2521" t="s">
        <v>38</v>
      </c>
      <c r="AB2521" t="s">
        <v>921</v>
      </c>
      <c r="AC2521" t="s">
        <v>1496</v>
      </c>
      <c r="AD2521" t="s">
        <v>1283</v>
      </c>
    </row>
    <row r="2522" spans="1:30" x14ac:dyDescent="0.25">
      <c r="A2522">
        <v>459</v>
      </c>
      <c r="B2522" t="s">
        <v>652</v>
      </c>
      <c r="C2522">
        <v>25</v>
      </c>
      <c r="D2522">
        <v>443</v>
      </c>
      <c r="E2522">
        <v>525</v>
      </c>
      <c r="F2522" t="s">
        <v>77</v>
      </c>
      <c r="G2522" t="s">
        <v>746</v>
      </c>
      <c r="H2522">
        <v>2</v>
      </c>
      <c r="I2522">
        <v>83.27</v>
      </c>
      <c r="J2522" t="s">
        <v>839</v>
      </c>
      <c r="K2522" t="s">
        <v>812</v>
      </c>
      <c r="M2522" t="s">
        <v>1519</v>
      </c>
      <c r="O2522" t="s">
        <v>228</v>
      </c>
      <c r="Q2522" t="s">
        <v>27</v>
      </c>
      <c r="S2522" t="s">
        <v>81</v>
      </c>
      <c r="W2522">
        <v>4</v>
      </c>
      <c r="X2522" t="s">
        <v>1135</v>
      </c>
      <c r="Z2522" t="s">
        <v>38</v>
      </c>
      <c r="AB2522" t="s">
        <v>921</v>
      </c>
      <c r="AC2522" t="s">
        <v>1496</v>
      </c>
      <c r="AD2522" t="s">
        <v>1283</v>
      </c>
    </row>
    <row r="2523" spans="1:30" x14ac:dyDescent="0.25">
      <c r="A2523">
        <v>460</v>
      </c>
      <c r="B2523" t="s">
        <v>647</v>
      </c>
      <c r="C2523">
        <v>25</v>
      </c>
      <c r="D2523">
        <v>443</v>
      </c>
      <c r="E2523">
        <v>525</v>
      </c>
      <c r="F2523" t="s">
        <v>77</v>
      </c>
      <c r="G2523" t="s">
        <v>746</v>
      </c>
      <c r="H2523">
        <v>2</v>
      </c>
      <c r="I2523">
        <v>91.29</v>
      </c>
      <c r="J2523" t="s">
        <v>839</v>
      </c>
      <c r="K2523" t="s">
        <v>812</v>
      </c>
      <c r="M2523" t="s">
        <v>1519</v>
      </c>
      <c r="Q2523" t="s">
        <v>26</v>
      </c>
      <c r="S2523" t="s">
        <v>81</v>
      </c>
      <c r="W2523">
        <v>4</v>
      </c>
      <c r="X2523" t="s">
        <v>1135</v>
      </c>
      <c r="Z2523" t="s">
        <v>38</v>
      </c>
      <c r="AB2523" t="s">
        <v>921</v>
      </c>
      <c r="AC2523" t="s">
        <v>1496</v>
      </c>
      <c r="AD2523" t="s">
        <v>1283</v>
      </c>
    </row>
    <row r="2524" spans="1:30" x14ac:dyDescent="0.25">
      <c r="A2524">
        <v>461</v>
      </c>
      <c r="B2524" t="s">
        <v>650</v>
      </c>
      <c r="C2524">
        <v>25</v>
      </c>
      <c r="D2524">
        <v>200</v>
      </c>
      <c r="E2524">
        <v>200</v>
      </c>
      <c r="F2524" t="s">
        <v>77</v>
      </c>
      <c r="G2524" t="s">
        <v>746</v>
      </c>
      <c r="H2524">
        <v>1</v>
      </c>
      <c r="I2524">
        <v>7.85</v>
      </c>
      <c r="J2524" t="s">
        <v>839</v>
      </c>
      <c r="K2524" t="s">
        <v>812</v>
      </c>
      <c r="M2524" t="s">
        <v>1519</v>
      </c>
      <c r="Q2524" t="s">
        <v>26</v>
      </c>
      <c r="S2524" t="s">
        <v>81</v>
      </c>
      <c r="W2524">
        <v>4</v>
      </c>
      <c r="X2524" t="s">
        <v>1135</v>
      </c>
      <c r="Z2524" t="s">
        <v>38</v>
      </c>
      <c r="AB2524" t="s">
        <v>921</v>
      </c>
      <c r="AC2524" t="s">
        <v>1496</v>
      </c>
      <c r="AD2524" t="s">
        <v>1283</v>
      </c>
    </row>
    <row r="2525" spans="1:30" x14ac:dyDescent="0.25">
      <c r="A2525">
        <v>462</v>
      </c>
      <c r="B2525" t="s">
        <v>654</v>
      </c>
      <c r="C2525">
        <v>25</v>
      </c>
      <c r="D2525">
        <v>200</v>
      </c>
      <c r="E2525">
        <v>200</v>
      </c>
      <c r="F2525" t="s">
        <v>77</v>
      </c>
      <c r="G2525" t="s">
        <v>746</v>
      </c>
      <c r="H2525">
        <v>2</v>
      </c>
      <c r="I2525">
        <v>15.7</v>
      </c>
      <c r="J2525" t="s">
        <v>839</v>
      </c>
      <c r="K2525" t="s">
        <v>812</v>
      </c>
      <c r="M2525" t="s">
        <v>1519</v>
      </c>
      <c r="Q2525" t="s">
        <v>26</v>
      </c>
      <c r="S2525" t="s">
        <v>81</v>
      </c>
      <c r="W2525">
        <v>4</v>
      </c>
      <c r="X2525" t="s">
        <v>1135</v>
      </c>
      <c r="Z2525" t="s">
        <v>38</v>
      </c>
      <c r="AB2525" t="s">
        <v>921</v>
      </c>
      <c r="AC2525" t="s">
        <v>1496</v>
      </c>
      <c r="AD2525" t="s">
        <v>1283</v>
      </c>
    </row>
    <row r="2526" spans="1:30" x14ac:dyDescent="0.25">
      <c r="A2526">
        <v>463</v>
      </c>
      <c r="B2526" t="s">
        <v>649</v>
      </c>
      <c r="C2526">
        <v>25</v>
      </c>
      <c r="D2526">
        <v>443</v>
      </c>
      <c r="E2526">
        <v>550</v>
      </c>
      <c r="F2526" t="s">
        <v>77</v>
      </c>
      <c r="G2526" t="s">
        <v>746</v>
      </c>
      <c r="H2526">
        <v>2</v>
      </c>
      <c r="I2526">
        <v>87.62</v>
      </c>
      <c r="J2526" t="s">
        <v>839</v>
      </c>
      <c r="K2526" t="s">
        <v>812</v>
      </c>
      <c r="M2526" t="s">
        <v>1519</v>
      </c>
      <c r="O2526" t="s">
        <v>228</v>
      </c>
      <c r="Q2526" t="s">
        <v>27</v>
      </c>
      <c r="S2526" t="s">
        <v>81</v>
      </c>
      <c r="W2526">
        <v>4</v>
      </c>
      <c r="X2526" t="s">
        <v>1135</v>
      </c>
      <c r="Z2526" t="s">
        <v>38</v>
      </c>
      <c r="AB2526" t="s">
        <v>921</v>
      </c>
      <c r="AC2526" t="s">
        <v>1496</v>
      </c>
      <c r="AD2526" t="s">
        <v>1283</v>
      </c>
    </row>
    <row r="2527" spans="1:30" x14ac:dyDescent="0.25">
      <c r="A2527">
        <v>464</v>
      </c>
      <c r="B2527" t="s">
        <v>653</v>
      </c>
      <c r="C2527">
        <v>25</v>
      </c>
      <c r="D2527">
        <v>443</v>
      </c>
      <c r="E2527">
        <v>525</v>
      </c>
      <c r="F2527" t="s">
        <v>77</v>
      </c>
      <c r="G2527" t="s">
        <v>746</v>
      </c>
      <c r="H2527">
        <v>2</v>
      </c>
      <c r="I2527">
        <v>83.27</v>
      </c>
      <c r="J2527" t="s">
        <v>839</v>
      </c>
      <c r="K2527" t="s">
        <v>812</v>
      </c>
      <c r="M2527" t="s">
        <v>1519</v>
      </c>
      <c r="O2527" t="s">
        <v>228</v>
      </c>
      <c r="Q2527" t="s">
        <v>27</v>
      </c>
      <c r="S2527" t="s">
        <v>81</v>
      </c>
      <c r="W2527">
        <v>4</v>
      </c>
      <c r="X2527" t="s">
        <v>1135</v>
      </c>
      <c r="Z2527" t="s">
        <v>38</v>
      </c>
      <c r="AB2527" t="s">
        <v>921</v>
      </c>
      <c r="AC2527" t="s">
        <v>1496</v>
      </c>
      <c r="AD2527" t="s">
        <v>1283</v>
      </c>
    </row>
    <row r="2528" spans="1:30" x14ac:dyDescent="0.25">
      <c r="A2528">
        <v>465</v>
      </c>
      <c r="B2528" t="s">
        <v>655</v>
      </c>
      <c r="C2528">
        <v>25</v>
      </c>
      <c r="D2528">
        <v>200</v>
      </c>
      <c r="E2528">
        <v>200</v>
      </c>
      <c r="F2528" t="s">
        <v>77</v>
      </c>
      <c r="G2528" t="s">
        <v>746</v>
      </c>
      <c r="H2528">
        <v>2</v>
      </c>
      <c r="I2528">
        <v>15.7</v>
      </c>
      <c r="J2528" t="s">
        <v>839</v>
      </c>
      <c r="K2528" t="s">
        <v>812</v>
      </c>
      <c r="M2528" t="s">
        <v>1519</v>
      </c>
      <c r="Q2528" t="s">
        <v>26</v>
      </c>
      <c r="S2528" t="s">
        <v>81</v>
      </c>
      <c r="W2528">
        <v>4</v>
      </c>
      <c r="X2528" t="s">
        <v>1135</v>
      </c>
      <c r="Z2528" t="s">
        <v>38</v>
      </c>
      <c r="AB2528" t="s">
        <v>921</v>
      </c>
      <c r="AC2528" t="s">
        <v>1496</v>
      </c>
      <c r="AD2528" t="s">
        <v>1283</v>
      </c>
    </row>
    <row r="2529" spans="1:30" x14ac:dyDescent="0.25">
      <c r="A2529">
        <v>466</v>
      </c>
      <c r="B2529" t="s">
        <v>671</v>
      </c>
      <c r="C2529">
        <v>25</v>
      </c>
      <c r="D2529">
        <v>200</v>
      </c>
      <c r="E2529">
        <v>200</v>
      </c>
      <c r="F2529" t="s">
        <v>77</v>
      </c>
      <c r="G2529" t="s">
        <v>746</v>
      </c>
      <c r="H2529">
        <v>2</v>
      </c>
      <c r="I2529">
        <v>15.7</v>
      </c>
      <c r="J2529" t="s">
        <v>839</v>
      </c>
      <c r="K2529" t="s">
        <v>812</v>
      </c>
      <c r="M2529" t="s">
        <v>1519</v>
      </c>
      <c r="Q2529" t="s">
        <v>26</v>
      </c>
      <c r="S2529" t="s">
        <v>81</v>
      </c>
      <c r="W2529">
        <v>4</v>
      </c>
      <c r="X2529" t="s">
        <v>1135</v>
      </c>
      <c r="Z2529" t="s">
        <v>38</v>
      </c>
      <c r="AB2529" t="s">
        <v>921</v>
      </c>
      <c r="AC2529" t="s">
        <v>1496</v>
      </c>
      <c r="AD2529" t="s">
        <v>1283</v>
      </c>
    </row>
    <row r="2530" spans="1:30" x14ac:dyDescent="0.25">
      <c r="A2530">
        <v>467</v>
      </c>
      <c r="B2530" t="s">
        <v>658</v>
      </c>
      <c r="C2530">
        <v>25</v>
      </c>
      <c r="D2530">
        <v>443</v>
      </c>
      <c r="E2530">
        <v>500</v>
      </c>
      <c r="F2530" t="s">
        <v>77</v>
      </c>
      <c r="G2530" t="s">
        <v>746</v>
      </c>
      <c r="H2530">
        <v>1</v>
      </c>
      <c r="I2530">
        <v>43.47</v>
      </c>
      <c r="J2530" t="s">
        <v>839</v>
      </c>
      <c r="K2530" t="s">
        <v>812</v>
      </c>
      <c r="M2530" t="s">
        <v>1519</v>
      </c>
      <c r="Q2530" t="s">
        <v>26</v>
      </c>
      <c r="S2530" t="s">
        <v>81</v>
      </c>
      <c r="W2530">
        <v>4</v>
      </c>
      <c r="X2530" t="s">
        <v>1135</v>
      </c>
      <c r="Z2530" t="s">
        <v>38</v>
      </c>
      <c r="AB2530" t="s">
        <v>921</v>
      </c>
      <c r="AC2530" t="s">
        <v>1496</v>
      </c>
      <c r="AD2530" t="s">
        <v>1283</v>
      </c>
    </row>
    <row r="2531" spans="1:30" x14ac:dyDescent="0.25">
      <c r="A2531">
        <v>468</v>
      </c>
      <c r="B2531" t="s">
        <v>646</v>
      </c>
      <c r="C2531">
        <v>25</v>
      </c>
      <c r="D2531">
        <v>501</v>
      </c>
      <c r="E2531">
        <v>744</v>
      </c>
      <c r="F2531" t="s">
        <v>77</v>
      </c>
      <c r="G2531" t="s">
        <v>746</v>
      </c>
      <c r="H2531">
        <v>2</v>
      </c>
      <c r="I2531">
        <v>90.9</v>
      </c>
      <c r="J2531" t="s">
        <v>839</v>
      </c>
      <c r="K2531" t="s">
        <v>812</v>
      </c>
      <c r="M2531" t="s">
        <v>1519</v>
      </c>
      <c r="O2531" t="s">
        <v>228</v>
      </c>
      <c r="Q2531" t="s">
        <v>27</v>
      </c>
      <c r="S2531" t="s">
        <v>81</v>
      </c>
      <c r="W2531">
        <v>4</v>
      </c>
      <c r="X2531" t="s">
        <v>1135</v>
      </c>
      <c r="Z2531" t="s">
        <v>38</v>
      </c>
      <c r="AB2531" t="s">
        <v>921</v>
      </c>
      <c r="AC2531" t="s">
        <v>1496</v>
      </c>
      <c r="AD2531" t="s">
        <v>1283</v>
      </c>
    </row>
    <row r="2532" spans="1:30" x14ac:dyDescent="0.25">
      <c r="A2532">
        <v>469</v>
      </c>
      <c r="B2532" t="s">
        <v>648</v>
      </c>
      <c r="C2532">
        <v>25</v>
      </c>
      <c r="D2532">
        <v>500</v>
      </c>
      <c r="E2532">
        <v>550</v>
      </c>
      <c r="F2532" t="s">
        <v>77</v>
      </c>
      <c r="G2532" t="s">
        <v>746</v>
      </c>
      <c r="H2532">
        <v>1</v>
      </c>
      <c r="I2532">
        <v>52.99</v>
      </c>
      <c r="J2532" t="s">
        <v>839</v>
      </c>
      <c r="K2532" t="s">
        <v>812</v>
      </c>
      <c r="M2532" t="s">
        <v>1519</v>
      </c>
      <c r="Q2532" t="s">
        <v>26</v>
      </c>
      <c r="S2532" t="s">
        <v>81</v>
      </c>
      <c r="W2532">
        <v>4</v>
      </c>
      <c r="X2532" t="s">
        <v>1135</v>
      </c>
      <c r="Z2532" t="s">
        <v>38</v>
      </c>
      <c r="AB2532" t="s">
        <v>921</v>
      </c>
      <c r="AC2532" t="s">
        <v>1496</v>
      </c>
      <c r="AD2532" t="s">
        <v>1283</v>
      </c>
    </row>
    <row r="2533" spans="1:30" x14ac:dyDescent="0.25">
      <c r="A2533">
        <v>470</v>
      </c>
      <c r="B2533" t="s">
        <v>665</v>
      </c>
      <c r="C2533">
        <v>25</v>
      </c>
      <c r="D2533">
        <v>375</v>
      </c>
      <c r="E2533">
        <v>500</v>
      </c>
      <c r="F2533" t="s">
        <v>77</v>
      </c>
      <c r="G2533" t="s">
        <v>746</v>
      </c>
      <c r="H2533">
        <v>1</v>
      </c>
      <c r="I2533">
        <v>35.82</v>
      </c>
      <c r="J2533" t="s">
        <v>839</v>
      </c>
      <c r="K2533" t="s">
        <v>812</v>
      </c>
      <c r="M2533" t="s">
        <v>1519</v>
      </c>
      <c r="Q2533" t="s">
        <v>26</v>
      </c>
      <c r="S2533" t="s">
        <v>81</v>
      </c>
      <c r="W2533">
        <v>4</v>
      </c>
      <c r="X2533" t="s">
        <v>1135</v>
      </c>
      <c r="Z2533" t="s">
        <v>38</v>
      </c>
      <c r="AB2533" t="s">
        <v>921</v>
      </c>
      <c r="AC2533" t="s">
        <v>1496</v>
      </c>
      <c r="AD2533" t="s">
        <v>1283</v>
      </c>
    </row>
    <row r="2534" spans="1:30" x14ac:dyDescent="0.25">
      <c r="A2534">
        <v>471</v>
      </c>
      <c r="B2534" t="s">
        <v>638</v>
      </c>
      <c r="C2534">
        <v>25</v>
      </c>
      <c r="D2534">
        <v>501</v>
      </c>
      <c r="E2534">
        <v>744</v>
      </c>
      <c r="F2534" t="s">
        <v>77</v>
      </c>
      <c r="G2534" t="s">
        <v>746</v>
      </c>
      <c r="H2534">
        <v>4</v>
      </c>
      <c r="I2534">
        <v>181.8</v>
      </c>
      <c r="J2534" t="s">
        <v>839</v>
      </c>
      <c r="K2534" t="s">
        <v>812</v>
      </c>
      <c r="M2534" t="s">
        <v>1519</v>
      </c>
      <c r="O2534" t="s">
        <v>228</v>
      </c>
      <c r="Q2534" t="s">
        <v>27</v>
      </c>
      <c r="S2534" t="s">
        <v>81</v>
      </c>
      <c r="W2534">
        <v>4</v>
      </c>
      <c r="X2534" t="s">
        <v>1135</v>
      </c>
      <c r="Z2534" t="s">
        <v>38</v>
      </c>
      <c r="AB2534" t="s">
        <v>921</v>
      </c>
      <c r="AC2534" t="s">
        <v>1496</v>
      </c>
      <c r="AD2534" t="s">
        <v>1283</v>
      </c>
    </row>
    <row r="2535" spans="1:30" x14ac:dyDescent="0.25">
      <c r="A2535">
        <v>472</v>
      </c>
      <c r="B2535" t="s">
        <v>662</v>
      </c>
      <c r="C2535">
        <v>25</v>
      </c>
      <c r="D2535">
        <v>375</v>
      </c>
      <c r="E2535">
        <v>500</v>
      </c>
      <c r="F2535" t="s">
        <v>77</v>
      </c>
      <c r="G2535" t="s">
        <v>746</v>
      </c>
      <c r="H2535">
        <v>2</v>
      </c>
      <c r="I2535">
        <v>71.63</v>
      </c>
      <c r="J2535" t="s">
        <v>839</v>
      </c>
      <c r="K2535" t="s">
        <v>812</v>
      </c>
      <c r="M2535" t="s">
        <v>1519</v>
      </c>
      <c r="Q2535" t="s">
        <v>26</v>
      </c>
      <c r="S2535" t="s">
        <v>81</v>
      </c>
      <c r="W2535">
        <v>4</v>
      </c>
      <c r="X2535" t="s">
        <v>1135</v>
      </c>
      <c r="Z2535" t="s">
        <v>38</v>
      </c>
      <c r="AB2535" t="s">
        <v>921</v>
      </c>
      <c r="AC2535" t="s">
        <v>1496</v>
      </c>
      <c r="AD2535" t="s">
        <v>1283</v>
      </c>
    </row>
    <row r="2536" spans="1:30" x14ac:dyDescent="0.25">
      <c r="A2536">
        <v>473</v>
      </c>
      <c r="B2536" t="s">
        <v>641</v>
      </c>
      <c r="C2536">
        <v>25</v>
      </c>
      <c r="D2536">
        <v>501</v>
      </c>
      <c r="E2536">
        <v>744</v>
      </c>
      <c r="F2536" t="s">
        <v>77</v>
      </c>
      <c r="G2536" t="s">
        <v>746</v>
      </c>
      <c r="H2536">
        <v>2</v>
      </c>
      <c r="I2536">
        <v>90.9</v>
      </c>
      <c r="J2536" t="s">
        <v>839</v>
      </c>
      <c r="K2536" t="s">
        <v>812</v>
      </c>
      <c r="M2536" t="s">
        <v>1519</v>
      </c>
      <c r="O2536" t="s">
        <v>228</v>
      </c>
      <c r="Q2536" t="s">
        <v>27</v>
      </c>
      <c r="S2536" t="s">
        <v>81</v>
      </c>
      <c r="W2536">
        <v>4</v>
      </c>
      <c r="X2536" t="s">
        <v>1135</v>
      </c>
      <c r="Z2536" t="s">
        <v>38</v>
      </c>
      <c r="AB2536" t="s">
        <v>921</v>
      </c>
      <c r="AC2536" t="s">
        <v>1496</v>
      </c>
      <c r="AD2536" t="s">
        <v>1283</v>
      </c>
    </row>
    <row r="2537" spans="1:30" x14ac:dyDescent="0.25">
      <c r="A2537">
        <v>474</v>
      </c>
      <c r="B2537" t="s">
        <v>661</v>
      </c>
      <c r="C2537">
        <v>25</v>
      </c>
      <c r="D2537">
        <v>375</v>
      </c>
      <c r="E2537">
        <v>500</v>
      </c>
      <c r="F2537" t="s">
        <v>77</v>
      </c>
      <c r="G2537" t="s">
        <v>746</v>
      </c>
      <c r="H2537">
        <v>1</v>
      </c>
      <c r="I2537">
        <v>35.82</v>
      </c>
      <c r="J2537" t="s">
        <v>839</v>
      </c>
      <c r="K2537" t="s">
        <v>812</v>
      </c>
      <c r="M2537" t="s">
        <v>1519</v>
      </c>
      <c r="Q2537" t="s">
        <v>26</v>
      </c>
      <c r="S2537" t="s">
        <v>81</v>
      </c>
      <c r="W2537">
        <v>4</v>
      </c>
      <c r="X2537" t="s">
        <v>1135</v>
      </c>
      <c r="Z2537" t="s">
        <v>38</v>
      </c>
      <c r="AB2537" t="s">
        <v>921</v>
      </c>
      <c r="AC2537" t="s">
        <v>1496</v>
      </c>
      <c r="AD2537" t="s">
        <v>1283</v>
      </c>
    </row>
    <row r="2538" spans="1:30" x14ac:dyDescent="0.25">
      <c r="A2538">
        <v>475</v>
      </c>
      <c r="B2538" t="s">
        <v>666</v>
      </c>
      <c r="C2538">
        <v>25</v>
      </c>
      <c r="D2538">
        <v>250</v>
      </c>
      <c r="E2538">
        <v>300</v>
      </c>
      <c r="F2538" t="s">
        <v>77</v>
      </c>
      <c r="G2538" t="s">
        <v>746</v>
      </c>
      <c r="H2538">
        <v>8</v>
      </c>
      <c r="I2538">
        <v>105.25</v>
      </c>
      <c r="J2538" t="s">
        <v>839</v>
      </c>
      <c r="K2538" t="s">
        <v>812</v>
      </c>
      <c r="M2538" t="s">
        <v>1519</v>
      </c>
      <c r="O2538" t="s">
        <v>228</v>
      </c>
      <c r="Q2538" t="s">
        <v>27</v>
      </c>
      <c r="S2538" t="s">
        <v>81</v>
      </c>
      <c r="W2538">
        <v>4</v>
      </c>
      <c r="X2538" t="s">
        <v>1135</v>
      </c>
      <c r="Z2538" t="s">
        <v>38</v>
      </c>
      <c r="AB2538" t="s">
        <v>921</v>
      </c>
      <c r="AC2538" t="s">
        <v>1496</v>
      </c>
      <c r="AD2538" t="s">
        <v>1283</v>
      </c>
    </row>
    <row r="2539" spans="1:30" x14ac:dyDescent="0.25">
      <c r="A2539">
        <v>476</v>
      </c>
      <c r="B2539" t="s">
        <v>627</v>
      </c>
      <c r="C2539">
        <v>25</v>
      </c>
      <c r="D2539">
        <v>501</v>
      </c>
      <c r="E2539">
        <v>744</v>
      </c>
      <c r="F2539" t="s">
        <v>77</v>
      </c>
      <c r="G2539" t="s">
        <v>746</v>
      </c>
      <c r="H2539">
        <v>4</v>
      </c>
      <c r="I2539">
        <v>181.8</v>
      </c>
      <c r="J2539" t="s">
        <v>839</v>
      </c>
      <c r="K2539" t="s">
        <v>812</v>
      </c>
      <c r="M2539" t="s">
        <v>1519</v>
      </c>
      <c r="O2539" t="s">
        <v>228</v>
      </c>
      <c r="Q2539" t="s">
        <v>27</v>
      </c>
      <c r="S2539" t="s">
        <v>81</v>
      </c>
      <c r="W2539">
        <v>4</v>
      </c>
      <c r="X2539" t="s">
        <v>1135</v>
      </c>
      <c r="Z2539" t="s">
        <v>38</v>
      </c>
      <c r="AB2539" t="s">
        <v>921</v>
      </c>
      <c r="AC2539" t="s">
        <v>1496</v>
      </c>
      <c r="AD2539" t="s">
        <v>1283</v>
      </c>
    </row>
    <row r="2540" spans="1:30" x14ac:dyDescent="0.25">
      <c r="A2540">
        <v>477</v>
      </c>
      <c r="B2540" t="s">
        <v>659</v>
      </c>
      <c r="C2540">
        <v>25</v>
      </c>
      <c r="D2540">
        <v>375</v>
      </c>
      <c r="E2540">
        <v>500</v>
      </c>
      <c r="F2540" t="s">
        <v>77</v>
      </c>
      <c r="G2540" t="s">
        <v>746</v>
      </c>
      <c r="H2540">
        <v>1</v>
      </c>
      <c r="I2540">
        <v>35.82</v>
      </c>
      <c r="J2540" t="s">
        <v>839</v>
      </c>
      <c r="K2540" t="s">
        <v>812</v>
      </c>
      <c r="M2540" t="s">
        <v>1519</v>
      </c>
      <c r="Q2540" t="s">
        <v>26</v>
      </c>
      <c r="S2540" t="s">
        <v>81</v>
      </c>
      <c r="W2540">
        <v>4</v>
      </c>
      <c r="X2540" t="s">
        <v>1135</v>
      </c>
      <c r="Z2540" t="s">
        <v>38</v>
      </c>
      <c r="AB2540" t="s">
        <v>921</v>
      </c>
      <c r="AC2540" t="s">
        <v>1496</v>
      </c>
      <c r="AD2540" t="s">
        <v>1283</v>
      </c>
    </row>
    <row r="2541" spans="1:30" x14ac:dyDescent="0.25">
      <c r="A2541">
        <v>478</v>
      </c>
      <c r="B2541" t="s">
        <v>667</v>
      </c>
      <c r="C2541">
        <v>25</v>
      </c>
      <c r="D2541">
        <v>240</v>
      </c>
      <c r="E2541">
        <v>300</v>
      </c>
      <c r="F2541" t="s">
        <v>77</v>
      </c>
      <c r="G2541" t="s">
        <v>746</v>
      </c>
      <c r="H2541">
        <v>3</v>
      </c>
      <c r="I2541">
        <v>38.64</v>
      </c>
      <c r="J2541" t="s">
        <v>839</v>
      </c>
      <c r="K2541" t="s">
        <v>812</v>
      </c>
      <c r="M2541" t="s">
        <v>1519</v>
      </c>
      <c r="O2541" t="s">
        <v>228</v>
      </c>
      <c r="Q2541" t="s">
        <v>27</v>
      </c>
      <c r="S2541" t="s">
        <v>81</v>
      </c>
      <c r="W2541">
        <v>4</v>
      </c>
      <c r="X2541" t="s">
        <v>1135</v>
      </c>
      <c r="Z2541" t="s">
        <v>38</v>
      </c>
      <c r="AB2541" t="s">
        <v>921</v>
      </c>
      <c r="AC2541" t="s">
        <v>1499</v>
      </c>
      <c r="AD2541" t="s">
        <v>1500</v>
      </c>
    </row>
    <row r="2542" spans="1:30" x14ac:dyDescent="0.25">
      <c r="A2542">
        <v>479</v>
      </c>
      <c r="B2542" t="s">
        <v>650</v>
      </c>
      <c r="C2542">
        <v>25</v>
      </c>
      <c r="D2542">
        <v>200</v>
      </c>
      <c r="E2542">
        <v>200</v>
      </c>
      <c r="F2542" t="s">
        <v>77</v>
      </c>
      <c r="G2542" t="s">
        <v>746</v>
      </c>
      <c r="H2542">
        <v>1</v>
      </c>
      <c r="I2542">
        <v>7.85</v>
      </c>
      <c r="J2542" t="s">
        <v>839</v>
      </c>
      <c r="K2542" t="s">
        <v>812</v>
      </c>
      <c r="M2542" t="s">
        <v>1519</v>
      </c>
      <c r="Q2542" t="s">
        <v>26</v>
      </c>
      <c r="S2542" t="s">
        <v>81</v>
      </c>
      <c r="W2542">
        <v>4</v>
      </c>
      <c r="X2542" t="s">
        <v>1135</v>
      </c>
      <c r="Z2542" t="s">
        <v>38</v>
      </c>
      <c r="AB2542" t="s">
        <v>921</v>
      </c>
      <c r="AC2542" t="s">
        <v>1499</v>
      </c>
      <c r="AD2542" t="s">
        <v>1500</v>
      </c>
    </row>
    <row r="2543" spans="1:30" x14ac:dyDescent="0.25">
      <c r="A2543">
        <v>480</v>
      </c>
      <c r="B2543" t="s">
        <v>656</v>
      </c>
      <c r="C2543">
        <v>25</v>
      </c>
      <c r="D2543">
        <v>443</v>
      </c>
      <c r="E2543">
        <v>500</v>
      </c>
      <c r="F2543" t="s">
        <v>77</v>
      </c>
      <c r="G2543" t="s">
        <v>746</v>
      </c>
      <c r="H2543">
        <v>2</v>
      </c>
      <c r="I2543">
        <v>86.94</v>
      </c>
      <c r="J2543" t="s">
        <v>839</v>
      </c>
      <c r="K2543" t="s">
        <v>812</v>
      </c>
      <c r="M2543" t="s">
        <v>1519</v>
      </c>
      <c r="Q2543" t="s">
        <v>26</v>
      </c>
      <c r="S2543" t="s">
        <v>81</v>
      </c>
      <c r="W2543">
        <v>4</v>
      </c>
      <c r="X2543" t="s">
        <v>1135</v>
      </c>
      <c r="Z2543" t="s">
        <v>38</v>
      </c>
      <c r="AB2543" t="s">
        <v>921</v>
      </c>
      <c r="AC2543" t="s">
        <v>1499</v>
      </c>
      <c r="AD2543" t="s">
        <v>1500</v>
      </c>
    </row>
    <row r="2544" spans="1:30" x14ac:dyDescent="0.25">
      <c r="A2544">
        <v>481</v>
      </c>
      <c r="B2544" t="s">
        <v>642</v>
      </c>
      <c r="C2544">
        <v>25</v>
      </c>
      <c r="D2544">
        <v>443</v>
      </c>
      <c r="E2544">
        <v>550</v>
      </c>
      <c r="F2544" t="s">
        <v>77</v>
      </c>
      <c r="G2544" t="s">
        <v>746</v>
      </c>
      <c r="H2544">
        <v>2</v>
      </c>
      <c r="I2544">
        <v>95.63</v>
      </c>
      <c r="J2544" t="s">
        <v>839</v>
      </c>
      <c r="K2544" t="s">
        <v>812</v>
      </c>
      <c r="M2544" t="s">
        <v>1519</v>
      </c>
      <c r="Q2544" t="s">
        <v>26</v>
      </c>
      <c r="S2544" t="s">
        <v>81</v>
      </c>
      <c r="W2544">
        <v>4</v>
      </c>
      <c r="X2544" t="s">
        <v>1135</v>
      </c>
      <c r="Z2544" t="s">
        <v>38</v>
      </c>
      <c r="AB2544" t="s">
        <v>921</v>
      </c>
      <c r="AC2544" t="s">
        <v>1499</v>
      </c>
      <c r="AD2544" t="s">
        <v>1500</v>
      </c>
    </row>
    <row r="2545" spans="1:30" x14ac:dyDescent="0.25">
      <c r="A2545">
        <v>482</v>
      </c>
      <c r="B2545" t="s">
        <v>639</v>
      </c>
      <c r="C2545">
        <v>25</v>
      </c>
      <c r="D2545">
        <v>443</v>
      </c>
      <c r="E2545">
        <v>525</v>
      </c>
      <c r="F2545" t="s">
        <v>77</v>
      </c>
      <c r="G2545" t="s">
        <v>746</v>
      </c>
      <c r="H2545">
        <v>2</v>
      </c>
      <c r="I2545">
        <v>91.29</v>
      </c>
      <c r="J2545" t="s">
        <v>839</v>
      </c>
      <c r="K2545" t="s">
        <v>812</v>
      </c>
      <c r="M2545" t="s">
        <v>1519</v>
      </c>
      <c r="Q2545" t="s">
        <v>26</v>
      </c>
      <c r="S2545" t="s">
        <v>81</v>
      </c>
      <c r="W2545">
        <v>4</v>
      </c>
      <c r="X2545" t="s">
        <v>1135</v>
      </c>
      <c r="Z2545" t="s">
        <v>38</v>
      </c>
      <c r="AB2545" t="s">
        <v>921</v>
      </c>
      <c r="AC2545" t="s">
        <v>1499</v>
      </c>
      <c r="AD2545" t="s">
        <v>1500</v>
      </c>
    </row>
    <row r="2546" spans="1:30" x14ac:dyDescent="0.25">
      <c r="A2546">
        <v>483</v>
      </c>
      <c r="B2546" t="s">
        <v>658</v>
      </c>
      <c r="C2546">
        <v>25</v>
      </c>
      <c r="D2546">
        <v>443</v>
      </c>
      <c r="E2546">
        <v>500</v>
      </c>
      <c r="F2546" t="s">
        <v>77</v>
      </c>
      <c r="G2546" t="s">
        <v>746</v>
      </c>
      <c r="H2546">
        <v>1</v>
      </c>
      <c r="I2546">
        <v>43.47</v>
      </c>
      <c r="J2546" t="s">
        <v>839</v>
      </c>
      <c r="K2546" t="s">
        <v>812</v>
      </c>
      <c r="M2546" t="s">
        <v>1519</v>
      </c>
      <c r="Q2546" t="s">
        <v>26</v>
      </c>
      <c r="S2546" t="s">
        <v>81</v>
      </c>
      <c r="W2546">
        <v>4</v>
      </c>
      <c r="X2546" t="s">
        <v>1135</v>
      </c>
      <c r="Z2546" t="s">
        <v>38</v>
      </c>
      <c r="AB2546" t="s">
        <v>921</v>
      </c>
      <c r="AC2546" t="s">
        <v>1499</v>
      </c>
      <c r="AD2546" t="s">
        <v>1500</v>
      </c>
    </row>
    <row r="2547" spans="1:30" x14ac:dyDescent="0.25">
      <c r="A2547">
        <v>484</v>
      </c>
      <c r="B2547" t="s">
        <v>644</v>
      </c>
      <c r="C2547">
        <v>25</v>
      </c>
      <c r="D2547">
        <v>443</v>
      </c>
      <c r="E2547">
        <v>550</v>
      </c>
      <c r="F2547" t="s">
        <v>77</v>
      </c>
      <c r="G2547" t="s">
        <v>746</v>
      </c>
      <c r="H2547">
        <v>2</v>
      </c>
      <c r="I2547">
        <v>87.62</v>
      </c>
      <c r="J2547" t="s">
        <v>839</v>
      </c>
      <c r="K2547" t="s">
        <v>812</v>
      </c>
      <c r="M2547" t="s">
        <v>1519</v>
      </c>
      <c r="O2547" t="s">
        <v>228</v>
      </c>
      <c r="Q2547" t="s">
        <v>27</v>
      </c>
      <c r="S2547" t="s">
        <v>81</v>
      </c>
      <c r="W2547">
        <v>4</v>
      </c>
      <c r="X2547" t="s">
        <v>1135</v>
      </c>
      <c r="Z2547" t="s">
        <v>38</v>
      </c>
      <c r="AB2547" t="s">
        <v>921</v>
      </c>
      <c r="AC2547" t="s">
        <v>1499</v>
      </c>
      <c r="AD2547" t="s">
        <v>1500</v>
      </c>
    </row>
    <row r="2548" spans="1:30" x14ac:dyDescent="0.25">
      <c r="A2548">
        <v>485</v>
      </c>
      <c r="B2548" t="s">
        <v>645</v>
      </c>
      <c r="C2548">
        <v>25</v>
      </c>
      <c r="D2548">
        <v>443</v>
      </c>
      <c r="E2548">
        <v>550</v>
      </c>
      <c r="F2548" t="s">
        <v>77</v>
      </c>
      <c r="G2548" t="s">
        <v>746</v>
      </c>
      <c r="H2548">
        <v>2</v>
      </c>
      <c r="I2548">
        <v>95.63</v>
      </c>
      <c r="J2548" t="s">
        <v>839</v>
      </c>
      <c r="K2548" t="s">
        <v>812</v>
      </c>
      <c r="M2548" t="s">
        <v>1519</v>
      </c>
      <c r="Q2548" t="s">
        <v>26</v>
      </c>
      <c r="S2548" t="s">
        <v>81</v>
      </c>
      <c r="W2548">
        <v>4</v>
      </c>
      <c r="X2548" t="s">
        <v>1135</v>
      </c>
      <c r="Z2548" t="s">
        <v>38</v>
      </c>
      <c r="AB2548" t="s">
        <v>921</v>
      </c>
      <c r="AC2548" t="s">
        <v>1499</v>
      </c>
      <c r="AD2548" t="s">
        <v>1500</v>
      </c>
    </row>
    <row r="2549" spans="1:30" x14ac:dyDescent="0.25">
      <c r="A2549">
        <v>486</v>
      </c>
      <c r="B2549" t="s">
        <v>636</v>
      </c>
      <c r="C2549">
        <v>25</v>
      </c>
      <c r="D2549">
        <v>500</v>
      </c>
      <c r="E2549">
        <v>550</v>
      </c>
      <c r="F2549" t="s">
        <v>77</v>
      </c>
      <c r="G2549" t="s">
        <v>746</v>
      </c>
      <c r="H2549">
        <v>2</v>
      </c>
      <c r="I2549">
        <v>105.98</v>
      </c>
      <c r="J2549" t="s">
        <v>839</v>
      </c>
      <c r="K2549" t="s">
        <v>812</v>
      </c>
      <c r="M2549" t="s">
        <v>1519</v>
      </c>
      <c r="Q2549" t="s">
        <v>26</v>
      </c>
      <c r="S2549" t="s">
        <v>81</v>
      </c>
      <c r="W2549">
        <v>4</v>
      </c>
      <c r="X2549" t="s">
        <v>1135</v>
      </c>
      <c r="Z2549" t="s">
        <v>38</v>
      </c>
      <c r="AB2549" t="s">
        <v>921</v>
      </c>
      <c r="AC2549" t="s">
        <v>1499</v>
      </c>
      <c r="AD2549" t="s">
        <v>1500</v>
      </c>
    </row>
    <row r="2550" spans="1:30" x14ac:dyDescent="0.25">
      <c r="A2550">
        <v>487</v>
      </c>
      <c r="B2550" t="s">
        <v>632</v>
      </c>
      <c r="C2550">
        <v>25</v>
      </c>
      <c r="D2550">
        <v>500</v>
      </c>
      <c r="E2550">
        <v>550</v>
      </c>
      <c r="F2550" t="s">
        <v>77</v>
      </c>
      <c r="G2550" t="s">
        <v>746</v>
      </c>
      <c r="H2550">
        <v>1</v>
      </c>
      <c r="I2550">
        <v>52.99</v>
      </c>
      <c r="J2550" t="s">
        <v>839</v>
      </c>
      <c r="K2550" t="s">
        <v>812</v>
      </c>
      <c r="M2550" t="s">
        <v>1519</v>
      </c>
      <c r="Q2550" t="s">
        <v>26</v>
      </c>
      <c r="S2550" t="s">
        <v>81</v>
      </c>
      <c r="W2550">
        <v>4</v>
      </c>
      <c r="X2550" t="s">
        <v>1135</v>
      </c>
      <c r="Z2550" t="s">
        <v>38</v>
      </c>
      <c r="AB2550" t="s">
        <v>921</v>
      </c>
      <c r="AC2550" t="s">
        <v>1499</v>
      </c>
      <c r="AD2550" t="s">
        <v>1500</v>
      </c>
    </row>
    <row r="2551" spans="1:30" x14ac:dyDescent="0.25">
      <c r="A2551">
        <v>488</v>
      </c>
      <c r="B2551" t="s">
        <v>659</v>
      </c>
      <c r="C2551">
        <v>25</v>
      </c>
      <c r="D2551">
        <v>375</v>
      </c>
      <c r="E2551">
        <v>500</v>
      </c>
      <c r="F2551" t="s">
        <v>77</v>
      </c>
      <c r="G2551" t="s">
        <v>746</v>
      </c>
      <c r="H2551">
        <v>1</v>
      </c>
      <c r="I2551">
        <v>35.82</v>
      </c>
      <c r="J2551" t="s">
        <v>839</v>
      </c>
      <c r="K2551" t="s">
        <v>812</v>
      </c>
      <c r="M2551" t="s">
        <v>1519</v>
      </c>
      <c r="Q2551" t="s">
        <v>26</v>
      </c>
      <c r="S2551" t="s">
        <v>81</v>
      </c>
      <c r="W2551">
        <v>4</v>
      </c>
      <c r="X2551" t="s">
        <v>1135</v>
      </c>
      <c r="Z2551" t="s">
        <v>38</v>
      </c>
      <c r="AB2551" t="s">
        <v>921</v>
      </c>
      <c r="AC2551" t="s">
        <v>1499</v>
      </c>
      <c r="AD2551" t="s">
        <v>1500</v>
      </c>
    </row>
    <row r="2552" spans="1:30" x14ac:dyDescent="0.25">
      <c r="A2552">
        <v>489</v>
      </c>
      <c r="B2552" t="s">
        <v>678</v>
      </c>
      <c r="C2552">
        <v>30</v>
      </c>
      <c r="D2552">
        <v>290</v>
      </c>
      <c r="E2552">
        <v>670</v>
      </c>
      <c r="F2552" t="s">
        <v>77</v>
      </c>
      <c r="G2552" t="s">
        <v>746</v>
      </c>
      <c r="H2552">
        <v>3</v>
      </c>
      <c r="I2552">
        <v>127.11</v>
      </c>
      <c r="J2552" t="s">
        <v>839</v>
      </c>
      <c r="K2552" t="s">
        <v>812</v>
      </c>
      <c r="M2552" t="s">
        <v>1519</v>
      </c>
      <c r="O2552" t="s">
        <v>228</v>
      </c>
      <c r="Q2552" t="s">
        <v>27</v>
      </c>
      <c r="S2552" t="s">
        <v>81</v>
      </c>
      <c r="W2552">
        <v>4</v>
      </c>
      <c r="X2552" t="s">
        <v>1135</v>
      </c>
      <c r="Z2552" t="s">
        <v>38</v>
      </c>
      <c r="AB2552" t="s">
        <v>921</v>
      </c>
      <c r="AC2552" t="s">
        <v>1503</v>
      </c>
      <c r="AD2552" t="s">
        <v>1504</v>
      </c>
    </row>
    <row r="2553" spans="1:30" x14ac:dyDescent="0.25">
      <c r="A2553">
        <v>490</v>
      </c>
      <c r="B2553" t="s">
        <v>682</v>
      </c>
      <c r="C2553">
        <v>30</v>
      </c>
      <c r="D2553">
        <v>390</v>
      </c>
      <c r="E2553">
        <v>670</v>
      </c>
      <c r="F2553" t="s">
        <v>77</v>
      </c>
      <c r="G2553" t="s">
        <v>746</v>
      </c>
      <c r="H2553">
        <v>2</v>
      </c>
      <c r="I2553">
        <v>112.41</v>
      </c>
      <c r="J2553" t="s">
        <v>839</v>
      </c>
      <c r="K2553" t="s">
        <v>812</v>
      </c>
      <c r="M2553" t="s">
        <v>1519</v>
      </c>
      <c r="O2553" t="s">
        <v>228</v>
      </c>
      <c r="Q2553" t="s">
        <v>27</v>
      </c>
      <c r="S2553" t="s">
        <v>81</v>
      </c>
      <c r="W2553">
        <v>4</v>
      </c>
      <c r="X2553" t="s">
        <v>1135</v>
      </c>
      <c r="Z2553" t="s">
        <v>38</v>
      </c>
      <c r="AB2553" t="s">
        <v>921</v>
      </c>
      <c r="AC2553" t="s">
        <v>1503</v>
      </c>
      <c r="AD2553" t="s">
        <v>1504</v>
      </c>
    </row>
    <row r="2554" spans="1:30" x14ac:dyDescent="0.25">
      <c r="A2554">
        <v>491</v>
      </c>
      <c r="B2554" t="s">
        <v>684</v>
      </c>
      <c r="C2554">
        <v>30</v>
      </c>
      <c r="D2554">
        <v>390</v>
      </c>
      <c r="E2554">
        <v>670</v>
      </c>
      <c r="F2554" t="s">
        <v>77</v>
      </c>
      <c r="G2554" t="s">
        <v>746</v>
      </c>
      <c r="H2554">
        <v>2</v>
      </c>
      <c r="I2554">
        <v>112.41</v>
      </c>
      <c r="J2554" t="s">
        <v>839</v>
      </c>
      <c r="K2554" t="s">
        <v>812</v>
      </c>
      <c r="M2554" t="s">
        <v>1519</v>
      </c>
      <c r="O2554" t="s">
        <v>228</v>
      </c>
      <c r="Q2554" t="s">
        <v>27</v>
      </c>
      <c r="S2554" t="s">
        <v>81</v>
      </c>
      <c r="W2554">
        <v>4</v>
      </c>
      <c r="X2554" t="s">
        <v>1135</v>
      </c>
      <c r="Z2554" t="s">
        <v>38</v>
      </c>
      <c r="AB2554" t="s">
        <v>921</v>
      </c>
      <c r="AC2554" t="s">
        <v>1503</v>
      </c>
      <c r="AD2554" t="s">
        <v>1504</v>
      </c>
    </row>
    <row r="2555" spans="1:30" x14ac:dyDescent="0.25">
      <c r="A2555">
        <v>492</v>
      </c>
      <c r="B2555" t="s">
        <v>688</v>
      </c>
      <c r="C2555">
        <v>30</v>
      </c>
      <c r="D2555">
        <v>260</v>
      </c>
      <c r="E2555">
        <v>400</v>
      </c>
      <c r="F2555" t="s">
        <v>77</v>
      </c>
      <c r="G2555" t="s">
        <v>746</v>
      </c>
      <c r="H2555">
        <v>1</v>
      </c>
      <c r="I2555">
        <v>16.329999999999998</v>
      </c>
      <c r="J2555" t="s">
        <v>839</v>
      </c>
      <c r="K2555" t="s">
        <v>812</v>
      </c>
      <c r="M2555" t="s">
        <v>1519</v>
      </c>
      <c r="O2555" t="s">
        <v>228</v>
      </c>
      <c r="Q2555" t="s">
        <v>27</v>
      </c>
      <c r="S2555" t="s">
        <v>81</v>
      </c>
      <c r="W2555">
        <v>4</v>
      </c>
      <c r="X2555" t="s">
        <v>1135</v>
      </c>
      <c r="Z2555" t="s">
        <v>38</v>
      </c>
      <c r="AB2555" t="s">
        <v>921</v>
      </c>
      <c r="AC2555" t="s">
        <v>1503</v>
      </c>
      <c r="AD2555" t="s">
        <v>1504</v>
      </c>
    </row>
    <row r="2556" spans="1:30" x14ac:dyDescent="0.25">
      <c r="A2556">
        <v>493</v>
      </c>
      <c r="B2556" t="s">
        <v>693</v>
      </c>
      <c r="C2556">
        <v>30</v>
      </c>
      <c r="D2556">
        <v>69</v>
      </c>
      <c r="E2556">
        <v>100</v>
      </c>
      <c r="F2556" t="s">
        <v>77</v>
      </c>
      <c r="G2556" t="s">
        <v>746</v>
      </c>
      <c r="H2556">
        <v>2</v>
      </c>
      <c r="I2556">
        <v>3.25</v>
      </c>
      <c r="J2556" t="s">
        <v>839</v>
      </c>
      <c r="K2556" t="s">
        <v>812</v>
      </c>
      <c r="M2556" t="s">
        <v>1519</v>
      </c>
      <c r="Q2556" t="s">
        <v>26</v>
      </c>
      <c r="S2556" t="s">
        <v>81</v>
      </c>
      <c r="W2556">
        <v>4</v>
      </c>
      <c r="X2556" t="s">
        <v>1135</v>
      </c>
      <c r="Z2556" t="s">
        <v>38</v>
      </c>
      <c r="AB2556" t="s">
        <v>921</v>
      </c>
      <c r="AC2556" t="s">
        <v>1503</v>
      </c>
      <c r="AD2556" t="s">
        <v>1504</v>
      </c>
    </row>
    <row r="2557" spans="1:30" x14ac:dyDescent="0.25">
      <c r="A2557">
        <v>494</v>
      </c>
      <c r="B2557" t="s">
        <v>697</v>
      </c>
      <c r="C2557">
        <v>30</v>
      </c>
      <c r="D2557">
        <v>275</v>
      </c>
      <c r="E2557">
        <v>300</v>
      </c>
      <c r="F2557" t="s">
        <v>77</v>
      </c>
      <c r="G2557" t="s">
        <v>746</v>
      </c>
      <c r="H2557">
        <v>1</v>
      </c>
      <c r="I2557">
        <v>14.36</v>
      </c>
      <c r="J2557" t="s">
        <v>839</v>
      </c>
      <c r="K2557" t="s">
        <v>812</v>
      </c>
      <c r="M2557" t="s">
        <v>1519</v>
      </c>
      <c r="O2557" t="s">
        <v>228</v>
      </c>
      <c r="Q2557" t="s">
        <v>27</v>
      </c>
      <c r="S2557" t="s">
        <v>81</v>
      </c>
      <c r="W2557">
        <v>4</v>
      </c>
      <c r="X2557" t="s">
        <v>1135</v>
      </c>
      <c r="Z2557" t="s">
        <v>38</v>
      </c>
      <c r="AB2557" t="s">
        <v>921</v>
      </c>
      <c r="AC2557" t="s">
        <v>1503</v>
      </c>
      <c r="AD2557" t="s">
        <v>1504</v>
      </c>
    </row>
    <row r="2558" spans="1:30" x14ac:dyDescent="0.25">
      <c r="A2558">
        <v>495</v>
      </c>
      <c r="B2558" t="s">
        <v>692</v>
      </c>
      <c r="C2558">
        <v>30</v>
      </c>
      <c r="D2558">
        <v>315</v>
      </c>
      <c r="E2558">
        <v>460</v>
      </c>
      <c r="F2558" t="s">
        <v>77</v>
      </c>
      <c r="G2558" t="s">
        <v>746</v>
      </c>
      <c r="H2558">
        <v>1</v>
      </c>
      <c r="I2558">
        <v>23.55</v>
      </c>
      <c r="J2558" t="s">
        <v>839</v>
      </c>
      <c r="K2558" t="s">
        <v>812</v>
      </c>
      <c r="M2558" t="s">
        <v>1519</v>
      </c>
      <c r="O2558" t="s">
        <v>228</v>
      </c>
      <c r="Q2558" t="s">
        <v>27</v>
      </c>
      <c r="S2558" t="s">
        <v>81</v>
      </c>
      <c r="W2558">
        <v>4</v>
      </c>
      <c r="X2558" t="s">
        <v>1135</v>
      </c>
      <c r="Z2558" t="s">
        <v>38</v>
      </c>
      <c r="AB2558" t="s">
        <v>921</v>
      </c>
      <c r="AC2558" t="s">
        <v>1503</v>
      </c>
      <c r="AD2558" t="s">
        <v>1504</v>
      </c>
    </row>
    <row r="2559" spans="1:30" x14ac:dyDescent="0.25">
      <c r="A2559">
        <v>496</v>
      </c>
      <c r="B2559" t="s">
        <v>673</v>
      </c>
      <c r="C2559">
        <v>30</v>
      </c>
      <c r="D2559">
        <v>390</v>
      </c>
      <c r="E2559">
        <v>670</v>
      </c>
      <c r="F2559" t="s">
        <v>77</v>
      </c>
      <c r="G2559" t="s">
        <v>746</v>
      </c>
      <c r="H2559">
        <v>2</v>
      </c>
      <c r="I2559">
        <v>112.41</v>
      </c>
      <c r="J2559" t="s">
        <v>839</v>
      </c>
      <c r="K2559" t="s">
        <v>812</v>
      </c>
      <c r="M2559" t="s">
        <v>1519</v>
      </c>
      <c r="O2559" t="s">
        <v>228</v>
      </c>
      <c r="Q2559" t="s">
        <v>27</v>
      </c>
      <c r="R2559" t="s">
        <v>81</v>
      </c>
      <c r="W2559">
        <v>4</v>
      </c>
      <c r="X2559" t="s">
        <v>1135</v>
      </c>
      <c r="Z2559" t="s">
        <v>38</v>
      </c>
      <c r="AB2559" t="s">
        <v>921</v>
      </c>
      <c r="AC2559" t="s">
        <v>1506</v>
      </c>
      <c r="AD2559" t="s">
        <v>39</v>
      </c>
    </row>
    <row r="2560" spans="1:30" x14ac:dyDescent="0.25">
      <c r="A2560">
        <v>497</v>
      </c>
      <c r="B2560" t="s">
        <v>678</v>
      </c>
      <c r="C2560">
        <v>30</v>
      </c>
      <c r="D2560">
        <v>290</v>
      </c>
      <c r="E2560">
        <v>670</v>
      </c>
      <c r="F2560" t="s">
        <v>77</v>
      </c>
      <c r="G2560" t="s">
        <v>746</v>
      </c>
      <c r="H2560">
        <v>1</v>
      </c>
      <c r="I2560">
        <v>42.37</v>
      </c>
      <c r="J2560" t="s">
        <v>839</v>
      </c>
      <c r="K2560" t="s">
        <v>812</v>
      </c>
      <c r="M2560" t="s">
        <v>1519</v>
      </c>
      <c r="O2560" t="s">
        <v>228</v>
      </c>
      <c r="Q2560" t="s">
        <v>27</v>
      </c>
      <c r="R2560" t="s">
        <v>81</v>
      </c>
      <c r="W2560">
        <v>4</v>
      </c>
      <c r="X2560" t="s">
        <v>1135</v>
      </c>
      <c r="Z2560" t="s">
        <v>38</v>
      </c>
      <c r="AB2560" t="s">
        <v>921</v>
      </c>
      <c r="AC2560" t="s">
        <v>1506</v>
      </c>
      <c r="AD2560" t="s">
        <v>39</v>
      </c>
    </row>
    <row r="2561" spans="1:30" x14ac:dyDescent="0.25">
      <c r="A2561">
        <v>498</v>
      </c>
      <c r="B2561" t="s">
        <v>680</v>
      </c>
      <c r="C2561">
        <v>30</v>
      </c>
      <c r="D2561">
        <v>390</v>
      </c>
      <c r="E2561">
        <v>670</v>
      </c>
      <c r="F2561" t="s">
        <v>77</v>
      </c>
      <c r="G2561" t="s">
        <v>746</v>
      </c>
      <c r="H2561">
        <v>2</v>
      </c>
      <c r="I2561">
        <v>112.41</v>
      </c>
      <c r="J2561" t="s">
        <v>839</v>
      </c>
      <c r="K2561" t="s">
        <v>812</v>
      </c>
      <c r="M2561" t="s">
        <v>1519</v>
      </c>
      <c r="O2561" t="s">
        <v>228</v>
      </c>
      <c r="Q2561" t="s">
        <v>27</v>
      </c>
      <c r="R2561" t="s">
        <v>81</v>
      </c>
      <c r="W2561">
        <v>4</v>
      </c>
      <c r="X2561" t="s">
        <v>1135</v>
      </c>
      <c r="Z2561" t="s">
        <v>38</v>
      </c>
      <c r="AB2561" t="s">
        <v>921</v>
      </c>
      <c r="AC2561" t="s">
        <v>1506</v>
      </c>
      <c r="AD2561" t="s">
        <v>39</v>
      </c>
    </row>
    <row r="2562" spans="1:30" x14ac:dyDescent="0.25">
      <c r="A2562">
        <v>499</v>
      </c>
      <c r="B2562" t="s">
        <v>681</v>
      </c>
      <c r="C2562">
        <v>30</v>
      </c>
      <c r="D2562">
        <v>290</v>
      </c>
      <c r="E2562">
        <v>670</v>
      </c>
      <c r="F2562" t="s">
        <v>77</v>
      </c>
      <c r="G2562" t="s">
        <v>746</v>
      </c>
      <c r="H2562">
        <v>4</v>
      </c>
      <c r="I2562">
        <v>169.48</v>
      </c>
      <c r="J2562" t="s">
        <v>839</v>
      </c>
      <c r="K2562" t="s">
        <v>812</v>
      </c>
      <c r="M2562" t="s">
        <v>1519</v>
      </c>
      <c r="O2562" t="s">
        <v>228</v>
      </c>
      <c r="Q2562" t="s">
        <v>27</v>
      </c>
      <c r="R2562" t="s">
        <v>81</v>
      </c>
      <c r="W2562">
        <v>4</v>
      </c>
      <c r="X2562" t="s">
        <v>1135</v>
      </c>
      <c r="Z2562" t="s">
        <v>38</v>
      </c>
      <c r="AB2562" t="s">
        <v>921</v>
      </c>
      <c r="AC2562" t="s">
        <v>1506</v>
      </c>
      <c r="AD2562" t="s">
        <v>39</v>
      </c>
    </row>
    <row r="2563" spans="1:30" x14ac:dyDescent="0.25">
      <c r="A2563">
        <v>500</v>
      </c>
      <c r="B2563" t="s">
        <v>683</v>
      </c>
      <c r="C2563">
        <v>30</v>
      </c>
      <c r="D2563">
        <v>290</v>
      </c>
      <c r="E2563">
        <v>670</v>
      </c>
      <c r="F2563" t="s">
        <v>77</v>
      </c>
      <c r="G2563" t="s">
        <v>746</v>
      </c>
      <c r="H2563">
        <v>4</v>
      </c>
      <c r="I2563">
        <v>169.48</v>
      </c>
      <c r="J2563" t="s">
        <v>839</v>
      </c>
      <c r="K2563" t="s">
        <v>812</v>
      </c>
      <c r="M2563" t="s">
        <v>1519</v>
      </c>
      <c r="O2563" t="s">
        <v>228</v>
      </c>
      <c r="Q2563" t="s">
        <v>27</v>
      </c>
      <c r="R2563" t="s">
        <v>81</v>
      </c>
      <c r="W2563">
        <v>4</v>
      </c>
      <c r="X2563" t="s">
        <v>1135</v>
      </c>
      <c r="Z2563" t="s">
        <v>38</v>
      </c>
      <c r="AB2563" t="s">
        <v>921</v>
      </c>
      <c r="AC2563" t="s">
        <v>1506</v>
      </c>
      <c r="AD2563" t="s">
        <v>39</v>
      </c>
    </row>
    <row r="2564" spans="1:30" x14ac:dyDescent="0.25">
      <c r="A2564">
        <v>501</v>
      </c>
      <c r="B2564" t="s">
        <v>685</v>
      </c>
      <c r="C2564">
        <v>30</v>
      </c>
      <c r="D2564">
        <v>290</v>
      </c>
      <c r="E2564">
        <v>670</v>
      </c>
      <c r="F2564" t="s">
        <v>77</v>
      </c>
      <c r="G2564" t="s">
        <v>746</v>
      </c>
      <c r="H2564">
        <v>4</v>
      </c>
      <c r="I2564">
        <v>169.48</v>
      </c>
      <c r="J2564" t="s">
        <v>839</v>
      </c>
      <c r="K2564" t="s">
        <v>812</v>
      </c>
      <c r="M2564" t="s">
        <v>1519</v>
      </c>
      <c r="O2564" t="s">
        <v>228</v>
      </c>
      <c r="Q2564" t="s">
        <v>27</v>
      </c>
      <c r="R2564" t="s">
        <v>81</v>
      </c>
      <c r="W2564">
        <v>4</v>
      </c>
      <c r="X2564" t="s">
        <v>1135</v>
      </c>
      <c r="Z2564" t="s">
        <v>38</v>
      </c>
      <c r="AB2564" t="s">
        <v>921</v>
      </c>
      <c r="AC2564" t="s">
        <v>1506</v>
      </c>
      <c r="AD2564" t="s">
        <v>39</v>
      </c>
    </row>
    <row r="2565" spans="1:30" x14ac:dyDescent="0.25">
      <c r="A2565">
        <v>502</v>
      </c>
      <c r="B2565" t="s">
        <v>688</v>
      </c>
      <c r="C2565">
        <v>30</v>
      </c>
      <c r="D2565">
        <v>260</v>
      </c>
      <c r="E2565">
        <v>400</v>
      </c>
      <c r="F2565" t="s">
        <v>77</v>
      </c>
      <c r="G2565" t="s">
        <v>746</v>
      </c>
      <c r="H2565">
        <v>1</v>
      </c>
      <c r="I2565">
        <v>16.329999999999998</v>
      </c>
      <c r="J2565" t="s">
        <v>839</v>
      </c>
      <c r="K2565" t="s">
        <v>812</v>
      </c>
      <c r="M2565" t="s">
        <v>1519</v>
      </c>
      <c r="O2565" t="s">
        <v>228</v>
      </c>
      <c r="Q2565" t="s">
        <v>27</v>
      </c>
      <c r="R2565" t="s">
        <v>81</v>
      </c>
      <c r="W2565">
        <v>4</v>
      </c>
      <c r="X2565" t="s">
        <v>1135</v>
      </c>
      <c r="Z2565" t="s">
        <v>38</v>
      </c>
      <c r="AB2565" t="s">
        <v>921</v>
      </c>
      <c r="AC2565" t="s">
        <v>1506</v>
      </c>
      <c r="AD2565" t="s">
        <v>39</v>
      </c>
    </row>
    <row r="2566" spans="1:30" x14ac:dyDescent="0.25">
      <c r="A2566">
        <v>503</v>
      </c>
      <c r="B2566" t="s">
        <v>690</v>
      </c>
      <c r="C2566">
        <v>30</v>
      </c>
      <c r="D2566">
        <v>69</v>
      </c>
      <c r="E2566">
        <v>100</v>
      </c>
      <c r="F2566" t="s">
        <v>77</v>
      </c>
      <c r="G2566" t="s">
        <v>746</v>
      </c>
      <c r="H2566">
        <v>2</v>
      </c>
      <c r="I2566">
        <v>3.25</v>
      </c>
      <c r="J2566" t="s">
        <v>839</v>
      </c>
      <c r="K2566" t="s">
        <v>812</v>
      </c>
      <c r="M2566" t="s">
        <v>1519</v>
      </c>
      <c r="Q2566" t="s">
        <v>26</v>
      </c>
      <c r="R2566" t="s">
        <v>81</v>
      </c>
      <c r="W2566">
        <v>4</v>
      </c>
      <c r="X2566" t="s">
        <v>1135</v>
      </c>
      <c r="Z2566" t="s">
        <v>38</v>
      </c>
      <c r="AB2566" t="s">
        <v>921</v>
      </c>
      <c r="AC2566" t="s">
        <v>1506</v>
      </c>
      <c r="AD2566" t="s">
        <v>39</v>
      </c>
    </row>
    <row r="2567" spans="1:30" x14ac:dyDescent="0.25">
      <c r="A2567">
        <v>504</v>
      </c>
      <c r="B2567" t="s">
        <v>693</v>
      </c>
      <c r="C2567">
        <v>30</v>
      </c>
      <c r="D2567">
        <v>69</v>
      </c>
      <c r="E2567">
        <v>100</v>
      </c>
      <c r="F2567" t="s">
        <v>77</v>
      </c>
      <c r="G2567" t="s">
        <v>746</v>
      </c>
      <c r="H2567">
        <v>2</v>
      </c>
      <c r="I2567">
        <v>3.25</v>
      </c>
      <c r="J2567" t="s">
        <v>839</v>
      </c>
      <c r="K2567" t="s">
        <v>812</v>
      </c>
      <c r="M2567" t="s">
        <v>1519</v>
      </c>
      <c r="Q2567" t="s">
        <v>26</v>
      </c>
      <c r="R2567" t="s">
        <v>81</v>
      </c>
      <c r="W2567">
        <v>4</v>
      </c>
      <c r="X2567" t="s">
        <v>1135</v>
      </c>
      <c r="Z2567" t="s">
        <v>38</v>
      </c>
      <c r="AB2567" t="s">
        <v>921</v>
      </c>
      <c r="AC2567" t="s">
        <v>1506</v>
      </c>
      <c r="AD2567" t="s">
        <v>39</v>
      </c>
    </row>
    <row r="2568" spans="1:30" x14ac:dyDescent="0.25">
      <c r="A2568">
        <v>505</v>
      </c>
      <c r="B2568" t="s">
        <v>695</v>
      </c>
      <c r="C2568">
        <v>30</v>
      </c>
      <c r="D2568">
        <v>260</v>
      </c>
      <c r="E2568">
        <v>400</v>
      </c>
      <c r="F2568" t="s">
        <v>77</v>
      </c>
      <c r="G2568" t="s">
        <v>746</v>
      </c>
      <c r="H2568">
        <v>2</v>
      </c>
      <c r="I2568">
        <v>32.659999999999997</v>
      </c>
      <c r="J2568" t="s">
        <v>839</v>
      </c>
      <c r="K2568" t="s">
        <v>812</v>
      </c>
      <c r="M2568" t="s">
        <v>1519</v>
      </c>
      <c r="O2568" t="s">
        <v>228</v>
      </c>
      <c r="Q2568" t="s">
        <v>27</v>
      </c>
      <c r="R2568" t="s">
        <v>81</v>
      </c>
      <c r="W2568">
        <v>4</v>
      </c>
      <c r="X2568" t="s">
        <v>1135</v>
      </c>
      <c r="Z2568" t="s">
        <v>38</v>
      </c>
      <c r="AB2568" t="s">
        <v>921</v>
      </c>
      <c r="AC2568" t="s">
        <v>1506</v>
      </c>
      <c r="AD2568" t="s">
        <v>39</v>
      </c>
    </row>
    <row r="2569" spans="1:30" x14ac:dyDescent="0.25">
      <c r="A2569">
        <v>506</v>
      </c>
      <c r="B2569" t="s">
        <v>696</v>
      </c>
      <c r="C2569">
        <v>30</v>
      </c>
      <c r="D2569">
        <v>69</v>
      </c>
      <c r="E2569">
        <v>100</v>
      </c>
      <c r="F2569" t="s">
        <v>77</v>
      </c>
      <c r="G2569" t="s">
        <v>746</v>
      </c>
      <c r="H2569">
        <v>2</v>
      </c>
      <c r="I2569">
        <v>3.25</v>
      </c>
      <c r="J2569" t="s">
        <v>839</v>
      </c>
      <c r="K2569" t="s">
        <v>812</v>
      </c>
      <c r="M2569" t="s">
        <v>1519</v>
      </c>
      <c r="Q2569" t="s">
        <v>26</v>
      </c>
      <c r="R2569" t="s">
        <v>81</v>
      </c>
      <c r="W2569">
        <v>4</v>
      </c>
      <c r="X2569" t="s">
        <v>1135</v>
      </c>
      <c r="Z2569" t="s">
        <v>38</v>
      </c>
      <c r="AB2569" t="s">
        <v>921</v>
      </c>
      <c r="AC2569" t="s">
        <v>1506</v>
      </c>
      <c r="AD2569" t="s">
        <v>39</v>
      </c>
    </row>
    <row r="2570" spans="1:30" x14ac:dyDescent="0.25">
      <c r="A2570">
        <v>507</v>
      </c>
      <c r="B2570" t="s">
        <v>697</v>
      </c>
      <c r="C2570">
        <v>30</v>
      </c>
      <c r="D2570">
        <v>275</v>
      </c>
      <c r="E2570">
        <v>300</v>
      </c>
      <c r="F2570" t="s">
        <v>77</v>
      </c>
      <c r="G2570" t="s">
        <v>746</v>
      </c>
      <c r="H2570">
        <v>3</v>
      </c>
      <c r="I2570">
        <v>43.08</v>
      </c>
      <c r="J2570" t="s">
        <v>839</v>
      </c>
      <c r="K2570" t="s">
        <v>812</v>
      </c>
      <c r="M2570" t="s">
        <v>1519</v>
      </c>
      <c r="O2570" t="s">
        <v>228</v>
      </c>
      <c r="Q2570" t="s">
        <v>27</v>
      </c>
      <c r="R2570" t="s">
        <v>81</v>
      </c>
      <c r="W2570">
        <v>4</v>
      </c>
      <c r="X2570" t="s">
        <v>1135</v>
      </c>
      <c r="Z2570" t="s">
        <v>38</v>
      </c>
      <c r="AB2570" t="s">
        <v>921</v>
      </c>
      <c r="AC2570" t="s">
        <v>1506</v>
      </c>
      <c r="AD2570" t="s">
        <v>39</v>
      </c>
    </row>
    <row r="2571" spans="1:30" x14ac:dyDescent="0.25">
      <c r="A2571">
        <v>508</v>
      </c>
      <c r="B2571" t="s">
        <v>686</v>
      </c>
      <c r="C2571">
        <v>30</v>
      </c>
      <c r="D2571">
        <v>315</v>
      </c>
      <c r="E2571">
        <v>460</v>
      </c>
      <c r="F2571" t="s">
        <v>77</v>
      </c>
      <c r="G2571" t="s">
        <v>746</v>
      </c>
      <c r="H2571">
        <v>2</v>
      </c>
      <c r="I2571">
        <v>47.09</v>
      </c>
      <c r="J2571" t="s">
        <v>839</v>
      </c>
      <c r="K2571" t="s">
        <v>812</v>
      </c>
      <c r="M2571" t="s">
        <v>1519</v>
      </c>
      <c r="O2571" t="s">
        <v>228</v>
      </c>
      <c r="Q2571" t="s">
        <v>27</v>
      </c>
      <c r="R2571" t="s">
        <v>81</v>
      </c>
      <c r="W2571">
        <v>4</v>
      </c>
      <c r="X2571" t="s">
        <v>1135</v>
      </c>
      <c r="Z2571" t="s">
        <v>38</v>
      </c>
      <c r="AB2571" t="s">
        <v>921</v>
      </c>
      <c r="AC2571" t="s">
        <v>1506</v>
      </c>
      <c r="AD2571" t="s">
        <v>39</v>
      </c>
    </row>
    <row r="2572" spans="1:30" x14ac:dyDescent="0.25">
      <c r="A2572">
        <v>509</v>
      </c>
      <c r="B2572" t="s">
        <v>692</v>
      </c>
      <c r="C2572">
        <v>30</v>
      </c>
      <c r="D2572">
        <v>315</v>
      </c>
      <c r="E2572">
        <v>460</v>
      </c>
      <c r="F2572" t="s">
        <v>77</v>
      </c>
      <c r="G2572" t="s">
        <v>746</v>
      </c>
      <c r="H2572">
        <v>3</v>
      </c>
      <c r="I2572">
        <v>70.64</v>
      </c>
      <c r="J2572" t="s">
        <v>839</v>
      </c>
      <c r="K2572" t="s">
        <v>812</v>
      </c>
      <c r="M2572" t="s">
        <v>1519</v>
      </c>
      <c r="O2572" t="s">
        <v>228</v>
      </c>
      <c r="Q2572" t="s">
        <v>27</v>
      </c>
      <c r="R2572" t="s">
        <v>81</v>
      </c>
      <c r="W2572">
        <v>4</v>
      </c>
      <c r="X2572" t="s">
        <v>1135</v>
      </c>
      <c r="Z2572" t="s">
        <v>38</v>
      </c>
      <c r="AB2572" t="s">
        <v>921</v>
      </c>
      <c r="AC2572" t="s">
        <v>1506</v>
      </c>
      <c r="AD2572" t="s">
        <v>39</v>
      </c>
    </row>
    <row r="2573" spans="1:30" x14ac:dyDescent="0.25">
      <c r="A2573">
        <v>510</v>
      </c>
      <c r="B2573" t="s">
        <v>694</v>
      </c>
      <c r="C2573">
        <v>30</v>
      </c>
      <c r="D2573">
        <v>315</v>
      </c>
      <c r="E2573">
        <v>460</v>
      </c>
      <c r="F2573" t="s">
        <v>77</v>
      </c>
      <c r="G2573" t="s">
        <v>746</v>
      </c>
      <c r="H2573">
        <v>2</v>
      </c>
      <c r="I2573">
        <v>47.09</v>
      </c>
      <c r="J2573" t="s">
        <v>839</v>
      </c>
      <c r="K2573" t="s">
        <v>812</v>
      </c>
      <c r="M2573" t="s">
        <v>1519</v>
      </c>
      <c r="O2573" t="s">
        <v>228</v>
      </c>
      <c r="Q2573" t="s">
        <v>27</v>
      </c>
      <c r="R2573" t="s">
        <v>81</v>
      </c>
      <c r="W2573">
        <v>4</v>
      </c>
      <c r="X2573" t="s">
        <v>1135</v>
      </c>
      <c r="Z2573" t="s">
        <v>38</v>
      </c>
      <c r="AB2573" t="s">
        <v>921</v>
      </c>
      <c r="AC2573" t="s">
        <v>1506</v>
      </c>
      <c r="AD2573" t="s">
        <v>39</v>
      </c>
    </row>
    <row r="2574" spans="1:30" x14ac:dyDescent="0.25">
      <c r="A2574">
        <v>511</v>
      </c>
      <c r="B2574" t="s">
        <v>712</v>
      </c>
      <c r="C2574">
        <v>60</v>
      </c>
      <c r="D2574">
        <v>70</v>
      </c>
      <c r="E2574">
        <v>8980</v>
      </c>
      <c r="F2574" t="s">
        <v>700</v>
      </c>
      <c r="G2574" t="s">
        <v>746</v>
      </c>
      <c r="H2574">
        <v>1</v>
      </c>
      <c r="I2574">
        <v>296.07</v>
      </c>
      <c r="J2574" t="s">
        <v>839</v>
      </c>
      <c r="K2574" t="s">
        <v>812</v>
      </c>
      <c r="M2574" t="s">
        <v>1519</v>
      </c>
      <c r="Q2574" t="s">
        <v>26</v>
      </c>
      <c r="S2574" t="s">
        <v>81</v>
      </c>
      <c r="U2574" t="s">
        <v>81</v>
      </c>
      <c r="W2574">
        <v>4</v>
      </c>
      <c r="X2574" t="s">
        <v>1135</v>
      </c>
      <c r="Z2574" t="s">
        <v>38</v>
      </c>
      <c r="AB2574" t="s">
        <v>921</v>
      </c>
      <c r="AC2574" t="s">
        <v>1509</v>
      </c>
      <c r="AD2574" t="s">
        <v>1510</v>
      </c>
    </row>
    <row r="2575" spans="1:30" x14ac:dyDescent="0.25">
      <c r="A2575">
        <v>512</v>
      </c>
      <c r="B2575" t="s">
        <v>699</v>
      </c>
      <c r="C2575">
        <v>60</v>
      </c>
      <c r="D2575">
        <v>70</v>
      </c>
      <c r="E2575">
        <v>8980</v>
      </c>
      <c r="F2575" t="s">
        <v>700</v>
      </c>
      <c r="G2575" t="s">
        <v>746</v>
      </c>
      <c r="H2575">
        <v>1</v>
      </c>
      <c r="I2575">
        <v>296.07</v>
      </c>
      <c r="J2575" t="s">
        <v>839</v>
      </c>
      <c r="K2575" t="s">
        <v>812</v>
      </c>
      <c r="M2575" t="s">
        <v>1519</v>
      </c>
      <c r="Q2575" t="s">
        <v>26</v>
      </c>
      <c r="S2575" t="s">
        <v>81</v>
      </c>
      <c r="U2575" t="s">
        <v>81</v>
      </c>
      <c r="W2575">
        <v>4</v>
      </c>
      <c r="X2575" t="s">
        <v>1135</v>
      </c>
      <c r="Z2575" t="s">
        <v>38</v>
      </c>
      <c r="AB2575" t="s">
        <v>921</v>
      </c>
      <c r="AC2575" t="s">
        <v>1512</v>
      </c>
      <c r="AD2575" t="s">
        <v>1513</v>
      </c>
    </row>
    <row r="2576" spans="1:30" x14ac:dyDescent="0.25">
      <c r="A2576">
        <v>513</v>
      </c>
      <c r="B2576" t="s">
        <v>706</v>
      </c>
      <c r="C2576">
        <v>60</v>
      </c>
      <c r="D2576">
        <v>70</v>
      </c>
      <c r="E2576">
        <v>11303</v>
      </c>
      <c r="F2576" t="s">
        <v>700</v>
      </c>
      <c r="G2576" t="s">
        <v>746</v>
      </c>
      <c r="H2576">
        <v>1</v>
      </c>
      <c r="I2576">
        <v>372.66</v>
      </c>
      <c r="J2576" t="s">
        <v>839</v>
      </c>
      <c r="K2576" t="s">
        <v>812</v>
      </c>
      <c r="M2576" t="s">
        <v>1519</v>
      </c>
      <c r="Q2576" t="s">
        <v>26</v>
      </c>
      <c r="S2576" t="s">
        <v>81</v>
      </c>
      <c r="U2576" t="s">
        <v>81</v>
      </c>
      <c r="W2576">
        <v>4</v>
      </c>
      <c r="X2576" t="s">
        <v>1135</v>
      </c>
      <c r="Z2576" t="s">
        <v>38</v>
      </c>
      <c r="AB2576" t="s">
        <v>921</v>
      </c>
      <c r="AC2576" t="s">
        <v>1512</v>
      </c>
      <c r="AD2576" t="s">
        <v>1513</v>
      </c>
    </row>
    <row r="2577" spans="1:30" x14ac:dyDescent="0.25">
      <c r="A2577">
        <v>514</v>
      </c>
      <c r="B2577" t="s">
        <v>708</v>
      </c>
      <c r="C2577">
        <v>60</v>
      </c>
      <c r="D2577">
        <v>68</v>
      </c>
      <c r="E2577">
        <v>12000</v>
      </c>
      <c r="F2577" t="s">
        <v>700</v>
      </c>
      <c r="G2577" t="s">
        <v>746</v>
      </c>
      <c r="H2577">
        <v>1</v>
      </c>
      <c r="I2577">
        <v>339.12</v>
      </c>
      <c r="J2577" t="s">
        <v>839</v>
      </c>
      <c r="K2577" t="s">
        <v>812</v>
      </c>
      <c r="M2577" t="s">
        <v>1519</v>
      </c>
      <c r="Q2577" t="s">
        <v>26</v>
      </c>
      <c r="S2577" t="s">
        <v>81</v>
      </c>
      <c r="U2577" t="s">
        <v>81</v>
      </c>
      <c r="W2577">
        <v>4</v>
      </c>
      <c r="X2577" t="s">
        <v>1135</v>
      </c>
      <c r="Z2577" t="s">
        <v>38</v>
      </c>
      <c r="AB2577" t="s">
        <v>921</v>
      </c>
      <c r="AC2577" t="s">
        <v>1512</v>
      </c>
      <c r="AD2577" t="s">
        <v>1513</v>
      </c>
    </row>
    <row r="2578" spans="1:30" x14ac:dyDescent="0.25">
      <c r="A2578">
        <v>515</v>
      </c>
      <c r="B2578" t="s">
        <v>713</v>
      </c>
      <c r="C2578">
        <v>60</v>
      </c>
      <c r="D2578">
        <v>70</v>
      </c>
      <c r="E2578">
        <v>11303</v>
      </c>
      <c r="F2578" t="s">
        <v>700</v>
      </c>
      <c r="G2578" t="s">
        <v>746</v>
      </c>
      <c r="H2578">
        <v>1</v>
      </c>
      <c r="I2578">
        <v>372.66</v>
      </c>
      <c r="J2578" t="s">
        <v>839</v>
      </c>
      <c r="K2578" t="s">
        <v>812</v>
      </c>
      <c r="M2578" t="s">
        <v>1519</v>
      </c>
      <c r="Q2578" t="s">
        <v>26</v>
      </c>
      <c r="S2578" t="s">
        <v>81</v>
      </c>
      <c r="U2578" t="s">
        <v>81</v>
      </c>
      <c r="W2578">
        <v>4</v>
      </c>
      <c r="X2578" t="s">
        <v>1135</v>
      </c>
      <c r="Z2578" t="s">
        <v>38</v>
      </c>
      <c r="AB2578" t="s">
        <v>921</v>
      </c>
      <c r="AC2578" t="s">
        <v>1512</v>
      </c>
      <c r="AD2578" t="s">
        <v>1513</v>
      </c>
    </row>
    <row r="2579" spans="1:30" x14ac:dyDescent="0.25">
      <c r="A2579">
        <v>516</v>
      </c>
      <c r="B2579" t="s">
        <v>714</v>
      </c>
      <c r="C2579">
        <v>60</v>
      </c>
      <c r="D2579">
        <v>70</v>
      </c>
      <c r="E2579">
        <v>12000</v>
      </c>
      <c r="F2579" t="s">
        <v>700</v>
      </c>
      <c r="G2579" t="s">
        <v>746</v>
      </c>
      <c r="H2579">
        <v>1</v>
      </c>
      <c r="I2579">
        <v>395.64</v>
      </c>
      <c r="J2579" t="s">
        <v>839</v>
      </c>
      <c r="K2579" t="s">
        <v>812</v>
      </c>
      <c r="M2579" t="s">
        <v>1519</v>
      </c>
      <c r="Q2579" t="s">
        <v>26</v>
      </c>
      <c r="S2579" t="s">
        <v>81</v>
      </c>
      <c r="U2579" t="s">
        <v>81</v>
      </c>
      <c r="W2579">
        <v>4</v>
      </c>
      <c r="X2579" t="s">
        <v>1135</v>
      </c>
      <c r="Z2579" t="s">
        <v>38</v>
      </c>
      <c r="AB2579" t="s">
        <v>921</v>
      </c>
      <c r="AC2579" t="s">
        <v>1512</v>
      </c>
      <c r="AD2579" t="s">
        <v>1513</v>
      </c>
    </row>
    <row r="2580" spans="1:30" x14ac:dyDescent="0.25">
      <c r="A2580">
        <v>517</v>
      </c>
      <c r="B2580" t="s">
        <v>710</v>
      </c>
      <c r="C2580">
        <v>60</v>
      </c>
      <c r="D2580">
        <v>63</v>
      </c>
      <c r="E2580">
        <v>7588</v>
      </c>
      <c r="F2580" t="s">
        <v>700</v>
      </c>
      <c r="G2580" t="s">
        <v>746</v>
      </c>
      <c r="H2580">
        <v>1</v>
      </c>
      <c r="I2580">
        <v>214.44</v>
      </c>
      <c r="J2580" t="s">
        <v>839</v>
      </c>
      <c r="K2580" t="s">
        <v>812</v>
      </c>
      <c r="M2580" t="s">
        <v>1519</v>
      </c>
      <c r="Q2580" t="s">
        <v>26</v>
      </c>
      <c r="S2580" t="s">
        <v>81</v>
      </c>
      <c r="U2580" t="s">
        <v>81</v>
      </c>
      <c r="W2580">
        <v>4</v>
      </c>
      <c r="X2580" t="s">
        <v>1135</v>
      </c>
      <c r="Z2580" t="s">
        <v>38</v>
      </c>
      <c r="AB2580" t="s">
        <v>921</v>
      </c>
      <c r="AC2580" t="s">
        <v>1516</v>
      </c>
      <c r="AD2580" t="s">
        <v>1517</v>
      </c>
    </row>
    <row r="2581" spans="1:30" x14ac:dyDescent="0.25">
      <c r="A2581">
        <v>518</v>
      </c>
      <c r="B2581" t="s">
        <v>716</v>
      </c>
      <c r="C2581">
        <v>60</v>
      </c>
      <c r="D2581">
        <v>70</v>
      </c>
      <c r="E2581">
        <v>7587</v>
      </c>
      <c r="F2581" t="s">
        <v>700</v>
      </c>
      <c r="G2581" t="s">
        <v>746</v>
      </c>
      <c r="H2581">
        <v>1</v>
      </c>
      <c r="I2581">
        <v>250.16</v>
      </c>
      <c r="J2581" t="s">
        <v>839</v>
      </c>
      <c r="K2581" t="s">
        <v>812</v>
      </c>
      <c r="M2581" t="s">
        <v>1519</v>
      </c>
      <c r="Q2581" t="s">
        <v>26</v>
      </c>
      <c r="S2581" t="s">
        <v>81</v>
      </c>
      <c r="U2581" t="s">
        <v>81</v>
      </c>
      <c r="W2581">
        <v>4</v>
      </c>
      <c r="X2581" t="s">
        <v>1135</v>
      </c>
      <c r="Z2581" t="s">
        <v>38</v>
      </c>
      <c r="AB2581" t="s">
        <v>921</v>
      </c>
      <c r="AC2581" t="s">
        <v>1516</v>
      </c>
      <c r="AD2581" t="s">
        <v>1517</v>
      </c>
    </row>
  </sheetData>
  <autoFilter ref="A10:AD2581" xr:uid="{D88A3EFD-338D-48DC-966D-C4143AC72DEB}">
    <filterColumn colId="22">
      <filters>
        <filter val="4"/>
      </filters>
    </filterColumn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593DC-2920-4A6E-BC2B-122094AF9E6C}">
  <sheetPr filterMode="1"/>
  <dimension ref="A1:Y53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5.7109375" bestFit="1" customWidth="1"/>
    <col min="2" max="2" width="7" bestFit="1" customWidth="1"/>
    <col min="3" max="3" width="30.85546875" bestFit="1" customWidth="1"/>
    <col min="4" max="4" width="6.5703125" bestFit="1" customWidth="1"/>
    <col min="5" max="5" width="10.140625" bestFit="1" customWidth="1"/>
    <col min="6" max="6" width="5" bestFit="1" customWidth="1"/>
    <col min="7" max="8" width="8.7109375" bestFit="1" customWidth="1"/>
    <col min="9" max="9" width="29.28515625" bestFit="1" customWidth="1"/>
    <col min="10" max="10" width="8.28515625" bestFit="1" customWidth="1"/>
    <col min="11" max="11" width="28.140625" bestFit="1" customWidth="1"/>
    <col min="12" max="12" width="14" bestFit="1" customWidth="1"/>
    <col min="13" max="13" width="6.28515625" bestFit="1" customWidth="1"/>
    <col min="14" max="14" width="10.7109375" bestFit="1" customWidth="1"/>
    <col min="15" max="15" width="19.7109375" bestFit="1" customWidth="1"/>
    <col min="16" max="16" width="5.42578125" bestFit="1" customWidth="1"/>
    <col min="18" max="18" width="6.5703125" bestFit="1" customWidth="1"/>
    <col min="20" max="20" width="10.7109375" bestFit="1" customWidth="1"/>
    <col min="21" max="21" width="14.42578125" bestFit="1" customWidth="1"/>
    <col min="22" max="22" width="14.140625" bestFit="1" customWidth="1"/>
    <col min="23" max="23" width="5.85546875" bestFit="1" customWidth="1"/>
    <col min="24" max="24" width="5.140625" bestFit="1" customWidth="1"/>
    <col min="25" max="25" width="6.42578125" bestFit="1" customWidth="1"/>
  </cols>
  <sheetData>
    <row r="1" spans="1:25" ht="45" customHeight="1" x14ac:dyDescent="0.25">
      <c r="A1" s="22" t="s">
        <v>840</v>
      </c>
      <c r="B1" s="22" t="s">
        <v>841</v>
      </c>
      <c r="C1" s="22" t="s">
        <v>842</v>
      </c>
      <c r="D1" s="22" t="s">
        <v>843</v>
      </c>
      <c r="E1" s="22" t="s">
        <v>844</v>
      </c>
      <c r="F1" s="22" t="s">
        <v>762</v>
      </c>
      <c r="G1" s="22" t="s">
        <v>845</v>
      </c>
      <c r="H1" s="22" t="s">
        <v>846</v>
      </c>
      <c r="I1" s="22" t="s">
        <v>847</v>
      </c>
      <c r="J1" s="22" t="s">
        <v>848</v>
      </c>
      <c r="K1" s="22" t="s">
        <v>849</v>
      </c>
      <c r="L1" s="22" t="s">
        <v>850</v>
      </c>
      <c r="M1" s="22" t="s">
        <v>851</v>
      </c>
      <c r="N1" s="22" t="s">
        <v>852</v>
      </c>
      <c r="O1" s="22" t="s">
        <v>853</v>
      </c>
      <c r="P1" s="22" t="s">
        <v>742</v>
      </c>
      <c r="Q1" s="22" t="s">
        <v>854</v>
      </c>
      <c r="R1" s="22" t="s">
        <v>855</v>
      </c>
      <c r="S1" s="22" t="s">
        <v>856</v>
      </c>
      <c r="T1" s="22" t="s">
        <v>857</v>
      </c>
      <c r="U1" s="22" t="s">
        <v>858</v>
      </c>
      <c r="V1" s="22" t="s">
        <v>859</v>
      </c>
      <c r="W1" s="22" t="s">
        <v>860</v>
      </c>
      <c r="X1" s="22" t="s">
        <v>861</v>
      </c>
      <c r="Y1" s="22" t="s">
        <v>862</v>
      </c>
    </row>
    <row r="2" spans="1:25" hidden="1" x14ac:dyDescent="0.25">
      <c r="A2" s="5"/>
      <c r="B2" s="5"/>
      <c r="C2" s="5" t="s">
        <v>863</v>
      </c>
      <c r="D2" s="5" t="s">
        <v>864</v>
      </c>
      <c r="E2" s="5">
        <v>1</v>
      </c>
      <c r="F2" s="5" t="s">
        <v>865</v>
      </c>
      <c r="G2" s="5"/>
      <c r="H2" s="5"/>
      <c r="I2" s="5"/>
      <c r="J2" s="5"/>
      <c r="K2" s="5" t="s">
        <v>40</v>
      </c>
      <c r="L2" s="5" t="s">
        <v>747</v>
      </c>
      <c r="M2" s="5" t="str">
        <f>IF(LEN('List chi tiet'!$B$2)=0,"",'List chi tiet'!$B$2)</f>
        <v>TCTN.DNS.26.004 ĐƯỜNG CAO TỐC VIN</v>
      </c>
      <c r="N2" s="6" t="s">
        <v>37</v>
      </c>
      <c r="O2" s="5" t="s">
        <v>748</v>
      </c>
      <c r="P2" s="5" t="s">
        <v>38</v>
      </c>
      <c r="Q2" s="5"/>
      <c r="R2" s="5" t="s">
        <v>33</v>
      </c>
      <c r="S2" s="5">
        <v>0.47</v>
      </c>
      <c r="T2" s="5">
        <v>5.43</v>
      </c>
      <c r="U2" s="5">
        <v>7.92</v>
      </c>
      <c r="V2" s="5" t="s">
        <v>745</v>
      </c>
      <c r="W2" s="5"/>
      <c r="X2" s="5"/>
      <c r="Y2" s="5"/>
    </row>
    <row r="3" spans="1:25" hidden="1" x14ac:dyDescent="0.25">
      <c r="A3" s="5"/>
      <c r="B3" s="5"/>
      <c r="C3" s="5" t="s">
        <v>866</v>
      </c>
      <c r="D3" s="5">
        <v>2</v>
      </c>
      <c r="E3" s="5">
        <v>-7.92</v>
      </c>
      <c r="F3" s="5" t="s">
        <v>867</v>
      </c>
      <c r="G3" s="5"/>
      <c r="H3" s="5"/>
      <c r="I3" s="5"/>
      <c r="J3" s="5"/>
      <c r="K3" s="5" t="s">
        <v>868</v>
      </c>
      <c r="L3" s="5" t="s">
        <v>747</v>
      </c>
      <c r="M3" s="5" t="str">
        <f>IF(LEN('List chi tiet'!$B$2)=0,"",'List chi tiet'!$B$2)</f>
        <v>TCTN.DNS.26.004 ĐƯỜNG CAO TỐC VIN</v>
      </c>
      <c r="N3" s="6" t="s">
        <v>37</v>
      </c>
      <c r="O3" s="5" t="s">
        <v>748</v>
      </c>
      <c r="P3" s="5" t="s">
        <v>38</v>
      </c>
      <c r="Q3" s="5"/>
      <c r="R3" s="5" t="s">
        <v>33</v>
      </c>
      <c r="S3" s="5"/>
      <c r="T3" s="5"/>
      <c r="U3" s="5"/>
      <c r="V3" s="5"/>
      <c r="W3" s="5"/>
      <c r="X3" s="5"/>
      <c r="Y3" s="5"/>
    </row>
    <row r="4" spans="1:25" hidden="1" x14ac:dyDescent="0.25">
      <c r="A4" s="5"/>
      <c r="B4" s="5"/>
      <c r="C4" s="5" t="s">
        <v>863</v>
      </c>
      <c r="D4" s="5" t="s">
        <v>864</v>
      </c>
      <c r="E4" s="5">
        <v>1</v>
      </c>
      <c r="F4" s="5" t="s">
        <v>865</v>
      </c>
      <c r="G4" s="5"/>
      <c r="H4" s="5"/>
      <c r="I4" s="5"/>
      <c r="J4" s="5"/>
      <c r="K4" s="5" t="s">
        <v>44</v>
      </c>
      <c r="L4" s="5" t="s">
        <v>747</v>
      </c>
      <c r="M4" s="5" t="str">
        <f>IF(LEN('List chi tiet'!$B$2)=0,"",'List chi tiet'!$B$2)</f>
        <v>TCTN.DNS.26.004 ĐƯỜNG CAO TỐC VIN</v>
      </c>
      <c r="N4" s="6" t="s">
        <v>37</v>
      </c>
      <c r="O4" s="5" t="s">
        <v>748</v>
      </c>
      <c r="P4" s="5" t="s">
        <v>38</v>
      </c>
      <c r="Q4" s="5"/>
      <c r="R4" s="5" t="s">
        <v>33</v>
      </c>
      <c r="S4" s="5">
        <v>0.56999999999999995</v>
      </c>
      <c r="T4" s="5">
        <v>0</v>
      </c>
      <c r="U4" s="5">
        <v>0</v>
      </c>
      <c r="V4" s="5" t="s">
        <v>745</v>
      </c>
      <c r="W4" s="5"/>
      <c r="X4" s="5"/>
      <c r="Y4" s="5"/>
    </row>
    <row r="5" spans="1:25" hidden="1" x14ac:dyDescent="0.25">
      <c r="A5" s="5"/>
      <c r="B5" s="5"/>
      <c r="C5" s="5" t="s">
        <v>863</v>
      </c>
      <c r="D5" s="5" t="s">
        <v>864</v>
      </c>
      <c r="E5" s="5">
        <v>1</v>
      </c>
      <c r="F5" s="5" t="s">
        <v>865</v>
      </c>
      <c r="G5" s="5"/>
      <c r="H5" s="5"/>
      <c r="I5" s="5"/>
      <c r="J5" s="5"/>
      <c r="K5" s="5" t="s">
        <v>47</v>
      </c>
      <c r="L5" s="5" t="s">
        <v>747</v>
      </c>
      <c r="M5" s="5" t="str">
        <f>IF(LEN('List chi tiet'!$B$2)=0,"",'List chi tiet'!$B$2)</f>
        <v>TCTN.DNS.26.004 ĐƯỜNG CAO TỐC VIN</v>
      </c>
      <c r="N5" s="6" t="s">
        <v>37</v>
      </c>
      <c r="O5" s="5" t="s">
        <v>748</v>
      </c>
      <c r="P5" s="5" t="s">
        <v>38</v>
      </c>
      <c r="Q5" s="5"/>
      <c r="R5" s="5" t="s">
        <v>33</v>
      </c>
      <c r="S5" s="5">
        <v>0.56999999999999995</v>
      </c>
      <c r="T5" s="5">
        <v>0</v>
      </c>
      <c r="U5" s="5">
        <v>0</v>
      </c>
      <c r="V5" s="5" t="s">
        <v>745</v>
      </c>
      <c r="W5" s="5"/>
      <c r="X5" s="5"/>
      <c r="Y5" s="5"/>
    </row>
    <row r="6" spans="1:25" hidden="1" x14ac:dyDescent="0.25">
      <c r="A6" s="5"/>
      <c r="B6" s="5"/>
      <c r="C6" s="5" t="s">
        <v>863</v>
      </c>
      <c r="D6" s="5" t="s">
        <v>864</v>
      </c>
      <c r="E6" s="5">
        <v>1</v>
      </c>
      <c r="F6" s="5" t="s">
        <v>865</v>
      </c>
      <c r="G6" s="5"/>
      <c r="H6" s="5"/>
      <c r="I6" s="5"/>
      <c r="J6" s="5"/>
      <c r="K6" s="5" t="s">
        <v>51</v>
      </c>
      <c r="L6" s="5" t="s">
        <v>747</v>
      </c>
      <c r="M6" s="5" t="str">
        <f>IF(LEN('List chi tiet'!$B$2)=0,"",'List chi tiet'!$B$2)</f>
        <v>TCTN.DNS.26.004 ĐƯỜNG CAO TỐC VIN</v>
      </c>
      <c r="N6" s="6" t="s">
        <v>37</v>
      </c>
      <c r="O6" s="5" t="s">
        <v>748</v>
      </c>
      <c r="P6" s="5" t="s">
        <v>38</v>
      </c>
      <c r="Q6" s="5"/>
      <c r="R6" s="5" t="s">
        <v>33</v>
      </c>
      <c r="S6" s="5">
        <v>0.47</v>
      </c>
      <c r="T6" s="5">
        <v>0</v>
      </c>
      <c r="U6" s="5">
        <v>15.07</v>
      </c>
      <c r="V6" s="5" t="s">
        <v>745</v>
      </c>
      <c r="W6" s="5"/>
      <c r="X6" s="5"/>
      <c r="Y6" s="5"/>
    </row>
    <row r="7" spans="1:25" hidden="1" x14ac:dyDescent="0.25">
      <c r="A7" s="5"/>
      <c r="B7" s="5"/>
      <c r="C7" s="5" t="s">
        <v>866</v>
      </c>
      <c r="D7" s="5">
        <v>2</v>
      </c>
      <c r="E7" s="5">
        <v>-15.07</v>
      </c>
      <c r="F7" s="5" t="s">
        <v>867</v>
      </c>
      <c r="G7" s="5"/>
      <c r="H7" s="5"/>
      <c r="I7" s="5"/>
      <c r="J7" s="5"/>
      <c r="K7" s="5" t="s">
        <v>869</v>
      </c>
      <c r="L7" s="5" t="s">
        <v>747</v>
      </c>
      <c r="M7" s="5" t="str">
        <f>IF(LEN('List chi tiet'!$B$2)=0,"",'List chi tiet'!$B$2)</f>
        <v>TCTN.DNS.26.004 ĐƯỜNG CAO TỐC VIN</v>
      </c>
      <c r="N7" s="6" t="s">
        <v>37</v>
      </c>
      <c r="O7" s="5" t="s">
        <v>748</v>
      </c>
      <c r="P7" s="5" t="s">
        <v>38</v>
      </c>
      <c r="Q7" s="5"/>
      <c r="R7" s="5" t="s">
        <v>33</v>
      </c>
      <c r="S7" s="5"/>
      <c r="T7" s="5"/>
      <c r="U7" s="5"/>
      <c r="V7" s="5"/>
      <c r="W7" s="5"/>
      <c r="X7" s="5"/>
      <c r="Y7" s="5"/>
    </row>
    <row r="8" spans="1:25" hidden="1" x14ac:dyDescent="0.25">
      <c r="A8" s="5"/>
      <c r="B8" s="5"/>
      <c r="C8" s="5" t="s">
        <v>863</v>
      </c>
      <c r="D8" s="5" t="s">
        <v>864</v>
      </c>
      <c r="E8" s="5">
        <v>1</v>
      </c>
      <c r="F8" s="5" t="s">
        <v>865</v>
      </c>
      <c r="G8" s="5"/>
      <c r="H8" s="5"/>
      <c r="I8" s="5"/>
      <c r="J8" s="5"/>
      <c r="K8" s="5" t="s">
        <v>54</v>
      </c>
      <c r="L8" s="5" t="s">
        <v>747</v>
      </c>
      <c r="M8" s="5" t="str">
        <f>IF(LEN('List chi tiet'!$B$2)=0,"",'List chi tiet'!$B$2)</f>
        <v>TCTN.DNS.26.004 ĐƯỜNG CAO TỐC VIN</v>
      </c>
      <c r="N8" s="6" t="s">
        <v>37</v>
      </c>
      <c r="O8" s="5" t="s">
        <v>748</v>
      </c>
      <c r="P8" s="5" t="s">
        <v>38</v>
      </c>
      <c r="Q8" s="5"/>
      <c r="R8" s="5" t="s">
        <v>33</v>
      </c>
      <c r="S8" s="5">
        <v>0.47</v>
      </c>
      <c r="T8" s="5">
        <v>0</v>
      </c>
      <c r="U8" s="5">
        <v>15.07</v>
      </c>
      <c r="V8" s="5" t="s">
        <v>745</v>
      </c>
      <c r="W8" s="5"/>
      <c r="X8" s="5"/>
      <c r="Y8" s="5"/>
    </row>
    <row r="9" spans="1:25" hidden="1" x14ac:dyDescent="0.25">
      <c r="A9" s="5"/>
      <c r="B9" s="5"/>
      <c r="C9" s="5" t="s">
        <v>866</v>
      </c>
      <c r="D9" s="5">
        <v>2</v>
      </c>
      <c r="E9" s="5">
        <v>-15.07</v>
      </c>
      <c r="F9" s="5" t="s">
        <v>867</v>
      </c>
      <c r="G9" s="5"/>
      <c r="H9" s="5"/>
      <c r="I9" s="5"/>
      <c r="J9" s="5"/>
      <c r="K9" s="5" t="s">
        <v>870</v>
      </c>
      <c r="L9" s="5" t="s">
        <v>747</v>
      </c>
      <c r="M9" s="5" t="str">
        <f>IF(LEN('List chi tiet'!$B$2)=0,"",'List chi tiet'!$B$2)</f>
        <v>TCTN.DNS.26.004 ĐƯỜNG CAO TỐC VIN</v>
      </c>
      <c r="N9" s="6" t="s">
        <v>37</v>
      </c>
      <c r="O9" s="5" t="s">
        <v>748</v>
      </c>
      <c r="P9" s="5" t="s">
        <v>38</v>
      </c>
      <c r="Q9" s="5"/>
      <c r="R9" s="5" t="s">
        <v>33</v>
      </c>
      <c r="S9" s="5"/>
      <c r="T9" s="5"/>
      <c r="U9" s="5"/>
      <c r="V9" s="5"/>
      <c r="W9" s="5"/>
      <c r="X9" s="5"/>
      <c r="Y9" s="5"/>
    </row>
    <row r="10" spans="1:25" hidden="1" x14ac:dyDescent="0.25">
      <c r="A10" s="5"/>
      <c r="B10" s="5"/>
      <c r="C10" s="5" t="s">
        <v>863</v>
      </c>
      <c r="D10" s="5" t="s">
        <v>864</v>
      </c>
      <c r="E10" s="5">
        <v>1</v>
      </c>
      <c r="F10" s="5" t="s">
        <v>865</v>
      </c>
      <c r="G10" s="5"/>
      <c r="H10" s="5"/>
      <c r="I10" s="5"/>
      <c r="J10" s="5"/>
      <c r="K10" s="5" t="s">
        <v>57</v>
      </c>
      <c r="L10" s="5" t="s">
        <v>747</v>
      </c>
      <c r="M10" s="5" t="str">
        <f>IF(LEN('List chi tiet'!$B$2)=0,"",'List chi tiet'!$B$2)</f>
        <v>TCTN.DNS.26.004 ĐƯỜNG CAO TỐC VIN</v>
      </c>
      <c r="N10" s="6" t="s">
        <v>37</v>
      </c>
      <c r="O10" s="5" t="s">
        <v>748</v>
      </c>
      <c r="P10" s="5" t="s">
        <v>38</v>
      </c>
      <c r="Q10" s="5"/>
      <c r="R10" s="5" t="s">
        <v>33</v>
      </c>
      <c r="S10" s="5">
        <v>0.47</v>
      </c>
      <c r="T10" s="5">
        <v>0</v>
      </c>
      <c r="U10" s="5">
        <v>15.07</v>
      </c>
      <c r="V10" s="5" t="s">
        <v>745</v>
      </c>
      <c r="W10" s="5"/>
      <c r="X10" s="5"/>
      <c r="Y10" s="5"/>
    </row>
    <row r="11" spans="1:25" hidden="1" x14ac:dyDescent="0.25">
      <c r="A11" s="5"/>
      <c r="B11" s="5"/>
      <c r="C11" s="5" t="s">
        <v>866</v>
      </c>
      <c r="D11" s="5">
        <v>2</v>
      </c>
      <c r="E11" s="5">
        <v>-15.07</v>
      </c>
      <c r="F11" s="5" t="s">
        <v>867</v>
      </c>
      <c r="G11" s="5"/>
      <c r="H11" s="5"/>
      <c r="I11" s="5"/>
      <c r="J11" s="5"/>
      <c r="K11" s="5" t="s">
        <v>871</v>
      </c>
      <c r="L11" s="5" t="s">
        <v>747</v>
      </c>
      <c r="M11" s="5" t="str">
        <f>IF(LEN('List chi tiet'!$B$2)=0,"",'List chi tiet'!$B$2)</f>
        <v>TCTN.DNS.26.004 ĐƯỜNG CAO TỐC VIN</v>
      </c>
      <c r="N11" s="6" t="s">
        <v>37</v>
      </c>
      <c r="O11" s="5" t="s">
        <v>748</v>
      </c>
      <c r="P11" s="5" t="s">
        <v>38</v>
      </c>
      <c r="Q11" s="5"/>
      <c r="R11" s="5" t="s">
        <v>33</v>
      </c>
      <c r="S11" s="5"/>
      <c r="T11" s="5"/>
      <c r="U11" s="5"/>
      <c r="V11" s="5"/>
      <c r="W11" s="5"/>
      <c r="X11" s="5"/>
      <c r="Y11" s="5"/>
    </row>
    <row r="12" spans="1:25" hidden="1" x14ac:dyDescent="0.25">
      <c r="A12" s="5"/>
      <c r="B12" s="5"/>
      <c r="C12" s="5" t="s">
        <v>863</v>
      </c>
      <c r="D12" s="5" t="s">
        <v>864</v>
      </c>
      <c r="E12" s="5">
        <v>1</v>
      </c>
      <c r="F12" s="5" t="s">
        <v>865</v>
      </c>
      <c r="G12" s="5"/>
      <c r="H12" s="5"/>
      <c r="I12" s="5"/>
      <c r="J12" s="5"/>
      <c r="K12" s="5" t="s">
        <v>60</v>
      </c>
      <c r="L12" s="5" t="s">
        <v>747</v>
      </c>
      <c r="M12" s="5" t="str">
        <f>IF(LEN('List chi tiet'!$B$2)=0,"",'List chi tiet'!$B$2)</f>
        <v>TCTN.DNS.26.004 ĐƯỜNG CAO TỐC VIN</v>
      </c>
      <c r="N12" s="6" t="s">
        <v>37</v>
      </c>
      <c r="O12" s="5" t="s">
        <v>748</v>
      </c>
      <c r="P12" s="5" t="s">
        <v>38</v>
      </c>
      <c r="Q12" s="5"/>
      <c r="R12" s="5" t="s">
        <v>33</v>
      </c>
      <c r="S12" s="5">
        <v>0.47</v>
      </c>
      <c r="T12" s="5">
        <v>0</v>
      </c>
      <c r="U12" s="5">
        <v>15.07</v>
      </c>
      <c r="V12" s="5" t="s">
        <v>745</v>
      </c>
      <c r="W12" s="5"/>
      <c r="X12" s="5"/>
      <c r="Y12" s="5"/>
    </row>
    <row r="13" spans="1:25" hidden="1" x14ac:dyDescent="0.25">
      <c r="A13" s="5"/>
      <c r="B13" s="5"/>
      <c r="C13" s="5" t="s">
        <v>866</v>
      </c>
      <c r="D13" s="5">
        <v>2</v>
      </c>
      <c r="E13" s="5">
        <v>-15.07</v>
      </c>
      <c r="F13" s="5" t="s">
        <v>867</v>
      </c>
      <c r="G13" s="5"/>
      <c r="H13" s="5"/>
      <c r="I13" s="5"/>
      <c r="J13" s="5"/>
      <c r="K13" s="5" t="s">
        <v>872</v>
      </c>
      <c r="L13" s="5" t="s">
        <v>747</v>
      </c>
      <c r="M13" s="5" t="str">
        <f>IF(LEN('List chi tiet'!$B$2)=0,"",'List chi tiet'!$B$2)</f>
        <v>TCTN.DNS.26.004 ĐƯỜNG CAO TỐC VIN</v>
      </c>
      <c r="N13" s="6" t="s">
        <v>37</v>
      </c>
      <c r="O13" s="5" t="s">
        <v>748</v>
      </c>
      <c r="P13" s="5" t="s">
        <v>38</v>
      </c>
      <c r="Q13" s="5"/>
      <c r="R13" s="5" t="s">
        <v>33</v>
      </c>
      <c r="S13" s="5"/>
      <c r="T13" s="5"/>
      <c r="U13" s="5"/>
      <c r="V13" s="5"/>
      <c r="W13" s="5"/>
      <c r="X13" s="5"/>
      <c r="Y13" s="5"/>
    </row>
    <row r="14" spans="1:25" hidden="1" x14ac:dyDescent="0.25">
      <c r="A14" s="5"/>
      <c r="B14" s="5"/>
      <c r="C14" s="5" t="s">
        <v>863</v>
      </c>
      <c r="D14" s="5" t="s">
        <v>864</v>
      </c>
      <c r="E14" s="5">
        <v>1</v>
      </c>
      <c r="F14" s="5" t="s">
        <v>865</v>
      </c>
      <c r="G14" s="5"/>
      <c r="H14" s="5"/>
      <c r="I14" s="5"/>
      <c r="J14" s="5"/>
      <c r="K14" s="5" t="s">
        <v>64</v>
      </c>
      <c r="L14" s="5" t="s">
        <v>747</v>
      </c>
      <c r="M14" s="5" t="str">
        <f>IF(LEN('List chi tiet'!$B$2)=0,"",'List chi tiet'!$B$2)</f>
        <v>TCTN.DNS.26.004 ĐƯỜNG CAO TỐC VIN</v>
      </c>
      <c r="N14" s="6" t="s">
        <v>37</v>
      </c>
      <c r="O14" s="5" t="s">
        <v>748</v>
      </c>
      <c r="P14" s="5" t="s">
        <v>38</v>
      </c>
      <c r="Q14" s="5"/>
      <c r="R14" s="5" t="s">
        <v>33</v>
      </c>
      <c r="S14" s="5">
        <v>0.44</v>
      </c>
      <c r="T14" s="5">
        <v>3.33</v>
      </c>
      <c r="U14" s="5">
        <v>15.07</v>
      </c>
      <c r="V14" s="5" t="s">
        <v>745</v>
      </c>
      <c r="W14" s="5"/>
      <c r="X14" s="5"/>
      <c r="Y14" s="5"/>
    </row>
    <row r="15" spans="1:25" hidden="1" x14ac:dyDescent="0.25">
      <c r="A15" s="5"/>
      <c r="B15" s="5"/>
      <c r="C15" s="5" t="s">
        <v>866</v>
      </c>
      <c r="D15" s="5">
        <v>2</v>
      </c>
      <c r="E15" s="5">
        <v>-15.07</v>
      </c>
      <c r="F15" s="5" t="s">
        <v>867</v>
      </c>
      <c r="G15" s="5"/>
      <c r="H15" s="5"/>
      <c r="I15" s="5"/>
      <c r="J15" s="5"/>
      <c r="K15" s="5" t="s">
        <v>873</v>
      </c>
      <c r="L15" s="5" t="s">
        <v>747</v>
      </c>
      <c r="M15" s="5" t="str">
        <f>IF(LEN('List chi tiet'!$B$2)=0,"",'List chi tiet'!$B$2)</f>
        <v>TCTN.DNS.26.004 ĐƯỜNG CAO TỐC VIN</v>
      </c>
      <c r="N15" s="6" t="s">
        <v>37</v>
      </c>
      <c r="O15" s="5" t="s">
        <v>748</v>
      </c>
      <c r="P15" s="5" t="s">
        <v>38</v>
      </c>
      <c r="Q15" s="5"/>
      <c r="R15" s="5" t="s">
        <v>33</v>
      </c>
      <c r="S15" s="5"/>
      <c r="T15" s="5"/>
      <c r="U15" s="5"/>
      <c r="V15" s="5"/>
      <c r="W15" s="5"/>
      <c r="X15" s="5"/>
      <c r="Y15" s="5"/>
    </row>
    <row r="16" spans="1:25" hidden="1" x14ac:dyDescent="0.25">
      <c r="A16" s="5"/>
      <c r="B16" s="5"/>
      <c r="C16" s="5" t="s">
        <v>863</v>
      </c>
      <c r="D16" s="5" t="s">
        <v>864</v>
      </c>
      <c r="E16" s="5">
        <v>1</v>
      </c>
      <c r="F16" s="5" t="s">
        <v>865</v>
      </c>
      <c r="G16" s="5"/>
      <c r="H16" s="5"/>
      <c r="I16" s="5"/>
      <c r="J16" s="5"/>
      <c r="K16" s="5" t="s">
        <v>69</v>
      </c>
      <c r="L16" s="5" t="s">
        <v>747</v>
      </c>
      <c r="M16" s="5" t="str">
        <f>IF(LEN('List chi tiet'!$B$2)=0,"",'List chi tiet'!$B$2)</f>
        <v>TCTN.DNS.26.004 ĐƯỜNG CAO TỐC VIN</v>
      </c>
      <c r="N16" s="6" t="s">
        <v>37</v>
      </c>
      <c r="O16" s="5" t="s">
        <v>748</v>
      </c>
      <c r="P16" s="5" t="s">
        <v>38</v>
      </c>
      <c r="Q16" s="5"/>
      <c r="R16" s="5" t="s">
        <v>33</v>
      </c>
      <c r="S16" s="5">
        <v>0.14000000000000001</v>
      </c>
      <c r="T16" s="5">
        <v>0</v>
      </c>
      <c r="U16" s="5">
        <v>61.67</v>
      </c>
      <c r="V16" s="5" t="s">
        <v>745</v>
      </c>
      <c r="W16" s="5"/>
      <c r="X16" s="5"/>
      <c r="Y16" s="5"/>
    </row>
    <row r="17" spans="1:25" hidden="1" x14ac:dyDescent="0.25">
      <c r="A17" s="5"/>
      <c r="B17" s="5"/>
      <c r="C17" s="5" t="s">
        <v>866</v>
      </c>
      <c r="D17" s="5">
        <v>2</v>
      </c>
      <c r="E17" s="5">
        <v>-61.67</v>
      </c>
      <c r="F17" s="5" t="s">
        <v>867</v>
      </c>
      <c r="G17" s="5"/>
      <c r="H17" s="5"/>
      <c r="I17" s="5"/>
      <c r="J17" s="5"/>
      <c r="K17" s="5" t="s">
        <v>874</v>
      </c>
      <c r="L17" s="5" t="s">
        <v>747</v>
      </c>
      <c r="M17" s="5" t="str">
        <f>IF(LEN('List chi tiet'!$B$2)=0,"",'List chi tiet'!$B$2)</f>
        <v>TCTN.DNS.26.004 ĐƯỜNG CAO TỐC VIN</v>
      </c>
      <c r="N17" s="6" t="s">
        <v>37</v>
      </c>
      <c r="O17" s="5" t="s">
        <v>748</v>
      </c>
      <c r="P17" s="5" t="s">
        <v>38</v>
      </c>
      <c r="Q17" s="5"/>
      <c r="R17" s="5" t="s">
        <v>33</v>
      </c>
      <c r="S17" s="5"/>
      <c r="T17" s="5"/>
      <c r="U17" s="5"/>
      <c r="V17" s="5"/>
      <c r="W17" s="5"/>
      <c r="X17" s="5"/>
      <c r="Y17" s="5"/>
    </row>
    <row r="18" spans="1:25" hidden="1" x14ac:dyDescent="0.25">
      <c r="A18" s="5"/>
      <c r="B18" s="5"/>
      <c r="C18" s="5" t="s">
        <v>863</v>
      </c>
      <c r="D18" s="5" t="s">
        <v>864</v>
      </c>
      <c r="E18" s="5">
        <v>1</v>
      </c>
      <c r="F18" s="5" t="s">
        <v>865</v>
      </c>
      <c r="G18" s="5"/>
      <c r="H18" s="5"/>
      <c r="I18" s="5"/>
      <c r="J18" s="5"/>
      <c r="K18" s="5" t="s">
        <v>73</v>
      </c>
      <c r="L18" s="5" t="s">
        <v>747</v>
      </c>
      <c r="M18" s="5" t="str">
        <f>IF(LEN('List chi tiet'!$B$2)=0,"",'List chi tiet'!$B$2)</f>
        <v>TCTN.DNS.26.004 ĐƯỜNG CAO TỐC VIN</v>
      </c>
      <c r="N18" s="6" t="s">
        <v>37</v>
      </c>
      <c r="O18" s="5" t="s">
        <v>748</v>
      </c>
      <c r="P18" s="5" t="s">
        <v>38</v>
      </c>
      <c r="Q18" s="5"/>
      <c r="R18" s="5" t="s">
        <v>33</v>
      </c>
      <c r="S18" s="5">
        <v>0.34</v>
      </c>
      <c r="T18" s="5">
        <v>0.19</v>
      </c>
      <c r="U18" s="5">
        <v>32.880000000000003</v>
      </c>
      <c r="V18" s="5" t="s">
        <v>745</v>
      </c>
      <c r="W18" s="5"/>
      <c r="X18" s="5"/>
      <c r="Y18" s="5"/>
    </row>
    <row r="19" spans="1:25" hidden="1" x14ac:dyDescent="0.25">
      <c r="A19" s="5"/>
      <c r="B19" s="5"/>
      <c r="C19" s="5" t="s">
        <v>866</v>
      </c>
      <c r="D19" s="5">
        <v>2</v>
      </c>
      <c r="E19" s="5">
        <v>-32.880000000000003</v>
      </c>
      <c r="F19" s="5" t="s">
        <v>867</v>
      </c>
      <c r="G19" s="5"/>
      <c r="H19" s="5"/>
      <c r="I19" s="5"/>
      <c r="J19" s="5"/>
      <c r="K19" s="5" t="s">
        <v>875</v>
      </c>
      <c r="L19" s="5" t="s">
        <v>747</v>
      </c>
      <c r="M19" s="5" t="str">
        <f>IF(LEN('List chi tiet'!$B$2)=0,"",'List chi tiet'!$B$2)</f>
        <v>TCTN.DNS.26.004 ĐƯỜNG CAO TỐC VIN</v>
      </c>
      <c r="N19" s="6" t="s">
        <v>37</v>
      </c>
      <c r="O19" s="5" t="s">
        <v>748</v>
      </c>
      <c r="P19" s="5" t="s">
        <v>38</v>
      </c>
      <c r="Q19" s="5"/>
      <c r="R19" s="5" t="s">
        <v>33</v>
      </c>
      <c r="S19" s="5"/>
      <c r="T19" s="5"/>
      <c r="U19" s="5"/>
      <c r="V19" s="5"/>
      <c r="W19" s="5"/>
      <c r="X19" s="5"/>
      <c r="Y19" s="5"/>
    </row>
    <row r="20" spans="1:25" hidden="1" x14ac:dyDescent="0.25">
      <c r="A20" s="5"/>
      <c r="B20" s="5"/>
      <c r="C20" s="5" t="s">
        <v>876</v>
      </c>
      <c r="D20" s="5" t="s">
        <v>877</v>
      </c>
      <c r="E20" s="5">
        <v>1</v>
      </c>
      <c r="F20" s="5" t="s">
        <v>865</v>
      </c>
      <c r="G20" s="5"/>
      <c r="H20" s="5"/>
      <c r="I20" s="5"/>
      <c r="J20" s="5"/>
      <c r="K20" s="5" t="s">
        <v>82</v>
      </c>
      <c r="L20" s="5" t="s">
        <v>747</v>
      </c>
      <c r="M20" s="5" t="str">
        <f>IF(LEN('List chi tiet'!$B$2)=0,"",'List chi tiet'!$B$2)</f>
        <v>TCTN.DNS.26.004 ĐƯỜNG CAO TỐC VIN</v>
      </c>
      <c r="N20" s="6" t="s">
        <v>37</v>
      </c>
      <c r="O20" s="5" t="s">
        <v>748</v>
      </c>
      <c r="P20" s="5" t="s">
        <v>38</v>
      </c>
      <c r="Q20" s="5"/>
      <c r="R20" s="5" t="s">
        <v>77</v>
      </c>
      <c r="S20" s="5">
        <v>1.42</v>
      </c>
      <c r="T20" s="5">
        <v>43.05</v>
      </c>
      <c r="U20" s="5">
        <v>105.98</v>
      </c>
      <c r="V20" s="5" t="s">
        <v>749</v>
      </c>
      <c r="W20" s="5"/>
      <c r="X20" s="5"/>
      <c r="Y20" s="5"/>
    </row>
    <row r="21" spans="1:25" hidden="1" x14ac:dyDescent="0.25">
      <c r="A21" s="5"/>
      <c r="B21" s="5"/>
      <c r="C21" s="5" t="s">
        <v>878</v>
      </c>
      <c r="D21" s="5">
        <v>5</v>
      </c>
      <c r="E21" s="5">
        <v>-105.98</v>
      </c>
      <c r="F21" s="5" t="s">
        <v>867</v>
      </c>
      <c r="G21" s="5"/>
      <c r="H21" s="5"/>
      <c r="I21" s="5"/>
      <c r="J21" s="5"/>
      <c r="K21" s="5" t="s">
        <v>879</v>
      </c>
      <c r="L21" s="5" t="s">
        <v>747</v>
      </c>
      <c r="M21" s="5" t="str">
        <f>IF(LEN('List chi tiet'!$B$2)=0,"",'List chi tiet'!$B$2)</f>
        <v>TCTN.DNS.26.004 ĐƯỜNG CAO TỐC VIN</v>
      </c>
      <c r="N21" s="6" t="s">
        <v>37</v>
      </c>
      <c r="O21" s="5" t="s">
        <v>748</v>
      </c>
      <c r="P21" s="5" t="s">
        <v>38</v>
      </c>
      <c r="Q21" s="5"/>
      <c r="R21" s="5" t="s">
        <v>77</v>
      </c>
      <c r="S21" s="5"/>
      <c r="T21" s="5"/>
      <c r="U21" s="5"/>
      <c r="V21" s="5"/>
      <c r="W21" s="5"/>
      <c r="X21" s="5"/>
      <c r="Y21" s="5"/>
    </row>
    <row r="22" spans="1:25" hidden="1" x14ac:dyDescent="0.25">
      <c r="A22" s="5"/>
      <c r="B22" s="5"/>
      <c r="C22" s="5" t="s">
        <v>880</v>
      </c>
      <c r="D22" s="5" t="s">
        <v>881</v>
      </c>
      <c r="E22" s="5">
        <v>1</v>
      </c>
      <c r="F22" s="5" t="s">
        <v>865</v>
      </c>
      <c r="G22" s="5"/>
      <c r="H22" s="5"/>
      <c r="I22" s="5"/>
      <c r="J22" s="5"/>
      <c r="K22" s="5" t="s">
        <v>99</v>
      </c>
      <c r="L22" s="5" t="s">
        <v>747</v>
      </c>
      <c r="M22" s="5" t="str">
        <f>IF(LEN('List chi tiet'!$B$2)=0,"",'List chi tiet'!$B$2)</f>
        <v>TCTN.DNS.26.004 ĐƯỜNG CAO TỐC VIN</v>
      </c>
      <c r="N22" s="6" t="s">
        <v>37</v>
      </c>
      <c r="O22" s="5" t="s">
        <v>748</v>
      </c>
      <c r="P22" s="5" t="s">
        <v>38</v>
      </c>
      <c r="Q22" s="5"/>
      <c r="R22" s="5" t="s">
        <v>77</v>
      </c>
      <c r="S22" s="5">
        <v>5.0199999999999996</v>
      </c>
      <c r="T22" s="5">
        <v>32.47</v>
      </c>
      <c r="U22" s="5">
        <v>92.71</v>
      </c>
      <c r="V22" s="5" t="s">
        <v>750</v>
      </c>
      <c r="W22" s="5"/>
      <c r="X22" s="5"/>
      <c r="Y22" s="5"/>
    </row>
    <row r="23" spans="1:25" hidden="1" x14ac:dyDescent="0.25">
      <c r="A23" s="5"/>
      <c r="B23" s="5"/>
      <c r="C23" s="5" t="s">
        <v>878</v>
      </c>
      <c r="D23" s="5">
        <v>6</v>
      </c>
      <c r="E23" s="5">
        <v>-92.71</v>
      </c>
      <c r="F23" s="5" t="s">
        <v>867</v>
      </c>
      <c r="G23" s="5"/>
      <c r="H23" s="5"/>
      <c r="I23" s="5"/>
      <c r="J23" s="5"/>
      <c r="K23" s="5" t="s">
        <v>882</v>
      </c>
      <c r="L23" s="5" t="s">
        <v>747</v>
      </c>
      <c r="M23" s="5" t="str">
        <f>IF(LEN('List chi tiet'!$B$2)=0,"",'List chi tiet'!$B$2)</f>
        <v>TCTN.DNS.26.004 ĐƯỜNG CAO TỐC VIN</v>
      </c>
      <c r="N23" s="6" t="s">
        <v>37</v>
      </c>
      <c r="O23" s="5" t="s">
        <v>748</v>
      </c>
      <c r="P23" s="5" t="s">
        <v>38</v>
      </c>
      <c r="Q23" s="5"/>
      <c r="R23" s="5" t="s">
        <v>77</v>
      </c>
      <c r="S23" s="5"/>
      <c r="T23" s="5"/>
      <c r="U23" s="5"/>
      <c r="V23" s="5"/>
      <c r="W23" s="5"/>
      <c r="X23" s="5"/>
      <c r="Y23" s="5"/>
    </row>
    <row r="24" spans="1:25" hidden="1" x14ac:dyDescent="0.25">
      <c r="A24" s="5"/>
      <c r="B24" s="5"/>
      <c r="C24" s="5" t="s">
        <v>880</v>
      </c>
      <c r="D24" s="5" t="s">
        <v>881</v>
      </c>
      <c r="E24" s="5">
        <v>1</v>
      </c>
      <c r="F24" s="5" t="s">
        <v>865</v>
      </c>
      <c r="G24" s="5"/>
      <c r="H24" s="5"/>
      <c r="I24" s="5"/>
      <c r="J24" s="5"/>
      <c r="K24" s="5" t="s">
        <v>120</v>
      </c>
      <c r="L24" s="5" t="s">
        <v>747</v>
      </c>
      <c r="M24" s="5" t="str">
        <f>IF(LEN('List chi tiet'!$B$2)=0,"",'List chi tiet'!$B$2)</f>
        <v>TCTN.DNS.26.004 ĐƯỜNG CAO TỐC VIN</v>
      </c>
      <c r="N24" s="6" t="s">
        <v>37</v>
      </c>
      <c r="O24" s="5" t="s">
        <v>748</v>
      </c>
      <c r="P24" s="5" t="s">
        <v>38</v>
      </c>
      <c r="Q24" s="5"/>
      <c r="R24" s="5" t="s">
        <v>77</v>
      </c>
      <c r="S24" s="5">
        <v>5.09</v>
      </c>
      <c r="T24" s="5">
        <v>22.74</v>
      </c>
      <c r="U24" s="5">
        <v>92.71</v>
      </c>
      <c r="V24" s="5" t="s">
        <v>750</v>
      </c>
      <c r="W24" s="5"/>
      <c r="X24" s="5"/>
      <c r="Y24" s="5"/>
    </row>
    <row r="25" spans="1:25" hidden="1" x14ac:dyDescent="0.25">
      <c r="A25" s="5"/>
      <c r="B25" s="5"/>
      <c r="C25" s="5" t="s">
        <v>878</v>
      </c>
      <c r="D25" s="5">
        <v>6</v>
      </c>
      <c r="E25" s="5">
        <v>-92.71</v>
      </c>
      <c r="F25" s="5" t="s">
        <v>867</v>
      </c>
      <c r="G25" s="5"/>
      <c r="H25" s="5"/>
      <c r="I25" s="5"/>
      <c r="J25" s="5"/>
      <c r="K25" s="5" t="s">
        <v>883</v>
      </c>
      <c r="L25" s="5" t="s">
        <v>747</v>
      </c>
      <c r="M25" s="5" t="str">
        <f>IF(LEN('List chi tiet'!$B$2)=0,"",'List chi tiet'!$B$2)</f>
        <v>TCTN.DNS.26.004 ĐƯỜNG CAO TỐC VIN</v>
      </c>
      <c r="N25" s="6" t="s">
        <v>37</v>
      </c>
      <c r="O25" s="5" t="s">
        <v>748</v>
      </c>
      <c r="P25" s="5" t="s">
        <v>38</v>
      </c>
      <c r="Q25" s="5"/>
      <c r="R25" s="5" t="s">
        <v>77</v>
      </c>
      <c r="S25" s="5"/>
      <c r="T25" s="5"/>
      <c r="U25" s="5"/>
      <c r="V25" s="5"/>
      <c r="W25" s="5"/>
      <c r="X25" s="5"/>
      <c r="Y25" s="5"/>
    </row>
    <row r="26" spans="1:25" hidden="1" x14ac:dyDescent="0.25">
      <c r="A26" s="5"/>
      <c r="B26" s="5"/>
      <c r="C26" s="5" t="s">
        <v>880</v>
      </c>
      <c r="D26" s="5" t="s">
        <v>881</v>
      </c>
      <c r="E26" s="5">
        <v>1</v>
      </c>
      <c r="F26" s="5" t="s">
        <v>865</v>
      </c>
      <c r="G26" s="5"/>
      <c r="H26" s="5"/>
      <c r="I26" s="5"/>
      <c r="J26" s="5"/>
      <c r="K26" s="5" t="s">
        <v>126</v>
      </c>
      <c r="L26" s="5" t="s">
        <v>747</v>
      </c>
      <c r="M26" s="5" t="str">
        <f>IF(LEN('List chi tiet'!$B$2)=0,"",'List chi tiet'!$B$2)</f>
        <v>TCTN.DNS.26.004 ĐƯỜNG CAO TỐC VIN</v>
      </c>
      <c r="N26" s="6" t="s">
        <v>37</v>
      </c>
      <c r="O26" s="5" t="s">
        <v>748</v>
      </c>
      <c r="P26" s="5" t="s">
        <v>38</v>
      </c>
      <c r="Q26" s="5"/>
      <c r="R26" s="5" t="s">
        <v>77</v>
      </c>
      <c r="S26" s="5">
        <v>5.0599999999999996</v>
      </c>
      <c r="T26" s="5">
        <v>26.83</v>
      </c>
      <c r="U26" s="5">
        <v>92.71</v>
      </c>
      <c r="V26" s="5" t="s">
        <v>750</v>
      </c>
      <c r="W26" s="5"/>
      <c r="X26" s="5"/>
      <c r="Y26" s="5"/>
    </row>
    <row r="27" spans="1:25" hidden="1" x14ac:dyDescent="0.25">
      <c r="A27" s="5"/>
      <c r="B27" s="5"/>
      <c r="C27" s="5" t="s">
        <v>878</v>
      </c>
      <c r="D27" s="5">
        <v>6</v>
      </c>
      <c r="E27" s="5">
        <v>-92.71</v>
      </c>
      <c r="F27" s="5" t="s">
        <v>867</v>
      </c>
      <c r="G27" s="5"/>
      <c r="H27" s="5"/>
      <c r="I27" s="5"/>
      <c r="J27" s="5"/>
      <c r="K27" s="5" t="s">
        <v>884</v>
      </c>
      <c r="L27" s="5" t="s">
        <v>747</v>
      </c>
      <c r="M27" s="5" t="str">
        <f>IF(LEN('List chi tiet'!$B$2)=0,"",'List chi tiet'!$B$2)</f>
        <v>TCTN.DNS.26.004 ĐƯỜNG CAO TỐC VIN</v>
      </c>
      <c r="N27" s="6" t="s">
        <v>37</v>
      </c>
      <c r="O27" s="5" t="s">
        <v>748</v>
      </c>
      <c r="P27" s="5" t="s">
        <v>38</v>
      </c>
      <c r="Q27" s="5"/>
      <c r="R27" s="5" t="s">
        <v>77</v>
      </c>
      <c r="S27" s="5"/>
      <c r="T27" s="5"/>
      <c r="U27" s="5"/>
      <c r="V27" s="5"/>
      <c r="W27" s="5"/>
      <c r="X27" s="5"/>
      <c r="Y27" s="5"/>
    </row>
    <row r="28" spans="1:25" hidden="1" x14ac:dyDescent="0.25">
      <c r="A28" s="5"/>
      <c r="B28" s="5"/>
      <c r="C28" s="5" t="s">
        <v>880</v>
      </c>
      <c r="D28" s="5" t="s">
        <v>881</v>
      </c>
      <c r="E28" s="5">
        <v>1</v>
      </c>
      <c r="F28" s="5" t="s">
        <v>865</v>
      </c>
      <c r="G28" s="5"/>
      <c r="H28" s="5"/>
      <c r="I28" s="5"/>
      <c r="J28" s="5"/>
      <c r="K28" s="5" t="s">
        <v>131</v>
      </c>
      <c r="L28" s="5" t="s">
        <v>747</v>
      </c>
      <c r="M28" s="5" t="str">
        <f>IF(LEN('List chi tiet'!$B$2)=0,"",'List chi tiet'!$B$2)</f>
        <v>TCTN.DNS.26.004 ĐƯỜNG CAO TỐC VIN</v>
      </c>
      <c r="N28" s="6" t="s">
        <v>37</v>
      </c>
      <c r="O28" s="5" t="s">
        <v>748</v>
      </c>
      <c r="P28" s="5" t="s">
        <v>38</v>
      </c>
      <c r="Q28" s="5"/>
      <c r="R28" s="5" t="s">
        <v>77</v>
      </c>
      <c r="S28" s="5">
        <v>5.0599999999999996</v>
      </c>
      <c r="T28" s="5">
        <v>26.47</v>
      </c>
      <c r="U28" s="5">
        <v>93.17</v>
      </c>
      <c r="V28" s="5" t="s">
        <v>750</v>
      </c>
      <c r="W28" s="5"/>
      <c r="X28" s="5"/>
      <c r="Y28" s="5"/>
    </row>
    <row r="29" spans="1:25" hidden="1" x14ac:dyDescent="0.25">
      <c r="A29" s="5"/>
      <c r="B29" s="5"/>
      <c r="C29" s="5" t="s">
        <v>878</v>
      </c>
      <c r="D29" s="5">
        <v>6</v>
      </c>
      <c r="E29" s="5">
        <v>-93.17</v>
      </c>
      <c r="F29" s="5" t="s">
        <v>867</v>
      </c>
      <c r="G29" s="5"/>
      <c r="H29" s="5"/>
      <c r="I29" s="5"/>
      <c r="J29" s="5"/>
      <c r="K29" s="5" t="s">
        <v>885</v>
      </c>
      <c r="L29" s="5" t="s">
        <v>747</v>
      </c>
      <c r="M29" s="5" t="str">
        <f>IF(LEN('List chi tiet'!$B$2)=0,"",'List chi tiet'!$B$2)</f>
        <v>TCTN.DNS.26.004 ĐƯỜNG CAO TỐC VIN</v>
      </c>
      <c r="N29" s="6" t="s">
        <v>37</v>
      </c>
      <c r="O29" s="5" t="s">
        <v>748</v>
      </c>
      <c r="P29" s="5" t="s">
        <v>38</v>
      </c>
      <c r="Q29" s="5"/>
      <c r="R29" s="5" t="s">
        <v>77</v>
      </c>
      <c r="S29" s="5"/>
      <c r="T29" s="5"/>
      <c r="U29" s="5"/>
      <c r="V29" s="5"/>
      <c r="W29" s="5"/>
      <c r="X29" s="5"/>
      <c r="Y29" s="5"/>
    </row>
    <row r="30" spans="1:25" hidden="1" x14ac:dyDescent="0.25">
      <c r="A30" s="5"/>
      <c r="B30" s="5"/>
      <c r="C30" s="5" t="s">
        <v>880</v>
      </c>
      <c r="D30" s="5" t="s">
        <v>881</v>
      </c>
      <c r="E30" s="5">
        <v>1</v>
      </c>
      <c r="F30" s="5" t="s">
        <v>865</v>
      </c>
      <c r="G30" s="5"/>
      <c r="H30" s="5"/>
      <c r="I30" s="5"/>
      <c r="J30" s="5"/>
      <c r="K30" s="5" t="s">
        <v>142</v>
      </c>
      <c r="L30" s="5" t="s">
        <v>747</v>
      </c>
      <c r="M30" s="5" t="str">
        <f>IF(LEN('List chi tiet'!$B$2)=0,"",'List chi tiet'!$B$2)</f>
        <v>TCTN.DNS.26.004 ĐƯỜNG CAO TỐC VIN</v>
      </c>
      <c r="N30" s="6" t="s">
        <v>37</v>
      </c>
      <c r="O30" s="5" t="s">
        <v>748</v>
      </c>
      <c r="P30" s="5" t="s">
        <v>38</v>
      </c>
      <c r="Q30" s="5"/>
      <c r="R30" s="5" t="s">
        <v>77</v>
      </c>
      <c r="S30" s="5">
        <v>5.0599999999999996</v>
      </c>
      <c r="T30" s="5">
        <v>39.61</v>
      </c>
      <c r="U30" s="5">
        <v>80.27</v>
      </c>
      <c r="V30" s="5" t="s">
        <v>750</v>
      </c>
      <c r="W30" s="5"/>
      <c r="X30" s="5"/>
      <c r="Y30" s="5"/>
    </row>
    <row r="31" spans="1:25" hidden="1" x14ac:dyDescent="0.25">
      <c r="A31" s="5"/>
      <c r="B31" s="5"/>
      <c r="C31" s="5" t="s">
        <v>878</v>
      </c>
      <c r="D31" s="5">
        <v>6</v>
      </c>
      <c r="E31" s="5">
        <v>-80.27</v>
      </c>
      <c r="F31" s="5" t="s">
        <v>867</v>
      </c>
      <c r="G31" s="5"/>
      <c r="H31" s="5"/>
      <c r="I31" s="5"/>
      <c r="J31" s="5"/>
      <c r="K31" s="5" t="s">
        <v>886</v>
      </c>
      <c r="L31" s="5" t="s">
        <v>747</v>
      </c>
      <c r="M31" s="5" t="str">
        <f>IF(LEN('List chi tiet'!$B$2)=0,"",'List chi tiet'!$B$2)</f>
        <v>TCTN.DNS.26.004 ĐƯỜNG CAO TỐC VIN</v>
      </c>
      <c r="N31" s="6" t="s">
        <v>37</v>
      </c>
      <c r="O31" s="5" t="s">
        <v>748</v>
      </c>
      <c r="P31" s="5" t="s">
        <v>38</v>
      </c>
      <c r="Q31" s="5"/>
      <c r="R31" s="5" t="s">
        <v>77</v>
      </c>
      <c r="S31" s="5"/>
      <c r="T31" s="5"/>
      <c r="U31" s="5"/>
      <c r="V31" s="5"/>
      <c r="W31" s="5"/>
      <c r="X31" s="5"/>
      <c r="Y31" s="5"/>
    </row>
    <row r="32" spans="1:25" hidden="1" x14ac:dyDescent="0.25">
      <c r="A32" s="5"/>
      <c r="B32" s="5"/>
      <c r="C32" s="5" t="s">
        <v>880</v>
      </c>
      <c r="D32" s="5" t="s">
        <v>881</v>
      </c>
      <c r="E32" s="5">
        <v>1</v>
      </c>
      <c r="F32" s="5" t="s">
        <v>865</v>
      </c>
      <c r="G32" s="5"/>
      <c r="H32" s="5"/>
      <c r="I32" s="5"/>
      <c r="J32" s="5"/>
      <c r="K32" s="5" t="s">
        <v>147</v>
      </c>
      <c r="L32" s="5" t="s">
        <v>747</v>
      </c>
      <c r="M32" s="5" t="str">
        <f>IF(LEN('List chi tiet'!$B$2)=0,"",'List chi tiet'!$B$2)</f>
        <v>TCTN.DNS.26.004 ĐƯỜNG CAO TỐC VIN</v>
      </c>
      <c r="N32" s="6" t="s">
        <v>37</v>
      </c>
      <c r="O32" s="5" t="s">
        <v>748</v>
      </c>
      <c r="P32" s="5" t="s">
        <v>38</v>
      </c>
      <c r="Q32" s="5"/>
      <c r="R32" s="5" t="s">
        <v>77</v>
      </c>
      <c r="S32" s="5">
        <v>5.0599999999999996</v>
      </c>
      <c r="T32" s="5">
        <v>39.630000000000003</v>
      </c>
      <c r="U32" s="5">
        <v>80.27</v>
      </c>
      <c r="V32" s="5" t="s">
        <v>750</v>
      </c>
      <c r="W32" s="5"/>
      <c r="X32" s="5"/>
      <c r="Y32" s="5"/>
    </row>
    <row r="33" spans="1:25" hidden="1" x14ac:dyDescent="0.25">
      <c r="A33" s="5"/>
      <c r="B33" s="5"/>
      <c r="C33" s="5" t="s">
        <v>878</v>
      </c>
      <c r="D33" s="5">
        <v>6</v>
      </c>
      <c r="E33" s="5">
        <v>-80.27</v>
      </c>
      <c r="F33" s="5" t="s">
        <v>867</v>
      </c>
      <c r="G33" s="5"/>
      <c r="H33" s="5"/>
      <c r="I33" s="5"/>
      <c r="J33" s="5"/>
      <c r="K33" s="5" t="s">
        <v>887</v>
      </c>
      <c r="L33" s="5" t="s">
        <v>747</v>
      </c>
      <c r="M33" s="5" t="str">
        <f>IF(LEN('List chi tiet'!$B$2)=0,"",'List chi tiet'!$B$2)</f>
        <v>TCTN.DNS.26.004 ĐƯỜNG CAO TỐC VIN</v>
      </c>
      <c r="N33" s="6" t="s">
        <v>37</v>
      </c>
      <c r="O33" s="5" t="s">
        <v>748</v>
      </c>
      <c r="P33" s="5" t="s">
        <v>38</v>
      </c>
      <c r="Q33" s="5"/>
      <c r="R33" s="5" t="s">
        <v>77</v>
      </c>
      <c r="S33" s="5"/>
      <c r="T33" s="5"/>
      <c r="U33" s="5"/>
      <c r="V33" s="5"/>
      <c r="W33" s="5"/>
      <c r="X33" s="5"/>
      <c r="Y33" s="5"/>
    </row>
    <row r="34" spans="1:25" hidden="1" x14ac:dyDescent="0.25">
      <c r="A34" s="5"/>
      <c r="B34" s="5"/>
      <c r="C34" s="5" t="s">
        <v>880</v>
      </c>
      <c r="D34" s="5" t="s">
        <v>881</v>
      </c>
      <c r="E34" s="5">
        <v>1</v>
      </c>
      <c r="F34" s="5" t="s">
        <v>865</v>
      </c>
      <c r="G34" s="5"/>
      <c r="H34" s="5"/>
      <c r="I34" s="5"/>
      <c r="J34" s="5"/>
      <c r="K34" s="5" t="s">
        <v>151</v>
      </c>
      <c r="L34" s="5" t="s">
        <v>747</v>
      </c>
      <c r="M34" s="5" t="str">
        <f>IF(LEN('List chi tiet'!$B$2)=0,"",'List chi tiet'!$B$2)</f>
        <v>TCTN.DNS.26.004 ĐƯỜNG CAO TỐC VIN</v>
      </c>
      <c r="N34" s="6" t="s">
        <v>37</v>
      </c>
      <c r="O34" s="5" t="s">
        <v>748</v>
      </c>
      <c r="P34" s="5" t="s">
        <v>38</v>
      </c>
      <c r="Q34" s="5"/>
      <c r="R34" s="5" t="s">
        <v>77</v>
      </c>
      <c r="S34" s="5">
        <v>5.0599999999999996</v>
      </c>
      <c r="T34" s="5">
        <v>25.3</v>
      </c>
      <c r="U34" s="5">
        <v>94.75</v>
      </c>
      <c r="V34" s="5" t="s">
        <v>750</v>
      </c>
      <c r="W34" s="5"/>
      <c r="X34" s="5"/>
      <c r="Y34" s="5"/>
    </row>
    <row r="35" spans="1:25" hidden="1" x14ac:dyDescent="0.25">
      <c r="A35" s="5"/>
      <c r="B35" s="5"/>
      <c r="C35" s="5" t="s">
        <v>878</v>
      </c>
      <c r="D35" s="5">
        <v>6</v>
      </c>
      <c r="E35" s="5">
        <v>-94.75</v>
      </c>
      <c r="F35" s="5" t="s">
        <v>867</v>
      </c>
      <c r="G35" s="5"/>
      <c r="H35" s="5"/>
      <c r="I35" s="5"/>
      <c r="J35" s="5"/>
      <c r="K35" s="5" t="s">
        <v>888</v>
      </c>
      <c r="L35" s="5" t="s">
        <v>747</v>
      </c>
      <c r="M35" s="5" t="str">
        <f>IF(LEN('List chi tiet'!$B$2)=0,"",'List chi tiet'!$B$2)</f>
        <v>TCTN.DNS.26.004 ĐƯỜNG CAO TỐC VIN</v>
      </c>
      <c r="N35" s="6" t="s">
        <v>37</v>
      </c>
      <c r="O35" s="5" t="s">
        <v>748</v>
      </c>
      <c r="P35" s="5" t="s">
        <v>38</v>
      </c>
      <c r="Q35" s="5"/>
      <c r="R35" s="5" t="s">
        <v>77</v>
      </c>
      <c r="S35" s="5"/>
      <c r="T35" s="5"/>
      <c r="U35" s="5"/>
      <c r="V35" s="5"/>
      <c r="W35" s="5"/>
      <c r="X35" s="5"/>
      <c r="Y35" s="5"/>
    </row>
    <row r="36" spans="1:25" hidden="1" x14ac:dyDescent="0.25">
      <c r="A36" s="5"/>
      <c r="B36" s="5"/>
      <c r="C36" s="5" t="s">
        <v>880</v>
      </c>
      <c r="D36" s="5" t="s">
        <v>881</v>
      </c>
      <c r="E36" s="5">
        <v>1</v>
      </c>
      <c r="F36" s="5" t="s">
        <v>865</v>
      </c>
      <c r="G36" s="5"/>
      <c r="H36" s="5"/>
      <c r="I36" s="5"/>
      <c r="J36" s="5"/>
      <c r="K36" s="5" t="s">
        <v>156</v>
      </c>
      <c r="L36" s="5" t="s">
        <v>747</v>
      </c>
      <c r="M36" s="5" t="str">
        <f>IF(LEN('List chi tiet'!$B$2)=0,"",'List chi tiet'!$B$2)</f>
        <v>TCTN.DNS.26.004 ĐƯỜNG CAO TỐC VIN</v>
      </c>
      <c r="N36" s="6" t="s">
        <v>37</v>
      </c>
      <c r="O36" s="5" t="s">
        <v>748</v>
      </c>
      <c r="P36" s="5" t="s">
        <v>38</v>
      </c>
      <c r="Q36" s="5"/>
      <c r="R36" s="5" t="s">
        <v>77</v>
      </c>
      <c r="S36" s="5">
        <v>5.0599999999999996</v>
      </c>
      <c r="T36" s="5">
        <v>26.64</v>
      </c>
      <c r="U36" s="5">
        <v>93.43</v>
      </c>
      <c r="V36" s="5" t="s">
        <v>750</v>
      </c>
      <c r="W36" s="5"/>
      <c r="X36" s="5"/>
      <c r="Y36" s="5"/>
    </row>
    <row r="37" spans="1:25" hidden="1" x14ac:dyDescent="0.25">
      <c r="A37" s="5"/>
      <c r="B37" s="5"/>
      <c r="C37" s="5" t="s">
        <v>878</v>
      </c>
      <c r="D37" s="5">
        <v>6</v>
      </c>
      <c r="E37" s="5">
        <v>-93.43</v>
      </c>
      <c r="F37" s="5" t="s">
        <v>867</v>
      </c>
      <c r="G37" s="5"/>
      <c r="H37" s="5"/>
      <c r="I37" s="5"/>
      <c r="J37" s="5"/>
      <c r="K37" s="5" t="s">
        <v>889</v>
      </c>
      <c r="L37" s="5" t="s">
        <v>747</v>
      </c>
      <c r="M37" s="5" t="str">
        <f>IF(LEN('List chi tiet'!$B$2)=0,"",'List chi tiet'!$B$2)</f>
        <v>TCTN.DNS.26.004 ĐƯỜNG CAO TỐC VIN</v>
      </c>
      <c r="N37" s="6" t="s">
        <v>37</v>
      </c>
      <c r="O37" s="5" t="s">
        <v>748</v>
      </c>
      <c r="P37" s="5" t="s">
        <v>38</v>
      </c>
      <c r="Q37" s="5"/>
      <c r="R37" s="5" t="s">
        <v>77</v>
      </c>
      <c r="S37" s="5"/>
      <c r="T37" s="5"/>
      <c r="U37" s="5"/>
      <c r="V37" s="5"/>
      <c r="W37" s="5"/>
      <c r="X37" s="5"/>
      <c r="Y37" s="5"/>
    </row>
    <row r="38" spans="1:25" hidden="1" x14ac:dyDescent="0.25">
      <c r="A38" s="5"/>
      <c r="B38" s="5"/>
      <c r="C38" s="5" t="s">
        <v>880</v>
      </c>
      <c r="D38" s="5" t="s">
        <v>881</v>
      </c>
      <c r="E38" s="5">
        <v>1</v>
      </c>
      <c r="F38" s="5" t="s">
        <v>865</v>
      </c>
      <c r="G38" s="5"/>
      <c r="H38" s="5"/>
      <c r="I38" s="5"/>
      <c r="J38" s="5"/>
      <c r="K38" s="5" t="s">
        <v>161</v>
      </c>
      <c r="L38" s="5" t="s">
        <v>747</v>
      </c>
      <c r="M38" s="5" t="str">
        <f>IF(LEN('List chi tiet'!$B$2)=0,"",'List chi tiet'!$B$2)</f>
        <v>TCTN.DNS.26.004 ĐƯỜNG CAO TỐC VIN</v>
      </c>
      <c r="N38" s="6" t="s">
        <v>37</v>
      </c>
      <c r="O38" s="5" t="s">
        <v>748</v>
      </c>
      <c r="P38" s="5" t="s">
        <v>38</v>
      </c>
      <c r="Q38" s="5"/>
      <c r="R38" s="5" t="s">
        <v>77</v>
      </c>
      <c r="S38" s="5">
        <v>5.15</v>
      </c>
      <c r="T38" s="5">
        <v>26.1</v>
      </c>
      <c r="U38" s="5">
        <v>80.27</v>
      </c>
      <c r="V38" s="5" t="s">
        <v>750</v>
      </c>
      <c r="W38" s="5"/>
      <c r="X38" s="5"/>
      <c r="Y38" s="5"/>
    </row>
    <row r="39" spans="1:25" hidden="1" x14ac:dyDescent="0.25">
      <c r="A39" s="5"/>
      <c r="B39" s="5"/>
      <c r="C39" s="5" t="s">
        <v>878</v>
      </c>
      <c r="D39" s="5">
        <v>6</v>
      </c>
      <c r="E39" s="5">
        <v>-80.27</v>
      </c>
      <c r="F39" s="5" t="s">
        <v>867</v>
      </c>
      <c r="G39" s="5"/>
      <c r="H39" s="5"/>
      <c r="I39" s="5"/>
      <c r="J39" s="5"/>
      <c r="K39" s="5" t="s">
        <v>890</v>
      </c>
      <c r="L39" s="5" t="s">
        <v>747</v>
      </c>
      <c r="M39" s="5" t="str">
        <f>IF(LEN('List chi tiet'!$B$2)=0,"",'List chi tiet'!$B$2)</f>
        <v>TCTN.DNS.26.004 ĐƯỜNG CAO TỐC VIN</v>
      </c>
      <c r="N39" s="6" t="s">
        <v>37</v>
      </c>
      <c r="O39" s="5" t="s">
        <v>748</v>
      </c>
      <c r="P39" s="5" t="s">
        <v>38</v>
      </c>
      <c r="Q39" s="5"/>
      <c r="R39" s="5" t="s">
        <v>77</v>
      </c>
      <c r="S39" s="5"/>
      <c r="T39" s="5"/>
      <c r="U39" s="5"/>
      <c r="V39" s="5"/>
      <c r="W39" s="5"/>
      <c r="X39" s="5"/>
      <c r="Y39" s="5"/>
    </row>
    <row r="40" spans="1:25" hidden="1" x14ac:dyDescent="0.25">
      <c r="A40" s="5"/>
      <c r="B40" s="5"/>
      <c r="C40" s="5" t="s">
        <v>880</v>
      </c>
      <c r="D40" s="5" t="s">
        <v>881</v>
      </c>
      <c r="E40" s="5">
        <v>1</v>
      </c>
      <c r="F40" s="5" t="s">
        <v>865</v>
      </c>
      <c r="G40" s="5"/>
      <c r="H40" s="5"/>
      <c r="I40" s="5"/>
      <c r="J40" s="5"/>
      <c r="K40" s="5" t="s">
        <v>170</v>
      </c>
      <c r="L40" s="5" t="s">
        <v>747</v>
      </c>
      <c r="M40" s="5" t="str">
        <f>IF(LEN('List chi tiet'!$B$2)=0,"",'List chi tiet'!$B$2)</f>
        <v>TCTN.DNS.26.004 ĐƯỜNG CAO TỐC VIN</v>
      </c>
      <c r="N40" s="6" t="s">
        <v>37</v>
      </c>
      <c r="O40" s="5" t="s">
        <v>748</v>
      </c>
      <c r="P40" s="5" t="s">
        <v>38</v>
      </c>
      <c r="Q40" s="5"/>
      <c r="R40" s="5" t="s">
        <v>77</v>
      </c>
      <c r="S40" s="5">
        <v>5.2</v>
      </c>
      <c r="T40" s="5">
        <v>34.21</v>
      </c>
      <c r="U40" s="5">
        <v>65.959999999999994</v>
      </c>
      <c r="V40" s="5" t="s">
        <v>750</v>
      </c>
      <c r="W40" s="5"/>
      <c r="X40" s="5"/>
      <c r="Y40" s="5"/>
    </row>
    <row r="41" spans="1:25" hidden="1" x14ac:dyDescent="0.25">
      <c r="A41" s="5"/>
      <c r="B41" s="5"/>
      <c r="C41" s="5" t="s">
        <v>878</v>
      </c>
      <c r="D41" s="5">
        <v>6</v>
      </c>
      <c r="E41" s="5">
        <v>-65.959999999999994</v>
      </c>
      <c r="F41" s="5" t="s">
        <v>867</v>
      </c>
      <c r="G41" s="5"/>
      <c r="H41" s="5"/>
      <c r="I41" s="5"/>
      <c r="J41" s="5"/>
      <c r="K41" s="5" t="s">
        <v>891</v>
      </c>
      <c r="L41" s="5" t="s">
        <v>747</v>
      </c>
      <c r="M41" s="5" t="str">
        <f>IF(LEN('List chi tiet'!$B$2)=0,"",'List chi tiet'!$B$2)</f>
        <v>TCTN.DNS.26.004 ĐƯỜNG CAO TỐC VIN</v>
      </c>
      <c r="N41" s="6" t="s">
        <v>37</v>
      </c>
      <c r="O41" s="5" t="s">
        <v>748</v>
      </c>
      <c r="P41" s="5" t="s">
        <v>38</v>
      </c>
      <c r="Q41" s="5"/>
      <c r="R41" s="5" t="s">
        <v>77</v>
      </c>
      <c r="S41" s="5"/>
      <c r="T41" s="5"/>
      <c r="U41" s="5"/>
      <c r="V41" s="5"/>
      <c r="W41" s="5"/>
      <c r="X41" s="5"/>
      <c r="Y41" s="5"/>
    </row>
    <row r="42" spans="1:25" hidden="1" x14ac:dyDescent="0.25">
      <c r="A42" s="5"/>
      <c r="B42" s="5"/>
      <c r="C42" s="5" t="s">
        <v>880</v>
      </c>
      <c r="D42" s="5" t="s">
        <v>881</v>
      </c>
      <c r="E42" s="5">
        <v>1</v>
      </c>
      <c r="F42" s="5" t="s">
        <v>865</v>
      </c>
      <c r="G42" s="5"/>
      <c r="H42" s="5"/>
      <c r="I42" s="5"/>
      <c r="J42" s="5"/>
      <c r="K42" s="5" t="s">
        <v>174</v>
      </c>
      <c r="L42" s="5" t="s">
        <v>747</v>
      </c>
      <c r="M42" s="5" t="str">
        <f>IF(LEN('List chi tiet'!$B$2)=0,"",'List chi tiet'!$B$2)</f>
        <v>TCTN.DNS.26.004 ĐƯỜNG CAO TỐC VIN</v>
      </c>
      <c r="N42" s="6" t="s">
        <v>37</v>
      </c>
      <c r="O42" s="5" t="s">
        <v>748</v>
      </c>
      <c r="P42" s="5" t="s">
        <v>38</v>
      </c>
      <c r="Q42" s="5"/>
      <c r="R42" s="5" t="s">
        <v>77</v>
      </c>
      <c r="S42" s="5">
        <v>5.2</v>
      </c>
      <c r="T42" s="5">
        <v>34.450000000000003</v>
      </c>
      <c r="U42" s="5">
        <v>65.709999999999994</v>
      </c>
      <c r="V42" s="5" t="s">
        <v>750</v>
      </c>
      <c r="W42" s="5"/>
      <c r="X42" s="5"/>
      <c r="Y42" s="5"/>
    </row>
    <row r="43" spans="1:25" hidden="1" x14ac:dyDescent="0.25">
      <c r="A43" s="5"/>
      <c r="B43" s="5"/>
      <c r="C43" s="5" t="s">
        <v>878</v>
      </c>
      <c r="D43" s="5">
        <v>6</v>
      </c>
      <c r="E43" s="5">
        <v>-65.709999999999994</v>
      </c>
      <c r="F43" s="5" t="s">
        <v>867</v>
      </c>
      <c r="G43" s="5"/>
      <c r="H43" s="5"/>
      <c r="I43" s="5"/>
      <c r="J43" s="5"/>
      <c r="K43" s="5" t="s">
        <v>892</v>
      </c>
      <c r="L43" s="5" t="s">
        <v>747</v>
      </c>
      <c r="M43" s="5" t="str">
        <f>IF(LEN('List chi tiet'!$B$2)=0,"",'List chi tiet'!$B$2)</f>
        <v>TCTN.DNS.26.004 ĐƯỜNG CAO TỐC VIN</v>
      </c>
      <c r="N43" s="6" t="s">
        <v>37</v>
      </c>
      <c r="O43" s="5" t="s">
        <v>748</v>
      </c>
      <c r="P43" s="5" t="s">
        <v>38</v>
      </c>
      <c r="Q43" s="5"/>
      <c r="R43" s="5" t="s">
        <v>77</v>
      </c>
      <c r="S43" s="5"/>
      <c r="T43" s="5"/>
      <c r="U43" s="5"/>
      <c r="V43" s="5"/>
      <c r="W43" s="5"/>
      <c r="X43" s="5"/>
      <c r="Y43" s="5"/>
    </row>
    <row r="44" spans="1:25" hidden="1" x14ac:dyDescent="0.25">
      <c r="A44" s="5"/>
      <c r="B44" s="5"/>
      <c r="C44" s="5" t="s">
        <v>880</v>
      </c>
      <c r="D44" s="5" t="s">
        <v>881</v>
      </c>
      <c r="E44" s="5">
        <v>1</v>
      </c>
      <c r="F44" s="5" t="s">
        <v>865</v>
      </c>
      <c r="G44" s="5"/>
      <c r="H44" s="5"/>
      <c r="I44" s="5"/>
      <c r="J44" s="5"/>
      <c r="K44" s="5" t="s">
        <v>177</v>
      </c>
      <c r="L44" s="5" t="s">
        <v>747</v>
      </c>
      <c r="M44" s="5" t="str">
        <f>IF(LEN('List chi tiet'!$B$2)=0,"",'List chi tiet'!$B$2)</f>
        <v>TCTN.DNS.26.004 ĐƯỜNG CAO TỐC VIN</v>
      </c>
      <c r="N44" s="6" t="s">
        <v>37</v>
      </c>
      <c r="O44" s="5" t="s">
        <v>748</v>
      </c>
      <c r="P44" s="5" t="s">
        <v>38</v>
      </c>
      <c r="Q44" s="5"/>
      <c r="R44" s="5" t="s">
        <v>77</v>
      </c>
      <c r="S44" s="5">
        <v>5.05</v>
      </c>
      <c r="T44" s="5">
        <v>26.46</v>
      </c>
      <c r="U44" s="5">
        <v>95.38</v>
      </c>
      <c r="V44" s="5" t="s">
        <v>750</v>
      </c>
      <c r="W44" s="5"/>
      <c r="X44" s="5"/>
      <c r="Y44" s="5"/>
    </row>
    <row r="45" spans="1:25" hidden="1" x14ac:dyDescent="0.25">
      <c r="A45" s="5"/>
      <c r="B45" s="5"/>
      <c r="C45" s="5" t="s">
        <v>878</v>
      </c>
      <c r="D45" s="5">
        <v>6</v>
      </c>
      <c r="E45" s="5">
        <v>-95.38</v>
      </c>
      <c r="F45" s="5" t="s">
        <v>867</v>
      </c>
      <c r="G45" s="5"/>
      <c r="H45" s="5"/>
      <c r="I45" s="5"/>
      <c r="J45" s="5"/>
      <c r="K45" s="5" t="s">
        <v>893</v>
      </c>
      <c r="L45" s="5" t="s">
        <v>747</v>
      </c>
      <c r="M45" s="5" t="str">
        <f>IF(LEN('List chi tiet'!$B$2)=0,"",'List chi tiet'!$B$2)</f>
        <v>TCTN.DNS.26.004 ĐƯỜNG CAO TỐC VIN</v>
      </c>
      <c r="N45" s="6" t="s">
        <v>37</v>
      </c>
      <c r="O45" s="5" t="s">
        <v>748</v>
      </c>
      <c r="P45" s="5" t="s">
        <v>38</v>
      </c>
      <c r="Q45" s="5"/>
      <c r="R45" s="5" t="s">
        <v>77</v>
      </c>
      <c r="S45" s="5"/>
      <c r="T45" s="5"/>
      <c r="U45" s="5"/>
      <c r="V45" s="5"/>
      <c r="W45" s="5"/>
      <c r="X45" s="5"/>
      <c r="Y45" s="5"/>
    </row>
    <row r="46" spans="1:25" hidden="1" x14ac:dyDescent="0.25">
      <c r="A46" s="5"/>
      <c r="B46" s="5"/>
      <c r="C46" s="5" t="s">
        <v>880</v>
      </c>
      <c r="D46" s="5" t="s">
        <v>881</v>
      </c>
      <c r="E46" s="5">
        <v>1</v>
      </c>
      <c r="F46" s="5" t="s">
        <v>865</v>
      </c>
      <c r="G46" s="5"/>
      <c r="H46" s="5"/>
      <c r="I46" s="5"/>
      <c r="J46" s="5"/>
      <c r="K46" s="5" t="s">
        <v>182</v>
      </c>
      <c r="L46" s="5" t="s">
        <v>747</v>
      </c>
      <c r="M46" s="5" t="str">
        <f>IF(LEN('List chi tiet'!$B$2)=0,"",'List chi tiet'!$B$2)</f>
        <v>TCTN.DNS.26.004 ĐƯỜNG CAO TỐC VIN</v>
      </c>
      <c r="N46" s="6" t="s">
        <v>37</v>
      </c>
      <c r="O46" s="5" t="s">
        <v>748</v>
      </c>
      <c r="P46" s="5" t="s">
        <v>38</v>
      </c>
      <c r="Q46" s="5"/>
      <c r="R46" s="5" t="s">
        <v>77</v>
      </c>
      <c r="S46" s="5">
        <v>5.05</v>
      </c>
      <c r="T46" s="5">
        <v>24.72</v>
      </c>
      <c r="U46" s="5">
        <v>97.12</v>
      </c>
      <c r="V46" s="5" t="s">
        <v>750</v>
      </c>
      <c r="W46" s="5"/>
      <c r="X46" s="5"/>
      <c r="Y46" s="5"/>
    </row>
    <row r="47" spans="1:25" hidden="1" x14ac:dyDescent="0.25">
      <c r="A47" s="5"/>
      <c r="B47" s="5"/>
      <c r="C47" s="5" t="s">
        <v>878</v>
      </c>
      <c r="D47" s="5">
        <v>6</v>
      </c>
      <c r="E47" s="5">
        <v>-97.12</v>
      </c>
      <c r="F47" s="5" t="s">
        <v>867</v>
      </c>
      <c r="G47" s="5"/>
      <c r="H47" s="5"/>
      <c r="I47" s="5"/>
      <c r="J47" s="5"/>
      <c r="K47" s="5" t="s">
        <v>894</v>
      </c>
      <c r="L47" s="5" t="s">
        <v>747</v>
      </c>
      <c r="M47" s="5" t="str">
        <f>IF(LEN('List chi tiet'!$B$2)=0,"",'List chi tiet'!$B$2)</f>
        <v>TCTN.DNS.26.004 ĐƯỜNG CAO TỐC VIN</v>
      </c>
      <c r="N47" s="6" t="s">
        <v>37</v>
      </c>
      <c r="O47" s="5" t="s">
        <v>748</v>
      </c>
      <c r="P47" s="5" t="s">
        <v>38</v>
      </c>
      <c r="Q47" s="5"/>
      <c r="R47" s="5" t="s">
        <v>77</v>
      </c>
      <c r="S47" s="5"/>
      <c r="T47" s="5"/>
      <c r="U47" s="5"/>
      <c r="V47" s="5"/>
      <c r="W47" s="5"/>
      <c r="X47" s="5"/>
      <c r="Y47" s="5"/>
    </row>
    <row r="48" spans="1:25" hidden="1" x14ac:dyDescent="0.25">
      <c r="A48" s="5"/>
      <c r="B48" s="5"/>
      <c r="C48" s="5" t="s">
        <v>880</v>
      </c>
      <c r="D48" s="5" t="s">
        <v>881</v>
      </c>
      <c r="E48" s="5">
        <v>1</v>
      </c>
      <c r="F48" s="5" t="s">
        <v>865</v>
      </c>
      <c r="G48" s="5"/>
      <c r="H48" s="5"/>
      <c r="I48" s="5"/>
      <c r="J48" s="5"/>
      <c r="K48" s="5" t="s">
        <v>184</v>
      </c>
      <c r="L48" s="5" t="s">
        <v>747</v>
      </c>
      <c r="M48" s="5" t="str">
        <f>IF(LEN('List chi tiet'!$B$2)=0,"",'List chi tiet'!$B$2)</f>
        <v>TCTN.DNS.26.004 ĐƯỜNG CAO TỐC VIN</v>
      </c>
      <c r="N48" s="6" t="s">
        <v>37</v>
      </c>
      <c r="O48" s="5" t="s">
        <v>748</v>
      </c>
      <c r="P48" s="5" t="s">
        <v>38</v>
      </c>
      <c r="Q48" s="5"/>
      <c r="R48" s="5" t="s">
        <v>77</v>
      </c>
      <c r="S48" s="5">
        <v>5.05</v>
      </c>
      <c r="T48" s="5">
        <v>24.72</v>
      </c>
      <c r="U48" s="5">
        <v>97.12</v>
      </c>
      <c r="V48" s="5" t="s">
        <v>750</v>
      </c>
      <c r="W48" s="5"/>
      <c r="X48" s="5"/>
      <c r="Y48" s="5"/>
    </row>
    <row r="49" spans="1:25" hidden="1" x14ac:dyDescent="0.25">
      <c r="A49" s="5"/>
      <c r="B49" s="5"/>
      <c r="C49" s="5" t="s">
        <v>878</v>
      </c>
      <c r="D49" s="5">
        <v>6</v>
      </c>
      <c r="E49" s="5">
        <v>-97.12</v>
      </c>
      <c r="F49" s="5" t="s">
        <v>867</v>
      </c>
      <c r="G49" s="5"/>
      <c r="H49" s="5"/>
      <c r="I49" s="5"/>
      <c r="J49" s="5"/>
      <c r="K49" s="5" t="s">
        <v>895</v>
      </c>
      <c r="L49" s="5" t="s">
        <v>747</v>
      </c>
      <c r="M49" s="5" t="str">
        <f>IF(LEN('List chi tiet'!$B$2)=0,"",'List chi tiet'!$B$2)</f>
        <v>TCTN.DNS.26.004 ĐƯỜNG CAO TỐC VIN</v>
      </c>
      <c r="N49" s="6" t="s">
        <v>37</v>
      </c>
      <c r="O49" s="5" t="s">
        <v>748</v>
      </c>
      <c r="P49" s="5" t="s">
        <v>38</v>
      </c>
      <c r="Q49" s="5"/>
      <c r="R49" s="5" t="s">
        <v>77</v>
      </c>
      <c r="S49" s="5"/>
      <c r="T49" s="5"/>
      <c r="U49" s="5"/>
      <c r="V49" s="5"/>
      <c r="W49" s="5"/>
      <c r="X49" s="5"/>
      <c r="Y49" s="5"/>
    </row>
    <row r="50" spans="1:25" hidden="1" x14ac:dyDescent="0.25">
      <c r="A50" s="5"/>
      <c r="B50" s="5"/>
      <c r="C50" s="5" t="s">
        <v>880</v>
      </c>
      <c r="D50" s="5" t="s">
        <v>881</v>
      </c>
      <c r="E50" s="5">
        <v>1</v>
      </c>
      <c r="F50" s="5" t="s">
        <v>865</v>
      </c>
      <c r="G50" s="5"/>
      <c r="H50" s="5"/>
      <c r="I50" s="5"/>
      <c r="J50" s="5"/>
      <c r="K50" s="5" t="s">
        <v>188</v>
      </c>
      <c r="L50" s="5" t="s">
        <v>747</v>
      </c>
      <c r="M50" s="5" t="str">
        <f>IF(LEN('List chi tiet'!$B$2)=0,"",'List chi tiet'!$B$2)</f>
        <v>TCTN.DNS.26.004 ĐƯỜNG CAO TỐC VIN</v>
      </c>
      <c r="N50" s="6" t="s">
        <v>37</v>
      </c>
      <c r="O50" s="5" t="s">
        <v>748</v>
      </c>
      <c r="P50" s="5" t="s">
        <v>38</v>
      </c>
      <c r="Q50" s="5"/>
      <c r="R50" s="5" t="s">
        <v>77</v>
      </c>
      <c r="S50" s="5">
        <v>5.09</v>
      </c>
      <c r="T50" s="5">
        <v>35</v>
      </c>
      <c r="U50" s="5">
        <v>80.260000000000005</v>
      </c>
      <c r="V50" s="5" t="s">
        <v>750</v>
      </c>
      <c r="W50" s="5"/>
      <c r="X50" s="5"/>
      <c r="Y50" s="5"/>
    </row>
    <row r="51" spans="1:25" hidden="1" x14ac:dyDescent="0.25">
      <c r="A51" s="5"/>
      <c r="B51" s="5"/>
      <c r="C51" s="5" t="s">
        <v>878</v>
      </c>
      <c r="D51" s="5">
        <v>6</v>
      </c>
      <c r="E51" s="5">
        <v>-80.260000000000005</v>
      </c>
      <c r="F51" s="5" t="s">
        <v>867</v>
      </c>
      <c r="G51" s="5"/>
      <c r="H51" s="5"/>
      <c r="I51" s="5"/>
      <c r="J51" s="5"/>
      <c r="K51" s="5" t="s">
        <v>896</v>
      </c>
      <c r="L51" s="5" t="s">
        <v>747</v>
      </c>
      <c r="M51" s="5" t="str">
        <f>IF(LEN('List chi tiet'!$B$2)=0,"",'List chi tiet'!$B$2)</f>
        <v>TCTN.DNS.26.004 ĐƯỜNG CAO TỐC VIN</v>
      </c>
      <c r="N51" s="6" t="s">
        <v>37</v>
      </c>
      <c r="O51" s="5" t="s">
        <v>748</v>
      </c>
      <c r="P51" s="5" t="s">
        <v>38</v>
      </c>
      <c r="Q51" s="5"/>
      <c r="R51" s="5" t="s">
        <v>77</v>
      </c>
      <c r="S51" s="5"/>
      <c r="T51" s="5"/>
      <c r="U51" s="5"/>
      <c r="V51" s="5"/>
      <c r="W51" s="5"/>
      <c r="X51" s="5"/>
      <c r="Y51" s="5"/>
    </row>
    <row r="52" spans="1:25" hidden="1" x14ac:dyDescent="0.25">
      <c r="A52" s="5"/>
      <c r="B52" s="5"/>
      <c r="C52" s="5" t="s">
        <v>880</v>
      </c>
      <c r="D52" s="5" t="s">
        <v>881</v>
      </c>
      <c r="E52" s="5">
        <v>1</v>
      </c>
      <c r="F52" s="5" t="s">
        <v>865</v>
      </c>
      <c r="G52" s="5"/>
      <c r="H52" s="5"/>
      <c r="I52" s="5"/>
      <c r="J52" s="5"/>
      <c r="K52" s="5" t="s">
        <v>205</v>
      </c>
      <c r="L52" s="5" t="s">
        <v>747</v>
      </c>
      <c r="M52" s="5" t="str">
        <f>IF(LEN('List chi tiet'!$B$2)=0,"",'List chi tiet'!$B$2)</f>
        <v>TCTN.DNS.26.004 ĐƯỜNG CAO TỐC VIN</v>
      </c>
      <c r="N52" s="6" t="s">
        <v>37</v>
      </c>
      <c r="O52" s="5" t="s">
        <v>748</v>
      </c>
      <c r="P52" s="5" t="s">
        <v>38</v>
      </c>
      <c r="Q52" s="5"/>
      <c r="R52" s="5" t="s">
        <v>77</v>
      </c>
      <c r="S52" s="5">
        <v>5.16</v>
      </c>
      <c r="T52" s="5">
        <v>25.14</v>
      </c>
      <c r="U52" s="5">
        <v>80.260000000000005</v>
      </c>
      <c r="V52" s="5" t="s">
        <v>750</v>
      </c>
      <c r="W52" s="5"/>
      <c r="X52" s="5"/>
      <c r="Y52" s="5"/>
    </row>
    <row r="53" spans="1:25" hidden="1" x14ac:dyDescent="0.25">
      <c r="A53" s="5"/>
      <c r="B53" s="5"/>
      <c r="C53" s="5" t="s">
        <v>878</v>
      </c>
      <c r="D53" s="5">
        <v>6</v>
      </c>
      <c r="E53" s="5">
        <v>-80.260000000000005</v>
      </c>
      <c r="F53" s="5" t="s">
        <v>867</v>
      </c>
      <c r="G53" s="5"/>
      <c r="H53" s="5"/>
      <c r="I53" s="5"/>
      <c r="J53" s="5"/>
      <c r="K53" s="5" t="s">
        <v>897</v>
      </c>
      <c r="L53" s="5" t="s">
        <v>747</v>
      </c>
      <c r="M53" s="5" t="str">
        <f>IF(LEN('List chi tiet'!$B$2)=0,"",'List chi tiet'!$B$2)</f>
        <v>TCTN.DNS.26.004 ĐƯỜNG CAO TỐC VIN</v>
      </c>
      <c r="N53" s="6" t="s">
        <v>37</v>
      </c>
      <c r="O53" s="5" t="s">
        <v>748</v>
      </c>
      <c r="P53" s="5" t="s">
        <v>38</v>
      </c>
      <c r="Q53" s="5"/>
      <c r="R53" s="5" t="s">
        <v>77</v>
      </c>
      <c r="S53" s="5"/>
      <c r="T53" s="5"/>
      <c r="U53" s="5"/>
      <c r="V53" s="5"/>
      <c r="W53" s="5"/>
      <c r="X53" s="5"/>
      <c r="Y53" s="5"/>
    </row>
    <row r="54" spans="1:25" hidden="1" x14ac:dyDescent="0.25">
      <c r="A54" s="5"/>
      <c r="B54" s="5"/>
      <c r="C54" s="5" t="s">
        <v>880</v>
      </c>
      <c r="D54" s="5" t="s">
        <v>881</v>
      </c>
      <c r="E54" s="5">
        <v>1</v>
      </c>
      <c r="F54" s="5" t="s">
        <v>865</v>
      </c>
      <c r="G54" s="5"/>
      <c r="H54" s="5"/>
      <c r="I54" s="5"/>
      <c r="J54" s="5"/>
      <c r="K54" s="5" t="s">
        <v>214</v>
      </c>
      <c r="L54" s="5" t="s">
        <v>747</v>
      </c>
      <c r="M54" s="5" t="str">
        <f>IF(LEN('List chi tiet'!$B$2)=0,"",'List chi tiet'!$B$2)</f>
        <v>TCTN.DNS.26.004 ĐƯỜNG CAO TỐC VIN</v>
      </c>
      <c r="N54" s="6" t="s">
        <v>37</v>
      </c>
      <c r="O54" s="5" t="s">
        <v>748</v>
      </c>
      <c r="P54" s="5" t="s">
        <v>38</v>
      </c>
      <c r="Q54" s="5"/>
      <c r="R54" s="5" t="s">
        <v>77</v>
      </c>
      <c r="S54" s="5">
        <v>5.41</v>
      </c>
      <c r="T54" s="5">
        <v>69.19</v>
      </c>
      <c r="U54" s="5">
        <v>0</v>
      </c>
      <c r="V54" s="5" t="s">
        <v>750</v>
      </c>
      <c r="W54" s="5"/>
      <c r="X54" s="5"/>
      <c r="Y54" s="5"/>
    </row>
    <row r="55" spans="1:25" hidden="1" x14ac:dyDescent="0.25">
      <c r="A55" s="5"/>
      <c r="B55" s="5"/>
      <c r="C55" s="5" t="s">
        <v>880</v>
      </c>
      <c r="D55" s="5" t="s">
        <v>881</v>
      </c>
      <c r="E55" s="5">
        <v>1</v>
      </c>
      <c r="F55" s="5" t="s">
        <v>865</v>
      </c>
      <c r="G55" s="5"/>
      <c r="H55" s="5"/>
      <c r="I55" s="5"/>
      <c r="J55" s="5"/>
      <c r="K55" s="5" t="s">
        <v>219</v>
      </c>
      <c r="L55" s="5" t="s">
        <v>747</v>
      </c>
      <c r="M55" s="5" t="str">
        <f>IF(LEN('List chi tiet'!$B$2)=0,"",'List chi tiet'!$B$2)</f>
        <v>TCTN.DNS.26.004 ĐƯỜNG CAO TỐC VIN</v>
      </c>
      <c r="N55" s="6" t="s">
        <v>37</v>
      </c>
      <c r="O55" s="5" t="s">
        <v>748</v>
      </c>
      <c r="P55" s="5" t="s">
        <v>38</v>
      </c>
      <c r="Q55" s="5"/>
      <c r="R55" s="5" t="s">
        <v>77</v>
      </c>
      <c r="S55" s="5">
        <v>2.4</v>
      </c>
      <c r="T55" s="5">
        <v>15.81</v>
      </c>
      <c r="U55" s="5">
        <v>486.42</v>
      </c>
      <c r="V55" s="5" t="s">
        <v>750</v>
      </c>
      <c r="W55" s="5"/>
      <c r="X55" s="5"/>
      <c r="Y55" s="5"/>
    </row>
    <row r="56" spans="1:25" hidden="1" x14ac:dyDescent="0.25">
      <c r="A56" s="5"/>
      <c r="B56" s="5"/>
      <c r="C56" s="5" t="s">
        <v>878</v>
      </c>
      <c r="D56" s="5">
        <v>6</v>
      </c>
      <c r="E56" s="5">
        <v>-486.42</v>
      </c>
      <c r="F56" s="5" t="s">
        <v>867</v>
      </c>
      <c r="G56" s="5"/>
      <c r="H56" s="5"/>
      <c r="I56" s="5"/>
      <c r="J56" s="5"/>
      <c r="K56" s="5" t="s">
        <v>898</v>
      </c>
      <c r="L56" s="5" t="s">
        <v>747</v>
      </c>
      <c r="M56" s="5" t="str">
        <f>IF(LEN('List chi tiet'!$B$2)=0,"",'List chi tiet'!$B$2)</f>
        <v>TCTN.DNS.26.004 ĐƯỜNG CAO TỐC VIN</v>
      </c>
      <c r="N56" s="6" t="s">
        <v>37</v>
      </c>
      <c r="O56" s="5" t="s">
        <v>748</v>
      </c>
      <c r="P56" s="5" t="s">
        <v>38</v>
      </c>
      <c r="Q56" s="5"/>
      <c r="R56" s="5" t="s">
        <v>77</v>
      </c>
      <c r="S56" s="5"/>
      <c r="T56" s="5"/>
      <c r="U56" s="5"/>
      <c r="V56" s="5"/>
      <c r="W56" s="5"/>
      <c r="X56" s="5"/>
      <c r="Y56" s="5"/>
    </row>
    <row r="57" spans="1:25" hidden="1" x14ac:dyDescent="0.25">
      <c r="A57" s="5"/>
      <c r="B57" s="5"/>
      <c r="C57" s="5" t="s">
        <v>899</v>
      </c>
      <c r="D57" s="5" t="s">
        <v>900</v>
      </c>
      <c r="E57" s="5">
        <v>1</v>
      </c>
      <c r="F57" s="5" t="s">
        <v>865</v>
      </c>
      <c r="G57" s="5"/>
      <c r="H57" s="5"/>
      <c r="I57" s="5"/>
      <c r="J57" s="5"/>
      <c r="K57" s="5" t="s">
        <v>225</v>
      </c>
      <c r="L57" s="5" t="s">
        <v>747</v>
      </c>
      <c r="M57" s="5" t="str">
        <f>IF(LEN('List chi tiet'!$B$2)=0,"",'List chi tiet'!$B$2)</f>
        <v>TCTN.DNS.26.004 ĐƯỜNG CAO TỐC VIN</v>
      </c>
      <c r="N57" s="6" t="s">
        <v>37</v>
      </c>
      <c r="O57" s="5" t="s">
        <v>748</v>
      </c>
      <c r="P57" s="5" t="s">
        <v>38</v>
      </c>
      <c r="Q57" s="5"/>
      <c r="R57" s="5" t="s">
        <v>77</v>
      </c>
      <c r="S57" s="5">
        <v>10.15</v>
      </c>
      <c r="T57" s="5">
        <v>46.52</v>
      </c>
      <c r="U57" s="5">
        <v>0</v>
      </c>
      <c r="V57" s="5" t="s">
        <v>751</v>
      </c>
      <c r="W57" s="5"/>
      <c r="X57" s="5"/>
      <c r="Y57" s="5"/>
    </row>
    <row r="58" spans="1:25" hidden="1" x14ac:dyDescent="0.25">
      <c r="A58" s="5"/>
      <c r="B58" s="5"/>
      <c r="C58" s="5" t="s">
        <v>899</v>
      </c>
      <c r="D58" s="5" t="s">
        <v>900</v>
      </c>
      <c r="E58" s="5">
        <v>1</v>
      </c>
      <c r="F58" s="5" t="s">
        <v>865</v>
      </c>
      <c r="G58" s="5"/>
      <c r="H58" s="5"/>
      <c r="I58" s="5"/>
      <c r="J58" s="5"/>
      <c r="K58" s="5" t="s">
        <v>240</v>
      </c>
      <c r="L58" s="5" t="s">
        <v>747</v>
      </c>
      <c r="M58" s="5" t="str">
        <f>IF(LEN('List chi tiet'!$B$2)=0,"",'List chi tiet'!$B$2)</f>
        <v>TCTN.DNS.26.004 ĐƯỜNG CAO TỐC VIN</v>
      </c>
      <c r="N58" s="6" t="s">
        <v>37</v>
      </c>
      <c r="O58" s="5" t="s">
        <v>748</v>
      </c>
      <c r="P58" s="5" t="s">
        <v>38</v>
      </c>
      <c r="Q58" s="5"/>
      <c r="R58" s="5" t="s">
        <v>77</v>
      </c>
      <c r="S58" s="5">
        <v>9.9600000000000009</v>
      </c>
      <c r="T58" s="5">
        <v>74.569999999999993</v>
      </c>
      <c r="U58" s="5">
        <v>0</v>
      </c>
      <c r="V58" s="5" t="s">
        <v>751</v>
      </c>
      <c r="W58" s="5"/>
      <c r="X58" s="5"/>
      <c r="Y58" s="5"/>
    </row>
    <row r="59" spans="1:25" hidden="1" x14ac:dyDescent="0.25">
      <c r="A59" s="5"/>
      <c r="B59" s="5"/>
      <c r="C59" s="5" t="s">
        <v>899</v>
      </c>
      <c r="D59" s="5" t="s">
        <v>900</v>
      </c>
      <c r="E59" s="5">
        <v>1</v>
      </c>
      <c r="F59" s="5" t="s">
        <v>865</v>
      </c>
      <c r="G59" s="5"/>
      <c r="H59" s="5"/>
      <c r="I59" s="5"/>
      <c r="J59" s="5"/>
      <c r="K59" s="5" t="s">
        <v>248</v>
      </c>
      <c r="L59" s="5" t="s">
        <v>747</v>
      </c>
      <c r="M59" s="5" t="str">
        <f>IF(LEN('List chi tiet'!$B$2)=0,"",'List chi tiet'!$B$2)</f>
        <v>TCTN.DNS.26.004 ĐƯỜNG CAO TỐC VIN</v>
      </c>
      <c r="N59" s="6" t="s">
        <v>37</v>
      </c>
      <c r="O59" s="5" t="s">
        <v>748</v>
      </c>
      <c r="P59" s="5" t="s">
        <v>38</v>
      </c>
      <c r="Q59" s="5"/>
      <c r="R59" s="5" t="s">
        <v>77</v>
      </c>
      <c r="S59" s="5">
        <v>9.9600000000000009</v>
      </c>
      <c r="T59" s="5">
        <v>74.790000000000006</v>
      </c>
      <c r="U59" s="5">
        <v>0</v>
      </c>
      <c r="V59" s="5" t="s">
        <v>751</v>
      </c>
      <c r="W59" s="5"/>
      <c r="X59" s="5"/>
      <c r="Y59" s="5"/>
    </row>
    <row r="60" spans="1:25" hidden="1" x14ac:dyDescent="0.25">
      <c r="A60" s="5"/>
      <c r="B60" s="5"/>
      <c r="C60" s="5" t="s">
        <v>899</v>
      </c>
      <c r="D60" s="5" t="s">
        <v>900</v>
      </c>
      <c r="E60" s="5">
        <v>1</v>
      </c>
      <c r="F60" s="5" t="s">
        <v>865</v>
      </c>
      <c r="G60" s="5"/>
      <c r="H60" s="5"/>
      <c r="I60" s="5"/>
      <c r="J60" s="5"/>
      <c r="K60" s="5" t="s">
        <v>254</v>
      </c>
      <c r="L60" s="5" t="s">
        <v>747</v>
      </c>
      <c r="M60" s="5" t="str">
        <f>IF(LEN('List chi tiet'!$B$2)=0,"",'List chi tiet'!$B$2)</f>
        <v>TCTN.DNS.26.004 ĐƯỜNG CAO TỐC VIN</v>
      </c>
      <c r="N60" s="6" t="s">
        <v>37</v>
      </c>
      <c r="O60" s="5" t="s">
        <v>748</v>
      </c>
      <c r="P60" s="5" t="s">
        <v>38</v>
      </c>
      <c r="Q60" s="5"/>
      <c r="R60" s="5" t="s">
        <v>77</v>
      </c>
      <c r="S60" s="5">
        <v>9.77</v>
      </c>
      <c r="T60" s="5">
        <v>101.16</v>
      </c>
      <c r="U60" s="5">
        <v>0</v>
      </c>
      <c r="V60" s="5" t="s">
        <v>751</v>
      </c>
      <c r="W60" s="5"/>
      <c r="X60" s="5"/>
      <c r="Y60" s="5"/>
    </row>
    <row r="61" spans="1:25" hidden="1" x14ac:dyDescent="0.25">
      <c r="A61" s="5"/>
      <c r="B61" s="5"/>
      <c r="C61" s="5" t="s">
        <v>899</v>
      </c>
      <c r="D61" s="5" t="s">
        <v>900</v>
      </c>
      <c r="E61" s="5">
        <v>1</v>
      </c>
      <c r="F61" s="5" t="s">
        <v>865</v>
      </c>
      <c r="G61" s="5"/>
      <c r="H61" s="5"/>
      <c r="I61" s="5"/>
      <c r="J61" s="5"/>
      <c r="K61" s="5" t="s">
        <v>259</v>
      </c>
      <c r="L61" s="5" t="s">
        <v>747</v>
      </c>
      <c r="M61" s="5" t="str">
        <f>IF(LEN('List chi tiet'!$B$2)=0,"",'List chi tiet'!$B$2)</f>
        <v>TCTN.DNS.26.004 ĐƯỜNG CAO TỐC VIN</v>
      </c>
      <c r="N61" s="6" t="s">
        <v>37</v>
      </c>
      <c r="O61" s="5" t="s">
        <v>748</v>
      </c>
      <c r="P61" s="5" t="s">
        <v>38</v>
      </c>
      <c r="Q61" s="5"/>
      <c r="R61" s="5" t="s">
        <v>77</v>
      </c>
      <c r="S61" s="5">
        <v>9.7799999999999994</v>
      </c>
      <c r="T61" s="5">
        <v>99.77</v>
      </c>
      <c r="U61" s="5">
        <v>0</v>
      </c>
      <c r="V61" s="5" t="s">
        <v>751</v>
      </c>
      <c r="W61" s="5"/>
      <c r="X61" s="5"/>
      <c r="Y61" s="5"/>
    </row>
    <row r="62" spans="1:25" hidden="1" x14ac:dyDescent="0.25">
      <c r="A62" s="5"/>
      <c r="B62" s="5"/>
      <c r="C62" s="5" t="s">
        <v>899</v>
      </c>
      <c r="D62" s="5" t="s">
        <v>900</v>
      </c>
      <c r="E62" s="5">
        <v>1</v>
      </c>
      <c r="F62" s="5" t="s">
        <v>865</v>
      </c>
      <c r="G62" s="5"/>
      <c r="H62" s="5"/>
      <c r="I62" s="5"/>
      <c r="J62" s="5"/>
      <c r="K62" s="5" t="s">
        <v>264</v>
      </c>
      <c r="L62" s="5" t="s">
        <v>747</v>
      </c>
      <c r="M62" s="5" t="str">
        <f>IF(LEN('List chi tiet'!$B$2)=0,"",'List chi tiet'!$B$2)</f>
        <v>TCTN.DNS.26.004 ĐƯỜNG CAO TỐC VIN</v>
      </c>
      <c r="N62" s="6" t="s">
        <v>37</v>
      </c>
      <c r="O62" s="5" t="s">
        <v>748</v>
      </c>
      <c r="P62" s="5" t="s">
        <v>38</v>
      </c>
      <c r="Q62" s="5"/>
      <c r="R62" s="5" t="s">
        <v>77</v>
      </c>
      <c r="S62" s="5">
        <v>9.89</v>
      </c>
      <c r="T62" s="5">
        <v>85.03</v>
      </c>
      <c r="U62" s="5">
        <v>0</v>
      </c>
      <c r="V62" s="5" t="s">
        <v>751</v>
      </c>
      <c r="W62" s="5"/>
      <c r="X62" s="5"/>
      <c r="Y62" s="5"/>
    </row>
    <row r="63" spans="1:25" hidden="1" x14ac:dyDescent="0.25">
      <c r="A63" s="5"/>
      <c r="B63" s="5"/>
      <c r="C63" s="5" t="s">
        <v>899</v>
      </c>
      <c r="D63" s="5" t="s">
        <v>900</v>
      </c>
      <c r="E63" s="5">
        <v>1</v>
      </c>
      <c r="F63" s="5" t="s">
        <v>865</v>
      </c>
      <c r="G63" s="5"/>
      <c r="H63" s="5"/>
      <c r="I63" s="5"/>
      <c r="J63" s="5"/>
      <c r="K63" s="5" t="s">
        <v>272</v>
      </c>
      <c r="L63" s="5" t="s">
        <v>747</v>
      </c>
      <c r="M63" s="5" t="str">
        <f>IF(LEN('List chi tiet'!$B$2)=0,"",'List chi tiet'!$B$2)</f>
        <v>TCTN.DNS.26.004 ĐƯỜNG CAO TỐC VIN</v>
      </c>
      <c r="N63" s="6" t="s">
        <v>37</v>
      </c>
      <c r="O63" s="5" t="s">
        <v>748</v>
      </c>
      <c r="P63" s="5" t="s">
        <v>38</v>
      </c>
      <c r="Q63" s="5"/>
      <c r="R63" s="5" t="s">
        <v>77</v>
      </c>
      <c r="S63" s="5">
        <v>9.9499999999999993</v>
      </c>
      <c r="T63" s="5">
        <v>75.239999999999995</v>
      </c>
      <c r="U63" s="5">
        <v>0</v>
      </c>
      <c r="V63" s="5" t="s">
        <v>751</v>
      </c>
      <c r="W63" s="5"/>
      <c r="X63" s="5"/>
      <c r="Y63" s="5"/>
    </row>
    <row r="64" spans="1:25" hidden="1" x14ac:dyDescent="0.25">
      <c r="A64" s="5"/>
      <c r="B64" s="5"/>
      <c r="C64" s="5" t="s">
        <v>899</v>
      </c>
      <c r="D64" s="5" t="s">
        <v>900</v>
      </c>
      <c r="E64" s="5">
        <v>1</v>
      </c>
      <c r="F64" s="5" t="s">
        <v>865</v>
      </c>
      <c r="G64" s="5"/>
      <c r="H64" s="5"/>
      <c r="I64" s="5"/>
      <c r="J64" s="5"/>
      <c r="K64" s="5" t="s">
        <v>289</v>
      </c>
      <c r="L64" s="5" t="s">
        <v>747</v>
      </c>
      <c r="M64" s="5" t="str">
        <f>IF(LEN('List chi tiet'!$B$2)=0,"",'List chi tiet'!$B$2)</f>
        <v>TCTN.DNS.26.004 ĐƯỜNG CAO TỐC VIN</v>
      </c>
      <c r="N64" s="6" t="s">
        <v>37</v>
      </c>
      <c r="O64" s="5" t="s">
        <v>748</v>
      </c>
      <c r="P64" s="5" t="s">
        <v>38</v>
      </c>
      <c r="Q64" s="5"/>
      <c r="R64" s="5" t="s">
        <v>77</v>
      </c>
      <c r="S64" s="5">
        <v>10.14</v>
      </c>
      <c r="T64" s="5">
        <v>48.35</v>
      </c>
      <c r="U64" s="5">
        <v>0</v>
      </c>
      <c r="V64" s="5" t="s">
        <v>751</v>
      </c>
      <c r="W64" s="5"/>
      <c r="X64" s="5"/>
      <c r="Y64" s="5"/>
    </row>
    <row r="65" spans="1:25" hidden="1" x14ac:dyDescent="0.25">
      <c r="A65" s="5"/>
      <c r="B65" s="5"/>
      <c r="C65" s="5" t="s">
        <v>899</v>
      </c>
      <c r="D65" s="5" t="s">
        <v>900</v>
      </c>
      <c r="E65" s="5">
        <v>1</v>
      </c>
      <c r="F65" s="5" t="s">
        <v>865</v>
      </c>
      <c r="G65" s="5"/>
      <c r="H65" s="5"/>
      <c r="I65" s="5"/>
      <c r="J65" s="5"/>
      <c r="K65" s="5" t="s">
        <v>295</v>
      </c>
      <c r="L65" s="5" t="s">
        <v>747</v>
      </c>
      <c r="M65" s="5" t="str">
        <f>IF(LEN('List chi tiet'!$B$2)=0,"",'List chi tiet'!$B$2)</f>
        <v>TCTN.DNS.26.004 ĐƯỜNG CAO TỐC VIN</v>
      </c>
      <c r="N65" s="6" t="s">
        <v>37</v>
      </c>
      <c r="O65" s="5" t="s">
        <v>748</v>
      </c>
      <c r="P65" s="5" t="s">
        <v>38</v>
      </c>
      <c r="Q65" s="5"/>
      <c r="R65" s="5" t="s">
        <v>77</v>
      </c>
      <c r="S65" s="5">
        <v>10.039999999999999</v>
      </c>
      <c r="T65" s="5">
        <v>62.3</v>
      </c>
      <c r="U65" s="5">
        <v>0</v>
      </c>
      <c r="V65" s="5" t="s">
        <v>751</v>
      </c>
      <c r="W65" s="5"/>
      <c r="X65" s="5"/>
      <c r="Y65" s="5"/>
    </row>
    <row r="66" spans="1:25" hidden="1" x14ac:dyDescent="0.25">
      <c r="A66" s="5"/>
      <c r="B66" s="5"/>
      <c r="C66" s="5" t="s">
        <v>899</v>
      </c>
      <c r="D66" s="5" t="s">
        <v>900</v>
      </c>
      <c r="E66" s="5">
        <v>1</v>
      </c>
      <c r="F66" s="5" t="s">
        <v>865</v>
      </c>
      <c r="G66" s="5"/>
      <c r="H66" s="5"/>
      <c r="I66" s="5"/>
      <c r="J66" s="5"/>
      <c r="K66" s="5" t="s">
        <v>316</v>
      </c>
      <c r="L66" s="5" t="s">
        <v>747</v>
      </c>
      <c r="M66" s="5" t="str">
        <f>IF(LEN('List chi tiet'!$B$2)=0,"",'List chi tiet'!$B$2)</f>
        <v>TCTN.DNS.26.004 ĐƯỜNG CAO TỐC VIN</v>
      </c>
      <c r="N66" s="6" t="s">
        <v>37</v>
      </c>
      <c r="O66" s="5" t="s">
        <v>748</v>
      </c>
      <c r="P66" s="5" t="s">
        <v>38</v>
      </c>
      <c r="Q66" s="5"/>
      <c r="R66" s="5" t="s">
        <v>77</v>
      </c>
      <c r="S66" s="5">
        <v>9.9700000000000006</v>
      </c>
      <c r="T66" s="5">
        <v>72.83</v>
      </c>
      <c r="U66" s="5">
        <v>0</v>
      </c>
      <c r="V66" s="5" t="s">
        <v>751</v>
      </c>
      <c r="W66" s="5"/>
      <c r="X66" s="5"/>
      <c r="Y66" s="5"/>
    </row>
    <row r="67" spans="1:25" hidden="1" x14ac:dyDescent="0.25">
      <c r="A67" s="5"/>
      <c r="B67" s="5"/>
      <c r="C67" s="5" t="s">
        <v>878</v>
      </c>
      <c r="D67" s="5">
        <v>8</v>
      </c>
      <c r="E67" s="5">
        <v>14.06</v>
      </c>
      <c r="F67" s="5" t="s">
        <v>867</v>
      </c>
      <c r="G67" s="5"/>
      <c r="H67" s="5"/>
      <c r="I67" s="5"/>
      <c r="J67" s="5"/>
      <c r="K67" s="5" t="s">
        <v>356</v>
      </c>
      <c r="L67" s="5" t="s">
        <v>747</v>
      </c>
      <c r="M67" s="5" t="str">
        <f>IF(LEN('List chi tiet'!$B$2)=0,"",'List chi tiet'!$B$2)</f>
        <v>TCTN.DNS.26.004 ĐƯỜNG CAO TỐC VIN</v>
      </c>
      <c r="N67" s="6" t="s">
        <v>37</v>
      </c>
      <c r="O67" s="5" t="s">
        <v>748</v>
      </c>
      <c r="P67" s="5" t="s">
        <v>38</v>
      </c>
      <c r="Q67" s="5"/>
      <c r="R67" s="5" t="s">
        <v>77</v>
      </c>
      <c r="S67" s="5">
        <v>0.08</v>
      </c>
      <c r="T67" s="5">
        <v>2.99</v>
      </c>
      <c r="U67" s="5">
        <v>0</v>
      </c>
      <c r="V67" s="5" t="s">
        <v>752</v>
      </c>
      <c r="W67" s="5"/>
      <c r="X67" s="5"/>
      <c r="Y67" s="5"/>
    </row>
    <row r="68" spans="1:25" hidden="1" x14ac:dyDescent="0.25">
      <c r="A68" s="5"/>
      <c r="B68" s="5"/>
      <c r="C68" s="5" t="s">
        <v>901</v>
      </c>
      <c r="D68" s="5" t="s">
        <v>881</v>
      </c>
      <c r="E68" s="5">
        <v>1</v>
      </c>
      <c r="F68" s="5" t="s">
        <v>865</v>
      </c>
      <c r="G68" s="5"/>
      <c r="H68" s="5"/>
      <c r="I68" s="5"/>
      <c r="J68" s="5"/>
      <c r="K68" s="5" t="s">
        <v>362</v>
      </c>
      <c r="L68" s="5" t="s">
        <v>747</v>
      </c>
      <c r="M68" s="5" t="str">
        <f>IF(LEN('List chi tiet'!$B$2)=0,"",'List chi tiet'!$B$2)</f>
        <v>TCTN.DNS.26.004 ĐƯỜNG CAO TỐC VIN</v>
      </c>
      <c r="N68" s="6" t="s">
        <v>37</v>
      </c>
      <c r="O68" s="5" t="s">
        <v>748</v>
      </c>
      <c r="P68" s="5" t="s">
        <v>38</v>
      </c>
      <c r="Q68" s="5"/>
      <c r="R68" s="5" t="s">
        <v>77</v>
      </c>
      <c r="S68" s="5">
        <v>9.6300000000000008</v>
      </c>
      <c r="T68" s="5">
        <v>28.06</v>
      </c>
      <c r="U68" s="5">
        <v>0</v>
      </c>
      <c r="V68" s="5" t="s">
        <v>753</v>
      </c>
      <c r="W68" s="5"/>
      <c r="X68" s="5"/>
      <c r="Y68" s="5"/>
    </row>
    <row r="69" spans="1:25" hidden="1" x14ac:dyDescent="0.25">
      <c r="A69" s="5"/>
      <c r="B69" s="5"/>
      <c r="C69" s="5" t="s">
        <v>901</v>
      </c>
      <c r="D69" s="5" t="s">
        <v>881</v>
      </c>
      <c r="E69" s="5">
        <v>1</v>
      </c>
      <c r="F69" s="5" t="s">
        <v>865</v>
      </c>
      <c r="G69" s="5"/>
      <c r="H69" s="5"/>
      <c r="I69" s="5"/>
      <c r="J69" s="5"/>
      <c r="K69" s="5" t="s">
        <v>368</v>
      </c>
      <c r="L69" s="5" t="s">
        <v>747</v>
      </c>
      <c r="M69" s="5" t="str">
        <f>IF(LEN('List chi tiet'!$B$2)=0,"",'List chi tiet'!$B$2)</f>
        <v>TCTN.DNS.26.004 ĐƯỜNG CAO TỐC VIN</v>
      </c>
      <c r="N69" s="6" t="s">
        <v>37</v>
      </c>
      <c r="O69" s="5" t="s">
        <v>748</v>
      </c>
      <c r="P69" s="5" t="s">
        <v>38</v>
      </c>
      <c r="Q69" s="5"/>
      <c r="R69" s="5" t="s">
        <v>77</v>
      </c>
      <c r="S69" s="5">
        <v>9.6300000000000008</v>
      </c>
      <c r="T69" s="5">
        <v>28.06</v>
      </c>
      <c r="U69" s="5">
        <v>0</v>
      </c>
      <c r="V69" s="5" t="s">
        <v>753</v>
      </c>
      <c r="W69" s="5"/>
      <c r="X69" s="5"/>
      <c r="Y69" s="5"/>
    </row>
    <row r="70" spans="1:25" hidden="1" x14ac:dyDescent="0.25">
      <c r="A70" s="5"/>
      <c r="B70" s="5"/>
      <c r="C70" s="5" t="s">
        <v>901</v>
      </c>
      <c r="D70" s="5" t="s">
        <v>881</v>
      </c>
      <c r="E70" s="5">
        <v>1</v>
      </c>
      <c r="F70" s="5" t="s">
        <v>865</v>
      </c>
      <c r="G70" s="5"/>
      <c r="H70" s="5"/>
      <c r="I70" s="5"/>
      <c r="J70" s="5"/>
      <c r="K70" s="5" t="s">
        <v>373</v>
      </c>
      <c r="L70" s="5" t="s">
        <v>747</v>
      </c>
      <c r="M70" s="5" t="str">
        <f>IF(LEN('List chi tiet'!$B$2)=0,"",'List chi tiet'!$B$2)</f>
        <v>TCTN.DNS.26.004 ĐƯỜNG CAO TỐC VIN</v>
      </c>
      <c r="N70" s="6" t="s">
        <v>37</v>
      </c>
      <c r="O70" s="5" t="s">
        <v>748</v>
      </c>
      <c r="P70" s="5" t="s">
        <v>38</v>
      </c>
      <c r="Q70" s="5"/>
      <c r="R70" s="5" t="s">
        <v>77</v>
      </c>
      <c r="S70" s="5">
        <v>9.6300000000000008</v>
      </c>
      <c r="T70" s="5">
        <v>28.05</v>
      </c>
      <c r="U70" s="5">
        <v>0</v>
      </c>
      <c r="V70" s="5" t="s">
        <v>753</v>
      </c>
      <c r="W70" s="5"/>
      <c r="X70" s="5"/>
      <c r="Y70" s="5"/>
    </row>
    <row r="71" spans="1:25" hidden="1" x14ac:dyDescent="0.25">
      <c r="A71" s="5"/>
      <c r="B71" s="5"/>
      <c r="C71" s="5" t="s">
        <v>901</v>
      </c>
      <c r="D71" s="5" t="s">
        <v>881</v>
      </c>
      <c r="E71" s="5">
        <v>1</v>
      </c>
      <c r="F71" s="5" t="s">
        <v>865</v>
      </c>
      <c r="G71" s="5"/>
      <c r="H71" s="5"/>
      <c r="I71" s="5"/>
      <c r="J71" s="5"/>
      <c r="K71" s="5" t="s">
        <v>376</v>
      </c>
      <c r="L71" s="5" t="s">
        <v>747</v>
      </c>
      <c r="M71" s="5" t="str">
        <f>IF(LEN('List chi tiet'!$B$2)=0,"",'List chi tiet'!$B$2)</f>
        <v>TCTN.DNS.26.004 ĐƯỜNG CAO TỐC VIN</v>
      </c>
      <c r="N71" s="6" t="s">
        <v>37</v>
      </c>
      <c r="O71" s="5" t="s">
        <v>748</v>
      </c>
      <c r="P71" s="5" t="s">
        <v>38</v>
      </c>
      <c r="Q71" s="5"/>
      <c r="R71" s="5" t="s">
        <v>77</v>
      </c>
      <c r="S71" s="5">
        <v>9.56</v>
      </c>
      <c r="T71" s="5">
        <v>37.549999999999997</v>
      </c>
      <c r="U71" s="5">
        <v>0</v>
      </c>
      <c r="V71" s="5" t="s">
        <v>753</v>
      </c>
      <c r="W71" s="5"/>
      <c r="X71" s="5"/>
      <c r="Y71" s="5"/>
    </row>
    <row r="72" spans="1:25" hidden="1" x14ac:dyDescent="0.25">
      <c r="A72" s="5"/>
      <c r="B72" s="5"/>
      <c r="C72" s="5" t="s">
        <v>901</v>
      </c>
      <c r="D72" s="5" t="s">
        <v>881</v>
      </c>
      <c r="E72" s="5">
        <v>1</v>
      </c>
      <c r="F72" s="5" t="s">
        <v>865</v>
      </c>
      <c r="G72" s="5"/>
      <c r="H72" s="5"/>
      <c r="I72" s="5"/>
      <c r="J72" s="5"/>
      <c r="K72" s="5" t="s">
        <v>382</v>
      </c>
      <c r="L72" s="5" t="s">
        <v>747</v>
      </c>
      <c r="M72" s="5" t="str">
        <f>IF(LEN('List chi tiet'!$B$2)=0,"",'List chi tiet'!$B$2)</f>
        <v>TCTN.DNS.26.004 ĐƯỜNG CAO TỐC VIN</v>
      </c>
      <c r="N72" s="6" t="s">
        <v>37</v>
      </c>
      <c r="O72" s="5" t="s">
        <v>748</v>
      </c>
      <c r="P72" s="5" t="s">
        <v>38</v>
      </c>
      <c r="Q72" s="5"/>
      <c r="R72" s="5" t="s">
        <v>77</v>
      </c>
      <c r="S72" s="5">
        <v>9.19</v>
      </c>
      <c r="T72" s="5">
        <v>90.67</v>
      </c>
      <c r="U72" s="5">
        <v>0</v>
      </c>
      <c r="V72" s="5" t="s">
        <v>753</v>
      </c>
      <c r="W72" s="5"/>
      <c r="X72" s="5"/>
      <c r="Y72" s="5"/>
    </row>
    <row r="73" spans="1:25" hidden="1" x14ac:dyDescent="0.25">
      <c r="A73" s="5"/>
      <c r="B73" s="5"/>
      <c r="C73" s="5" t="s">
        <v>901</v>
      </c>
      <c r="D73" s="5" t="s">
        <v>881</v>
      </c>
      <c r="E73" s="5">
        <v>1</v>
      </c>
      <c r="F73" s="5" t="s">
        <v>865</v>
      </c>
      <c r="G73" s="5"/>
      <c r="H73" s="5"/>
      <c r="I73" s="5"/>
      <c r="J73" s="5"/>
      <c r="K73" s="5" t="s">
        <v>392</v>
      </c>
      <c r="L73" s="5" t="s">
        <v>747</v>
      </c>
      <c r="M73" s="5" t="str">
        <f>IF(LEN('List chi tiet'!$B$2)=0,"",'List chi tiet'!$B$2)</f>
        <v>TCTN.DNS.26.004 ĐƯỜNG CAO TỐC VIN</v>
      </c>
      <c r="N73" s="6" t="s">
        <v>37</v>
      </c>
      <c r="O73" s="5" t="s">
        <v>748</v>
      </c>
      <c r="P73" s="5" t="s">
        <v>38</v>
      </c>
      <c r="Q73" s="5"/>
      <c r="R73" s="5" t="s">
        <v>77</v>
      </c>
      <c r="S73" s="5">
        <v>9.3699999999999992</v>
      </c>
      <c r="T73" s="5">
        <v>65.03</v>
      </c>
      <c r="U73" s="5">
        <v>0</v>
      </c>
      <c r="V73" s="5" t="s">
        <v>753</v>
      </c>
      <c r="W73" s="5"/>
      <c r="X73" s="5"/>
      <c r="Y73" s="5"/>
    </row>
    <row r="74" spans="1:25" hidden="1" x14ac:dyDescent="0.25">
      <c r="A74" s="5"/>
      <c r="B74" s="5"/>
      <c r="C74" s="5" t="s">
        <v>901</v>
      </c>
      <c r="D74" s="5" t="s">
        <v>881</v>
      </c>
      <c r="E74" s="5">
        <v>1</v>
      </c>
      <c r="F74" s="5" t="s">
        <v>865</v>
      </c>
      <c r="G74" s="5"/>
      <c r="H74" s="5"/>
      <c r="I74" s="5"/>
      <c r="J74" s="5"/>
      <c r="K74" s="5" t="s">
        <v>410</v>
      </c>
      <c r="L74" s="5" t="s">
        <v>747</v>
      </c>
      <c r="M74" s="5" t="str">
        <f>IF(LEN('List chi tiet'!$B$2)=0,"",'List chi tiet'!$B$2)</f>
        <v>TCTN.DNS.26.004 ĐƯỜNG CAO TỐC VIN</v>
      </c>
      <c r="N74" s="6" t="s">
        <v>37</v>
      </c>
      <c r="O74" s="5" t="s">
        <v>748</v>
      </c>
      <c r="P74" s="5" t="s">
        <v>38</v>
      </c>
      <c r="Q74" s="5"/>
      <c r="R74" s="5" t="s">
        <v>77</v>
      </c>
      <c r="S74" s="5">
        <v>9.3000000000000007</v>
      </c>
      <c r="T74" s="5">
        <v>75.78</v>
      </c>
      <c r="U74" s="5">
        <v>0</v>
      </c>
      <c r="V74" s="5" t="s">
        <v>753</v>
      </c>
      <c r="W74" s="5"/>
      <c r="X74" s="5"/>
      <c r="Y74" s="5"/>
    </row>
    <row r="75" spans="1:25" hidden="1" x14ac:dyDescent="0.25">
      <c r="A75" s="5"/>
      <c r="B75" s="5"/>
      <c r="C75" s="5" t="s">
        <v>901</v>
      </c>
      <c r="D75" s="5" t="s">
        <v>881</v>
      </c>
      <c r="E75" s="5">
        <v>1</v>
      </c>
      <c r="F75" s="5" t="s">
        <v>865</v>
      </c>
      <c r="G75" s="5"/>
      <c r="H75" s="5"/>
      <c r="I75" s="5"/>
      <c r="J75" s="5"/>
      <c r="K75" s="5" t="s">
        <v>425</v>
      </c>
      <c r="L75" s="5" t="s">
        <v>747</v>
      </c>
      <c r="M75" s="5" t="str">
        <f>IF(LEN('List chi tiet'!$B$2)=0,"",'List chi tiet'!$B$2)</f>
        <v>TCTN.DNS.26.004 ĐƯỜNG CAO TỐC VIN</v>
      </c>
      <c r="N75" s="6" t="s">
        <v>37</v>
      </c>
      <c r="O75" s="5" t="s">
        <v>748</v>
      </c>
      <c r="P75" s="5" t="s">
        <v>38</v>
      </c>
      <c r="Q75" s="5"/>
      <c r="R75" s="5" t="s">
        <v>77</v>
      </c>
      <c r="S75" s="5">
        <v>9.3699999999999992</v>
      </c>
      <c r="T75" s="5">
        <v>64.81</v>
      </c>
      <c r="U75" s="5">
        <v>0</v>
      </c>
      <c r="V75" s="5" t="s">
        <v>753</v>
      </c>
      <c r="W75" s="5"/>
      <c r="X75" s="5"/>
      <c r="Y75" s="5"/>
    </row>
    <row r="76" spans="1:25" hidden="1" x14ac:dyDescent="0.25">
      <c r="A76" s="5"/>
      <c r="B76" s="5"/>
      <c r="C76" s="5" t="s">
        <v>901</v>
      </c>
      <c r="D76" s="5" t="s">
        <v>881</v>
      </c>
      <c r="E76" s="5">
        <v>1</v>
      </c>
      <c r="F76" s="5" t="s">
        <v>865</v>
      </c>
      <c r="G76" s="5"/>
      <c r="H76" s="5"/>
      <c r="I76" s="5"/>
      <c r="J76" s="5"/>
      <c r="K76" s="5" t="s">
        <v>444</v>
      </c>
      <c r="L76" s="5" t="s">
        <v>747</v>
      </c>
      <c r="M76" s="5" t="str">
        <f>IF(LEN('List chi tiet'!$B$2)=0,"",'List chi tiet'!$B$2)</f>
        <v>TCTN.DNS.26.004 ĐƯỜNG CAO TỐC VIN</v>
      </c>
      <c r="N76" s="6" t="s">
        <v>37</v>
      </c>
      <c r="O76" s="5" t="s">
        <v>748</v>
      </c>
      <c r="P76" s="5" t="s">
        <v>38</v>
      </c>
      <c r="Q76" s="5"/>
      <c r="R76" s="5" t="s">
        <v>77</v>
      </c>
      <c r="S76" s="5">
        <v>9.4</v>
      </c>
      <c r="T76" s="5">
        <v>60.21</v>
      </c>
      <c r="U76" s="5">
        <v>0</v>
      </c>
      <c r="V76" s="5" t="s">
        <v>753</v>
      </c>
      <c r="W76" s="5"/>
      <c r="X76" s="5"/>
      <c r="Y76" s="5"/>
    </row>
    <row r="77" spans="1:25" hidden="1" x14ac:dyDescent="0.25">
      <c r="A77" s="5"/>
      <c r="B77" s="5"/>
      <c r="C77" s="5" t="s">
        <v>901</v>
      </c>
      <c r="D77" s="5" t="s">
        <v>881</v>
      </c>
      <c r="E77" s="5">
        <v>1</v>
      </c>
      <c r="F77" s="5" t="s">
        <v>865</v>
      </c>
      <c r="G77" s="5"/>
      <c r="H77" s="5"/>
      <c r="I77" s="5"/>
      <c r="J77" s="5"/>
      <c r="K77" s="5" t="s">
        <v>455</v>
      </c>
      <c r="L77" s="5" t="s">
        <v>747</v>
      </c>
      <c r="M77" s="5" t="str">
        <f>IF(LEN('List chi tiet'!$B$2)=0,"",'List chi tiet'!$B$2)</f>
        <v>TCTN.DNS.26.004 ĐƯỜNG CAO TỐC VIN</v>
      </c>
      <c r="N77" s="6" t="s">
        <v>37</v>
      </c>
      <c r="O77" s="5" t="s">
        <v>748</v>
      </c>
      <c r="P77" s="5" t="s">
        <v>38</v>
      </c>
      <c r="Q77" s="5"/>
      <c r="R77" s="5" t="s">
        <v>77</v>
      </c>
      <c r="S77" s="5">
        <v>9.17</v>
      </c>
      <c r="T77" s="5">
        <v>94.48</v>
      </c>
      <c r="U77" s="5">
        <v>0</v>
      </c>
      <c r="V77" s="5" t="s">
        <v>753</v>
      </c>
      <c r="W77" s="5"/>
      <c r="X77" s="5"/>
      <c r="Y77" s="5"/>
    </row>
    <row r="78" spans="1:25" hidden="1" x14ac:dyDescent="0.25">
      <c r="A78" s="5"/>
      <c r="B78" s="5"/>
      <c r="C78" s="5" t="s">
        <v>901</v>
      </c>
      <c r="D78" s="5" t="s">
        <v>881</v>
      </c>
      <c r="E78" s="5">
        <v>1</v>
      </c>
      <c r="F78" s="5" t="s">
        <v>865</v>
      </c>
      <c r="G78" s="5"/>
      <c r="H78" s="5"/>
      <c r="I78" s="5"/>
      <c r="J78" s="5"/>
      <c r="K78" s="5" t="s">
        <v>466</v>
      </c>
      <c r="L78" s="5" t="s">
        <v>747</v>
      </c>
      <c r="M78" s="5" t="str">
        <f>IF(LEN('List chi tiet'!$B$2)=0,"",'List chi tiet'!$B$2)</f>
        <v>TCTN.DNS.26.004 ĐƯỜNG CAO TỐC VIN</v>
      </c>
      <c r="N78" s="6" t="s">
        <v>37</v>
      </c>
      <c r="O78" s="5" t="s">
        <v>748</v>
      </c>
      <c r="P78" s="5" t="s">
        <v>38</v>
      </c>
      <c r="Q78" s="5"/>
      <c r="R78" s="5" t="s">
        <v>77</v>
      </c>
      <c r="S78" s="5">
        <v>0.26</v>
      </c>
      <c r="T78" s="5">
        <v>17.21</v>
      </c>
      <c r="U78" s="5">
        <v>1359.07</v>
      </c>
      <c r="V78" s="5" t="s">
        <v>753</v>
      </c>
      <c r="W78" s="5"/>
      <c r="X78" s="5"/>
      <c r="Y78" s="5"/>
    </row>
    <row r="79" spans="1:25" hidden="1" x14ac:dyDescent="0.25">
      <c r="A79" s="5"/>
      <c r="B79" s="5"/>
      <c r="C79" s="5" t="s">
        <v>878</v>
      </c>
      <c r="D79" s="5">
        <v>10</v>
      </c>
      <c r="E79" s="5">
        <v>-1359.07</v>
      </c>
      <c r="F79" s="5" t="s">
        <v>867</v>
      </c>
      <c r="G79" s="5"/>
      <c r="H79" s="5"/>
      <c r="I79" s="5"/>
      <c r="J79" s="5"/>
      <c r="K79" s="5" t="s">
        <v>902</v>
      </c>
      <c r="L79" s="5" t="s">
        <v>747</v>
      </c>
      <c r="M79" s="5" t="str">
        <f>IF(LEN('List chi tiet'!$B$2)=0,"",'List chi tiet'!$B$2)</f>
        <v>TCTN.DNS.26.004 ĐƯỜNG CAO TỐC VIN</v>
      </c>
      <c r="N79" s="6" t="s">
        <v>37</v>
      </c>
      <c r="O79" s="5" t="s">
        <v>748</v>
      </c>
      <c r="P79" s="5" t="s">
        <v>38</v>
      </c>
      <c r="Q79" s="5"/>
      <c r="R79" s="5" t="s">
        <v>77</v>
      </c>
      <c r="S79" s="5"/>
      <c r="T79" s="5"/>
      <c r="U79" s="5"/>
      <c r="V79" s="5"/>
      <c r="W79" s="5"/>
      <c r="X79" s="5"/>
      <c r="Y79" s="5"/>
    </row>
    <row r="80" spans="1:25" hidden="1" x14ac:dyDescent="0.25">
      <c r="A80" s="5"/>
      <c r="B80" s="5"/>
      <c r="C80" s="5" t="s">
        <v>903</v>
      </c>
      <c r="D80" s="5" t="s">
        <v>881</v>
      </c>
      <c r="E80" s="5">
        <v>1</v>
      </c>
      <c r="F80" s="5" t="s">
        <v>865</v>
      </c>
      <c r="G80" s="5"/>
      <c r="H80" s="5"/>
      <c r="I80" s="5"/>
      <c r="J80" s="5"/>
      <c r="K80" s="5" t="s">
        <v>477</v>
      </c>
      <c r="L80" s="5" t="s">
        <v>747</v>
      </c>
      <c r="M80" s="5" t="str">
        <f>IF(LEN('List chi tiet'!$B$2)=0,"",'List chi tiet'!$B$2)</f>
        <v>TCTN.DNS.26.004 ĐƯỜNG CAO TỐC VIN</v>
      </c>
      <c r="N80" s="6" t="s">
        <v>37</v>
      </c>
      <c r="O80" s="5" t="s">
        <v>748</v>
      </c>
      <c r="P80" s="5" t="s">
        <v>38</v>
      </c>
      <c r="Q80" s="5"/>
      <c r="R80" s="5" t="s">
        <v>77</v>
      </c>
      <c r="S80" s="5">
        <v>10.44</v>
      </c>
      <c r="T80" s="5">
        <v>23.48</v>
      </c>
      <c r="U80" s="5">
        <v>169.54</v>
      </c>
      <c r="V80" s="5" t="s">
        <v>754</v>
      </c>
      <c r="W80" s="5"/>
      <c r="X80" s="5"/>
      <c r="Y80" s="5"/>
    </row>
    <row r="81" spans="1:25" hidden="1" x14ac:dyDescent="0.25">
      <c r="A81" s="5"/>
      <c r="B81" s="5"/>
      <c r="C81" s="5" t="s">
        <v>878</v>
      </c>
      <c r="D81" s="5">
        <v>12</v>
      </c>
      <c r="E81" s="5">
        <v>-169.54</v>
      </c>
      <c r="F81" s="5" t="s">
        <v>867</v>
      </c>
      <c r="G81" s="5"/>
      <c r="H81" s="5"/>
      <c r="I81" s="5"/>
      <c r="J81" s="5"/>
      <c r="K81" s="5" t="s">
        <v>904</v>
      </c>
      <c r="L81" s="5" t="s">
        <v>747</v>
      </c>
      <c r="M81" s="5" t="str">
        <f>IF(LEN('List chi tiet'!$B$2)=0,"",'List chi tiet'!$B$2)</f>
        <v>TCTN.DNS.26.004 ĐƯỜNG CAO TỐC VIN</v>
      </c>
      <c r="N81" s="6" t="s">
        <v>37</v>
      </c>
      <c r="O81" s="5" t="s">
        <v>748</v>
      </c>
      <c r="P81" s="5" t="s">
        <v>38</v>
      </c>
      <c r="Q81" s="5"/>
      <c r="R81" s="5" t="s">
        <v>77</v>
      </c>
      <c r="S81" s="5"/>
      <c r="T81" s="5"/>
      <c r="U81" s="5"/>
      <c r="V81" s="5"/>
      <c r="W81" s="5"/>
      <c r="X81" s="5"/>
      <c r="Y81" s="5"/>
    </row>
    <row r="82" spans="1:25" hidden="1" x14ac:dyDescent="0.25">
      <c r="A82" s="5"/>
      <c r="B82" s="5"/>
      <c r="C82" s="5" t="s">
        <v>903</v>
      </c>
      <c r="D82" s="5" t="s">
        <v>881</v>
      </c>
      <c r="E82" s="5">
        <v>1</v>
      </c>
      <c r="F82" s="5" t="s">
        <v>865</v>
      </c>
      <c r="G82" s="5"/>
      <c r="H82" s="5"/>
      <c r="I82" s="5"/>
      <c r="J82" s="5"/>
      <c r="K82" s="5" t="s">
        <v>483</v>
      </c>
      <c r="L82" s="5" t="s">
        <v>747</v>
      </c>
      <c r="M82" s="5" t="str">
        <f>IF(LEN('List chi tiet'!$B$2)=0,"",'List chi tiet'!$B$2)</f>
        <v>TCTN.DNS.26.004 ĐƯỜNG CAO TỐC VIN</v>
      </c>
      <c r="N82" s="6" t="s">
        <v>37</v>
      </c>
      <c r="O82" s="5" t="s">
        <v>748</v>
      </c>
      <c r="P82" s="5" t="s">
        <v>38</v>
      </c>
      <c r="Q82" s="5"/>
      <c r="R82" s="5" t="s">
        <v>77</v>
      </c>
      <c r="S82" s="5">
        <v>10.44</v>
      </c>
      <c r="T82" s="5">
        <v>24.38</v>
      </c>
      <c r="U82" s="5">
        <v>169.55</v>
      </c>
      <c r="V82" s="5" t="s">
        <v>754</v>
      </c>
      <c r="W82" s="5"/>
      <c r="X82" s="5"/>
      <c r="Y82" s="5"/>
    </row>
    <row r="83" spans="1:25" hidden="1" x14ac:dyDescent="0.25">
      <c r="A83" s="5"/>
      <c r="B83" s="5"/>
      <c r="C83" s="5" t="s">
        <v>878</v>
      </c>
      <c r="D83" s="5">
        <v>12</v>
      </c>
      <c r="E83" s="5">
        <v>-169.55</v>
      </c>
      <c r="F83" s="5" t="s">
        <v>867</v>
      </c>
      <c r="G83" s="5"/>
      <c r="H83" s="5"/>
      <c r="I83" s="5"/>
      <c r="J83" s="5"/>
      <c r="K83" s="5" t="s">
        <v>905</v>
      </c>
      <c r="L83" s="5" t="s">
        <v>747</v>
      </c>
      <c r="M83" s="5" t="str">
        <f>IF(LEN('List chi tiet'!$B$2)=0,"",'List chi tiet'!$B$2)</f>
        <v>TCTN.DNS.26.004 ĐƯỜNG CAO TỐC VIN</v>
      </c>
      <c r="N83" s="6" t="s">
        <v>37</v>
      </c>
      <c r="O83" s="5" t="s">
        <v>748</v>
      </c>
      <c r="P83" s="5" t="s">
        <v>38</v>
      </c>
      <c r="Q83" s="5"/>
      <c r="R83" s="5" t="s">
        <v>77</v>
      </c>
      <c r="S83" s="5"/>
      <c r="T83" s="5"/>
      <c r="U83" s="5"/>
      <c r="V83" s="5"/>
      <c r="W83" s="5"/>
      <c r="X83" s="5"/>
      <c r="Y83" s="5"/>
    </row>
    <row r="84" spans="1:25" hidden="1" x14ac:dyDescent="0.25">
      <c r="A84" s="5"/>
      <c r="B84" s="5"/>
      <c r="C84" s="5" t="s">
        <v>903</v>
      </c>
      <c r="D84" s="5" t="s">
        <v>881</v>
      </c>
      <c r="E84" s="5">
        <v>1</v>
      </c>
      <c r="F84" s="5" t="s">
        <v>865</v>
      </c>
      <c r="G84" s="5"/>
      <c r="H84" s="5"/>
      <c r="I84" s="5"/>
      <c r="J84" s="5"/>
      <c r="K84" s="5" t="s">
        <v>489</v>
      </c>
      <c r="L84" s="5" t="s">
        <v>747</v>
      </c>
      <c r="M84" s="5" t="str">
        <f>IF(LEN('List chi tiet'!$B$2)=0,"",'List chi tiet'!$B$2)</f>
        <v>TCTN.DNS.26.004 ĐƯỜNG CAO TỐC VIN</v>
      </c>
      <c r="N84" s="6" t="s">
        <v>37</v>
      </c>
      <c r="O84" s="5" t="s">
        <v>748</v>
      </c>
      <c r="P84" s="5" t="s">
        <v>38</v>
      </c>
      <c r="Q84" s="5"/>
      <c r="R84" s="5" t="s">
        <v>77</v>
      </c>
      <c r="S84" s="5">
        <v>6.58</v>
      </c>
      <c r="T84" s="5">
        <v>20.13</v>
      </c>
      <c r="U84" s="5">
        <v>728.5</v>
      </c>
      <c r="V84" s="5" t="s">
        <v>754</v>
      </c>
      <c r="W84" s="5"/>
      <c r="X84" s="5"/>
      <c r="Y84" s="5"/>
    </row>
    <row r="85" spans="1:25" hidden="1" x14ac:dyDescent="0.25">
      <c r="A85" s="5"/>
      <c r="B85" s="5"/>
      <c r="C85" s="5" t="s">
        <v>878</v>
      </c>
      <c r="D85" s="5">
        <v>12</v>
      </c>
      <c r="E85" s="5">
        <v>-728.5</v>
      </c>
      <c r="F85" s="5" t="s">
        <v>867</v>
      </c>
      <c r="G85" s="5"/>
      <c r="H85" s="5"/>
      <c r="I85" s="5"/>
      <c r="J85" s="5"/>
      <c r="K85" s="5" t="s">
        <v>906</v>
      </c>
      <c r="L85" s="5" t="s">
        <v>747</v>
      </c>
      <c r="M85" s="5" t="str">
        <f>IF(LEN('List chi tiet'!$B$2)=0,"",'List chi tiet'!$B$2)</f>
        <v>TCTN.DNS.26.004 ĐƯỜNG CAO TỐC VIN</v>
      </c>
      <c r="N85" s="6" t="s">
        <v>37</v>
      </c>
      <c r="O85" s="5" t="s">
        <v>748</v>
      </c>
      <c r="P85" s="5" t="s">
        <v>38</v>
      </c>
      <c r="Q85" s="5"/>
      <c r="R85" s="5" t="s">
        <v>77</v>
      </c>
      <c r="S85" s="5"/>
      <c r="T85" s="5"/>
      <c r="U85" s="5"/>
      <c r="V85" s="5"/>
      <c r="W85" s="5"/>
      <c r="X85" s="5"/>
      <c r="Y85" s="5"/>
    </row>
    <row r="86" spans="1:25" hidden="1" x14ac:dyDescent="0.25">
      <c r="A86" s="5"/>
      <c r="B86" s="5"/>
      <c r="C86" s="5" t="s">
        <v>903</v>
      </c>
      <c r="D86" s="5" t="s">
        <v>881</v>
      </c>
      <c r="E86" s="5">
        <v>1</v>
      </c>
      <c r="F86" s="5" t="s">
        <v>865</v>
      </c>
      <c r="G86" s="5"/>
      <c r="H86" s="5"/>
      <c r="I86" s="5"/>
      <c r="J86" s="5"/>
      <c r="K86" s="5" t="s">
        <v>497</v>
      </c>
      <c r="L86" s="5" t="s">
        <v>747</v>
      </c>
      <c r="M86" s="5" t="str">
        <f>IF(LEN('List chi tiet'!$B$2)=0,"",'List chi tiet'!$B$2)</f>
        <v>TCTN.DNS.26.004 ĐƯỜNG CAO TỐC VIN</v>
      </c>
      <c r="N86" s="6" t="s">
        <v>37</v>
      </c>
      <c r="O86" s="5" t="s">
        <v>748</v>
      </c>
      <c r="P86" s="5" t="s">
        <v>38</v>
      </c>
      <c r="Q86" s="5"/>
      <c r="R86" s="5" t="s">
        <v>77</v>
      </c>
      <c r="S86" s="5">
        <v>10.44</v>
      </c>
      <c r="T86" s="5">
        <v>24.42</v>
      </c>
      <c r="U86" s="5">
        <v>169.56</v>
      </c>
      <c r="V86" s="5" t="s">
        <v>754</v>
      </c>
      <c r="W86" s="5"/>
      <c r="X86" s="5"/>
      <c r="Y86" s="5"/>
    </row>
    <row r="87" spans="1:25" hidden="1" x14ac:dyDescent="0.25">
      <c r="A87" s="5"/>
      <c r="B87" s="5"/>
      <c r="C87" s="5" t="s">
        <v>878</v>
      </c>
      <c r="D87" s="5">
        <v>12</v>
      </c>
      <c r="E87" s="5">
        <v>-169.56</v>
      </c>
      <c r="F87" s="5" t="s">
        <v>867</v>
      </c>
      <c r="G87" s="5"/>
      <c r="H87" s="5"/>
      <c r="I87" s="5"/>
      <c r="J87" s="5"/>
      <c r="K87" s="5" t="s">
        <v>907</v>
      </c>
      <c r="L87" s="5" t="s">
        <v>747</v>
      </c>
      <c r="M87" s="5" t="str">
        <f>IF(LEN('List chi tiet'!$B$2)=0,"",'List chi tiet'!$B$2)</f>
        <v>TCTN.DNS.26.004 ĐƯỜNG CAO TỐC VIN</v>
      </c>
      <c r="N87" s="6" t="s">
        <v>37</v>
      </c>
      <c r="O87" s="5" t="s">
        <v>748</v>
      </c>
      <c r="P87" s="5" t="s">
        <v>38</v>
      </c>
      <c r="Q87" s="5"/>
      <c r="R87" s="5" t="s">
        <v>77</v>
      </c>
      <c r="S87" s="5"/>
      <c r="T87" s="5"/>
      <c r="U87" s="5"/>
      <c r="V87" s="5"/>
      <c r="W87" s="5"/>
      <c r="X87" s="5"/>
      <c r="Y87" s="5"/>
    </row>
    <row r="88" spans="1:25" hidden="1" x14ac:dyDescent="0.25">
      <c r="A88" s="5"/>
      <c r="B88" s="5"/>
      <c r="C88" s="5" t="s">
        <v>903</v>
      </c>
      <c r="D88" s="5" t="s">
        <v>881</v>
      </c>
      <c r="E88" s="5">
        <v>1</v>
      </c>
      <c r="F88" s="5" t="s">
        <v>865</v>
      </c>
      <c r="G88" s="5"/>
      <c r="H88" s="5"/>
      <c r="I88" s="5"/>
      <c r="J88" s="5"/>
      <c r="K88" s="5" t="s">
        <v>503</v>
      </c>
      <c r="L88" s="5" t="s">
        <v>747</v>
      </c>
      <c r="M88" s="5" t="str">
        <f>IF(LEN('List chi tiet'!$B$2)=0,"",'List chi tiet'!$B$2)</f>
        <v>TCTN.DNS.26.004 ĐƯỜNG CAO TỐC VIN</v>
      </c>
      <c r="N88" s="6" t="s">
        <v>37</v>
      </c>
      <c r="O88" s="5" t="s">
        <v>748</v>
      </c>
      <c r="P88" s="5" t="s">
        <v>38</v>
      </c>
      <c r="Q88" s="5"/>
      <c r="R88" s="5" t="s">
        <v>77</v>
      </c>
      <c r="S88" s="5">
        <v>10.44</v>
      </c>
      <c r="T88" s="5">
        <v>24.6</v>
      </c>
      <c r="U88" s="5">
        <v>169.56</v>
      </c>
      <c r="V88" s="5" t="s">
        <v>754</v>
      </c>
      <c r="W88" s="5"/>
      <c r="X88" s="5"/>
      <c r="Y88" s="5"/>
    </row>
    <row r="89" spans="1:25" hidden="1" x14ac:dyDescent="0.25">
      <c r="A89" s="5"/>
      <c r="B89" s="5"/>
      <c r="C89" s="5" t="s">
        <v>878</v>
      </c>
      <c r="D89" s="5">
        <v>12</v>
      </c>
      <c r="E89" s="5">
        <v>-169.56</v>
      </c>
      <c r="F89" s="5" t="s">
        <v>867</v>
      </c>
      <c r="G89" s="5"/>
      <c r="H89" s="5"/>
      <c r="I89" s="5"/>
      <c r="J89" s="5"/>
      <c r="K89" s="5" t="s">
        <v>908</v>
      </c>
      <c r="L89" s="5" t="s">
        <v>747</v>
      </c>
      <c r="M89" s="5" t="str">
        <f>IF(LEN('List chi tiet'!$B$2)=0,"",'List chi tiet'!$B$2)</f>
        <v>TCTN.DNS.26.004 ĐƯỜNG CAO TỐC VIN</v>
      </c>
      <c r="N89" s="6" t="s">
        <v>37</v>
      </c>
      <c r="O89" s="5" t="s">
        <v>748</v>
      </c>
      <c r="P89" s="5" t="s">
        <v>38</v>
      </c>
      <c r="Q89" s="5"/>
      <c r="R89" s="5" t="s">
        <v>77</v>
      </c>
      <c r="S89" s="5"/>
      <c r="T89" s="5"/>
      <c r="U89" s="5"/>
      <c r="V89" s="5"/>
      <c r="W89" s="5"/>
      <c r="X89" s="5"/>
      <c r="Y89" s="5"/>
    </row>
    <row r="90" spans="1:25" hidden="1" x14ac:dyDescent="0.25">
      <c r="A90" s="5"/>
      <c r="B90" s="5"/>
      <c r="C90" s="5" t="s">
        <v>903</v>
      </c>
      <c r="D90" s="5" t="s">
        <v>881</v>
      </c>
      <c r="E90" s="5">
        <v>1</v>
      </c>
      <c r="F90" s="5" t="s">
        <v>865</v>
      </c>
      <c r="G90" s="5"/>
      <c r="H90" s="5"/>
      <c r="I90" s="5"/>
      <c r="J90" s="5"/>
      <c r="K90" s="5" t="s">
        <v>509</v>
      </c>
      <c r="L90" s="5" t="s">
        <v>747</v>
      </c>
      <c r="M90" s="5" t="str">
        <f>IF(LEN('List chi tiet'!$B$2)=0,"",'List chi tiet'!$B$2)</f>
        <v>TCTN.DNS.26.004 ĐƯỜNG CAO TỐC VIN</v>
      </c>
      <c r="N90" s="6" t="s">
        <v>37</v>
      </c>
      <c r="O90" s="5" t="s">
        <v>748</v>
      </c>
      <c r="P90" s="5" t="s">
        <v>38</v>
      </c>
      <c r="Q90" s="5"/>
      <c r="R90" s="5" t="s">
        <v>77</v>
      </c>
      <c r="S90" s="5">
        <v>2.19</v>
      </c>
      <c r="T90" s="5">
        <v>6.61</v>
      </c>
      <c r="U90" s="5">
        <v>1373.29</v>
      </c>
      <c r="V90" s="5" t="s">
        <v>754</v>
      </c>
      <c r="W90" s="5"/>
      <c r="X90" s="5"/>
      <c r="Y90" s="5"/>
    </row>
    <row r="91" spans="1:25" hidden="1" x14ac:dyDescent="0.25">
      <c r="A91" s="5"/>
      <c r="B91" s="5"/>
      <c r="C91" s="5" t="s">
        <v>878</v>
      </c>
      <c r="D91" s="5">
        <v>12</v>
      </c>
      <c r="E91" s="5">
        <v>-1373.29</v>
      </c>
      <c r="F91" s="5" t="s">
        <v>867</v>
      </c>
      <c r="G91" s="5"/>
      <c r="H91" s="5"/>
      <c r="I91" s="5"/>
      <c r="J91" s="5"/>
      <c r="K91" s="5" t="s">
        <v>909</v>
      </c>
      <c r="L91" s="5" t="s">
        <v>747</v>
      </c>
      <c r="M91" s="5" t="str">
        <f>IF(LEN('List chi tiet'!$B$2)=0,"",'List chi tiet'!$B$2)</f>
        <v>TCTN.DNS.26.004 ĐƯỜNG CAO TỐC VIN</v>
      </c>
      <c r="N91" s="6" t="s">
        <v>37</v>
      </c>
      <c r="O91" s="5" t="s">
        <v>748</v>
      </c>
      <c r="P91" s="5" t="s">
        <v>38</v>
      </c>
      <c r="Q91" s="5"/>
      <c r="R91" s="5" t="s">
        <v>77</v>
      </c>
      <c r="S91" s="5"/>
      <c r="T91" s="5"/>
      <c r="U91" s="5"/>
      <c r="V91" s="5"/>
      <c r="W91" s="5"/>
      <c r="X91" s="5"/>
      <c r="Y91" s="5"/>
    </row>
    <row r="92" spans="1:25" hidden="1" x14ac:dyDescent="0.25">
      <c r="A92" s="5"/>
      <c r="B92" s="5"/>
      <c r="C92" s="5" t="s">
        <v>910</v>
      </c>
      <c r="D92" s="5" t="s">
        <v>900</v>
      </c>
      <c r="E92" s="5">
        <v>1</v>
      </c>
      <c r="F92" s="5" t="s">
        <v>865</v>
      </c>
      <c r="G92" s="5"/>
      <c r="H92" s="5"/>
      <c r="I92" s="5"/>
      <c r="J92" s="5"/>
      <c r="K92" s="5" t="s">
        <v>514</v>
      </c>
      <c r="L92" s="5" t="s">
        <v>747</v>
      </c>
      <c r="M92" s="5" t="str">
        <f>IF(LEN('List chi tiet'!$B$2)=0,"",'List chi tiet'!$B$2)</f>
        <v>TCTN.DNS.26.004 ĐƯỜNG CAO TỐC VIN</v>
      </c>
      <c r="N92" s="6" t="s">
        <v>37</v>
      </c>
      <c r="O92" s="5" t="s">
        <v>748</v>
      </c>
      <c r="P92" s="5" t="s">
        <v>38</v>
      </c>
      <c r="Q92" s="5"/>
      <c r="R92" s="5" t="s">
        <v>77</v>
      </c>
      <c r="S92" s="5">
        <v>20.12</v>
      </c>
      <c r="T92" s="5">
        <v>120.3</v>
      </c>
      <c r="U92" s="5">
        <v>0</v>
      </c>
      <c r="V92" s="5" t="s">
        <v>755</v>
      </c>
      <c r="W92" s="5"/>
      <c r="X92" s="5"/>
      <c r="Y92" s="5"/>
    </row>
    <row r="93" spans="1:25" hidden="1" x14ac:dyDescent="0.25">
      <c r="A93" s="5"/>
      <c r="B93" s="5"/>
      <c r="C93" s="5" t="s">
        <v>910</v>
      </c>
      <c r="D93" s="5" t="s">
        <v>900</v>
      </c>
      <c r="E93" s="5">
        <v>1</v>
      </c>
      <c r="F93" s="5" t="s">
        <v>865</v>
      </c>
      <c r="G93" s="5"/>
      <c r="H93" s="5"/>
      <c r="I93" s="5"/>
      <c r="J93" s="5"/>
      <c r="K93" s="5" t="s">
        <v>549</v>
      </c>
      <c r="L93" s="5" t="s">
        <v>747</v>
      </c>
      <c r="M93" s="5" t="str">
        <f>IF(LEN('List chi tiet'!$B$2)=0,"",'List chi tiet'!$B$2)</f>
        <v>TCTN.DNS.26.004 ĐƯỜNG CAO TỐC VIN</v>
      </c>
      <c r="N93" s="6" t="s">
        <v>37</v>
      </c>
      <c r="O93" s="5" t="s">
        <v>748</v>
      </c>
      <c r="P93" s="5" t="s">
        <v>38</v>
      </c>
      <c r="Q93" s="5"/>
      <c r="R93" s="5" t="s">
        <v>77</v>
      </c>
      <c r="S93" s="5">
        <v>20.3</v>
      </c>
      <c r="T93" s="5">
        <v>94.27</v>
      </c>
      <c r="U93" s="5">
        <v>0</v>
      </c>
      <c r="V93" s="5" t="s">
        <v>755</v>
      </c>
      <c r="W93" s="5"/>
      <c r="X93" s="5"/>
      <c r="Y93" s="5"/>
    </row>
    <row r="94" spans="1:25" hidden="1" x14ac:dyDescent="0.25">
      <c r="A94" s="5"/>
      <c r="B94" s="5"/>
      <c r="C94" s="5" t="s">
        <v>910</v>
      </c>
      <c r="D94" s="5" t="s">
        <v>900</v>
      </c>
      <c r="E94" s="5">
        <v>1</v>
      </c>
      <c r="F94" s="5" t="s">
        <v>865</v>
      </c>
      <c r="G94" s="5"/>
      <c r="H94" s="5"/>
      <c r="I94" s="5"/>
      <c r="J94" s="5"/>
      <c r="K94" s="5" t="s">
        <v>562</v>
      </c>
      <c r="L94" s="5" t="s">
        <v>747</v>
      </c>
      <c r="M94" s="5" t="str">
        <f>IF(LEN('List chi tiet'!$B$2)=0,"",'List chi tiet'!$B$2)</f>
        <v>TCTN.DNS.26.004 ĐƯỜNG CAO TỐC VIN</v>
      </c>
      <c r="N94" s="6" t="s">
        <v>37</v>
      </c>
      <c r="O94" s="5" t="s">
        <v>748</v>
      </c>
      <c r="P94" s="5" t="s">
        <v>38</v>
      </c>
      <c r="Q94" s="5"/>
      <c r="R94" s="5" t="s">
        <v>77</v>
      </c>
      <c r="S94" s="5">
        <v>3.84</v>
      </c>
      <c r="T94" s="5">
        <v>24.49</v>
      </c>
      <c r="U94" s="5">
        <v>2437.98</v>
      </c>
      <c r="V94" s="5" t="s">
        <v>755</v>
      </c>
      <c r="W94" s="5"/>
      <c r="X94" s="5"/>
      <c r="Y94" s="5"/>
    </row>
    <row r="95" spans="1:25" hidden="1" x14ac:dyDescent="0.25">
      <c r="A95" s="5"/>
      <c r="B95" s="5"/>
      <c r="C95" s="5" t="s">
        <v>878</v>
      </c>
      <c r="D95" s="5">
        <v>16</v>
      </c>
      <c r="E95" s="5">
        <v>-2437.98</v>
      </c>
      <c r="F95" s="5" t="s">
        <v>867</v>
      </c>
      <c r="G95" s="5"/>
      <c r="H95" s="5"/>
      <c r="I95" s="5"/>
      <c r="J95" s="5"/>
      <c r="K95" s="5" t="s">
        <v>911</v>
      </c>
      <c r="L95" s="5" t="s">
        <v>747</v>
      </c>
      <c r="M95" s="5" t="str">
        <f>IF(LEN('List chi tiet'!$B$2)=0,"",'List chi tiet'!$B$2)</f>
        <v>TCTN.DNS.26.004 ĐƯỜNG CAO TỐC VIN</v>
      </c>
      <c r="N95" s="6" t="s">
        <v>37</v>
      </c>
      <c r="O95" s="5" t="s">
        <v>748</v>
      </c>
      <c r="P95" s="5" t="s">
        <v>38</v>
      </c>
      <c r="Q95" s="5"/>
      <c r="R95" s="5" t="s">
        <v>77</v>
      </c>
      <c r="S95" s="5"/>
      <c r="T95" s="5"/>
      <c r="U95" s="5"/>
      <c r="V95" s="5"/>
      <c r="W95" s="5"/>
      <c r="X95" s="5"/>
      <c r="Y95" s="5"/>
    </row>
    <row r="96" spans="1:25" hidden="1" x14ac:dyDescent="0.25">
      <c r="A96" s="5"/>
      <c r="B96" s="5"/>
      <c r="C96" s="5" t="s">
        <v>912</v>
      </c>
      <c r="D96" s="5" t="s">
        <v>900</v>
      </c>
      <c r="E96" s="5">
        <v>1</v>
      </c>
      <c r="F96" s="5" t="s">
        <v>865</v>
      </c>
      <c r="G96" s="5"/>
      <c r="H96" s="5"/>
      <c r="I96" s="5"/>
      <c r="J96" s="5"/>
      <c r="K96" s="5" t="s">
        <v>570</v>
      </c>
      <c r="L96" s="5" t="s">
        <v>747</v>
      </c>
      <c r="M96" s="5" t="str">
        <f>IF(LEN('List chi tiet'!$B$2)=0,"",'List chi tiet'!$B$2)</f>
        <v>TCTN.DNS.26.004 ĐƯỜNG CAO TỐC VIN</v>
      </c>
      <c r="N96" s="6" t="s">
        <v>37</v>
      </c>
      <c r="O96" s="5" t="s">
        <v>748</v>
      </c>
      <c r="P96" s="5" t="s">
        <v>38</v>
      </c>
      <c r="Q96" s="5"/>
      <c r="R96" s="5" t="s">
        <v>77</v>
      </c>
      <c r="S96" s="5">
        <v>22.28</v>
      </c>
      <c r="T96" s="5">
        <v>457.22</v>
      </c>
      <c r="U96" s="5">
        <v>105.48</v>
      </c>
      <c r="V96" s="5" t="s">
        <v>756</v>
      </c>
      <c r="W96" s="5"/>
      <c r="X96" s="5"/>
      <c r="Y96" s="5"/>
    </row>
    <row r="97" spans="1:25" hidden="1" x14ac:dyDescent="0.25">
      <c r="A97" s="5"/>
      <c r="B97" s="5"/>
      <c r="C97" s="5" t="s">
        <v>878</v>
      </c>
      <c r="D97" s="5">
        <v>20</v>
      </c>
      <c r="E97" s="5">
        <v>-105.48</v>
      </c>
      <c r="F97" s="5" t="s">
        <v>867</v>
      </c>
      <c r="G97" s="5"/>
      <c r="H97" s="5"/>
      <c r="I97" s="5"/>
      <c r="J97" s="5"/>
      <c r="K97" s="5" t="s">
        <v>913</v>
      </c>
      <c r="L97" s="5" t="s">
        <v>747</v>
      </c>
      <c r="M97" s="5" t="str">
        <f>IF(LEN('List chi tiet'!$B$2)=0,"",'List chi tiet'!$B$2)</f>
        <v>TCTN.DNS.26.004 ĐƯỜNG CAO TỐC VIN</v>
      </c>
      <c r="N97" s="6" t="s">
        <v>37</v>
      </c>
      <c r="O97" s="5" t="s">
        <v>748</v>
      </c>
      <c r="P97" s="5" t="s">
        <v>38</v>
      </c>
      <c r="Q97" s="5"/>
      <c r="R97" s="5" t="s">
        <v>77</v>
      </c>
      <c r="S97" s="5"/>
      <c r="T97" s="5"/>
      <c r="U97" s="5"/>
      <c r="V97" s="5"/>
      <c r="W97" s="5"/>
      <c r="X97" s="5"/>
      <c r="Y97" s="5"/>
    </row>
    <row r="98" spans="1:25" hidden="1" x14ac:dyDescent="0.25">
      <c r="A98" s="5"/>
      <c r="B98" s="5"/>
      <c r="C98" s="5" t="s">
        <v>914</v>
      </c>
      <c r="D98" s="5" t="s">
        <v>900</v>
      </c>
      <c r="E98" s="5">
        <v>1</v>
      </c>
      <c r="F98" s="5" t="s">
        <v>865</v>
      </c>
      <c r="G98" s="5"/>
      <c r="H98" s="5"/>
      <c r="I98" s="5"/>
      <c r="J98" s="5"/>
      <c r="K98" s="5" t="s">
        <v>631</v>
      </c>
      <c r="L98" s="5" t="s">
        <v>747</v>
      </c>
      <c r="M98" s="5" t="str">
        <f>IF(LEN('List chi tiet'!$B$2)=0,"",'List chi tiet'!$B$2)</f>
        <v>TCTN.DNS.26.004 ĐƯỜNG CAO TỐC VIN</v>
      </c>
      <c r="N98" s="6" t="s">
        <v>37</v>
      </c>
      <c r="O98" s="5" t="s">
        <v>748</v>
      </c>
      <c r="P98" s="5" t="s">
        <v>38</v>
      </c>
      <c r="Q98" s="5"/>
      <c r="R98" s="5" t="s">
        <v>77</v>
      </c>
      <c r="S98" s="5">
        <v>17.53</v>
      </c>
      <c r="T98" s="5">
        <v>335.62</v>
      </c>
      <c r="U98" s="5">
        <v>1852.47</v>
      </c>
      <c r="V98" s="5" t="s">
        <v>757</v>
      </c>
      <c r="W98" s="5"/>
      <c r="X98" s="5"/>
      <c r="Y98" s="5"/>
    </row>
    <row r="99" spans="1:25" hidden="1" x14ac:dyDescent="0.25">
      <c r="A99" s="5"/>
      <c r="B99" s="5"/>
      <c r="C99" s="5" t="s">
        <v>878</v>
      </c>
      <c r="D99" s="5">
        <v>25</v>
      </c>
      <c r="E99" s="5">
        <v>-1852.47</v>
      </c>
      <c r="F99" s="5" t="s">
        <v>867</v>
      </c>
      <c r="G99" s="5"/>
      <c r="H99" s="5"/>
      <c r="I99" s="5"/>
      <c r="J99" s="5"/>
      <c r="K99" s="5" t="s">
        <v>915</v>
      </c>
      <c r="L99" s="5" t="s">
        <v>747</v>
      </c>
      <c r="M99" s="5" t="str">
        <f>IF(LEN('List chi tiet'!$B$2)=0,"",'List chi tiet'!$B$2)</f>
        <v>TCTN.DNS.26.004 ĐƯỜNG CAO TỐC VIN</v>
      </c>
      <c r="N99" s="6" t="s">
        <v>37</v>
      </c>
      <c r="O99" s="5" t="s">
        <v>748</v>
      </c>
      <c r="P99" s="5" t="s">
        <v>38</v>
      </c>
      <c r="Q99" s="5"/>
      <c r="R99" s="5" t="s">
        <v>77</v>
      </c>
      <c r="S99" s="5"/>
      <c r="T99" s="5"/>
      <c r="U99" s="5"/>
      <c r="V99" s="5"/>
      <c r="W99" s="5"/>
      <c r="X99" s="5"/>
      <c r="Y99" s="5"/>
    </row>
    <row r="100" spans="1:25" hidden="1" x14ac:dyDescent="0.25">
      <c r="A100" s="5"/>
      <c r="B100" s="5"/>
      <c r="C100" s="5" t="s">
        <v>916</v>
      </c>
      <c r="D100" s="5" t="s">
        <v>900</v>
      </c>
      <c r="E100" s="5">
        <v>1</v>
      </c>
      <c r="F100" s="5" t="s">
        <v>865</v>
      </c>
      <c r="G100" s="5"/>
      <c r="H100" s="5"/>
      <c r="I100" s="5"/>
      <c r="J100" s="5"/>
      <c r="K100" s="5" t="s">
        <v>677</v>
      </c>
      <c r="L100" s="5" t="s">
        <v>747</v>
      </c>
      <c r="M100" s="5" t="str">
        <f>IF(LEN('List chi tiet'!$B$2)=0,"",'List chi tiet'!$B$2)</f>
        <v>TCTN.DNS.26.004 ĐƯỜNG CAO TỐC VIN</v>
      </c>
      <c r="N100" s="6" t="s">
        <v>37</v>
      </c>
      <c r="O100" s="5" t="s">
        <v>748</v>
      </c>
      <c r="P100" s="5" t="s">
        <v>38</v>
      </c>
      <c r="Q100" s="5"/>
      <c r="R100" s="5" t="s">
        <v>77</v>
      </c>
      <c r="S100" s="5">
        <v>10.02</v>
      </c>
      <c r="T100" s="5">
        <v>271.04000000000002</v>
      </c>
      <c r="U100" s="5">
        <v>3939.44</v>
      </c>
      <c r="V100" s="5" t="s">
        <v>758</v>
      </c>
      <c r="W100" s="5"/>
      <c r="X100" s="5"/>
      <c r="Y100" s="5"/>
    </row>
    <row r="101" spans="1:25" hidden="1" x14ac:dyDescent="0.25">
      <c r="A101" s="5"/>
      <c r="B101" s="5"/>
      <c r="C101" s="5" t="s">
        <v>878</v>
      </c>
      <c r="D101" s="5">
        <v>30</v>
      </c>
      <c r="E101" s="5">
        <v>-3939.44</v>
      </c>
      <c r="F101" s="5" t="s">
        <v>867</v>
      </c>
      <c r="G101" s="5"/>
      <c r="H101" s="5"/>
      <c r="I101" s="5"/>
      <c r="J101" s="5"/>
      <c r="K101" s="5" t="s">
        <v>917</v>
      </c>
      <c r="L101" s="5" t="s">
        <v>747</v>
      </c>
      <c r="M101" s="5" t="str">
        <f>IF(LEN('List chi tiet'!$B$2)=0,"",'List chi tiet'!$B$2)</f>
        <v>TCTN.DNS.26.004 ĐƯỜNG CAO TỐC VIN</v>
      </c>
      <c r="N101" s="6" t="s">
        <v>37</v>
      </c>
      <c r="O101" s="5" t="s">
        <v>748</v>
      </c>
      <c r="P101" s="5" t="s">
        <v>38</v>
      </c>
      <c r="Q101" s="5"/>
      <c r="R101" s="5" t="s">
        <v>77</v>
      </c>
      <c r="S101" s="5"/>
      <c r="T101" s="5"/>
      <c r="U101" s="5"/>
      <c r="V101" s="5"/>
      <c r="W101" s="5"/>
      <c r="X101" s="5"/>
      <c r="Y101" s="5"/>
    </row>
    <row r="102" spans="1:25" hidden="1" x14ac:dyDescent="0.25">
      <c r="A102" s="5"/>
      <c r="B102" s="5"/>
      <c r="C102" s="5" t="s">
        <v>918</v>
      </c>
      <c r="D102" s="5">
        <v>60</v>
      </c>
      <c r="E102" s="5">
        <v>3358.99</v>
      </c>
      <c r="F102" s="5" t="s">
        <v>867</v>
      </c>
      <c r="G102" s="5"/>
      <c r="H102" s="5"/>
      <c r="I102" s="5"/>
      <c r="J102" s="5"/>
      <c r="K102" s="5" t="s">
        <v>705</v>
      </c>
      <c r="L102" s="5" t="s">
        <v>747</v>
      </c>
      <c r="M102" s="5" t="str">
        <f>IF(LEN('List chi tiet'!$B$2)=0,"",'List chi tiet'!$B$2)</f>
        <v>TCTN.DNS.26.004 ĐƯỜNG CAO TỐC VIN</v>
      </c>
      <c r="N102" s="6" t="s">
        <v>37</v>
      </c>
      <c r="O102" s="5" t="s">
        <v>748</v>
      </c>
      <c r="P102" s="5" t="s">
        <v>38</v>
      </c>
      <c r="Q102" s="5"/>
      <c r="R102" s="5" t="s">
        <v>700</v>
      </c>
      <c r="S102" s="5">
        <v>17.760000000000002</v>
      </c>
      <c r="T102" s="5">
        <v>245.02</v>
      </c>
      <c r="U102" s="5">
        <v>559.39</v>
      </c>
      <c r="V102" s="5" t="s">
        <v>759</v>
      </c>
      <c r="W102" s="5"/>
      <c r="X102" s="5"/>
      <c r="Y102" s="5"/>
    </row>
    <row r="103" spans="1:25" hidden="1" x14ac:dyDescent="0.25">
      <c r="A103" s="5"/>
      <c r="B103" s="5"/>
      <c r="C103" s="5" t="s">
        <v>918</v>
      </c>
      <c r="D103" s="5">
        <v>60</v>
      </c>
      <c r="E103" s="5">
        <v>-559.39</v>
      </c>
      <c r="F103" s="5" t="s">
        <v>867</v>
      </c>
      <c r="G103" s="5"/>
      <c r="H103" s="5"/>
      <c r="I103" s="5"/>
      <c r="J103" s="5"/>
      <c r="K103" s="5" t="s">
        <v>919</v>
      </c>
      <c r="L103" s="5" t="s">
        <v>747</v>
      </c>
      <c r="M103" s="5" t="str">
        <f>IF(LEN('List chi tiet'!$B$2)=0,"",'List chi tiet'!$B$2)</f>
        <v>TCTN.DNS.26.004 ĐƯỜNG CAO TỐC VIN</v>
      </c>
      <c r="N103" s="6" t="s">
        <v>37</v>
      </c>
      <c r="O103" s="5" t="s">
        <v>748</v>
      </c>
      <c r="P103" s="5" t="s">
        <v>38</v>
      </c>
      <c r="Q103" s="5"/>
      <c r="R103" s="5" t="s">
        <v>700</v>
      </c>
      <c r="S103" s="5"/>
      <c r="T103" s="5"/>
      <c r="U103" s="5"/>
      <c r="V103" s="5"/>
      <c r="W103" s="5"/>
      <c r="X103" s="5"/>
      <c r="Y103" s="5"/>
    </row>
    <row r="104" spans="1:25" hidden="1" x14ac:dyDescent="0.25">
      <c r="C104" t="s">
        <v>863</v>
      </c>
      <c r="D104" t="s">
        <v>864</v>
      </c>
      <c r="E104">
        <v>1</v>
      </c>
      <c r="F104" t="s">
        <v>865</v>
      </c>
      <c r="K104" t="s">
        <v>925</v>
      </c>
      <c r="L104" t="s">
        <v>1085</v>
      </c>
      <c r="M104" t="s">
        <v>920</v>
      </c>
      <c r="N104" s="24">
        <v>46032</v>
      </c>
      <c r="O104" t="s">
        <v>748</v>
      </c>
      <c r="P104" t="s">
        <v>38</v>
      </c>
      <c r="R104" t="s">
        <v>33</v>
      </c>
      <c r="S104">
        <v>0.47</v>
      </c>
      <c r="T104">
        <v>5.43</v>
      </c>
      <c r="U104">
        <v>7.92</v>
      </c>
      <c r="V104" t="s">
        <v>745</v>
      </c>
    </row>
    <row r="105" spans="1:25" hidden="1" x14ac:dyDescent="0.25">
      <c r="C105" t="s">
        <v>866</v>
      </c>
      <c r="D105">
        <v>2</v>
      </c>
      <c r="E105">
        <v>-7.92</v>
      </c>
      <c r="F105" t="s">
        <v>867</v>
      </c>
      <c r="K105" t="s">
        <v>1095</v>
      </c>
      <c r="L105" t="s">
        <v>1085</v>
      </c>
      <c r="M105" t="s">
        <v>920</v>
      </c>
      <c r="N105" s="24">
        <v>46032</v>
      </c>
      <c r="O105" t="s">
        <v>748</v>
      </c>
      <c r="P105" t="s">
        <v>38</v>
      </c>
      <c r="R105" t="s">
        <v>33</v>
      </c>
    </row>
    <row r="106" spans="1:25" hidden="1" x14ac:dyDescent="0.25">
      <c r="C106" t="s">
        <v>863</v>
      </c>
      <c r="D106" t="s">
        <v>864</v>
      </c>
      <c r="E106">
        <v>1</v>
      </c>
      <c r="F106" t="s">
        <v>865</v>
      </c>
      <c r="K106" t="s">
        <v>927</v>
      </c>
      <c r="L106" t="s">
        <v>1085</v>
      </c>
      <c r="M106" t="s">
        <v>920</v>
      </c>
      <c r="N106" s="24">
        <v>46032</v>
      </c>
      <c r="O106" t="s">
        <v>748</v>
      </c>
      <c r="P106" t="s">
        <v>38</v>
      </c>
      <c r="R106" t="s">
        <v>33</v>
      </c>
      <c r="S106">
        <v>0.56999999999999995</v>
      </c>
      <c r="T106">
        <v>0</v>
      </c>
      <c r="U106">
        <v>0</v>
      </c>
      <c r="V106" t="s">
        <v>745</v>
      </c>
    </row>
    <row r="107" spans="1:25" hidden="1" x14ac:dyDescent="0.25">
      <c r="C107" t="s">
        <v>863</v>
      </c>
      <c r="D107" t="s">
        <v>864</v>
      </c>
      <c r="E107">
        <v>1</v>
      </c>
      <c r="F107" t="s">
        <v>865</v>
      </c>
      <c r="K107" t="s">
        <v>929</v>
      </c>
      <c r="L107" t="s">
        <v>1085</v>
      </c>
      <c r="M107" t="s">
        <v>920</v>
      </c>
      <c r="N107" s="24">
        <v>46032</v>
      </c>
      <c r="O107" t="s">
        <v>748</v>
      </c>
      <c r="P107" t="s">
        <v>38</v>
      </c>
      <c r="R107" t="s">
        <v>33</v>
      </c>
      <c r="S107">
        <v>0.56999999999999995</v>
      </c>
      <c r="T107">
        <v>0</v>
      </c>
      <c r="U107">
        <v>0</v>
      </c>
      <c r="V107" t="s">
        <v>745</v>
      </c>
    </row>
    <row r="108" spans="1:25" hidden="1" x14ac:dyDescent="0.25">
      <c r="C108" t="s">
        <v>863</v>
      </c>
      <c r="D108" t="s">
        <v>864</v>
      </c>
      <c r="E108">
        <v>1</v>
      </c>
      <c r="F108" t="s">
        <v>865</v>
      </c>
      <c r="K108" t="s">
        <v>931</v>
      </c>
      <c r="L108" t="s">
        <v>1085</v>
      </c>
      <c r="M108" t="s">
        <v>920</v>
      </c>
      <c r="N108" s="24">
        <v>46032</v>
      </c>
      <c r="O108" t="s">
        <v>748</v>
      </c>
      <c r="P108" t="s">
        <v>38</v>
      </c>
      <c r="R108" t="s">
        <v>33</v>
      </c>
      <c r="S108">
        <v>0.47</v>
      </c>
      <c r="T108">
        <v>0</v>
      </c>
      <c r="U108">
        <v>15.07</v>
      </c>
      <c r="V108" t="s">
        <v>745</v>
      </c>
    </row>
    <row r="109" spans="1:25" hidden="1" x14ac:dyDescent="0.25">
      <c r="C109" t="s">
        <v>866</v>
      </c>
      <c r="D109">
        <v>2</v>
      </c>
      <c r="E109">
        <v>-15.07</v>
      </c>
      <c r="F109" t="s">
        <v>867</v>
      </c>
      <c r="K109" t="s">
        <v>1096</v>
      </c>
      <c r="L109" t="s">
        <v>1085</v>
      </c>
      <c r="M109" t="s">
        <v>920</v>
      </c>
      <c r="N109" s="24">
        <v>46032</v>
      </c>
      <c r="O109" t="s">
        <v>748</v>
      </c>
      <c r="P109" t="s">
        <v>38</v>
      </c>
      <c r="R109" t="s">
        <v>33</v>
      </c>
    </row>
    <row r="110" spans="1:25" hidden="1" x14ac:dyDescent="0.25">
      <c r="C110" t="s">
        <v>863</v>
      </c>
      <c r="D110" t="s">
        <v>864</v>
      </c>
      <c r="E110">
        <v>1</v>
      </c>
      <c r="F110" t="s">
        <v>865</v>
      </c>
      <c r="K110" t="s">
        <v>933</v>
      </c>
      <c r="L110" t="s">
        <v>1085</v>
      </c>
      <c r="M110" t="s">
        <v>920</v>
      </c>
      <c r="N110" s="24">
        <v>46032</v>
      </c>
      <c r="O110" t="s">
        <v>748</v>
      </c>
      <c r="P110" t="s">
        <v>38</v>
      </c>
      <c r="R110" t="s">
        <v>33</v>
      </c>
      <c r="S110">
        <v>0.47</v>
      </c>
      <c r="T110">
        <v>0</v>
      </c>
      <c r="U110">
        <v>15.07</v>
      </c>
      <c r="V110" t="s">
        <v>745</v>
      </c>
    </row>
    <row r="111" spans="1:25" hidden="1" x14ac:dyDescent="0.25">
      <c r="C111" t="s">
        <v>866</v>
      </c>
      <c r="D111">
        <v>2</v>
      </c>
      <c r="E111">
        <v>-15.07</v>
      </c>
      <c r="F111" t="s">
        <v>867</v>
      </c>
      <c r="K111" t="s">
        <v>1097</v>
      </c>
      <c r="L111" t="s">
        <v>1085</v>
      </c>
      <c r="M111" t="s">
        <v>920</v>
      </c>
      <c r="N111" s="24">
        <v>46032</v>
      </c>
      <c r="O111" t="s">
        <v>748</v>
      </c>
      <c r="P111" t="s">
        <v>38</v>
      </c>
      <c r="R111" t="s">
        <v>33</v>
      </c>
    </row>
    <row r="112" spans="1:25" hidden="1" x14ac:dyDescent="0.25">
      <c r="C112" t="s">
        <v>863</v>
      </c>
      <c r="D112" t="s">
        <v>864</v>
      </c>
      <c r="E112">
        <v>1</v>
      </c>
      <c r="F112" t="s">
        <v>865</v>
      </c>
      <c r="K112" t="s">
        <v>935</v>
      </c>
      <c r="L112" t="s">
        <v>1085</v>
      </c>
      <c r="M112" t="s">
        <v>920</v>
      </c>
      <c r="N112" s="24">
        <v>46032</v>
      </c>
      <c r="O112" t="s">
        <v>748</v>
      </c>
      <c r="P112" t="s">
        <v>38</v>
      </c>
      <c r="R112" t="s">
        <v>33</v>
      </c>
      <c r="S112">
        <v>0.47</v>
      </c>
      <c r="T112">
        <v>0</v>
      </c>
      <c r="U112">
        <v>15.07</v>
      </c>
      <c r="V112" t="s">
        <v>745</v>
      </c>
    </row>
    <row r="113" spans="3:22" hidden="1" x14ac:dyDescent="0.25">
      <c r="C113" t="s">
        <v>866</v>
      </c>
      <c r="D113">
        <v>2</v>
      </c>
      <c r="E113">
        <v>-15.07</v>
      </c>
      <c r="F113" t="s">
        <v>867</v>
      </c>
      <c r="K113" t="s">
        <v>1098</v>
      </c>
      <c r="L113" t="s">
        <v>1085</v>
      </c>
      <c r="M113" t="s">
        <v>920</v>
      </c>
      <c r="N113" s="24">
        <v>46032</v>
      </c>
      <c r="O113" t="s">
        <v>748</v>
      </c>
      <c r="P113" t="s">
        <v>38</v>
      </c>
      <c r="R113" t="s">
        <v>33</v>
      </c>
    </row>
    <row r="114" spans="3:22" hidden="1" x14ac:dyDescent="0.25">
      <c r="C114" t="s">
        <v>863</v>
      </c>
      <c r="D114" t="s">
        <v>864</v>
      </c>
      <c r="E114">
        <v>1</v>
      </c>
      <c r="F114" t="s">
        <v>865</v>
      </c>
      <c r="K114" t="s">
        <v>937</v>
      </c>
      <c r="L114" t="s">
        <v>1085</v>
      </c>
      <c r="M114" t="s">
        <v>920</v>
      </c>
      <c r="N114" s="24">
        <v>46032</v>
      </c>
      <c r="O114" t="s">
        <v>748</v>
      </c>
      <c r="P114" t="s">
        <v>38</v>
      </c>
      <c r="R114" t="s">
        <v>33</v>
      </c>
      <c r="S114">
        <v>0.47</v>
      </c>
      <c r="T114">
        <v>0</v>
      </c>
      <c r="U114">
        <v>15.07</v>
      </c>
      <c r="V114" t="s">
        <v>745</v>
      </c>
    </row>
    <row r="115" spans="3:22" hidden="1" x14ac:dyDescent="0.25">
      <c r="C115" t="s">
        <v>866</v>
      </c>
      <c r="D115">
        <v>2</v>
      </c>
      <c r="E115">
        <v>-15.07</v>
      </c>
      <c r="F115" t="s">
        <v>867</v>
      </c>
      <c r="K115" t="s">
        <v>1099</v>
      </c>
      <c r="L115" t="s">
        <v>1085</v>
      </c>
      <c r="M115" t="s">
        <v>920</v>
      </c>
      <c r="N115" s="24">
        <v>46032</v>
      </c>
      <c r="O115" t="s">
        <v>748</v>
      </c>
      <c r="P115" t="s">
        <v>38</v>
      </c>
      <c r="R115" t="s">
        <v>33</v>
      </c>
    </row>
    <row r="116" spans="3:22" hidden="1" x14ac:dyDescent="0.25">
      <c r="C116" t="s">
        <v>863</v>
      </c>
      <c r="D116" t="s">
        <v>864</v>
      </c>
      <c r="E116">
        <v>1</v>
      </c>
      <c r="F116" t="s">
        <v>865</v>
      </c>
      <c r="K116" t="s">
        <v>939</v>
      </c>
      <c r="L116" t="s">
        <v>1085</v>
      </c>
      <c r="M116" t="s">
        <v>920</v>
      </c>
      <c r="N116" s="24">
        <v>46032</v>
      </c>
      <c r="O116" t="s">
        <v>748</v>
      </c>
      <c r="P116" t="s">
        <v>38</v>
      </c>
      <c r="R116" t="s">
        <v>33</v>
      </c>
      <c r="S116">
        <v>0.44</v>
      </c>
      <c r="T116">
        <v>3.33</v>
      </c>
      <c r="U116">
        <v>15.07</v>
      </c>
      <c r="V116" t="s">
        <v>745</v>
      </c>
    </row>
    <row r="117" spans="3:22" hidden="1" x14ac:dyDescent="0.25">
      <c r="C117" t="s">
        <v>866</v>
      </c>
      <c r="D117">
        <v>2</v>
      </c>
      <c r="E117">
        <v>-15.07</v>
      </c>
      <c r="F117" t="s">
        <v>867</v>
      </c>
      <c r="K117" t="s">
        <v>1100</v>
      </c>
      <c r="L117" t="s">
        <v>1085</v>
      </c>
      <c r="M117" t="s">
        <v>920</v>
      </c>
      <c r="N117" s="24">
        <v>46032</v>
      </c>
      <c r="O117" t="s">
        <v>748</v>
      </c>
      <c r="P117" t="s">
        <v>38</v>
      </c>
      <c r="R117" t="s">
        <v>33</v>
      </c>
    </row>
    <row r="118" spans="3:22" hidden="1" x14ac:dyDescent="0.25">
      <c r="C118" t="s">
        <v>866</v>
      </c>
      <c r="D118">
        <v>2</v>
      </c>
      <c r="E118">
        <v>61.67</v>
      </c>
      <c r="F118" t="s">
        <v>867</v>
      </c>
      <c r="K118" t="s">
        <v>942</v>
      </c>
      <c r="L118" t="s">
        <v>1085</v>
      </c>
      <c r="M118" t="s">
        <v>920</v>
      </c>
      <c r="N118" s="24">
        <v>46032</v>
      </c>
      <c r="O118" t="s">
        <v>748</v>
      </c>
      <c r="P118" t="s">
        <v>38</v>
      </c>
      <c r="R118" t="s">
        <v>33</v>
      </c>
      <c r="S118">
        <v>0.14000000000000001</v>
      </c>
      <c r="T118">
        <v>0</v>
      </c>
      <c r="U118">
        <v>41.7</v>
      </c>
      <c r="V118" t="s">
        <v>745</v>
      </c>
    </row>
    <row r="119" spans="3:22" hidden="1" x14ac:dyDescent="0.25">
      <c r="C119" t="s">
        <v>866</v>
      </c>
      <c r="D119">
        <v>2</v>
      </c>
      <c r="E119">
        <v>-41.7</v>
      </c>
      <c r="F119" t="s">
        <v>867</v>
      </c>
      <c r="K119" t="s">
        <v>1101</v>
      </c>
      <c r="L119" t="s">
        <v>1085</v>
      </c>
      <c r="M119" t="s">
        <v>920</v>
      </c>
      <c r="N119" s="24">
        <v>46032</v>
      </c>
      <c r="O119" t="s">
        <v>748</v>
      </c>
      <c r="P119" t="s">
        <v>38</v>
      </c>
      <c r="R119" t="s">
        <v>33</v>
      </c>
    </row>
    <row r="120" spans="3:22" hidden="1" x14ac:dyDescent="0.25">
      <c r="C120" t="s">
        <v>863</v>
      </c>
      <c r="D120" t="s">
        <v>864</v>
      </c>
      <c r="E120">
        <v>1</v>
      </c>
      <c r="F120" t="s">
        <v>865</v>
      </c>
      <c r="K120" t="s">
        <v>944</v>
      </c>
      <c r="L120" t="s">
        <v>1085</v>
      </c>
      <c r="M120" t="s">
        <v>920</v>
      </c>
      <c r="N120" s="24">
        <v>46032</v>
      </c>
      <c r="O120" t="s">
        <v>748</v>
      </c>
      <c r="P120" t="s">
        <v>38</v>
      </c>
      <c r="R120" t="s">
        <v>33</v>
      </c>
      <c r="S120">
        <v>0.34</v>
      </c>
      <c r="T120">
        <v>0.19</v>
      </c>
      <c r="U120">
        <v>32.880000000000003</v>
      </c>
      <c r="V120" t="s">
        <v>745</v>
      </c>
    </row>
    <row r="121" spans="3:22" hidden="1" x14ac:dyDescent="0.25">
      <c r="C121" t="s">
        <v>866</v>
      </c>
      <c r="D121">
        <v>2</v>
      </c>
      <c r="E121">
        <v>-32.880000000000003</v>
      </c>
      <c r="F121" t="s">
        <v>867</v>
      </c>
      <c r="K121" t="s">
        <v>1102</v>
      </c>
      <c r="L121" t="s">
        <v>1085</v>
      </c>
      <c r="M121" t="s">
        <v>920</v>
      </c>
      <c r="N121" s="24">
        <v>46032</v>
      </c>
      <c r="O121" t="s">
        <v>748</v>
      </c>
      <c r="P121" t="s">
        <v>38</v>
      </c>
      <c r="R121" t="s">
        <v>33</v>
      </c>
    </row>
    <row r="122" spans="3:22" hidden="1" x14ac:dyDescent="0.25">
      <c r="C122" t="s">
        <v>878</v>
      </c>
      <c r="D122">
        <v>5</v>
      </c>
      <c r="E122">
        <v>105.98</v>
      </c>
      <c r="F122" t="s">
        <v>867</v>
      </c>
      <c r="K122" t="s">
        <v>948</v>
      </c>
      <c r="L122" t="s">
        <v>1085</v>
      </c>
      <c r="M122" t="s">
        <v>920</v>
      </c>
      <c r="N122" s="24">
        <v>46032</v>
      </c>
      <c r="O122" t="s">
        <v>748</v>
      </c>
      <c r="P122" t="s">
        <v>38</v>
      </c>
      <c r="R122" t="s">
        <v>77</v>
      </c>
      <c r="S122">
        <v>0.62</v>
      </c>
      <c r="T122">
        <v>16.670000000000002</v>
      </c>
      <c r="U122">
        <v>0</v>
      </c>
      <c r="V122" t="s">
        <v>1086</v>
      </c>
    </row>
    <row r="123" spans="3:22" hidden="1" x14ac:dyDescent="0.25">
      <c r="C123" t="s">
        <v>876</v>
      </c>
      <c r="D123" t="s">
        <v>877</v>
      </c>
      <c r="E123">
        <v>1</v>
      </c>
      <c r="F123" t="s">
        <v>865</v>
      </c>
      <c r="K123" t="s">
        <v>950</v>
      </c>
      <c r="L123" t="s">
        <v>1085</v>
      </c>
      <c r="M123" t="s">
        <v>920</v>
      </c>
      <c r="N123" s="24">
        <v>46032</v>
      </c>
      <c r="O123" t="s">
        <v>748</v>
      </c>
      <c r="P123" t="s">
        <v>38</v>
      </c>
      <c r="R123" t="s">
        <v>77</v>
      </c>
      <c r="S123">
        <v>0.8</v>
      </c>
      <c r="T123">
        <v>28.04</v>
      </c>
      <c r="U123">
        <v>210.3</v>
      </c>
      <c r="V123" t="s">
        <v>749</v>
      </c>
    </row>
    <row r="124" spans="3:22" hidden="1" x14ac:dyDescent="0.25">
      <c r="C124" t="s">
        <v>878</v>
      </c>
      <c r="D124">
        <v>5</v>
      </c>
      <c r="E124">
        <v>-210.3</v>
      </c>
      <c r="F124" t="s">
        <v>867</v>
      </c>
      <c r="K124" t="s">
        <v>1103</v>
      </c>
      <c r="L124" t="s">
        <v>1085</v>
      </c>
      <c r="M124" t="s">
        <v>920</v>
      </c>
      <c r="N124" s="24">
        <v>46032</v>
      </c>
      <c r="O124" t="s">
        <v>748</v>
      </c>
      <c r="P124" t="s">
        <v>38</v>
      </c>
      <c r="R124" t="s">
        <v>77</v>
      </c>
    </row>
    <row r="125" spans="3:22" hidden="1" x14ac:dyDescent="0.25">
      <c r="C125" t="s">
        <v>880</v>
      </c>
      <c r="D125" t="s">
        <v>881</v>
      </c>
      <c r="E125">
        <v>1</v>
      </c>
      <c r="F125" t="s">
        <v>865</v>
      </c>
      <c r="K125" t="s">
        <v>952</v>
      </c>
      <c r="L125" t="s">
        <v>1085</v>
      </c>
      <c r="M125" t="s">
        <v>920</v>
      </c>
      <c r="N125" s="24">
        <v>46032</v>
      </c>
      <c r="O125" t="s">
        <v>748</v>
      </c>
      <c r="P125" t="s">
        <v>38</v>
      </c>
      <c r="R125" t="s">
        <v>77</v>
      </c>
      <c r="S125">
        <v>5.0199999999999996</v>
      </c>
      <c r="T125">
        <v>32.47</v>
      </c>
      <c r="U125">
        <v>92.71</v>
      </c>
      <c r="V125" t="s">
        <v>750</v>
      </c>
    </row>
    <row r="126" spans="3:22" hidden="1" x14ac:dyDescent="0.25">
      <c r="C126" t="s">
        <v>878</v>
      </c>
      <c r="D126">
        <v>6</v>
      </c>
      <c r="E126">
        <v>-92.71</v>
      </c>
      <c r="F126" t="s">
        <v>867</v>
      </c>
      <c r="K126" t="s">
        <v>1104</v>
      </c>
      <c r="L126" t="s">
        <v>1085</v>
      </c>
      <c r="M126" t="s">
        <v>920</v>
      </c>
      <c r="N126" s="24">
        <v>46032</v>
      </c>
      <c r="O126" t="s">
        <v>748</v>
      </c>
      <c r="P126" t="s">
        <v>38</v>
      </c>
      <c r="R126" t="s">
        <v>77</v>
      </c>
    </row>
    <row r="127" spans="3:22" hidden="1" x14ac:dyDescent="0.25">
      <c r="C127" t="s">
        <v>880</v>
      </c>
      <c r="D127" t="s">
        <v>881</v>
      </c>
      <c r="E127">
        <v>1</v>
      </c>
      <c r="F127" t="s">
        <v>865</v>
      </c>
      <c r="K127" t="s">
        <v>954</v>
      </c>
      <c r="L127" t="s">
        <v>1085</v>
      </c>
      <c r="M127" t="s">
        <v>920</v>
      </c>
      <c r="N127" s="24">
        <v>46032</v>
      </c>
      <c r="O127" t="s">
        <v>748</v>
      </c>
      <c r="P127" t="s">
        <v>38</v>
      </c>
      <c r="R127" t="s">
        <v>77</v>
      </c>
      <c r="S127">
        <v>5.09</v>
      </c>
      <c r="T127">
        <v>22.74</v>
      </c>
      <c r="U127">
        <v>92.71</v>
      </c>
      <c r="V127" t="s">
        <v>750</v>
      </c>
    </row>
    <row r="128" spans="3:22" hidden="1" x14ac:dyDescent="0.25">
      <c r="C128" t="s">
        <v>878</v>
      </c>
      <c r="D128">
        <v>6</v>
      </c>
      <c r="E128">
        <v>-92.71</v>
      </c>
      <c r="F128" t="s">
        <v>867</v>
      </c>
      <c r="K128" t="s">
        <v>1105</v>
      </c>
      <c r="L128" t="s">
        <v>1085</v>
      </c>
      <c r="M128" t="s">
        <v>920</v>
      </c>
      <c r="N128" s="24">
        <v>46032</v>
      </c>
      <c r="O128" t="s">
        <v>748</v>
      </c>
      <c r="P128" t="s">
        <v>38</v>
      </c>
      <c r="R128" t="s">
        <v>77</v>
      </c>
    </row>
    <row r="129" spans="3:22" hidden="1" x14ac:dyDescent="0.25">
      <c r="C129" t="s">
        <v>880</v>
      </c>
      <c r="D129" t="s">
        <v>881</v>
      </c>
      <c r="E129">
        <v>1</v>
      </c>
      <c r="F129" t="s">
        <v>865</v>
      </c>
      <c r="K129" t="s">
        <v>956</v>
      </c>
      <c r="L129" t="s">
        <v>1085</v>
      </c>
      <c r="M129" t="s">
        <v>920</v>
      </c>
      <c r="N129" s="24">
        <v>46032</v>
      </c>
      <c r="O129" t="s">
        <v>748</v>
      </c>
      <c r="P129" t="s">
        <v>38</v>
      </c>
      <c r="R129" t="s">
        <v>77</v>
      </c>
      <c r="S129">
        <v>5.0599999999999996</v>
      </c>
      <c r="T129">
        <v>26.83</v>
      </c>
      <c r="U129">
        <v>92.71</v>
      </c>
      <c r="V129" t="s">
        <v>750</v>
      </c>
    </row>
    <row r="130" spans="3:22" hidden="1" x14ac:dyDescent="0.25">
      <c r="C130" t="s">
        <v>878</v>
      </c>
      <c r="D130">
        <v>6</v>
      </c>
      <c r="E130">
        <v>-92.71</v>
      </c>
      <c r="F130" t="s">
        <v>867</v>
      </c>
      <c r="K130" t="s">
        <v>1106</v>
      </c>
      <c r="L130" t="s">
        <v>1085</v>
      </c>
      <c r="M130" t="s">
        <v>920</v>
      </c>
      <c r="N130" s="24">
        <v>46032</v>
      </c>
      <c r="O130" t="s">
        <v>748</v>
      </c>
      <c r="P130" t="s">
        <v>38</v>
      </c>
      <c r="R130" t="s">
        <v>77</v>
      </c>
    </row>
    <row r="131" spans="3:22" hidden="1" x14ac:dyDescent="0.25">
      <c r="C131" t="s">
        <v>880</v>
      </c>
      <c r="D131" t="s">
        <v>881</v>
      </c>
      <c r="E131">
        <v>1</v>
      </c>
      <c r="F131" t="s">
        <v>865</v>
      </c>
      <c r="K131" t="s">
        <v>958</v>
      </c>
      <c r="L131" t="s">
        <v>1085</v>
      </c>
      <c r="M131" t="s">
        <v>920</v>
      </c>
      <c r="N131" s="24">
        <v>46032</v>
      </c>
      <c r="O131" t="s">
        <v>748</v>
      </c>
      <c r="P131" t="s">
        <v>38</v>
      </c>
      <c r="R131" t="s">
        <v>77</v>
      </c>
      <c r="S131">
        <v>5.0599999999999996</v>
      </c>
      <c r="T131">
        <v>26.47</v>
      </c>
      <c r="U131">
        <v>93.17</v>
      </c>
      <c r="V131" t="s">
        <v>750</v>
      </c>
    </row>
    <row r="132" spans="3:22" hidden="1" x14ac:dyDescent="0.25">
      <c r="C132" t="s">
        <v>878</v>
      </c>
      <c r="D132">
        <v>6</v>
      </c>
      <c r="E132">
        <v>-93.17</v>
      </c>
      <c r="F132" t="s">
        <v>867</v>
      </c>
      <c r="K132" t="s">
        <v>1107</v>
      </c>
      <c r="L132" t="s">
        <v>1085</v>
      </c>
      <c r="M132" t="s">
        <v>920</v>
      </c>
      <c r="N132" s="24">
        <v>46032</v>
      </c>
      <c r="O132" t="s">
        <v>748</v>
      </c>
      <c r="P132" t="s">
        <v>38</v>
      </c>
      <c r="R132" t="s">
        <v>77</v>
      </c>
    </row>
    <row r="133" spans="3:22" hidden="1" x14ac:dyDescent="0.25">
      <c r="C133" t="s">
        <v>880</v>
      </c>
      <c r="D133" t="s">
        <v>881</v>
      </c>
      <c r="E133">
        <v>1</v>
      </c>
      <c r="F133" t="s">
        <v>865</v>
      </c>
      <c r="K133" t="s">
        <v>960</v>
      </c>
      <c r="L133" t="s">
        <v>1085</v>
      </c>
      <c r="M133" t="s">
        <v>920</v>
      </c>
      <c r="N133" s="24">
        <v>46032</v>
      </c>
      <c r="O133" t="s">
        <v>748</v>
      </c>
      <c r="P133" t="s">
        <v>38</v>
      </c>
      <c r="R133" t="s">
        <v>77</v>
      </c>
      <c r="S133">
        <v>5.0599999999999996</v>
      </c>
      <c r="T133">
        <v>39.61</v>
      </c>
      <c r="U133">
        <v>80.27</v>
      </c>
      <c r="V133" t="s">
        <v>750</v>
      </c>
    </row>
    <row r="134" spans="3:22" hidden="1" x14ac:dyDescent="0.25">
      <c r="C134" t="s">
        <v>878</v>
      </c>
      <c r="D134">
        <v>6</v>
      </c>
      <c r="E134">
        <v>-80.27</v>
      </c>
      <c r="F134" t="s">
        <v>867</v>
      </c>
      <c r="K134" t="s">
        <v>1108</v>
      </c>
      <c r="L134" t="s">
        <v>1085</v>
      </c>
      <c r="M134" t="s">
        <v>920</v>
      </c>
      <c r="N134" s="24">
        <v>46032</v>
      </c>
      <c r="O134" t="s">
        <v>748</v>
      </c>
      <c r="P134" t="s">
        <v>38</v>
      </c>
      <c r="R134" t="s">
        <v>77</v>
      </c>
    </row>
    <row r="135" spans="3:22" hidden="1" x14ac:dyDescent="0.25">
      <c r="C135" t="s">
        <v>880</v>
      </c>
      <c r="D135" t="s">
        <v>881</v>
      </c>
      <c r="E135">
        <v>1</v>
      </c>
      <c r="F135" t="s">
        <v>865</v>
      </c>
      <c r="K135" t="s">
        <v>962</v>
      </c>
      <c r="L135" t="s">
        <v>1085</v>
      </c>
      <c r="M135" t="s">
        <v>920</v>
      </c>
      <c r="N135" s="24">
        <v>46032</v>
      </c>
      <c r="O135" t="s">
        <v>748</v>
      </c>
      <c r="P135" t="s">
        <v>38</v>
      </c>
      <c r="R135" t="s">
        <v>77</v>
      </c>
      <c r="S135">
        <v>5.0599999999999996</v>
      </c>
      <c r="T135">
        <v>39.630000000000003</v>
      </c>
      <c r="U135">
        <v>80.27</v>
      </c>
      <c r="V135" t="s">
        <v>750</v>
      </c>
    </row>
    <row r="136" spans="3:22" hidden="1" x14ac:dyDescent="0.25">
      <c r="C136" t="s">
        <v>878</v>
      </c>
      <c r="D136">
        <v>6</v>
      </c>
      <c r="E136">
        <v>-80.27</v>
      </c>
      <c r="F136" t="s">
        <v>867</v>
      </c>
      <c r="K136" t="s">
        <v>1109</v>
      </c>
      <c r="L136" t="s">
        <v>1085</v>
      </c>
      <c r="M136" t="s">
        <v>920</v>
      </c>
      <c r="N136" s="24">
        <v>46032</v>
      </c>
      <c r="O136" t="s">
        <v>748</v>
      </c>
      <c r="P136" t="s">
        <v>38</v>
      </c>
      <c r="R136" t="s">
        <v>77</v>
      </c>
    </row>
    <row r="137" spans="3:22" hidden="1" x14ac:dyDescent="0.25">
      <c r="C137" t="s">
        <v>880</v>
      </c>
      <c r="D137" t="s">
        <v>881</v>
      </c>
      <c r="E137">
        <v>1</v>
      </c>
      <c r="F137" t="s">
        <v>865</v>
      </c>
      <c r="K137" t="s">
        <v>964</v>
      </c>
      <c r="L137" t="s">
        <v>1085</v>
      </c>
      <c r="M137" t="s">
        <v>920</v>
      </c>
      <c r="N137" s="24">
        <v>46032</v>
      </c>
      <c r="O137" t="s">
        <v>748</v>
      </c>
      <c r="P137" t="s">
        <v>38</v>
      </c>
      <c r="R137" t="s">
        <v>77</v>
      </c>
      <c r="S137">
        <v>5.0599999999999996</v>
      </c>
      <c r="T137">
        <v>25.3</v>
      </c>
      <c r="U137">
        <v>94.75</v>
      </c>
      <c r="V137" t="s">
        <v>750</v>
      </c>
    </row>
    <row r="138" spans="3:22" hidden="1" x14ac:dyDescent="0.25">
      <c r="C138" t="s">
        <v>878</v>
      </c>
      <c r="D138">
        <v>6</v>
      </c>
      <c r="E138">
        <v>-94.75</v>
      </c>
      <c r="F138" t="s">
        <v>867</v>
      </c>
      <c r="K138" t="s">
        <v>1110</v>
      </c>
      <c r="L138" t="s">
        <v>1085</v>
      </c>
      <c r="M138" t="s">
        <v>920</v>
      </c>
      <c r="N138" s="24">
        <v>46032</v>
      </c>
      <c r="O138" t="s">
        <v>748</v>
      </c>
      <c r="P138" t="s">
        <v>38</v>
      </c>
      <c r="R138" t="s">
        <v>77</v>
      </c>
    </row>
    <row r="139" spans="3:22" hidden="1" x14ac:dyDescent="0.25">
      <c r="C139" t="s">
        <v>880</v>
      </c>
      <c r="D139" t="s">
        <v>881</v>
      </c>
      <c r="E139">
        <v>1</v>
      </c>
      <c r="F139" t="s">
        <v>865</v>
      </c>
      <c r="K139" t="s">
        <v>966</v>
      </c>
      <c r="L139" t="s">
        <v>1085</v>
      </c>
      <c r="M139" t="s">
        <v>920</v>
      </c>
      <c r="N139" s="24">
        <v>46032</v>
      </c>
      <c r="O139" t="s">
        <v>748</v>
      </c>
      <c r="P139" t="s">
        <v>38</v>
      </c>
      <c r="R139" t="s">
        <v>77</v>
      </c>
      <c r="S139">
        <v>5.0599999999999996</v>
      </c>
      <c r="T139">
        <v>26.64</v>
      </c>
      <c r="U139">
        <v>93.43</v>
      </c>
      <c r="V139" t="s">
        <v>750</v>
      </c>
    </row>
    <row r="140" spans="3:22" hidden="1" x14ac:dyDescent="0.25">
      <c r="C140" t="s">
        <v>878</v>
      </c>
      <c r="D140">
        <v>6</v>
      </c>
      <c r="E140">
        <v>-93.43</v>
      </c>
      <c r="F140" t="s">
        <v>867</v>
      </c>
      <c r="K140" t="s">
        <v>1111</v>
      </c>
      <c r="L140" t="s">
        <v>1085</v>
      </c>
      <c r="M140" t="s">
        <v>920</v>
      </c>
      <c r="N140" s="24">
        <v>46032</v>
      </c>
      <c r="O140" t="s">
        <v>748</v>
      </c>
      <c r="P140" t="s">
        <v>38</v>
      </c>
      <c r="R140" t="s">
        <v>77</v>
      </c>
    </row>
    <row r="141" spans="3:22" hidden="1" x14ac:dyDescent="0.25">
      <c r="C141" t="s">
        <v>880</v>
      </c>
      <c r="D141" t="s">
        <v>881</v>
      </c>
      <c r="E141">
        <v>1</v>
      </c>
      <c r="F141" t="s">
        <v>865</v>
      </c>
      <c r="K141" t="s">
        <v>968</v>
      </c>
      <c r="L141" t="s">
        <v>1085</v>
      </c>
      <c r="M141" t="s">
        <v>920</v>
      </c>
      <c r="N141" s="24">
        <v>46032</v>
      </c>
      <c r="O141" t="s">
        <v>748</v>
      </c>
      <c r="P141" t="s">
        <v>38</v>
      </c>
      <c r="R141" t="s">
        <v>77</v>
      </c>
      <c r="S141">
        <v>5.15</v>
      </c>
      <c r="T141">
        <v>26.1</v>
      </c>
      <c r="U141">
        <v>80.27</v>
      </c>
      <c r="V141" t="s">
        <v>750</v>
      </c>
    </row>
    <row r="142" spans="3:22" hidden="1" x14ac:dyDescent="0.25">
      <c r="C142" t="s">
        <v>878</v>
      </c>
      <c r="D142">
        <v>6</v>
      </c>
      <c r="E142">
        <v>-80.27</v>
      </c>
      <c r="F142" t="s">
        <v>867</v>
      </c>
      <c r="K142" t="s">
        <v>1112</v>
      </c>
      <c r="L142" t="s">
        <v>1085</v>
      </c>
      <c r="M142" t="s">
        <v>920</v>
      </c>
      <c r="N142" s="24">
        <v>46032</v>
      </c>
      <c r="O142" t="s">
        <v>748</v>
      </c>
      <c r="P142" t="s">
        <v>38</v>
      </c>
      <c r="R142" t="s">
        <v>77</v>
      </c>
    </row>
    <row r="143" spans="3:22" hidden="1" x14ac:dyDescent="0.25">
      <c r="C143" t="s">
        <v>880</v>
      </c>
      <c r="D143" t="s">
        <v>881</v>
      </c>
      <c r="E143">
        <v>1</v>
      </c>
      <c r="F143" t="s">
        <v>865</v>
      </c>
      <c r="K143" t="s">
        <v>970</v>
      </c>
      <c r="L143" t="s">
        <v>1085</v>
      </c>
      <c r="M143" t="s">
        <v>920</v>
      </c>
      <c r="N143" s="24">
        <v>46032</v>
      </c>
      <c r="O143" t="s">
        <v>748</v>
      </c>
      <c r="P143" t="s">
        <v>38</v>
      </c>
      <c r="R143" t="s">
        <v>77</v>
      </c>
      <c r="S143">
        <v>5.2</v>
      </c>
      <c r="T143">
        <v>34.21</v>
      </c>
      <c r="U143">
        <v>65.959999999999994</v>
      </c>
      <c r="V143" t="s">
        <v>750</v>
      </c>
    </row>
    <row r="144" spans="3:22" hidden="1" x14ac:dyDescent="0.25">
      <c r="C144" t="s">
        <v>878</v>
      </c>
      <c r="D144">
        <v>6</v>
      </c>
      <c r="E144">
        <v>-65.959999999999994</v>
      </c>
      <c r="F144" t="s">
        <v>867</v>
      </c>
      <c r="K144" t="s">
        <v>1113</v>
      </c>
      <c r="L144" t="s">
        <v>1085</v>
      </c>
      <c r="M144" t="s">
        <v>920</v>
      </c>
      <c r="N144" s="24">
        <v>46032</v>
      </c>
      <c r="O144" t="s">
        <v>748</v>
      </c>
      <c r="P144" t="s">
        <v>38</v>
      </c>
      <c r="R144" t="s">
        <v>77</v>
      </c>
    </row>
    <row r="145" spans="3:22" hidden="1" x14ac:dyDescent="0.25">
      <c r="C145" t="s">
        <v>880</v>
      </c>
      <c r="D145" t="s">
        <v>881</v>
      </c>
      <c r="E145">
        <v>1</v>
      </c>
      <c r="F145" t="s">
        <v>865</v>
      </c>
      <c r="K145" t="s">
        <v>972</v>
      </c>
      <c r="L145" t="s">
        <v>1085</v>
      </c>
      <c r="M145" t="s">
        <v>920</v>
      </c>
      <c r="N145" s="24">
        <v>46032</v>
      </c>
      <c r="O145" t="s">
        <v>748</v>
      </c>
      <c r="P145" t="s">
        <v>38</v>
      </c>
      <c r="R145" t="s">
        <v>77</v>
      </c>
      <c r="S145">
        <v>5.2</v>
      </c>
      <c r="T145">
        <v>34.450000000000003</v>
      </c>
      <c r="U145">
        <v>65.709999999999994</v>
      </c>
      <c r="V145" t="s">
        <v>750</v>
      </c>
    </row>
    <row r="146" spans="3:22" hidden="1" x14ac:dyDescent="0.25">
      <c r="C146" t="s">
        <v>878</v>
      </c>
      <c r="D146">
        <v>6</v>
      </c>
      <c r="E146">
        <v>-65.709999999999994</v>
      </c>
      <c r="F146" t="s">
        <v>867</v>
      </c>
      <c r="K146" t="s">
        <v>1114</v>
      </c>
      <c r="L146" t="s">
        <v>1085</v>
      </c>
      <c r="M146" t="s">
        <v>920</v>
      </c>
      <c r="N146" s="24">
        <v>46032</v>
      </c>
      <c r="O146" t="s">
        <v>748</v>
      </c>
      <c r="P146" t="s">
        <v>38</v>
      </c>
      <c r="R146" t="s">
        <v>77</v>
      </c>
    </row>
    <row r="147" spans="3:22" hidden="1" x14ac:dyDescent="0.25">
      <c r="C147" t="s">
        <v>880</v>
      </c>
      <c r="D147" t="s">
        <v>881</v>
      </c>
      <c r="E147">
        <v>1</v>
      </c>
      <c r="F147" t="s">
        <v>865</v>
      </c>
      <c r="K147" t="s">
        <v>974</v>
      </c>
      <c r="L147" t="s">
        <v>1085</v>
      </c>
      <c r="M147" t="s">
        <v>920</v>
      </c>
      <c r="N147" s="24">
        <v>46032</v>
      </c>
      <c r="O147" t="s">
        <v>748</v>
      </c>
      <c r="P147" t="s">
        <v>38</v>
      </c>
      <c r="R147" t="s">
        <v>77</v>
      </c>
      <c r="S147">
        <v>5.05</v>
      </c>
      <c r="T147">
        <v>26.46</v>
      </c>
      <c r="U147">
        <v>95.38</v>
      </c>
      <c r="V147" t="s">
        <v>750</v>
      </c>
    </row>
    <row r="148" spans="3:22" hidden="1" x14ac:dyDescent="0.25">
      <c r="C148" t="s">
        <v>878</v>
      </c>
      <c r="D148">
        <v>6</v>
      </c>
      <c r="E148">
        <v>-95.38</v>
      </c>
      <c r="F148" t="s">
        <v>867</v>
      </c>
      <c r="K148" t="s">
        <v>1115</v>
      </c>
      <c r="L148" t="s">
        <v>1085</v>
      </c>
      <c r="M148" t="s">
        <v>920</v>
      </c>
      <c r="N148" s="24">
        <v>46032</v>
      </c>
      <c r="O148" t="s">
        <v>748</v>
      </c>
      <c r="P148" t="s">
        <v>38</v>
      </c>
      <c r="R148" t="s">
        <v>77</v>
      </c>
    </row>
    <row r="149" spans="3:22" hidden="1" x14ac:dyDescent="0.25">
      <c r="C149" t="s">
        <v>880</v>
      </c>
      <c r="D149" t="s">
        <v>881</v>
      </c>
      <c r="E149">
        <v>1</v>
      </c>
      <c r="F149" t="s">
        <v>865</v>
      </c>
      <c r="K149" t="s">
        <v>976</v>
      </c>
      <c r="L149" t="s">
        <v>1085</v>
      </c>
      <c r="M149" t="s">
        <v>920</v>
      </c>
      <c r="N149" s="24">
        <v>46032</v>
      </c>
      <c r="O149" t="s">
        <v>748</v>
      </c>
      <c r="P149" t="s">
        <v>38</v>
      </c>
      <c r="R149" t="s">
        <v>77</v>
      </c>
      <c r="S149">
        <v>5.05</v>
      </c>
      <c r="T149">
        <v>24.72</v>
      </c>
      <c r="U149">
        <v>97.12</v>
      </c>
      <c r="V149" t="s">
        <v>750</v>
      </c>
    </row>
    <row r="150" spans="3:22" hidden="1" x14ac:dyDescent="0.25">
      <c r="C150" t="s">
        <v>878</v>
      </c>
      <c r="D150">
        <v>6</v>
      </c>
      <c r="E150">
        <v>-97.12</v>
      </c>
      <c r="F150" t="s">
        <v>867</v>
      </c>
      <c r="K150" t="s">
        <v>1116</v>
      </c>
      <c r="L150" t="s">
        <v>1085</v>
      </c>
      <c r="M150" t="s">
        <v>920</v>
      </c>
      <c r="N150" s="24">
        <v>46032</v>
      </c>
      <c r="O150" t="s">
        <v>748</v>
      </c>
      <c r="P150" t="s">
        <v>38</v>
      </c>
      <c r="R150" t="s">
        <v>77</v>
      </c>
    </row>
    <row r="151" spans="3:22" hidden="1" x14ac:dyDescent="0.25">
      <c r="C151" t="s">
        <v>880</v>
      </c>
      <c r="D151" t="s">
        <v>881</v>
      </c>
      <c r="E151">
        <v>1</v>
      </c>
      <c r="F151" t="s">
        <v>865</v>
      </c>
      <c r="K151" t="s">
        <v>978</v>
      </c>
      <c r="L151" t="s">
        <v>1085</v>
      </c>
      <c r="M151" t="s">
        <v>920</v>
      </c>
      <c r="N151" s="24">
        <v>46032</v>
      </c>
      <c r="O151" t="s">
        <v>748</v>
      </c>
      <c r="P151" t="s">
        <v>38</v>
      </c>
      <c r="R151" t="s">
        <v>77</v>
      </c>
      <c r="S151">
        <v>5.05</v>
      </c>
      <c r="T151">
        <v>24.72</v>
      </c>
      <c r="U151">
        <v>97.12</v>
      </c>
      <c r="V151" t="s">
        <v>750</v>
      </c>
    </row>
    <row r="152" spans="3:22" hidden="1" x14ac:dyDescent="0.25">
      <c r="C152" t="s">
        <v>878</v>
      </c>
      <c r="D152">
        <v>6</v>
      </c>
      <c r="E152">
        <v>-97.12</v>
      </c>
      <c r="F152" t="s">
        <v>867</v>
      </c>
      <c r="K152" t="s">
        <v>1117</v>
      </c>
      <c r="L152" t="s">
        <v>1085</v>
      </c>
      <c r="M152" t="s">
        <v>920</v>
      </c>
      <c r="N152" s="24">
        <v>46032</v>
      </c>
      <c r="O152" t="s">
        <v>748</v>
      </c>
      <c r="P152" t="s">
        <v>38</v>
      </c>
      <c r="R152" t="s">
        <v>77</v>
      </c>
    </row>
    <row r="153" spans="3:22" hidden="1" x14ac:dyDescent="0.25">
      <c r="C153" t="s">
        <v>880</v>
      </c>
      <c r="D153" t="s">
        <v>881</v>
      </c>
      <c r="E153">
        <v>1</v>
      </c>
      <c r="F153" t="s">
        <v>865</v>
      </c>
      <c r="K153" t="s">
        <v>980</v>
      </c>
      <c r="L153" t="s">
        <v>1085</v>
      </c>
      <c r="M153" t="s">
        <v>920</v>
      </c>
      <c r="N153" s="24">
        <v>46032</v>
      </c>
      <c r="O153" t="s">
        <v>748</v>
      </c>
      <c r="P153" t="s">
        <v>38</v>
      </c>
      <c r="R153" t="s">
        <v>77</v>
      </c>
      <c r="S153">
        <v>5.09</v>
      </c>
      <c r="T153">
        <v>35</v>
      </c>
      <c r="U153">
        <v>80.260000000000005</v>
      </c>
      <c r="V153" t="s">
        <v>750</v>
      </c>
    </row>
    <row r="154" spans="3:22" hidden="1" x14ac:dyDescent="0.25">
      <c r="C154" t="s">
        <v>878</v>
      </c>
      <c r="D154">
        <v>6</v>
      </c>
      <c r="E154">
        <v>-80.260000000000005</v>
      </c>
      <c r="F154" t="s">
        <v>867</v>
      </c>
      <c r="K154" t="s">
        <v>1118</v>
      </c>
      <c r="L154" t="s">
        <v>1085</v>
      </c>
      <c r="M154" t="s">
        <v>920</v>
      </c>
      <c r="N154" s="24">
        <v>46032</v>
      </c>
      <c r="O154" t="s">
        <v>748</v>
      </c>
      <c r="P154" t="s">
        <v>38</v>
      </c>
      <c r="R154" t="s">
        <v>77</v>
      </c>
    </row>
    <row r="155" spans="3:22" hidden="1" x14ac:dyDescent="0.25">
      <c r="C155" t="s">
        <v>880</v>
      </c>
      <c r="D155" t="s">
        <v>881</v>
      </c>
      <c r="E155">
        <v>1</v>
      </c>
      <c r="F155" t="s">
        <v>865</v>
      </c>
      <c r="K155" t="s">
        <v>982</v>
      </c>
      <c r="L155" t="s">
        <v>1085</v>
      </c>
      <c r="M155" t="s">
        <v>920</v>
      </c>
      <c r="N155" s="24">
        <v>46032</v>
      </c>
      <c r="O155" t="s">
        <v>748</v>
      </c>
      <c r="P155" t="s">
        <v>38</v>
      </c>
      <c r="R155" t="s">
        <v>77</v>
      </c>
      <c r="S155">
        <v>5.16</v>
      </c>
      <c r="T155">
        <v>25.14</v>
      </c>
      <c r="U155">
        <v>80.260000000000005</v>
      </c>
      <c r="V155" t="s">
        <v>750</v>
      </c>
    </row>
    <row r="156" spans="3:22" hidden="1" x14ac:dyDescent="0.25">
      <c r="C156" t="s">
        <v>878</v>
      </c>
      <c r="D156">
        <v>6</v>
      </c>
      <c r="E156">
        <v>-80.260000000000005</v>
      </c>
      <c r="F156" t="s">
        <v>867</v>
      </c>
      <c r="K156" t="s">
        <v>1119</v>
      </c>
      <c r="L156" t="s">
        <v>1085</v>
      </c>
      <c r="M156" t="s">
        <v>920</v>
      </c>
      <c r="N156" s="24">
        <v>46032</v>
      </c>
      <c r="O156" t="s">
        <v>748</v>
      </c>
      <c r="P156" t="s">
        <v>38</v>
      </c>
      <c r="R156" t="s">
        <v>77</v>
      </c>
    </row>
    <row r="157" spans="3:22" hidden="1" x14ac:dyDescent="0.25">
      <c r="C157" t="s">
        <v>880</v>
      </c>
      <c r="D157" t="s">
        <v>881</v>
      </c>
      <c r="E157">
        <v>1</v>
      </c>
      <c r="F157" t="s">
        <v>865</v>
      </c>
      <c r="K157" t="s">
        <v>984</v>
      </c>
      <c r="L157" t="s">
        <v>1085</v>
      </c>
      <c r="M157" t="s">
        <v>920</v>
      </c>
      <c r="N157" s="24">
        <v>46032</v>
      </c>
      <c r="O157" t="s">
        <v>748</v>
      </c>
      <c r="P157" t="s">
        <v>38</v>
      </c>
      <c r="R157" t="s">
        <v>77</v>
      </c>
      <c r="S157">
        <v>5.41</v>
      </c>
      <c r="T157">
        <v>69.19</v>
      </c>
      <c r="U157">
        <v>0</v>
      </c>
      <c r="V157" t="s">
        <v>750</v>
      </c>
    </row>
    <row r="158" spans="3:22" hidden="1" x14ac:dyDescent="0.25">
      <c r="C158" t="s">
        <v>878</v>
      </c>
      <c r="D158">
        <v>6</v>
      </c>
      <c r="E158">
        <v>446.86</v>
      </c>
      <c r="F158" t="s">
        <v>867</v>
      </c>
      <c r="K158" t="s">
        <v>988</v>
      </c>
      <c r="L158" t="s">
        <v>1085</v>
      </c>
      <c r="M158" t="s">
        <v>920</v>
      </c>
      <c r="N158" s="24">
        <v>46032</v>
      </c>
      <c r="O158" t="s">
        <v>748</v>
      </c>
      <c r="P158" t="s">
        <v>38</v>
      </c>
      <c r="R158" t="s">
        <v>77</v>
      </c>
      <c r="S158">
        <v>2.4</v>
      </c>
      <c r="T158">
        <v>17.420000000000002</v>
      </c>
      <c r="U158">
        <v>83.87</v>
      </c>
      <c r="V158" t="s">
        <v>1087</v>
      </c>
    </row>
    <row r="159" spans="3:22" hidden="1" x14ac:dyDescent="0.25">
      <c r="C159" t="s">
        <v>878</v>
      </c>
      <c r="D159">
        <v>6</v>
      </c>
      <c r="E159">
        <v>-83.87</v>
      </c>
      <c r="F159" t="s">
        <v>867</v>
      </c>
      <c r="K159" t="s">
        <v>1120</v>
      </c>
      <c r="L159" t="s">
        <v>1085</v>
      </c>
      <c r="M159" t="s">
        <v>920</v>
      </c>
      <c r="N159" s="24">
        <v>46032</v>
      </c>
      <c r="O159" t="s">
        <v>748</v>
      </c>
      <c r="P159" t="s">
        <v>38</v>
      </c>
      <c r="R159" t="s">
        <v>77</v>
      </c>
    </row>
    <row r="160" spans="3:22" hidden="1" x14ac:dyDescent="0.25">
      <c r="C160" t="s">
        <v>899</v>
      </c>
      <c r="D160" t="s">
        <v>900</v>
      </c>
      <c r="E160">
        <v>1</v>
      </c>
      <c r="F160" t="s">
        <v>865</v>
      </c>
      <c r="K160" t="s">
        <v>990</v>
      </c>
      <c r="L160" t="s">
        <v>1085</v>
      </c>
      <c r="M160" t="s">
        <v>920</v>
      </c>
      <c r="N160" s="24">
        <v>46032</v>
      </c>
      <c r="O160" t="s">
        <v>748</v>
      </c>
      <c r="P160" t="s">
        <v>38</v>
      </c>
      <c r="R160" t="s">
        <v>77</v>
      </c>
      <c r="S160">
        <v>10.15</v>
      </c>
      <c r="T160">
        <v>46.52</v>
      </c>
      <c r="U160">
        <v>0</v>
      </c>
      <c r="V160" t="s">
        <v>751</v>
      </c>
    </row>
    <row r="161" spans="3:22" hidden="1" x14ac:dyDescent="0.25">
      <c r="C161" t="s">
        <v>899</v>
      </c>
      <c r="D161" t="s">
        <v>900</v>
      </c>
      <c r="E161">
        <v>1</v>
      </c>
      <c r="F161" t="s">
        <v>865</v>
      </c>
      <c r="K161" t="s">
        <v>992</v>
      </c>
      <c r="L161" t="s">
        <v>1085</v>
      </c>
      <c r="M161" t="s">
        <v>920</v>
      </c>
      <c r="N161" s="24">
        <v>46032</v>
      </c>
      <c r="O161" t="s">
        <v>748</v>
      </c>
      <c r="P161" t="s">
        <v>38</v>
      </c>
      <c r="R161" t="s">
        <v>77</v>
      </c>
      <c r="S161">
        <v>9.9600000000000009</v>
      </c>
      <c r="T161">
        <v>74.569999999999993</v>
      </c>
      <c r="U161">
        <v>0</v>
      </c>
      <c r="V161" t="s">
        <v>751</v>
      </c>
    </row>
    <row r="162" spans="3:22" hidden="1" x14ac:dyDescent="0.25">
      <c r="C162" t="s">
        <v>899</v>
      </c>
      <c r="D162" t="s">
        <v>900</v>
      </c>
      <c r="E162">
        <v>1</v>
      </c>
      <c r="F162" t="s">
        <v>865</v>
      </c>
      <c r="K162" t="s">
        <v>994</v>
      </c>
      <c r="L162" t="s">
        <v>1085</v>
      </c>
      <c r="M162" t="s">
        <v>920</v>
      </c>
      <c r="N162" s="24">
        <v>46032</v>
      </c>
      <c r="O162" t="s">
        <v>748</v>
      </c>
      <c r="P162" t="s">
        <v>38</v>
      </c>
      <c r="R162" t="s">
        <v>77</v>
      </c>
      <c r="S162">
        <v>9.9600000000000009</v>
      </c>
      <c r="T162">
        <v>74.790000000000006</v>
      </c>
      <c r="U162">
        <v>0</v>
      </c>
      <c r="V162" t="s">
        <v>751</v>
      </c>
    </row>
    <row r="163" spans="3:22" hidden="1" x14ac:dyDescent="0.25">
      <c r="C163" t="s">
        <v>899</v>
      </c>
      <c r="D163" t="s">
        <v>900</v>
      </c>
      <c r="E163">
        <v>1</v>
      </c>
      <c r="F163" t="s">
        <v>865</v>
      </c>
      <c r="K163" t="s">
        <v>996</v>
      </c>
      <c r="L163" t="s">
        <v>1085</v>
      </c>
      <c r="M163" t="s">
        <v>920</v>
      </c>
      <c r="N163" s="24">
        <v>46032</v>
      </c>
      <c r="O163" t="s">
        <v>748</v>
      </c>
      <c r="P163" t="s">
        <v>38</v>
      </c>
      <c r="R163" t="s">
        <v>77</v>
      </c>
      <c r="S163">
        <v>9.77</v>
      </c>
      <c r="T163">
        <v>101.16</v>
      </c>
      <c r="U163">
        <v>0</v>
      </c>
      <c r="V163" t="s">
        <v>751</v>
      </c>
    </row>
    <row r="164" spans="3:22" hidden="1" x14ac:dyDescent="0.25">
      <c r="C164" t="s">
        <v>899</v>
      </c>
      <c r="D164" t="s">
        <v>900</v>
      </c>
      <c r="E164">
        <v>1</v>
      </c>
      <c r="F164" t="s">
        <v>865</v>
      </c>
      <c r="K164" t="s">
        <v>998</v>
      </c>
      <c r="L164" t="s">
        <v>1085</v>
      </c>
      <c r="M164" t="s">
        <v>920</v>
      </c>
      <c r="N164" s="24">
        <v>46032</v>
      </c>
      <c r="O164" t="s">
        <v>748</v>
      </c>
      <c r="P164" t="s">
        <v>38</v>
      </c>
      <c r="R164" t="s">
        <v>77</v>
      </c>
      <c r="S164">
        <v>9.7799999999999994</v>
      </c>
      <c r="T164">
        <v>99.77</v>
      </c>
      <c r="U164">
        <v>0</v>
      </c>
      <c r="V164" t="s">
        <v>751</v>
      </c>
    </row>
    <row r="165" spans="3:22" hidden="1" x14ac:dyDescent="0.25">
      <c r="C165" t="s">
        <v>899</v>
      </c>
      <c r="D165" t="s">
        <v>900</v>
      </c>
      <c r="E165">
        <v>1</v>
      </c>
      <c r="F165" t="s">
        <v>865</v>
      </c>
      <c r="K165" t="s">
        <v>1000</v>
      </c>
      <c r="L165" t="s">
        <v>1085</v>
      </c>
      <c r="M165" t="s">
        <v>920</v>
      </c>
      <c r="N165" s="24">
        <v>46032</v>
      </c>
      <c r="O165" t="s">
        <v>748</v>
      </c>
      <c r="P165" t="s">
        <v>38</v>
      </c>
      <c r="R165" t="s">
        <v>77</v>
      </c>
      <c r="S165">
        <v>9.89</v>
      </c>
      <c r="T165">
        <v>85.03</v>
      </c>
      <c r="U165">
        <v>0</v>
      </c>
      <c r="V165" t="s">
        <v>751</v>
      </c>
    </row>
    <row r="166" spans="3:22" hidden="1" x14ac:dyDescent="0.25">
      <c r="C166" t="s">
        <v>899</v>
      </c>
      <c r="D166" t="s">
        <v>900</v>
      </c>
      <c r="E166">
        <v>1</v>
      </c>
      <c r="F166" t="s">
        <v>865</v>
      </c>
      <c r="K166" t="s">
        <v>1002</v>
      </c>
      <c r="L166" t="s">
        <v>1085</v>
      </c>
      <c r="M166" t="s">
        <v>920</v>
      </c>
      <c r="N166" s="24">
        <v>46032</v>
      </c>
      <c r="O166" t="s">
        <v>748</v>
      </c>
      <c r="P166" t="s">
        <v>38</v>
      </c>
      <c r="R166" t="s">
        <v>77</v>
      </c>
      <c r="S166">
        <v>9.9499999999999993</v>
      </c>
      <c r="T166">
        <v>75.239999999999995</v>
      </c>
      <c r="U166">
        <v>0</v>
      </c>
      <c r="V166" t="s">
        <v>751</v>
      </c>
    </row>
    <row r="167" spans="3:22" hidden="1" x14ac:dyDescent="0.25">
      <c r="C167" t="s">
        <v>899</v>
      </c>
      <c r="D167" t="s">
        <v>900</v>
      </c>
      <c r="E167">
        <v>1</v>
      </c>
      <c r="F167" t="s">
        <v>865</v>
      </c>
      <c r="K167" t="s">
        <v>1004</v>
      </c>
      <c r="L167" t="s">
        <v>1085</v>
      </c>
      <c r="M167" t="s">
        <v>920</v>
      </c>
      <c r="N167" s="24">
        <v>46032</v>
      </c>
      <c r="O167" t="s">
        <v>748</v>
      </c>
      <c r="P167" t="s">
        <v>38</v>
      </c>
      <c r="R167" t="s">
        <v>77</v>
      </c>
      <c r="S167">
        <v>10.14</v>
      </c>
      <c r="T167">
        <v>48.35</v>
      </c>
      <c r="U167">
        <v>0</v>
      </c>
      <c r="V167" t="s">
        <v>751</v>
      </c>
    </row>
    <row r="168" spans="3:22" hidden="1" x14ac:dyDescent="0.25">
      <c r="C168" t="s">
        <v>899</v>
      </c>
      <c r="D168" t="s">
        <v>900</v>
      </c>
      <c r="E168">
        <v>1</v>
      </c>
      <c r="F168" t="s">
        <v>865</v>
      </c>
      <c r="K168" t="s">
        <v>1006</v>
      </c>
      <c r="L168" t="s">
        <v>1085</v>
      </c>
      <c r="M168" t="s">
        <v>920</v>
      </c>
      <c r="N168" s="24">
        <v>46032</v>
      </c>
      <c r="O168" t="s">
        <v>748</v>
      </c>
      <c r="P168" t="s">
        <v>38</v>
      </c>
      <c r="R168" t="s">
        <v>77</v>
      </c>
      <c r="S168">
        <v>10.039999999999999</v>
      </c>
      <c r="T168">
        <v>62.3</v>
      </c>
      <c r="U168">
        <v>0</v>
      </c>
      <c r="V168" t="s">
        <v>751</v>
      </c>
    </row>
    <row r="169" spans="3:22" hidden="1" x14ac:dyDescent="0.25">
      <c r="C169" t="s">
        <v>899</v>
      </c>
      <c r="D169" t="s">
        <v>900</v>
      </c>
      <c r="E169">
        <v>1</v>
      </c>
      <c r="F169" t="s">
        <v>865</v>
      </c>
      <c r="K169" t="s">
        <v>1008</v>
      </c>
      <c r="L169" t="s">
        <v>1085</v>
      </c>
      <c r="M169" t="s">
        <v>920</v>
      </c>
      <c r="N169" s="24">
        <v>46032</v>
      </c>
      <c r="O169" t="s">
        <v>748</v>
      </c>
      <c r="P169" t="s">
        <v>38</v>
      </c>
      <c r="R169" t="s">
        <v>77</v>
      </c>
      <c r="S169">
        <v>9.9700000000000006</v>
      </c>
      <c r="T169">
        <v>72.83</v>
      </c>
      <c r="U169">
        <v>0</v>
      </c>
      <c r="V169" t="s">
        <v>751</v>
      </c>
    </row>
    <row r="170" spans="3:22" hidden="1" x14ac:dyDescent="0.25">
      <c r="C170" t="s">
        <v>878</v>
      </c>
      <c r="D170">
        <v>8</v>
      </c>
      <c r="E170">
        <v>14.06</v>
      </c>
      <c r="F170" t="s">
        <v>867</v>
      </c>
      <c r="K170" t="s">
        <v>1010</v>
      </c>
      <c r="L170" t="s">
        <v>1085</v>
      </c>
      <c r="M170" t="s">
        <v>920</v>
      </c>
      <c r="N170" s="24">
        <v>46032</v>
      </c>
      <c r="O170" t="s">
        <v>748</v>
      </c>
      <c r="P170" t="s">
        <v>38</v>
      </c>
      <c r="R170" t="s">
        <v>77</v>
      </c>
      <c r="S170">
        <v>0.08</v>
      </c>
      <c r="T170">
        <v>2.99</v>
      </c>
      <c r="U170">
        <v>0</v>
      </c>
      <c r="V170" t="s">
        <v>752</v>
      </c>
    </row>
    <row r="171" spans="3:22" hidden="1" x14ac:dyDescent="0.25">
      <c r="C171" t="s">
        <v>901</v>
      </c>
      <c r="D171" t="s">
        <v>881</v>
      </c>
      <c r="E171">
        <v>1</v>
      </c>
      <c r="F171" t="s">
        <v>865</v>
      </c>
      <c r="K171" t="s">
        <v>1012</v>
      </c>
      <c r="L171" t="s">
        <v>1085</v>
      </c>
      <c r="M171" t="s">
        <v>920</v>
      </c>
      <c r="N171" s="24">
        <v>46032</v>
      </c>
      <c r="O171" t="s">
        <v>748</v>
      </c>
      <c r="P171" t="s">
        <v>38</v>
      </c>
      <c r="R171" t="s">
        <v>77</v>
      </c>
      <c r="S171">
        <v>9.6300000000000008</v>
      </c>
      <c r="T171">
        <v>28.06</v>
      </c>
      <c r="U171">
        <v>0</v>
      </c>
      <c r="V171" t="s">
        <v>753</v>
      </c>
    </row>
    <row r="172" spans="3:22" hidden="1" x14ac:dyDescent="0.25">
      <c r="C172" t="s">
        <v>901</v>
      </c>
      <c r="D172" t="s">
        <v>881</v>
      </c>
      <c r="E172">
        <v>1</v>
      </c>
      <c r="F172" t="s">
        <v>865</v>
      </c>
      <c r="K172" t="s">
        <v>1014</v>
      </c>
      <c r="L172" t="s">
        <v>1085</v>
      </c>
      <c r="M172" t="s">
        <v>920</v>
      </c>
      <c r="N172" s="24">
        <v>46032</v>
      </c>
      <c r="O172" t="s">
        <v>748</v>
      </c>
      <c r="P172" t="s">
        <v>38</v>
      </c>
      <c r="R172" t="s">
        <v>77</v>
      </c>
      <c r="S172">
        <v>9.6300000000000008</v>
      </c>
      <c r="T172">
        <v>28.06</v>
      </c>
      <c r="U172">
        <v>0</v>
      </c>
      <c r="V172" t="s">
        <v>753</v>
      </c>
    </row>
    <row r="173" spans="3:22" hidden="1" x14ac:dyDescent="0.25">
      <c r="C173" t="s">
        <v>901</v>
      </c>
      <c r="D173" t="s">
        <v>881</v>
      </c>
      <c r="E173">
        <v>1</v>
      </c>
      <c r="F173" t="s">
        <v>865</v>
      </c>
      <c r="K173" t="s">
        <v>1016</v>
      </c>
      <c r="L173" t="s">
        <v>1085</v>
      </c>
      <c r="M173" t="s">
        <v>920</v>
      </c>
      <c r="N173" s="24">
        <v>46032</v>
      </c>
      <c r="O173" t="s">
        <v>748</v>
      </c>
      <c r="P173" t="s">
        <v>38</v>
      </c>
      <c r="R173" t="s">
        <v>77</v>
      </c>
      <c r="S173">
        <v>9.6300000000000008</v>
      </c>
      <c r="T173">
        <v>28.05</v>
      </c>
      <c r="U173">
        <v>0</v>
      </c>
      <c r="V173" t="s">
        <v>753</v>
      </c>
    </row>
    <row r="174" spans="3:22" hidden="1" x14ac:dyDescent="0.25">
      <c r="C174" t="s">
        <v>901</v>
      </c>
      <c r="D174" t="s">
        <v>881</v>
      </c>
      <c r="E174">
        <v>1</v>
      </c>
      <c r="F174" t="s">
        <v>865</v>
      </c>
      <c r="K174" t="s">
        <v>1018</v>
      </c>
      <c r="L174" t="s">
        <v>1085</v>
      </c>
      <c r="M174" t="s">
        <v>920</v>
      </c>
      <c r="N174" s="24">
        <v>46032</v>
      </c>
      <c r="O174" t="s">
        <v>748</v>
      </c>
      <c r="P174" t="s">
        <v>38</v>
      </c>
      <c r="R174" t="s">
        <v>77</v>
      </c>
      <c r="S174">
        <v>9.56</v>
      </c>
      <c r="T174">
        <v>37.549999999999997</v>
      </c>
      <c r="U174">
        <v>0</v>
      </c>
      <c r="V174" t="s">
        <v>753</v>
      </c>
    </row>
    <row r="175" spans="3:22" hidden="1" x14ac:dyDescent="0.25">
      <c r="C175" t="s">
        <v>901</v>
      </c>
      <c r="D175" t="s">
        <v>881</v>
      </c>
      <c r="E175">
        <v>1</v>
      </c>
      <c r="F175" t="s">
        <v>865</v>
      </c>
      <c r="K175" t="s">
        <v>1020</v>
      </c>
      <c r="L175" t="s">
        <v>1085</v>
      </c>
      <c r="M175" t="s">
        <v>920</v>
      </c>
      <c r="N175" s="24">
        <v>46032</v>
      </c>
      <c r="O175" t="s">
        <v>748</v>
      </c>
      <c r="P175" t="s">
        <v>38</v>
      </c>
      <c r="R175" t="s">
        <v>77</v>
      </c>
      <c r="S175">
        <v>9.19</v>
      </c>
      <c r="T175">
        <v>90.67</v>
      </c>
      <c r="U175">
        <v>0</v>
      </c>
      <c r="V175" t="s">
        <v>753</v>
      </c>
    </row>
    <row r="176" spans="3:22" hidden="1" x14ac:dyDescent="0.25">
      <c r="C176" t="s">
        <v>901</v>
      </c>
      <c r="D176" t="s">
        <v>881</v>
      </c>
      <c r="E176">
        <v>1</v>
      </c>
      <c r="F176" t="s">
        <v>865</v>
      </c>
      <c r="K176" t="s">
        <v>1022</v>
      </c>
      <c r="L176" t="s">
        <v>1085</v>
      </c>
      <c r="M176" t="s">
        <v>920</v>
      </c>
      <c r="N176" s="24">
        <v>46032</v>
      </c>
      <c r="O176" t="s">
        <v>748</v>
      </c>
      <c r="P176" t="s">
        <v>38</v>
      </c>
      <c r="R176" t="s">
        <v>77</v>
      </c>
      <c r="S176">
        <v>9.3699999999999992</v>
      </c>
      <c r="T176">
        <v>65.03</v>
      </c>
      <c r="U176">
        <v>0</v>
      </c>
      <c r="V176" t="s">
        <v>753</v>
      </c>
    </row>
    <row r="177" spans="3:22" hidden="1" x14ac:dyDescent="0.25">
      <c r="C177" t="s">
        <v>901</v>
      </c>
      <c r="D177" t="s">
        <v>881</v>
      </c>
      <c r="E177">
        <v>1</v>
      </c>
      <c r="F177" t="s">
        <v>865</v>
      </c>
      <c r="K177" t="s">
        <v>1024</v>
      </c>
      <c r="L177" t="s">
        <v>1085</v>
      </c>
      <c r="M177" t="s">
        <v>920</v>
      </c>
      <c r="N177" s="24">
        <v>46032</v>
      </c>
      <c r="O177" t="s">
        <v>748</v>
      </c>
      <c r="P177" t="s">
        <v>38</v>
      </c>
      <c r="R177" t="s">
        <v>77</v>
      </c>
      <c r="S177">
        <v>9.3000000000000007</v>
      </c>
      <c r="T177">
        <v>75.78</v>
      </c>
      <c r="U177">
        <v>0</v>
      </c>
      <c r="V177" t="s">
        <v>753</v>
      </c>
    </row>
    <row r="178" spans="3:22" hidden="1" x14ac:dyDescent="0.25">
      <c r="C178" t="s">
        <v>901</v>
      </c>
      <c r="D178" t="s">
        <v>881</v>
      </c>
      <c r="E178">
        <v>1</v>
      </c>
      <c r="F178" t="s">
        <v>865</v>
      </c>
      <c r="K178" t="s">
        <v>1026</v>
      </c>
      <c r="L178" t="s">
        <v>1085</v>
      </c>
      <c r="M178" t="s">
        <v>920</v>
      </c>
      <c r="N178" s="24">
        <v>46032</v>
      </c>
      <c r="O178" t="s">
        <v>748</v>
      </c>
      <c r="P178" t="s">
        <v>38</v>
      </c>
      <c r="R178" t="s">
        <v>77</v>
      </c>
      <c r="S178">
        <v>9.3699999999999992</v>
      </c>
      <c r="T178">
        <v>64.81</v>
      </c>
      <c r="U178">
        <v>0</v>
      </c>
      <c r="V178" t="s">
        <v>753</v>
      </c>
    </row>
    <row r="179" spans="3:22" hidden="1" x14ac:dyDescent="0.25">
      <c r="C179" t="s">
        <v>901</v>
      </c>
      <c r="D179" t="s">
        <v>881</v>
      </c>
      <c r="E179">
        <v>1</v>
      </c>
      <c r="F179" t="s">
        <v>865</v>
      </c>
      <c r="K179" t="s">
        <v>1028</v>
      </c>
      <c r="L179" t="s">
        <v>1085</v>
      </c>
      <c r="M179" t="s">
        <v>920</v>
      </c>
      <c r="N179" s="24">
        <v>46032</v>
      </c>
      <c r="O179" t="s">
        <v>748</v>
      </c>
      <c r="P179" t="s">
        <v>38</v>
      </c>
      <c r="R179" t="s">
        <v>77</v>
      </c>
      <c r="S179">
        <v>9.4</v>
      </c>
      <c r="T179">
        <v>60.21</v>
      </c>
      <c r="U179">
        <v>0</v>
      </c>
      <c r="V179" t="s">
        <v>753</v>
      </c>
    </row>
    <row r="180" spans="3:22" hidden="1" x14ac:dyDescent="0.25">
      <c r="C180" t="s">
        <v>901</v>
      </c>
      <c r="D180" t="s">
        <v>881</v>
      </c>
      <c r="E180">
        <v>1</v>
      </c>
      <c r="F180" t="s">
        <v>865</v>
      </c>
      <c r="K180" t="s">
        <v>1030</v>
      </c>
      <c r="L180" t="s">
        <v>1085</v>
      </c>
      <c r="M180" t="s">
        <v>920</v>
      </c>
      <c r="N180" s="24">
        <v>46032</v>
      </c>
      <c r="O180" t="s">
        <v>748</v>
      </c>
      <c r="P180" t="s">
        <v>38</v>
      </c>
      <c r="R180" t="s">
        <v>77</v>
      </c>
      <c r="S180">
        <v>9.17</v>
      </c>
      <c r="T180">
        <v>94.48</v>
      </c>
      <c r="U180">
        <v>0</v>
      </c>
      <c r="V180" t="s">
        <v>753</v>
      </c>
    </row>
    <row r="181" spans="3:22" hidden="1" x14ac:dyDescent="0.25">
      <c r="C181" t="s">
        <v>878</v>
      </c>
      <c r="D181">
        <v>10</v>
      </c>
      <c r="E181">
        <v>1359.07</v>
      </c>
      <c r="F181" t="s">
        <v>867</v>
      </c>
      <c r="K181" t="s">
        <v>1034</v>
      </c>
      <c r="L181" t="s">
        <v>1085</v>
      </c>
      <c r="M181" t="s">
        <v>920</v>
      </c>
      <c r="N181" s="24">
        <v>46032</v>
      </c>
      <c r="O181" t="s">
        <v>748</v>
      </c>
      <c r="P181" t="s">
        <v>38</v>
      </c>
      <c r="R181" t="s">
        <v>77</v>
      </c>
      <c r="S181">
        <v>0.26</v>
      </c>
      <c r="T181">
        <v>17.21</v>
      </c>
      <c r="U181">
        <v>1305.1400000000001</v>
      </c>
      <c r="V181" t="s">
        <v>1088</v>
      </c>
    </row>
    <row r="182" spans="3:22" hidden="1" x14ac:dyDescent="0.25">
      <c r="C182" t="s">
        <v>878</v>
      </c>
      <c r="D182">
        <v>10</v>
      </c>
      <c r="E182">
        <v>-1305.1400000000001</v>
      </c>
      <c r="F182" t="s">
        <v>867</v>
      </c>
      <c r="K182" t="s">
        <v>1121</v>
      </c>
      <c r="L182" t="s">
        <v>1085</v>
      </c>
      <c r="M182" t="s">
        <v>920</v>
      </c>
      <c r="N182" s="24">
        <v>46032</v>
      </c>
      <c r="O182" t="s">
        <v>748</v>
      </c>
      <c r="P182" t="s">
        <v>38</v>
      </c>
      <c r="R182" t="s">
        <v>77</v>
      </c>
    </row>
    <row r="183" spans="3:22" hidden="1" x14ac:dyDescent="0.25">
      <c r="C183" t="s">
        <v>903</v>
      </c>
      <c r="D183" t="s">
        <v>881</v>
      </c>
      <c r="E183">
        <v>1</v>
      </c>
      <c r="F183" t="s">
        <v>865</v>
      </c>
      <c r="K183" t="s">
        <v>1036</v>
      </c>
      <c r="L183" t="s">
        <v>1085</v>
      </c>
      <c r="M183" t="s">
        <v>920</v>
      </c>
      <c r="N183" s="24">
        <v>46032</v>
      </c>
      <c r="O183" t="s">
        <v>748</v>
      </c>
      <c r="P183" t="s">
        <v>38</v>
      </c>
      <c r="R183" t="s">
        <v>77</v>
      </c>
      <c r="S183">
        <v>10.44</v>
      </c>
      <c r="T183">
        <v>23.48</v>
      </c>
      <c r="U183">
        <v>169.54</v>
      </c>
      <c r="V183" t="s">
        <v>754</v>
      </c>
    </row>
    <row r="184" spans="3:22" hidden="1" x14ac:dyDescent="0.25">
      <c r="C184" t="s">
        <v>878</v>
      </c>
      <c r="D184">
        <v>12</v>
      </c>
      <c r="E184">
        <v>-169.54</v>
      </c>
      <c r="F184" t="s">
        <v>867</v>
      </c>
      <c r="K184" t="s">
        <v>1122</v>
      </c>
      <c r="L184" t="s">
        <v>1085</v>
      </c>
      <c r="M184" t="s">
        <v>920</v>
      </c>
      <c r="N184" s="24">
        <v>46032</v>
      </c>
      <c r="O184" t="s">
        <v>748</v>
      </c>
      <c r="P184" t="s">
        <v>38</v>
      </c>
      <c r="R184" t="s">
        <v>77</v>
      </c>
    </row>
    <row r="185" spans="3:22" hidden="1" x14ac:dyDescent="0.25">
      <c r="C185" t="s">
        <v>903</v>
      </c>
      <c r="D185" t="s">
        <v>881</v>
      </c>
      <c r="E185">
        <v>1</v>
      </c>
      <c r="F185" t="s">
        <v>865</v>
      </c>
      <c r="K185" t="s">
        <v>1038</v>
      </c>
      <c r="L185" t="s">
        <v>1085</v>
      </c>
      <c r="M185" t="s">
        <v>920</v>
      </c>
      <c r="N185" s="24">
        <v>46032</v>
      </c>
      <c r="O185" t="s">
        <v>748</v>
      </c>
      <c r="P185" t="s">
        <v>38</v>
      </c>
      <c r="R185" t="s">
        <v>77</v>
      </c>
      <c r="S185">
        <v>10.44</v>
      </c>
      <c r="T185">
        <v>24.38</v>
      </c>
      <c r="U185">
        <v>169.55</v>
      </c>
      <c r="V185" t="s">
        <v>754</v>
      </c>
    </row>
    <row r="186" spans="3:22" hidden="1" x14ac:dyDescent="0.25">
      <c r="C186" t="s">
        <v>878</v>
      </c>
      <c r="D186">
        <v>12</v>
      </c>
      <c r="E186">
        <v>-169.55</v>
      </c>
      <c r="F186" t="s">
        <v>867</v>
      </c>
      <c r="K186" t="s">
        <v>1123</v>
      </c>
      <c r="L186" t="s">
        <v>1085</v>
      </c>
      <c r="M186" t="s">
        <v>920</v>
      </c>
      <c r="N186" s="24">
        <v>46032</v>
      </c>
      <c r="O186" t="s">
        <v>748</v>
      </c>
      <c r="P186" t="s">
        <v>38</v>
      </c>
      <c r="R186" t="s">
        <v>77</v>
      </c>
    </row>
    <row r="187" spans="3:22" hidden="1" x14ac:dyDescent="0.25">
      <c r="C187" t="s">
        <v>903</v>
      </c>
      <c r="D187" t="s">
        <v>881</v>
      </c>
      <c r="E187">
        <v>1</v>
      </c>
      <c r="F187" t="s">
        <v>865</v>
      </c>
      <c r="K187" t="s">
        <v>1040</v>
      </c>
      <c r="L187" t="s">
        <v>1085</v>
      </c>
      <c r="M187" t="s">
        <v>920</v>
      </c>
      <c r="N187" s="24">
        <v>46032</v>
      </c>
      <c r="O187" t="s">
        <v>748</v>
      </c>
      <c r="P187" t="s">
        <v>38</v>
      </c>
      <c r="R187" t="s">
        <v>77</v>
      </c>
      <c r="S187">
        <v>6.58</v>
      </c>
      <c r="T187">
        <v>20.13</v>
      </c>
      <c r="U187">
        <v>728.5</v>
      </c>
      <c r="V187" t="s">
        <v>754</v>
      </c>
    </row>
    <row r="188" spans="3:22" hidden="1" x14ac:dyDescent="0.25">
      <c r="C188" t="s">
        <v>878</v>
      </c>
      <c r="D188">
        <v>12</v>
      </c>
      <c r="E188">
        <v>-728.5</v>
      </c>
      <c r="F188" t="s">
        <v>867</v>
      </c>
      <c r="K188" t="s">
        <v>1124</v>
      </c>
      <c r="L188" t="s">
        <v>1085</v>
      </c>
      <c r="M188" t="s">
        <v>920</v>
      </c>
      <c r="N188" s="24">
        <v>46032</v>
      </c>
      <c r="O188" t="s">
        <v>748</v>
      </c>
      <c r="P188" t="s">
        <v>38</v>
      </c>
      <c r="R188" t="s">
        <v>77</v>
      </c>
    </row>
    <row r="189" spans="3:22" hidden="1" x14ac:dyDescent="0.25">
      <c r="C189" t="s">
        <v>903</v>
      </c>
      <c r="D189" t="s">
        <v>881</v>
      </c>
      <c r="E189">
        <v>1</v>
      </c>
      <c r="F189" t="s">
        <v>865</v>
      </c>
      <c r="K189" t="s">
        <v>1042</v>
      </c>
      <c r="L189" t="s">
        <v>1085</v>
      </c>
      <c r="M189" t="s">
        <v>920</v>
      </c>
      <c r="N189" s="24">
        <v>46032</v>
      </c>
      <c r="O189" t="s">
        <v>748</v>
      </c>
      <c r="P189" t="s">
        <v>38</v>
      </c>
      <c r="R189" t="s">
        <v>77</v>
      </c>
      <c r="S189">
        <v>10.44</v>
      </c>
      <c r="T189">
        <v>24.42</v>
      </c>
      <c r="U189">
        <v>169.56</v>
      </c>
      <c r="V189" t="s">
        <v>754</v>
      </c>
    </row>
    <row r="190" spans="3:22" hidden="1" x14ac:dyDescent="0.25">
      <c r="C190" t="s">
        <v>878</v>
      </c>
      <c r="D190">
        <v>12</v>
      </c>
      <c r="E190">
        <v>-169.56</v>
      </c>
      <c r="F190" t="s">
        <v>867</v>
      </c>
      <c r="K190" t="s">
        <v>1125</v>
      </c>
      <c r="L190" t="s">
        <v>1085</v>
      </c>
      <c r="M190" t="s">
        <v>920</v>
      </c>
      <c r="N190" s="24">
        <v>46032</v>
      </c>
      <c r="O190" t="s">
        <v>748</v>
      </c>
      <c r="P190" t="s">
        <v>38</v>
      </c>
      <c r="R190" t="s">
        <v>77</v>
      </c>
    </row>
    <row r="191" spans="3:22" hidden="1" x14ac:dyDescent="0.25">
      <c r="C191" t="s">
        <v>903</v>
      </c>
      <c r="D191" t="s">
        <v>881</v>
      </c>
      <c r="E191">
        <v>1</v>
      </c>
      <c r="F191" t="s">
        <v>865</v>
      </c>
      <c r="K191" t="s">
        <v>1044</v>
      </c>
      <c r="L191" t="s">
        <v>1085</v>
      </c>
      <c r="M191" t="s">
        <v>920</v>
      </c>
      <c r="N191" s="24">
        <v>46032</v>
      </c>
      <c r="O191" t="s">
        <v>748</v>
      </c>
      <c r="P191" t="s">
        <v>38</v>
      </c>
      <c r="R191" t="s">
        <v>77</v>
      </c>
      <c r="S191">
        <v>10.44</v>
      </c>
      <c r="T191">
        <v>24.6</v>
      </c>
      <c r="U191">
        <v>169.56</v>
      </c>
      <c r="V191" t="s">
        <v>754</v>
      </c>
    </row>
    <row r="192" spans="3:22" hidden="1" x14ac:dyDescent="0.25">
      <c r="C192" t="s">
        <v>878</v>
      </c>
      <c r="D192">
        <v>12</v>
      </c>
      <c r="E192">
        <v>-169.56</v>
      </c>
      <c r="F192" t="s">
        <v>867</v>
      </c>
      <c r="K192" t="s">
        <v>1126</v>
      </c>
      <c r="L192" t="s">
        <v>1085</v>
      </c>
      <c r="M192" t="s">
        <v>920</v>
      </c>
      <c r="N192" s="24">
        <v>46032</v>
      </c>
      <c r="O192" t="s">
        <v>748</v>
      </c>
      <c r="P192" t="s">
        <v>38</v>
      </c>
      <c r="R192" t="s">
        <v>77</v>
      </c>
    </row>
    <row r="193" spans="3:22" hidden="1" x14ac:dyDescent="0.25">
      <c r="C193" t="s">
        <v>878</v>
      </c>
      <c r="D193">
        <v>12</v>
      </c>
      <c r="E193">
        <v>1373.29</v>
      </c>
      <c r="F193" t="s">
        <v>867</v>
      </c>
      <c r="K193" t="s">
        <v>1047</v>
      </c>
      <c r="L193" t="s">
        <v>1085</v>
      </c>
      <c r="M193" t="s">
        <v>920</v>
      </c>
      <c r="N193" s="24">
        <v>46032</v>
      </c>
      <c r="O193" t="s">
        <v>748</v>
      </c>
      <c r="P193" t="s">
        <v>38</v>
      </c>
      <c r="R193" t="s">
        <v>77</v>
      </c>
      <c r="S193">
        <v>2.19</v>
      </c>
      <c r="T193">
        <v>2.33</v>
      </c>
      <c r="U193">
        <v>1055.26</v>
      </c>
      <c r="V193" t="s">
        <v>754</v>
      </c>
    </row>
    <row r="194" spans="3:22" hidden="1" x14ac:dyDescent="0.25">
      <c r="C194" t="s">
        <v>878</v>
      </c>
      <c r="D194">
        <v>12</v>
      </c>
      <c r="E194">
        <v>-1055.26</v>
      </c>
      <c r="F194" t="s">
        <v>867</v>
      </c>
      <c r="K194" t="s">
        <v>1127</v>
      </c>
      <c r="L194" t="s">
        <v>1085</v>
      </c>
      <c r="M194" t="s">
        <v>920</v>
      </c>
      <c r="N194" s="24">
        <v>46032</v>
      </c>
      <c r="O194" t="s">
        <v>748</v>
      </c>
      <c r="P194" t="s">
        <v>38</v>
      </c>
      <c r="R194" t="s">
        <v>77</v>
      </c>
    </row>
    <row r="195" spans="3:22" hidden="1" x14ac:dyDescent="0.25">
      <c r="C195" t="s">
        <v>910</v>
      </c>
      <c r="D195" t="s">
        <v>900</v>
      </c>
      <c r="E195">
        <v>1</v>
      </c>
      <c r="F195" t="s">
        <v>865</v>
      </c>
      <c r="K195" t="s">
        <v>1049</v>
      </c>
      <c r="L195" t="s">
        <v>1085</v>
      </c>
      <c r="M195" t="s">
        <v>920</v>
      </c>
      <c r="N195" s="24">
        <v>46032</v>
      </c>
      <c r="O195" t="s">
        <v>748</v>
      </c>
      <c r="P195" t="s">
        <v>38</v>
      </c>
      <c r="R195" t="s">
        <v>77</v>
      </c>
      <c r="S195">
        <v>20.12</v>
      </c>
      <c r="T195">
        <v>120.3</v>
      </c>
      <c r="U195">
        <v>0</v>
      </c>
      <c r="V195" t="s">
        <v>755</v>
      </c>
    </row>
    <row r="196" spans="3:22" hidden="1" x14ac:dyDescent="0.25">
      <c r="C196" t="s">
        <v>910</v>
      </c>
      <c r="D196" t="s">
        <v>900</v>
      </c>
      <c r="E196">
        <v>1</v>
      </c>
      <c r="F196" t="s">
        <v>865</v>
      </c>
      <c r="K196" t="s">
        <v>1051</v>
      </c>
      <c r="L196" t="s">
        <v>1085</v>
      </c>
      <c r="M196" t="s">
        <v>920</v>
      </c>
      <c r="N196" s="24">
        <v>46032</v>
      </c>
      <c r="O196" t="s">
        <v>748</v>
      </c>
      <c r="P196" t="s">
        <v>38</v>
      </c>
      <c r="R196" t="s">
        <v>77</v>
      </c>
      <c r="S196">
        <v>20.3</v>
      </c>
      <c r="T196">
        <v>94.27</v>
      </c>
      <c r="U196">
        <v>0</v>
      </c>
      <c r="V196" t="s">
        <v>755</v>
      </c>
    </row>
    <row r="197" spans="3:22" hidden="1" x14ac:dyDescent="0.25">
      <c r="C197" t="s">
        <v>878</v>
      </c>
      <c r="D197">
        <v>16</v>
      </c>
      <c r="E197">
        <v>2437.98</v>
      </c>
      <c r="F197" t="s">
        <v>867</v>
      </c>
      <c r="K197" t="s">
        <v>1055</v>
      </c>
      <c r="L197" t="s">
        <v>1085</v>
      </c>
      <c r="M197" t="s">
        <v>920</v>
      </c>
      <c r="N197" s="24">
        <v>46032</v>
      </c>
      <c r="O197" t="s">
        <v>748</v>
      </c>
      <c r="P197" t="s">
        <v>38</v>
      </c>
      <c r="R197" t="s">
        <v>77</v>
      </c>
      <c r="S197">
        <v>3.84</v>
      </c>
      <c r="T197">
        <v>35.79</v>
      </c>
      <c r="U197">
        <v>1850.26</v>
      </c>
      <c r="V197" t="s">
        <v>1089</v>
      </c>
    </row>
    <row r="198" spans="3:22" hidden="1" x14ac:dyDescent="0.25">
      <c r="C198" t="s">
        <v>878</v>
      </c>
      <c r="D198">
        <v>16</v>
      </c>
      <c r="E198">
        <v>-1850.26</v>
      </c>
      <c r="F198" t="s">
        <v>867</v>
      </c>
      <c r="K198" t="s">
        <v>1128</v>
      </c>
      <c r="L198" t="s">
        <v>1085</v>
      </c>
      <c r="M198" t="s">
        <v>920</v>
      </c>
      <c r="N198" s="24">
        <v>46032</v>
      </c>
      <c r="O198" t="s">
        <v>748</v>
      </c>
      <c r="P198" t="s">
        <v>38</v>
      </c>
      <c r="R198" t="s">
        <v>77</v>
      </c>
    </row>
    <row r="199" spans="3:22" hidden="1" x14ac:dyDescent="0.25">
      <c r="C199" t="s">
        <v>912</v>
      </c>
      <c r="D199" t="s">
        <v>900</v>
      </c>
      <c r="E199">
        <v>1</v>
      </c>
      <c r="F199" t="s">
        <v>865</v>
      </c>
      <c r="K199" t="s">
        <v>1057</v>
      </c>
      <c r="L199" t="s">
        <v>1085</v>
      </c>
      <c r="M199" t="s">
        <v>920</v>
      </c>
      <c r="N199" s="24">
        <v>46032</v>
      </c>
      <c r="O199" t="s">
        <v>748</v>
      </c>
      <c r="P199" t="s">
        <v>38</v>
      </c>
      <c r="R199" t="s">
        <v>77</v>
      </c>
      <c r="S199">
        <v>21.86</v>
      </c>
      <c r="T199">
        <v>432.41</v>
      </c>
      <c r="U199">
        <v>190.54</v>
      </c>
      <c r="V199" t="s">
        <v>756</v>
      </c>
    </row>
    <row r="200" spans="3:22" hidden="1" x14ac:dyDescent="0.25">
      <c r="C200" t="s">
        <v>878</v>
      </c>
      <c r="D200">
        <v>20</v>
      </c>
      <c r="E200">
        <v>-190.54</v>
      </c>
      <c r="F200" t="s">
        <v>867</v>
      </c>
      <c r="K200" t="s">
        <v>1129</v>
      </c>
      <c r="L200" t="s">
        <v>1085</v>
      </c>
      <c r="M200" t="s">
        <v>920</v>
      </c>
      <c r="N200" s="24">
        <v>46032</v>
      </c>
      <c r="O200" t="s">
        <v>748</v>
      </c>
      <c r="P200" t="s">
        <v>38</v>
      </c>
      <c r="R200" t="s">
        <v>77</v>
      </c>
    </row>
    <row r="201" spans="3:22" hidden="1" x14ac:dyDescent="0.25">
      <c r="C201" t="s">
        <v>878</v>
      </c>
      <c r="D201">
        <v>20</v>
      </c>
      <c r="E201">
        <v>105.48</v>
      </c>
      <c r="F201" t="s">
        <v>867</v>
      </c>
      <c r="K201" t="s">
        <v>1063</v>
      </c>
      <c r="L201" t="s">
        <v>1085</v>
      </c>
      <c r="M201" t="s">
        <v>920</v>
      </c>
      <c r="N201" s="24">
        <v>46032</v>
      </c>
      <c r="O201" t="s">
        <v>748</v>
      </c>
      <c r="P201" t="s">
        <v>38</v>
      </c>
      <c r="R201" t="s">
        <v>77</v>
      </c>
      <c r="S201">
        <v>0.63</v>
      </c>
      <c r="T201">
        <v>14.93</v>
      </c>
      <c r="U201">
        <v>0</v>
      </c>
      <c r="V201" t="s">
        <v>1090</v>
      </c>
    </row>
    <row r="202" spans="3:22" hidden="1" x14ac:dyDescent="0.25">
      <c r="C202" t="s">
        <v>878</v>
      </c>
      <c r="D202">
        <v>25</v>
      </c>
      <c r="E202">
        <v>1852.47</v>
      </c>
      <c r="F202" t="s">
        <v>867</v>
      </c>
      <c r="K202" t="s">
        <v>1067</v>
      </c>
      <c r="L202" t="s">
        <v>1085</v>
      </c>
      <c r="M202" t="s">
        <v>920</v>
      </c>
      <c r="N202" s="24">
        <v>46032</v>
      </c>
      <c r="O202" t="s">
        <v>748</v>
      </c>
      <c r="P202" t="s">
        <v>38</v>
      </c>
      <c r="R202" t="s">
        <v>77</v>
      </c>
      <c r="S202">
        <v>11.29</v>
      </c>
      <c r="T202">
        <v>227.66</v>
      </c>
      <c r="U202">
        <v>0</v>
      </c>
      <c r="V202" t="s">
        <v>1091</v>
      </c>
    </row>
    <row r="203" spans="3:22" hidden="1" x14ac:dyDescent="0.25">
      <c r="C203" t="s">
        <v>914</v>
      </c>
      <c r="D203" t="s">
        <v>900</v>
      </c>
      <c r="E203">
        <v>1</v>
      </c>
      <c r="F203" t="s">
        <v>865</v>
      </c>
      <c r="K203" t="s">
        <v>1071</v>
      </c>
      <c r="L203" t="s">
        <v>1085</v>
      </c>
      <c r="M203" t="s">
        <v>920</v>
      </c>
      <c r="N203" s="24">
        <v>46032</v>
      </c>
      <c r="O203" t="s">
        <v>748</v>
      </c>
      <c r="P203" t="s">
        <v>38</v>
      </c>
      <c r="R203" t="s">
        <v>77</v>
      </c>
      <c r="S203">
        <v>6.36</v>
      </c>
      <c r="T203">
        <v>101.61</v>
      </c>
      <c r="U203">
        <v>3693.82</v>
      </c>
      <c r="V203" t="s">
        <v>757</v>
      </c>
    </row>
    <row r="204" spans="3:22" hidden="1" x14ac:dyDescent="0.25">
      <c r="C204" t="s">
        <v>878</v>
      </c>
      <c r="D204">
        <v>25</v>
      </c>
      <c r="E204">
        <v>-3693.82</v>
      </c>
      <c r="F204" t="s">
        <v>867</v>
      </c>
      <c r="K204" t="s">
        <v>1130</v>
      </c>
      <c r="L204" t="s">
        <v>1085</v>
      </c>
      <c r="M204" t="s">
        <v>920</v>
      </c>
      <c r="N204" s="24">
        <v>46032</v>
      </c>
      <c r="O204" t="s">
        <v>748</v>
      </c>
      <c r="P204" t="s">
        <v>38</v>
      </c>
      <c r="R204" t="s">
        <v>77</v>
      </c>
    </row>
    <row r="205" spans="3:22" hidden="1" x14ac:dyDescent="0.25">
      <c r="C205" t="s">
        <v>878</v>
      </c>
      <c r="D205">
        <v>30</v>
      </c>
      <c r="E205">
        <v>3939.44</v>
      </c>
      <c r="F205" t="s">
        <v>867</v>
      </c>
      <c r="K205" t="s">
        <v>1076</v>
      </c>
      <c r="L205" t="s">
        <v>1085</v>
      </c>
      <c r="M205" t="s">
        <v>920</v>
      </c>
      <c r="N205" s="24">
        <v>46032</v>
      </c>
      <c r="O205" t="s">
        <v>748</v>
      </c>
      <c r="P205" t="s">
        <v>38</v>
      </c>
      <c r="R205" t="s">
        <v>77</v>
      </c>
      <c r="S205">
        <v>10.02</v>
      </c>
      <c r="T205">
        <v>271.11</v>
      </c>
      <c r="U205">
        <v>2226.81</v>
      </c>
      <c r="V205" t="s">
        <v>1092</v>
      </c>
    </row>
    <row r="206" spans="3:22" hidden="1" x14ac:dyDescent="0.25">
      <c r="C206" t="s">
        <v>878</v>
      </c>
      <c r="D206">
        <v>30</v>
      </c>
      <c r="E206">
        <v>-2226.81</v>
      </c>
      <c r="F206" t="s">
        <v>867</v>
      </c>
      <c r="K206" t="s">
        <v>1131</v>
      </c>
      <c r="L206" t="s">
        <v>1085</v>
      </c>
      <c r="M206" t="s">
        <v>920</v>
      </c>
      <c r="N206" s="24">
        <v>46032</v>
      </c>
      <c r="O206" t="s">
        <v>748</v>
      </c>
      <c r="P206" t="s">
        <v>38</v>
      </c>
      <c r="R206" t="s">
        <v>77</v>
      </c>
    </row>
    <row r="207" spans="3:22" hidden="1" x14ac:dyDescent="0.25">
      <c r="C207" t="s">
        <v>918</v>
      </c>
      <c r="D207">
        <v>60</v>
      </c>
      <c r="E207">
        <v>2310.56</v>
      </c>
      <c r="F207" t="s">
        <v>867</v>
      </c>
      <c r="K207" t="s">
        <v>1080</v>
      </c>
      <c r="L207" t="s">
        <v>1085</v>
      </c>
      <c r="M207" t="s">
        <v>920</v>
      </c>
      <c r="N207" s="24">
        <v>46032</v>
      </c>
      <c r="O207" t="s">
        <v>748</v>
      </c>
      <c r="P207" t="s">
        <v>38</v>
      </c>
      <c r="R207" t="s">
        <v>700</v>
      </c>
      <c r="S207">
        <v>9.36</v>
      </c>
      <c r="T207">
        <v>120.59</v>
      </c>
      <c r="U207">
        <v>843.15</v>
      </c>
      <c r="V207" t="s">
        <v>1093</v>
      </c>
    </row>
    <row r="208" spans="3:22" hidden="1" x14ac:dyDescent="0.25">
      <c r="C208" t="s">
        <v>918</v>
      </c>
      <c r="D208">
        <v>60</v>
      </c>
      <c r="E208">
        <v>-843.15</v>
      </c>
      <c r="F208" t="s">
        <v>867</v>
      </c>
      <c r="K208" t="s">
        <v>1132</v>
      </c>
      <c r="L208" t="s">
        <v>1085</v>
      </c>
      <c r="M208" t="s">
        <v>920</v>
      </c>
      <c r="N208" s="24">
        <v>46032</v>
      </c>
      <c r="O208" t="s">
        <v>748</v>
      </c>
      <c r="P208" t="s">
        <v>38</v>
      </c>
      <c r="R208" t="s">
        <v>700</v>
      </c>
    </row>
    <row r="209" spans="3:22" hidden="1" x14ac:dyDescent="0.25">
      <c r="C209" t="s">
        <v>918</v>
      </c>
      <c r="D209">
        <v>60</v>
      </c>
      <c r="E209">
        <v>2438.85</v>
      </c>
      <c r="F209" t="s">
        <v>867</v>
      </c>
      <c r="K209" t="s">
        <v>1084</v>
      </c>
      <c r="L209" t="s">
        <v>1085</v>
      </c>
      <c r="M209" t="s">
        <v>920</v>
      </c>
      <c r="N209" s="24">
        <v>46032</v>
      </c>
      <c r="O209" t="s">
        <v>748</v>
      </c>
      <c r="P209" t="s">
        <v>38</v>
      </c>
      <c r="R209" t="s">
        <v>700</v>
      </c>
      <c r="S209">
        <v>8.4</v>
      </c>
      <c r="T209">
        <v>125.35</v>
      </c>
      <c r="U209">
        <v>1105.74</v>
      </c>
      <c r="V209" t="s">
        <v>1094</v>
      </c>
    </row>
    <row r="210" spans="3:22" hidden="1" x14ac:dyDescent="0.25">
      <c r="C210" t="s">
        <v>918</v>
      </c>
      <c r="D210">
        <v>60</v>
      </c>
      <c r="E210">
        <v>-1105.74</v>
      </c>
      <c r="F210" t="s">
        <v>867</v>
      </c>
      <c r="K210" t="s">
        <v>1133</v>
      </c>
      <c r="L210" t="s">
        <v>1085</v>
      </c>
      <c r="M210" t="s">
        <v>920</v>
      </c>
      <c r="N210" s="24">
        <v>46032</v>
      </c>
      <c r="O210" t="s">
        <v>748</v>
      </c>
      <c r="P210" t="s">
        <v>38</v>
      </c>
      <c r="R210" t="s">
        <v>700</v>
      </c>
    </row>
    <row r="211" spans="3:22" hidden="1" x14ac:dyDescent="0.25">
      <c r="C211" t="s">
        <v>863</v>
      </c>
      <c r="D211" t="s">
        <v>864</v>
      </c>
      <c r="E211">
        <v>1</v>
      </c>
      <c r="F211" t="s">
        <v>865</v>
      </c>
      <c r="K211" t="s">
        <v>925</v>
      </c>
      <c r="L211" t="s">
        <v>1085</v>
      </c>
      <c r="M211" t="s">
        <v>920</v>
      </c>
      <c r="N211" s="24">
        <v>46032</v>
      </c>
      <c r="O211" t="s">
        <v>748</v>
      </c>
      <c r="P211" t="s">
        <v>38</v>
      </c>
      <c r="R211" t="s">
        <v>33</v>
      </c>
      <c r="S211">
        <v>0.47</v>
      </c>
      <c r="T211">
        <v>5.43</v>
      </c>
      <c r="U211">
        <v>7.92</v>
      </c>
      <c r="V211" t="s">
        <v>745</v>
      </c>
    </row>
    <row r="212" spans="3:22" hidden="1" x14ac:dyDescent="0.25">
      <c r="C212" t="s">
        <v>866</v>
      </c>
      <c r="D212">
        <v>2</v>
      </c>
      <c r="E212">
        <v>-7.92</v>
      </c>
      <c r="F212" t="s">
        <v>867</v>
      </c>
      <c r="K212" t="s">
        <v>1095</v>
      </c>
      <c r="L212" t="s">
        <v>1085</v>
      </c>
      <c r="M212" t="s">
        <v>920</v>
      </c>
      <c r="N212" s="24">
        <v>46032</v>
      </c>
      <c r="O212" t="s">
        <v>748</v>
      </c>
      <c r="P212" t="s">
        <v>38</v>
      </c>
      <c r="R212" t="s">
        <v>33</v>
      </c>
    </row>
    <row r="213" spans="3:22" hidden="1" x14ac:dyDescent="0.25">
      <c r="C213" t="s">
        <v>863</v>
      </c>
      <c r="D213" t="s">
        <v>864</v>
      </c>
      <c r="E213">
        <v>1</v>
      </c>
      <c r="F213" t="s">
        <v>865</v>
      </c>
      <c r="K213" t="s">
        <v>927</v>
      </c>
      <c r="L213" t="s">
        <v>1085</v>
      </c>
      <c r="M213" t="s">
        <v>920</v>
      </c>
      <c r="N213" s="24">
        <v>46032</v>
      </c>
      <c r="O213" t="s">
        <v>748</v>
      </c>
      <c r="P213" t="s">
        <v>38</v>
      </c>
      <c r="R213" t="s">
        <v>33</v>
      </c>
      <c r="S213">
        <v>0.56999999999999995</v>
      </c>
      <c r="T213">
        <v>0</v>
      </c>
      <c r="U213">
        <v>0</v>
      </c>
      <c r="V213" t="s">
        <v>745</v>
      </c>
    </row>
    <row r="214" spans="3:22" hidden="1" x14ac:dyDescent="0.25">
      <c r="C214" t="s">
        <v>863</v>
      </c>
      <c r="D214" t="s">
        <v>864</v>
      </c>
      <c r="E214">
        <v>1</v>
      </c>
      <c r="F214" t="s">
        <v>865</v>
      </c>
      <c r="K214" t="s">
        <v>929</v>
      </c>
      <c r="L214" t="s">
        <v>1085</v>
      </c>
      <c r="M214" t="s">
        <v>920</v>
      </c>
      <c r="N214" s="24">
        <v>46032</v>
      </c>
      <c r="O214" t="s">
        <v>748</v>
      </c>
      <c r="P214" t="s">
        <v>38</v>
      </c>
      <c r="R214" t="s">
        <v>33</v>
      </c>
      <c r="S214">
        <v>0.56999999999999995</v>
      </c>
      <c r="T214">
        <v>0</v>
      </c>
      <c r="U214">
        <v>0</v>
      </c>
      <c r="V214" t="s">
        <v>745</v>
      </c>
    </row>
    <row r="215" spans="3:22" hidden="1" x14ac:dyDescent="0.25">
      <c r="C215" t="s">
        <v>863</v>
      </c>
      <c r="D215" t="s">
        <v>864</v>
      </c>
      <c r="E215">
        <v>1</v>
      </c>
      <c r="F215" t="s">
        <v>865</v>
      </c>
      <c r="K215" t="s">
        <v>931</v>
      </c>
      <c r="L215" t="s">
        <v>1085</v>
      </c>
      <c r="M215" t="s">
        <v>920</v>
      </c>
      <c r="N215" s="24">
        <v>46032</v>
      </c>
      <c r="O215" t="s">
        <v>748</v>
      </c>
      <c r="P215" t="s">
        <v>38</v>
      </c>
      <c r="R215" t="s">
        <v>33</v>
      </c>
      <c r="S215">
        <v>0.47</v>
      </c>
      <c r="T215">
        <v>0</v>
      </c>
      <c r="U215">
        <v>15.07</v>
      </c>
      <c r="V215" t="s">
        <v>745</v>
      </c>
    </row>
    <row r="216" spans="3:22" hidden="1" x14ac:dyDescent="0.25">
      <c r="C216" t="s">
        <v>866</v>
      </c>
      <c r="D216">
        <v>2</v>
      </c>
      <c r="E216">
        <v>-15.07</v>
      </c>
      <c r="F216" t="s">
        <v>867</v>
      </c>
      <c r="K216" t="s">
        <v>1096</v>
      </c>
      <c r="L216" t="s">
        <v>1085</v>
      </c>
      <c r="M216" t="s">
        <v>920</v>
      </c>
      <c r="N216" s="24">
        <v>46032</v>
      </c>
      <c r="O216" t="s">
        <v>748</v>
      </c>
      <c r="P216" t="s">
        <v>38</v>
      </c>
      <c r="R216" t="s">
        <v>33</v>
      </c>
    </row>
    <row r="217" spans="3:22" hidden="1" x14ac:dyDescent="0.25">
      <c r="C217" t="s">
        <v>863</v>
      </c>
      <c r="D217" t="s">
        <v>864</v>
      </c>
      <c r="E217">
        <v>1</v>
      </c>
      <c r="F217" t="s">
        <v>865</v>
      </c>
      <c r="K217" t="s">
        <v>933</v>
      </c>
      <c r="L217" t="s">
        <v>1085</v>
      </c>
      <c r="M217" t="s">
        <v>920</v>
      </c>
      <c r="N217" s="24">
        <v>46032</v>
      </c>
      <c r="O217" t="s">
        <v>748</v>
      </c>
      <c r="P217" t="s">
        <v>38</v>
      </c>
      <c r="R217" t="s">
        <v>33</v>
      </c>
      <c r="S217">
        <v>0.47</v>
      </c>
      <c r="T217">
        <v>0</v>
      </c>
      <c r="U217">
        <v>15.07</v>
      </c>
      <c r="V217" t="s">
        <v>745</v>
      </c>
    </row>
    <row r="218" spans="3:22" hidden="1" x14ac:dyDescent="0.25">
      <c r="C218" t="s">
        <v>866</v>
      </c>
      <c r="D218">
        <v>2</v>
      </c>
      <c r="E218">
        <v>-15.07</v>
      </c>
      <c r="F218" t="s">
        <v>867</v>
      </c>
      <c r="K218" t="s">
        <v>1097</v>
      </c>
      <c r="L218" t="s">
        <v>1085</v>
      </c>
      <c r="M218" t="s">
        <v>920</v>
      </c>
      <c r="N218" s="24">
        <v>46032</v>
      </c>
      <c r="O218" t="s">
        <v>748</v>
      </c>
      <c r="P218" t="s">
        <v>38</v>
      </c>
      <c r="R218" t="s">
        <v>33</v>
      </c>
    </row>
    <row r="219" spans="3:22" hidden="1" x14ac:dyDescent="0.25">
      <c r="C219" t="s">
        <v>863</v>
      </c>
      <c r="D219" t="s">
        <v>864</v>
      </c>
      <c r="E219">
        <v>1</v>
      </c>
      <c r="F219" t="s">
        <v>865</v>
      </c>
      <c r="K219" t="s">
        <v>935</v>
      </c>
      <c r="L219" t="s">
        <v>1085</v>
      </c>
      <c r="M219" t="s">
        <v>920</v>
      </c>
      <c r="N219" s="24">
        <v>46032</v>
      </c>
      <c r="O219" t="s">
        <v>748</v>
      </c>
      <c r="P219" t="s">
        <v>38</v>
      </c>
      <c r="R219" t="s">
        <v>33</v>
      </c>
      <c r="S219">
        <v>0.47</v>
      </c>
      <c r="T219">
        <v>0</v>
      </c>
      <c r="U219">
        <v>15.07</v>
      </c>
      <c r="V219" t="s">
        <v>745</v>
      </c>
    </row>
    <row r="220" spans="3:22" hidden="1" x14ac:dyDescent="0.25">
      <c r="C220" t="s">
        <v>866</v>
      </c>
      <c r="D220">
        <v>2</v>
      </c>
      <c r="E220">
        <v>-15.07</v>
      </c>
      <c r="F220" t="s">
        <v>867</v>
      </c>
      <c r="K220" t="s">
        <v>1098</v>
      </c>
      <c r="L220" t="s">
        <v>1085</v>
      </c>
      <c r="M220" t="s">
        <v>920</v>
      </c>
      <c r="N220" s="24">
        <v>46032</v>
      </c>
      <c r="O220" t="s">
        <v>748</v>
      </c>
      <c r="P220" t="s">
        <v>38</v>
      </c>
      <c r="R220" t="s">
        <v>33</v>
      </c>
    </row>
    <row r="221" spans="3:22" hidden="1" x14ac:dyDescent="0.25">
      <c r="C221" t="s">
        <v>863</v>
      </c>
      <c r="D221" t="s">
        <v>864</v>
      </c>
      <c r="E221">
        <v>1</v>
      </c>
      <c r="F221" t="s">
        <v>865</v>
      </c>
      <c r="K221" t="s">
        <v>937</v>
      </c>
      <c r="L221" t="s">
        <v>1085</v>
      </c>
      <c r="M221" t="s">
        <v>920</v>
      </c>
      <c r="N221" s="24">
        <v>46032</v>
      </c>
      <c r="O221" t="s">
        <v>748</v>
      </c>
      <c r="P221" t="s">
        <v>38</v>
      </c>
      <c r="R221" t="s">
        <v>33</v>
      </c>
      <c r="S221">
        <v>0.47</v>
      </c>
      <c r="T221">
        <v>0</v>
      </c>
      <c r="U221">
        <v>15.07</v>
      </c>
      <c r="V221" t="s">
        <v>745</v>
      </c>
    </row>
    <row r="222" spans="3:22" hidden="1" x14ac:dyDescent="0.25">
      <c r="C222" t="s">
        <v>866</v>
      </c>
      <c r="D222">
        <v>2</v>
      </c>
      <c r="E222">
        <v>-15.07</v>
      </c>
      <c r="F222" t="s">
        <v>867</v>
      </c>
      <c r="K222" t="s">
        <v>1099</v>
      </c>
      <c r="L222" t="s">
        <v>1085</v>
      </c>
      <c r="M222" t="s">
        <v>920</v>
      </c>
      <c r="N222" s="24">
        <v>46032</v>
      </c>
      <c r="O222" t="s">
        <v>748</v>
      </c>
      <c r="P222" t="s">
        <v>38</v>
      </c>
      <c r="R222" t="s">
        <v>33</v>
      </c>
    </row>
    <row r="223" spans="3:22" hidden="1" x14ac:dyDescent="0.25">
      <c r="C223" t="s">
        <v>863</v>
      </c>
      <c r="D223" t="s">
        <v>864</v>
      </c>
      <c r="E223">
        <v>1</v>
      </c>
      <c r="F223" t="s">
        <v>865</v>
      </c>
      <c r="K223" t="s">
        <v>939</v>
      </c>
      <c r="L223" t="s">
        <v>1085</v>
      </c>
      <c r="M223" t="s">
        <v>920</v>
      </c>
      <c r="N223" s="24">
        <v>46032</v>
      </c>
      <c r="O223" t="s">
        <v>748</v>
      </c>
      <c r="P223" t="s">
        <v>38</v>
      </c>
      <c r="R223" t="s">
        <v>33</v>
      </c>
      <c r="S223">
        <v>0.44</v>
      </c>
      <c r="T223">
        <v>3.33</v>
      </c>
      <c r="U223">
        <v>15.07</v>
      </c>
      <c r="V223" t="s">
        <v>745</v>
      </c>
    </row>
    <row r="224" spans="3:22" hidden="1" x14ac:dyDescent="0.25">
      <c r="C224" t="s">
        <v>866</v>
      </c>
      <c r="D224">
        <v>2</v>
      </c>
      <c r="E224">
        <v>-15.07</v>
      </c>
      <c r="F224" t="s">
        <v>867</v>
      </c>
      <c r="K224" t="s">
        <v>1100</v>
      </c>
      <c r="L224" t="s">
        <v>1085</v>
      </c>
      <c r="M224" t="s">
        <v>920</v>
      </c>
      <c r="N224" s="24">
        <v>46032</v>
      </c>
      <c r="O224" t="s">
        <v>748</v>
      </c>
      <c r="P224" t="s">
        <v>38</v>
      </c>
      <c r="R224" t="s">
        <v>33</v>
      </c>
    </row>
    <row r="225" spans="3:22" hidden="1" x14ac:dyDescent="0.25">
      <c r="C225" t="s">
        <v>866</v>
      </c>
      <c r="D225">
        <v>2</v>
      </c>
      <c r="E225">
        <v>61.67</v>
      </c>
      <c r="F225" t="s">
        <v>867</v>
      </c>
      <c r="K225" t="s">
        <v>942</v>
      </c>
      <c r="L225" t="s">
        <v>1085</v>
      </c>
      <c r="M225" t="s">
        <v>920</v>
      </c>
      <c r="N225" s="24">
        <v>46032</v>
      </c>
      <c r="O225" t="s">
        <v>748</v>
      </c>
      <c r="P225" t="s">
        <v>38</v>
      </c>
      <c r="R225" t="s">
        <v>33</v>
      </c>
      <c r="S225">
        <v>0.14000000000000001</v>
      </c>
      <c r="T225">
        <v>0</v>
      </c>
      <c r="U225">
        <v>41.7</v>
      </c>
      <c r="V225" t="s">
        <v>745</v>
      </c>
    </row>
    <row r="226" spans="3:22" hidden="1" x14ac:dyDescent="0.25">
      <c r="C226" t="s">
        <v>866</v>
      </c>
      <c r="D226">
        <v>2</v>
      </c>
      <c r="E226">
        <v>-41.7</v>
      </c>
      <c r="F226" t="s">
        <v>867</v>
      </c>
      <c r="K226" t="s">
        <v>1101</v>
      </c>
      <c r="L226" t="s">
        <v>1085</v>
      </c>
      <c r="M226" t="s">
        <v>920</v>
      </c>
      <c r="N226" s="24">
        <v>46032</v>
      </c>
      <c r="O226" t="s">
        <v>748</v>
      </c>
      <c r="P226" t="s">
        <v>38</v>
      </c>
      <c r="R226" t="s">
        <v>33</v>
      </c>
    </row>
    <row r="227" spans="3:22" hidden="1" x14ac:dyDescent="0.25">
      <c r="C227" t="s">
        <v>863</v>
      </c>
      <c r="D227" t="s">
        <v>864</v>
      </c>
      <c r="E227">
        <v>1</v>
      </c>
      <c r="F227" t="s">
        <v>865</v>
      </c>
      <c r="K227" t="s">
        <v>944</v>
      </c>
      <c r="L227" t="s">
        <v>1085</v>
      </c>
      <c r="M227" t="s">
        <v>920</v>
      </c>
      <c r="N227" s="24">
        <v>46032</v>
      </c>
      <c r="O227" t="s">
        <v>748</v>
      </c>
      <c r="P227" t="s">
        <v>38</v>
      </c>
      <c r="R227" t="s">
        <v>33</v>
      </c>
      <c r="S227">
        <v>0.34</v>
      </c>
      <c r="T227">
        <v>0.19</v>
      </c>
      <c r="U227">
        <v>32.880000000000003</v>
      </c>
      <c r="V227" t="s">
        <v>745</v>
      </c>
    </row>
    <row r="228" spans="3:22" hidden="1" x14ac:dyDescent="0.25">
      <c r="C228" t="s">
        <v>866</v>
      </c>
      <c r="D228">
        <v>2</v>
      </c>
      <c r="E228">
        <v>-32.880000000000003</v>
      </c>
      <c r="F228" t="s">
        <v>867</v>
      </c>
      <c r="K228" t="s">
        <v>1102</v>
      </c>
      <c r="L228" t="s">
        <v>1085</v>
      </c>
      <c r="M228" t="s">
        <v>920</v>
      </c>
      <c r="N228" s="24">
        <v>46032</v>
      </c>
      <c r="O228" t="s">
        <v>748</v>
      </c>
      <c r="P228" t="s">
        <v>38</v>
      </c>
      <c r="R228" t="s">
        <v>33</v>
      </c>
    </row>
    <row r="229" spans="3:22" hidden="1" x14ac:dyDescent="0.25">
      <c r="C229" t="s">
        <v>878</v>
      </c>
      <c r="D229">
        <v>5</v>
      </c>
      <c r="E229">
        <v>105.98</v>
      </c>
      <c r="F229" t="s">
        <v>867</v>
      </c>
      <c r="K229" t="s">
        <v>948</v>
      </c>
      <c r="L229" t="s">
        <v>1085</v>
      </c>
      <c r="M229" t="s">
        <v>920</v>
      </c>
      <c r="N229" s="24">
        <v>46032</v>
      </c>
      <c r="O229" t="s">
        <v>748</v>
      </c>
      <c r="P229" t="s">
        <v>38</v>
      </c>
      <c r="R229" t="s">
        <v>77</v>
      </c>
      <c r="S229">
        <v>0.62</v>
      </c>
      <c r="T229">
        <v>16.670000000000002</v>
      </c>
      <c r="U229">
        <v>0</v>
      </c>
      <c r="V229" t="s">
        <v>1086</v>
      </c>
    </row>
    <row r="230" spans="3:22" hidden="1" x14ac:dyDescent="0.25">
      <c r="C230" t="s">
        <v>876</v>
      </c>
      <c r="D230" t="s">
        <v>877</v>
      </c>
      <c r="E230">
        <v>1</v>
      </c>
      <c r="F230" t="s">
        <v>865</v>
      </c>
      <c r="K230" t="s">
        <v>950</v>
      </c>
      <c r="L230" t="s">
        <v>1085</v>
      </c>
      <c r="M230" t="s">
        <v>920</v>
      </c>
      <c r="N230" s="24">
        <v>46032</v>
      </c>
      <c r="O230" t="s">
        <v>748</v>
      </c>
      <c r="P230" t="s">
        <v>38</v>
      </c>
      <c r="R230" t="s">
        <v>77</v>
      </c>
      <c r="S230">
        <v>0.8</v>
      </c>
      <c r="T230">
        <v>28.04</v>
      </c>
      <c r="U230">
        <v>210.3</v>
      </c>
      <c r="V230" t="s">
        <v>749</v>
      </c>
    </row>
    <row r="231" spans="3:22" hidden="1" x14ac:dyDescent="0.25">
      <c r="C231" t="s">
        <v>878</v>
      </c>
      <c r="D231">
        <v>5</v>
      </c>
      <c r="E231">
        <v>-210.3</v>
      </c>
      <c r="F231" t="s">
        <v>867</v>
      </c>
      <c r="K231" t="s">
        <v>1103</v>
      </c>
      <c r="L231" t="s">
        <v>1085</v>
      </c>
      <c r="M231" t="s">
        <v>920</v>
      </c>
      <c r="N231" s="24">
        <v>46032</v>
      </c>
      <c r="O231" t="s">
        <v>748</v>
      </c>
      <c r="P231" t="s">
        <v>38</v>
      </c>
      <c r="R231" t="s">
        <v>77</v>
      </c>
    </row>
    <row r="232" spans="3:22" hidden="1" x14ac:dyDescent="0.25">
      <c r="C232" t="s">
        <v>880</v>
      </c>
      <c r="D232" t="s">
        <v>881</v>
      </c>
      <c r="E232">
        <v>1</v>
      </c>
      <c r="F232" t="s">
        <v>865</v>
      </c>
      <c r="K232" t="s">
        <v>952</v>
      </c>
      <c r="L232" t="s">
        <v>1085</v>
      </c>
      <c r="M232" t="s">
        <v>920</v>
      </c>
      <c r="N232" s="24">
        <v>46032</v>
      </c>
      <c r="O232" t="s">
        <v>748</v>
      </c>
      <c r="P232" t="s">
        <v>38</v>
      </c>
      <c r="R232" t="s">
        <v>77</v>
      </c>
      <c r="S232">
        <v>5.0199999999999996</v>
      </c>
      <c r="T232">
        <v>32.47</v>
      </c>
      <c r="U232">
        <v>92.71</v>
      </c>
      <c r="V232" t="s">
        <v>750</v>
      </c>
    </row>
    <row r="233" spans="3:22" hidden="1" x14ac:dyDescent="0.25">
      <c r="C233" t="s">
        <v>878</v>
      </c>
      <c r="D233">
        <v>6</v>
      </c>
      <c r="E233">
        <v>-92.71</v>
      </c>
      <c r="F233" t="s">
        <v>867</v>
      </c>
      <c r="K233" t="s">
        <v>1104</v>
      </c>
      <c r="L233" t="s">
        <v>1085</v>
      </c>
      <c r="M233" t="s">
        <v>920</v>
      </c>
      <c r="N233" s="24">
        <v>46032</v>
      </c>
      <c r="O233" t="s">
        <v>748</v>
      </c>
      <c r="P233" t="s">
        <v>38</v>
      </c>
      <c r="R233" t="s">
        <v>77</v>
      </c>
    </row>
    <row r="234" spans="3:22" hidden="1" x14ac:dyDescent="0.25">
      <c r="C234" t="s">
        <v>880</v>
      </c>
      <c r="D234" t="s">
        <v>881</v>
      </c>
      <c r="E234">
        <v>1</v>
      </c>
      <c r="F234" t="s">
        <v>865</v>
      </c>
      <c r="K234" t="s">
        <v>954</v>
      </c>
      <c r="L234" t="s">
        <v>1085</v>
      </c>
      <c r="M234" t="s">
        <v>920</v>
      </c>
      <c r="N234" s="24">
        <v>46032</v>
      </c>
      <c r="O234" t="s">
        <v>748</v>
      </c>
      <c r="P234" t="s">
        <v>38</v>
      </c>
      <c r="R234" t="s">
        <v>77</v>
      </c>
      <c r="S234">
        <v>5.09</v>
      </c>
      <c r="T234">
        <v>22.74</v>
      </c>
      <c r="U234">
        <v>92.71</v>
      </c>
      <c r="V234" t="s">
        <v>750</v>
      </c>
    </row>
    <row r="235" spans="3:22" hidden="1" x14ac:dyDescent="0.25">
      <c r="C235" t="s">
        <v>878</v>
      </c>
      <c r="D235">
        <v>6</v>
      </c>
      <c r="E235">
        <v>-92.71</v>
      </c>
      <c r="F235" t="s">
        <v>867</v>
      </c>
      <c r="K235" t="s">
        <v>1105</v>
      </c>
      <c r="L235" t="s">
        <v>1085</v>
      </c>
      <c r="M235" t="s">
        <v>920</v>
      </c>
      <c r="N235" s="24">
        <v>46032</v>
      </c>
      <c r="O235" t="s">
        <v>748</v>
      </c>
      <c r="P235" t="s">
        <v>38</v>
      </c>
      <c r="R235" t="s">
        <v>77</v>
      </c>
    </row>
    <row r="236" spans="3:22" hidden="1" x14ac:dyDescent="0.25">
      <c r="C236" t="s">
        <v>880</v>
      </c>
      <c r="D236" t="s">
        <v>881</v>
      </c>
      <c r="E236">
        <v>1</v>
      </c>
      <c r="F236" t="s">
        <v>865</v>
      </c>
      <c r="K236" t="s">
        <v>956</v>
      </c>
      <c r="L236" t="s">
        <v>1085</v>
      </c>
      <c r="M236" t="s">
        <v>920</v>
      </c>
      <c r="N236" s="24">
        <v>46032</v>
      </c>
      <c r="O236" t="s">
        <v>748</v>
      </c>
      <c r="P236" t="s">
        <v>38</v>
      </c>
      <c r="R236" t="s">
        <v>77</v>
      </c>
      <c r="S236">
        <v>5.0599999999999996</v>
      </c>
      <c r="T236">
        <v>26.83</v>
      </c>
      <c r="U236">
        <v>92.71</v>
      </c>
      <c r="V236" t="s">
        <v>750</v>
      </c>
    </row>
    <row r="237" spans="3:22" hidden="1" x14ac:dyDescent="0.25">
      <c r="C237" t="s">
        <v>878</v>
      </c>
      <c r="D237">
        <v>6</v>
      </c>
      <c r="E237">
        <v>-92.71</v>
      </c>
      <c r="F237" t="s">
        <v>867</v>
      </c>
      <c r="K237" t="s">
        <v>1106</v>
      </c>
      <c r="L237" t="s">
        <v>1085</v>
      </c>
      <c r="M237" t="s">
        <v>920</v>
      </c>
      <c r="N237" s="24">
        <v>46032</v>
      </c>
      <c r="O237" t="s">
        <v>748</v>
      </c>
      <c r="P237" t="s">
        <v>38</v>
      </c>
      <c r="R237" t="s">
        <v>77</v>
      </c>
    </row>
    <row r="238" spans="3:22" hidden="1" x14ac:dyDescent="0.25">
      <c r="C238" t="s">
        <v>880</v>
      </c>
      <c r="D238" t="s">
        <v>881</v>
      </c>
      <c r="E238">
        <v>1</v>
      </c>
      <c r="F238" t="s">
        <v>865</v>
      </c>
      <c r="K238" t="s">
        <v>958</v>
      </c>
      <c r="L238" t="s">
        <v>1085</v>
      </c>
      <c r="M238" t="s">
        <v>920</v>
      </c>
      <c r="N238" s="24">
        <v>46032</v>
      </c>
      <c r="O238" t="s">
        <v>748</v>
      </c>
      <c r="P238" t="s">
        <v>38</v>
      </c>
      <c r="R238" t="s">
        <v>77</v>
      </c>
      <c r="S238">
        <v>5.0599999999999996</v>
      </c>
      <c r="T238">
        <v>26.47</v>
      </c>
      <c r="U238">
        <v>93.17</v>
      </c>
      <c r="V238" t="s">
        <v>750</v>
      </c>
    </row>
    <row r="239" spans="3:22" hidden="1" x14ac:dyDescent="0.25">
      <c r="C239" t="s">
        <v>878</v>
      </c>
      <c r="D239">
        <v>6</v>
      </c>
      <c r="E239">
        <v>-93.17</v>
      </c>
      <c r="F239" t="s">
        <v>867</v>
      </c>
      <c r="K239" t="s">
        <v>1107</v>
      </c>
      <c r="L239" t="s">
        <v>1085</v>
      </c>
      <c r="M239" t="s">
        <v>920</v>
      </c>
      <c r="N239" s="24">
        <v>46032</v>
      </c>
      <c r="O239" t="s">
        <v>748</v>
      </c>
      <c r="P239" t="s">
        <v>38</v>
      </c>
      <c r="R239" t="s">
        <v>77</v>
      </c>
    </row>
    <row r="240" spans="3:22" hidden="1" x14ac:dyDescent="0.25">
      <c r="C240" t="s">
        <v>880</v>
      </c>
      <c r="D240" t="s">
        <v>881</v>
      </c>
      <c r="E240">
        <v>1</v>
      </c>
      <c r="F240" t="s">
        <v>865</v>
      </c>
      <c r="K240" t="s">
        <v>960</v>
      </c>
      <c r="L240" t="s">
        <v>1085</v>
      </c>
      <c r="M240" t="s">
        <v>920</v>
      </c>
      <c r="N240" s="24">
        <v>46032</v>
      </c>
      <c r="O240" t="s">
        <v>748</v>
      </c>
      <c r="P240" t="s">
        <v>38</v>
      </c>
      <c r="R240" t="s">
        <v>77</v>
      </c>
      <c r="S240">
        <v>5.0599999999999996</v>
      </c>
      <c r="T240">
        <v>39.61</v>
      </c>
      <c r="U240">
        <v>80.27</v>
      </c>
      <c r="V240" t="s">
        <v>750</v>
      </c>
    </row>
    <row r="241" spans="3:22" hidden="1" x14ac:dyDescent="0.25">
      <c r="C241" t="s">
        <v>878</v>
      </c>
      <c r="D241">
        <v>6</v>
      </c>
      <c r="E241">
        <v>-80.27</v>
      </c>
      <c r="F241" t="s">
        <v>867</v>
      </c>
      <c r="K241" t="s">
        <v>1108</v>
      </c>
      <c r="L241" t="s">
        <v>1085</v>
      </c>
      <c r="M241" t="s">
        <v>920</v>
      </c>
      <c r="N241" s="24">
        <v>46032</v>
      </c>
      <c r="O241" t="s">
        <v>748</v>
      </c>
      <c r="P241" t="s">
        <v>38</v>
      </c>
      <c r="R241" t="s">
        <v>77</v>
      </c>
    </row>
    <row r="242" spans="3:22" hidden="1" x14ac:dyDescent="0.25">
      <c r="C242" t="s">
        <v>880</v>
      </c>
      <c r="D242" t="s">
        <v>881</v>
      </c>
      <c r="E242">
        <v>1</v>
      </c>
      <c r="F242" t="s">
        <v>865</v>
      </c>
      <c r="K242" t="s">
        <v>962</v>
      </c>
      <c r="L242" t="s">
        <v>1085</v>
      </c>
      <c r="M242" t="s">
        <v>920</v>
      </c>
      <c r="N242" s="24">
        <v>46032</v>
      </c>
      <c r="O242" t="s">
        <v>748</v>
      </c>
      <c r="P242" t="s">
        <v>38</v>
      </c>
      <c r="R242" t="s">
        <v>77</v>
      </c>
      <c r="S242">
        <v>5.0599999999999996</v>
      </c>
      <c r="T242">
        <v>39.630000000000003</v>
      </c>
      <c r="U242">
        <v>80.27</v>
      </c>
      <c r="V242" t="s">
        <v>750</v>
      </c>
    </row>
    <row r="243" spans="3:22" hidden="1" x14ac:dyDescent="0.25">
      <c r="C243" t="s">
        <v>878</v>
      </c>
      <c r="D243">
        <v>6</v>
      </c>
      <c r="E243">
        <v>-80.27</v>
      </c>
      <c r="F243" t="s">
        <v>867</v>
      </c>
      <c r="K243" t="s">
        <v>1109</v>
      </c>
      <c r="L243" t="s">
        <v>1085</v>
      </c>
      <c r="M243" t="s">
        <v>920</v>
      </c>
      <c r="N243" s="24">
        <v>46032</v>
      </c>
      <c r="O243" t="s">
        <v>748</v>
      </c>
      <c r="P243" t="s">
        <v>38</v>
      </c>
      <c r="R243" t="s">
        <v>77</v>
      </c>
    </row>
    <row r="244" spans="3:22" hidden="1" x14ac:dyDescent="0.25">
      <c r="C244" t="s">
        <v>880</v>
      </c>
      <c r="D244" t="s">
        <v>881</v>
      </c>
      <c r="E244">
        <v>1</v>
      </c>
      <c r="F244" t="s">
        <v>865</v>
      </c>
      <c r="K244" t="s">
        <v>964</v>
      </c>
      <c r="L244" t="s">
        <v>1085</v>
      </c>
      <c r="M244" t="s">
        <v>920</v>
      </c>
      <c r="N244" s="24">
        <v>46032</v>
      </c>
      <c r="O244" t="s">
        <v>748</v>
      </c>
      <c r="P244" t="s">
        <v>38</v>
      </c>
      <c r="R244" t="s">
        <v>77</v>
      </c>
      <c r="S244">
        <v>5.0599999999999996</v>
      </c>
      <c r="T244">
        <v>25.3</v>
      </c>
      <c r="U244">
        <v>94.75</v>
      </c>
      <c r="V244" t="s">
        <v>750</v>
      </c>
    </row>
    <row r="245" spans="3:22" hidden="1" x14ac:dyDescent="0.25">
      <c r="C245" t="s">
        <v>878</v>
      </c>
      <c r="D245">
        <v>6</v>
      </c>
      <c r="E245">
        <v>-94.75</v>
      </c>
      <c r="F245" t="s">
        <v>867</v>
      </c>
      <c r="K245" t="s">
        <v>1110</v>
      </c>
      <c r="L245" t="s">
        <v>1085</v>
      </c>
      <c r="M245" t="s">
        <v>920</v>
      </c>
      <c r="N245" s="24">
        <v>46032</v>
      </c>
      <c r="O245" t="s">
        <v>748</v>
      </c>
      <c r="P245" t="s">
        <v>38</v>
      </c>
      <c r="R245" t="s">
        <v>77</v>
      </c>
    </row>
    <row r="246" spans="3:22" hidden="1" x14ac:dyDescent="0.25">
      <c r="C246" t="s">
        <v>880</v>
      </c>
      <c r="D246" t="s">
        <v>881</v>
      </c>
      <c r="E246">
        <v>1</v>
      </c>
      <c r="F246" t="s">
        <v>865</v>
      </c>
      <c r="K246" t="s">
        <v>966</v>
      </c>
      <c r="L246" t="s">
        <v>1085</v>
      </c>
      <c r="M246" t="s">
        <v>920</v>
      </c>
      <c r="N246" s="24">
        <v>46032</v>
      </c>
      <c r="O246" t="s">
        <v>748</v>
      </c>
      <c r="P246" t="s">
        <v>38</v>
      </c>
      <c r="R246" t="s">
        <v>77</v>
      </c>
      <c r="S246">
        <v>5.0599999999999996</v>
      </c>
      <c r="T246">
        <v>26.64</v>
      </c>
      <c r="U246">
        <v>93.43</v>
      </c>
      <c r="V246" t="s">
        <v>750</v>
      </c>
    </row>
    <row r="247" spans="3:22" hidden="1" x14ac:dyDescent="0.25">
      <c r="C247" t="s">
        <v>878</v>
      </c>
      <c r="D247">
        <v>6</v>
      </c>
      <c r="E247">
        <v>-93.43</v>
      </c>
      <c r="F247" t="s">
        <v>867</v>
      </c>
      <c r="K247" t="s">
        <v>1111</v>
      </c>
      <c r="L247" t="s">
        <v>1085</v>
      </c>
      <c r="M247" t="s">
        <v>920</v>
      </c>
      <c r="N247" s="24">
        <v>46032</v>
      </c>
      <c r="O247" t="s">
        <v>748</v>
      </c>
      <c r="P247" t="s">
        <v>38</v>
      </c>
      <c r="R247" t="s">
        <v>77</v>
      </c>
    </row>
    <row r="248" spans="3:22" hidden="1" x14ac:dyDescent="0.25">
      <c r="C248" t="s">
        <v>880</v>
      </c>
      <c r="D248" t="s">
        <v>881</v>
      </c>
      <c r="E248">
        <v>1</v>
      </c>
      <c r="F248" t="s">
        <v>865</v>
      </c>
      <c r="K248" t="s">
        <v>968</v>
      </c>
      <c r="L248" t="s">
        <v>1085</v>
      </c>
      <c r="M248" t="s">
        <v>920</v>
      </c>
      <c r="N248" s="24">
        <v>46032</v>
      </c>
      <c r="O248" t="s">
        <v>748</v>
      </c>
      <c r="P248" t="s">
        <v>38</v>
      </c>
      <c r="R248" t="s">
        <v>77</v>
      </c>
      <c r="S248">
        <v>5.15</v>
      </c>
      <c r="T248">
        <v>26.1</v>
      </c>
      <c r="U248">
        <v>80.27</v>
      </c>
      <c r="V248" t="s">
        <v>750</v>
      </c>
    </row>
    <row r="249" spans="3:22" hidden="1" x14ac:dyDescent="0.25">
      <c r="C249" t="s">
        <v>878</v>
      </c>
      <c r="D249">
        <v>6</v>
      </c>
      <c r="E249">
        <v>-80.27</v>
      </c>
      <c r="F249" t="s">
        <v>867</v>
      </c>
      <c r="K249" t="s">
        <v>1112</v>
      </c>
      <c r="L249" t="s">
        <v>1085</v>
      </c>
      <c r="M249" t="s">
        <v>920</v>
      </c>
      <c r="N249" s="24">
        <v>46032</v>
      </c>
      <c r="O249" t="s">
        <v>748</v>
      </c>
      <c r="P249" t="s">
        <v>38</v>
      </c>
      <c r="R249" t="s">
        <v>77</v>
      </c>
    </row>
    <row r="250" spans="3:22" hidden="1" x14ac:dyDescent="0.25">
      <c r="C250" t="s">
        <v>880</v>
      </c>
      <c r="D250" t="s">
        <v>881</v>
      </c>
      <c r="E250">
        <v>1</v>
      </c>
      <c r="F250" t="s">
        <v>865</v>
      </c>
      <c r="K250" t="s">
        <v>970</v>
      </c>
      <c r="L250" t="s">
        <v>1085</v>
      </c>
      <c r="M250" t="s">
        <v>920</v>
      </c>
      <c r="N250" s="24">
        <v>46032</v>
      </c>
      <c r="O250" t="s">
        <v>748</v>
      </c>
      <c r="P250" t="s">
        <v>38</v>
      </c>
      <c r="R250" t="s">
        <v>77</v>
      </c>
      <c r="S250">
        <v>5.2</v>
      </c>
      <c r="T250">
        <v>34.21</v>
      </c>
      <c r="U250">
        <v>65.959999999999994</v>
      </c>
      <c r="V250" t="s">
        <v>750</v>
      </c>
    </row>
    <row r="251" spans="3:22" hidden="1" x14ac:dyDescent="0.25">
      <c r="C251" t="s">
        <v>878</v>
      </c>
      <c r="D251">
        <v>6</v>
      </c>
      <c r="E251">
        <v>-65.959999999999994</v>
      </c>
      <c r="F251" t="s">
        <v>867</v>
      </c>
      <c r="K251" t="s">
        <v>1113</v>
      </c>
      <c r="L251" t="s">
        <v>1085</v>
      </c>
      <c r="M251" t="s">
        <v>920</v>
      </c>
      <c r="N251" s="24">
        <v>46032</v>
      </c>
      <c r="O251" t="s">
        <v>748</v>
      </c>
      <c r="P251" t="s">
        <v>38</v>
      </c>
      <c r="R251" t="s">
        <v>77</v>
      </c>
    </row>
    <row r="252" spans="3:22" hidden="1" x14ac:dyDescent="0.25">
      <c r="C252" t="s">
        <v>880</v>
      </c>
      <c r="D252" t="s">
        <v>881</v>
      </c>
      <c r="E252">
        <v>1</v>
      </c>
      <c r="F252" t="s">
        <v>865</v>
      </c>
      <c r="K252" t="s">
        <v>972</v>
      </c>
      <c r="L252" t="s">
        <v>1085</v>
      </c>
      <c r="M252" t="s">
        <v>920</v>
      </c>
      <c r="N252" s="24">
        <v>46032</v>
      </c>
      <c r="O252" t="s">
        <v>748</v>
      </c>
      <c r="P252" t="s">
        <v>38</v>
      </c>
      <c r="R252" t="s">
        <v>77</v>
      </c>
      <c r="S252">
        <v>5.2</v>
      </c>
      <c r="T252">
        <v>34.450000000000003</v>
      </c>
      <c r="U252">
        <v>65.709999999999994</v>
      </c>
      <c r="V252" t="s">
        <v>750</v>
      </c>
    </row>
    <row r="253" spans="3:22" hidden="1" x14ac:dyDescent="0.25">
      <c r="C253" t="s">
        <v>878</v>
      </c>
      <c r="D253">
        <v>6</v>
      </c>
      <c r="E253">
        <v>-65.709999999999994</v>
      </c>
      <c r="F253" t="s">
        <v>867</v>
      </c>
      <c r="K253" t="s">
        <v>1114</v>
      </c>
      <c r="L253" t="s">
        <v>1085</v>
      </c>
      <c r="M253" t="s">
        <v>920</v>
      </c>
      <c r="N253" s="24">
        <v>46032</v>
      </c>
      <c r="O253" t="s">
        <v>748</v>
      </c>
      <c r="P253" t="s">
        <v>38</v>
      </c>
      <c r="R253" t="s">
        <v>77</v>
      </c>
    </row>
    <row r="254" spans="3:22" hidden="1" x14ac:dyDescent="0.25">
      <c r="C254" t="s">
        <v>880</v>
      </c>
      <c r="D254" t="s">
        <v>881</v>
      </c>
      <c r="E254">
        <v>1</v>
      </c>
      <c r="F254" t="s">
        <v>865</v>
      </c>
      <c r="K254" t="s">
        <v>974</v>
      </c>
      <c r="L254" t="s">
        <v>1085</v>
      </c>
      <c r="M254" t="s">
        <v>920</v>
      </c>
      <c r="N254" s="24">
        <v>46032</v>
      </c>
      <c r="O254" t="s">
        <v>748</v>
      </c>
      <c r="P254" t="s">
        <v>38</v>
      </c>
      <c r="R254" t="s">
        <v>77</v>
      </c>
      <c r="S254">
        <v>5.05</v>
      </c>
      <c r="T254">
        <v>26.46</v>
      </c>
      <c r="U254">
        <v>95.38</v>
      </c>
      <c r="V254" t="s">
        <v>750</v>
      </c>
    </row>
    <row r="255" spans="3:22" hidden="1" x14ac:dyDescent="0.25">
      <c r="C255" t="s">
        <v>878</v>
      </c>
      <c r="D255">
        <v>6</v>
      </c>
      <c r="E255">
        <v>-95.38</v>
      </c>
      <c r="F255" t="s">
        <v>867</v>
      </c>
      <c r="K255" t="s">
        <v>1115</v>
      </c>
      <c r="L255" t="s">
        <v>1085</v>
      </c>
      <c r="M255" t="s">
        <v>920</v>
      </c>
      <c r="N255" s="24">
        <v>46032</v>
      </c>
      <c r="O255" t="s">
        <v>748</v>
      </c>
      <c r="P255" t="s">
        <v>38</v>
      </c>
      <c r="R255" t="s">
        <v>77</v>
      </c>
    </row>
    <row r="256" spans="3:22" hidden="1" x14ac:dyDescent="0.25">
      <c r="C256" t="s">
        <v>880</v>
      </c>
      <c r="D256" t="s">
        <v>881</v>
      </c>
      <c r="E256">
        <v>1</v>
      </c>
      <c r="F256" t="s">
        <v>865</v>
      </c>
      <c r="K256" t="s">
        <v>976</v>
      </c>
      <c r="L256" t="s">
        <v>1085</v>
      </c>
      <c r="M256" t="s">
        <v>920</v>
      </c>
      <c r="N256" s="24">
        <v>46032</v>
      </c>
      <c r="O256" t="s">
        <v>748</v>
      </c>
      <c r="P256" t="s">
        <v>38</v>
      </c>
      <c r="R256" t="s">
        <v>77</v>
      </c>
      <c r="S256">
        <v>5.05</v>
      </c>
      <c r="T256">
        <v>24.72</v>
      </c>
      <c r="U256">
        <v>97.12</v>
      </c>
      <c r="V256" t="s">
        <v>750</v>
      </c>
    </row>
    <row r="257" spans="3:22" hidden="1" x14ac:dyDescent="0.25">
      <c r="C257" t="s">
        <v>878</v>
      </c>
      <c r="D257">
        <v>6</v>
      </c>
      <c r="E257">
        <v>-97.12</v>
      </c>
      <c r="F257" t="s">
        <v>867</v>
      </c>
      <c r="K257" t="s">
        <v>1116</v>
      </c>
      <c r="L257" t="s">
        <v>1085</v>
      </c>
      <c r="M257" t="s">
        <v>920</v>
      </c>
      <c r="N257" s="24">
        <v>46032</v>
      </c>
      <c r="O257" t="s">
        <v>748</v>
      </c>
      <c r="P257" t="s">
        <v>38</v>
      </c>
      <c r="R257" t="s">
        <v>77</v>
      </c>
    </row>
    <row r="258" spans="3:22" hidden="1" x14ac:dyDescent="0.25">
      <c r="C258" t="s">
        <v>880</v>
      </c>
      <c r="D258" t="s">
        <v>881</v>
      </c>
      <c r="E258">
        <v>1</v>
      </c>
      <c r="F258" t="s">
        <v>865</v>
      </c>
      <c r="K258" t="s">
        <v>978</v>
      </c>
      <c r="L258" t="s">
        <v>1085</v>
      </c>
      <c r="M258" t="s">
        <v>920</v>
      </c>
      <c r="N258" s="24">
        <v>46032</v>
      </c>
      <c r="O258" t="s">
        <v>748</v>
      </c>
      <c r="P258" t="s">
        <v>38</v>
      </c>
      <c r="R258" t="s">
        <v>77</v>
      </c>
      <c r="S258">
        <v>5.05</v>
      </c>
      <c r="T258">
        <v>24.72</v>
      </c>
      <c r="U258">
        <v>97.12</v>
      </c>
      <c r="V258" t="s">
        <v>750</v>
      </c>
    </row>
    <row r="259" spans="3:22" hidden="1" x14ac:dyDescent="0.25">
      <c r="C259" t="s">
        <v>878</v>
      </c>
      <c r="D259">
        <v>6</v>
      </c>
      <c r="E259">
        <v>-97.12</v>
      </c>
      <c r="F259" t="s">
        <v>867</v>
      </c>
      <c r="K259" t="s">
        <v>1117</v>
      </c>
      <c r="L259" t="s">
        <v>1085</v>
      </c>
      <c r="M259" t="s">
        <v>920</v>
      </c>
      <c r="N259" s="24">
        <v>46032</v>
      </c>
      <c r="O259" t="s">
        <v>748</v>
      </c>
      <c r="P259" t="s">
        <v>38</v>
      </c>
      <c r="R259" t="s">
        <v>77</v>
      </c>
    </row>
    <row r="260" spans="3:22" hidden="1" x14ac:dyDescent="0.25">
      <c r="C260" t="s">
        <v>880</v>
      </c>
      <c r="D260" t="s">
        <v>881</v>
      </c>
      <c r="E260">
        <v>1</v>
      </c>
      <c r="F260" t="s">
        <v>865</v>
      </c>
      <c r="K260" t="s">
        <v>980</v>
      </c>
      <c r="L260" t="s">
        <v>1085</v>
      </c>
      <c r="M260" t="s">
        <v>920</v>
      </c>
      <c r="N260" s="24">
        <v>46032</v>
      </c>
      <c r="O260" t="s">
        <v>748</v>
      </c>
      <c r="P260" t="s">
        <v>38</v>
      </c>
      <c r="R260" t="s">
        <v>77</v>
      </c>
      <c r="S260">
        <v>5.09</v>
      </c>
      <c r="T260">
        <v>35</v>
      </c>
      <c r="U260">
        <v>80.260000000000005</v>
      </c>
      <c r="V260" t="s">
        <v>750</v>
      </c>
    </row>
    <row r="261" spans="3:22" hidden="1" x14ac:dyDescent="0.25">
      <c r="C261" t="s">
        <v>878</v>
      </c>
      <c r="D261">
        <v>6</v>
      </c>
      <c r="E261">
        <v>-80.260000000000005</v>
      </c>
      <c r="F261" t="s">
        <v>867</v>
      </c>
      <c r="K261" t="s">
        <v>1118</v>
      </c>
      <c r="L261" t="s">
        <v>1085</v>
      </c>
      <c r="M261" t="s">
        <v>920</v>
      </c>
      <c r="N261" s="24">
        <v>46032</v>
      </c>
      <c r="O261" t="s">
        <v>748</v>
      </c>
      <c r="P261" t="s">
        <v>38</v>
      </c>
      <c r="R261" t="s">
        <v>77</v>
      </c>
    </row>
    <row r="262" spans="3:22" hidden="1" x14ac:dyDescent="0.25">
      <c r="C262" t="s">
        <v>880</v>
      </c>
      <c r="D262" t="s">
        <v>881</v>
      </c>
      <c r="E262">
        <v>1</v>
      </c>
      <c r="F262" t="s">
        <v>865</v>
      </c>
      <c r="K262" t="s">
        <v>982</v>
      </c>
      <c r="L262" t="s">
        <v>1085</v>
      </c>
      <c r="M262" t="s">
        <v>920</v>
      </c>
      <c r="N262" s="24">
        <v>46032</v>
      </c>
      <c r="O262" t="s">
        <v>748</v>
      </c>
      <c r="P262" t="s">
        <v>38</v>
      </c>
      <c r="R262" t="s">
        <v>77</v>
      </c>
      <c r="S262">
        <v>5.16</v>
      </c>
      <c r="T262">
        <v>25.14</v>
      </c>
      <c r="U262">
        <v>80.260000000000005</v>
      </c>
      <c r="V262" t="s">
        <v>750</v>
      </c>
    </row>
    <row r="263" spans="3:22" hidden="1" x14ac:dyDescent="0.25">
      <c r="C263" t="s">
        <v>878</v>
      </c>
      <c r="D263">
        <v>6</v>
      </c>
      <c r="E263">
        <v>-80.260000000000005</v>
      </c>
      <c r="F263" t="s">
        <v>867</v>
      </c>
      <c r="K263" t="s">
        <v>1119</v>
      </c>
      <c r="L263" t="s">
        <v>1085</v>
      </c>
      <c r="M263" t="s">
        <v>920</v>
      </c>
      <c r="N263" s="24">
        <v>46032</v>
      </c>
      <c r="O263" t="s">
        <v>748</v>
      </c>
      <c r="P263" t="s">
        <v>38</v>
      </c>
      <c r="R263" t="s">
        <v>77</v>
      </c>
    </row>
    <row r="264" spans="3:22" hidden="1" x14ac:dyDescent="0.25">
      <c r="C264" t="s">
        <v>880</v>
      </c>
      <c r="D264" t="s">
        <v>881</v>
      </c>
      <c r="E264">
        <v>1</v>
      </c>
      <c r="F264" t="s">
        <v>865</v>
      </c>
      <c r="K264" t="s">
        <v>984</v>
      </c>
      <c r="L264" t="s">
        <v>1085</v>
      </c>
      <c r="M264" t="s">
        <v>920</v>
      </c>
      <c r="N264" s="24">
        <v>46032</v>
      </c>
      <c r="O264" t="s">
        <v>748</v>
      </c>
      <c r="P264" t="s">
        <v>38</v>
      </c>
      <c r="R264" t="s">
        <v>77</v>
      </c>
      <c r="S264">
        <v>5.41</v>
      </c>
      <c r="T264">
        <v>69.19</v>
      </c>
      <c r="U264">
        <v>0</v>
      </c>
      <c r="V264" t="s">
        <v>750</v>
      </c>
    </row>
    <row r="265" spans="3:22" hidden="1" x14ac:dyDescent="0.25">
      <c r="C265" t="s">
        <v>878</v>
      </c>
      <c r="D265">
        <v>6</v>
      </c>
      <c r="E265">
        <v>446.86</v>
      </c>
      <c r="F265" t="s">
        <v>867</v>
      </c>
      <c r="K265" t="s">
        <v>988</v>
      </c>
      <c r="L265" t="s">
        <v>1085</v>
      </c>
      <c r="M265" t="s">
        <v>920</v>
      </c>
      <c r="N265" s="24">
        <v>46032</v>
      </c>
      <c r="O265" t="s">
        <v>748</v>
      </c>
      <c r="P265" t="s">
        <v>38</v>
      </c>
      <c r="R265" t="s">
        <v>77</v>
      </c>
      <c r="S265">
        <v>2.4</v>
      </c>
      <c r="T265">
        <v>17.420000000000002</v>
      </c>
      <c r="U265">
        <v>83.87</v>
      </c>
      <c r="V265" t="s">
        <v>1087</v>
      </c>
    </row>
    <row r="266" spans="3:22" hidden="1" x14ac:dyDescent="0.25">
      <c r="C266" t="s">
        <v>878</v>
      </c>
      <c r="D266">
        <v>6</v>
      </c>
      <c r="E266">
        <v>-83.87</v>
      </c>
      <c r="F266" t="s">
        <v>867</v>
      </c>
      <c r="K266" t="s">
        <v>1120</v>
      </c>
      <c r="L266" t="s">
        <v>1085</v>
      </c>
      <c r="M266" t="s">
        <v>920</v>
      </c>
      <c r="N266" s="24">
        <v>46032</v>
      </c>
      <c r="O266" t="s">
        <v>748</v>
      </c>
      <c r="P266" t="s">
        <v>38</v>
      </c>
      <c r="R266" t="s">
        <v>77</v>
      </c>
    </row>
    <row r="267" spans="3:22" hidden="1" x14ac:dyDescent="0.25">
      <c r="C267" t="s">
        <v>899</v>
      </c>
      <c r="D267" t="s">
        <v>900</v>
      </c>
      <c r="E267">
        <v>1</v>
      </c>
      <c r="F267" t="s">
        <v>865</v>
      </c>
      <c r="K267" t="s">
        <v>990</v>
      </c>
      <c r="L267" t="s">
        <v>1085</v>
      </c>
      <c r="M267" t="s">
        <v>920</v>
      </c>
      <c r="N267" s="24">
        <v>46032</v>
      </c>
      <c r="O267" t="s">
        <v>748</v>
      </c>
      <c r="P267" t="s">
        <v>38</v>
      </c>
      <c r="R267" t="s">
        <v>77</v>
      </c>
      <c r="S267">
        <v>10.15</v>
      </c>
      <c r="T267">
        <v>46.52</v>
      </c>
      <c r="U267">
        <v>0</v>
      </c>
      <c r="V267" t="s">
        <v>751</v>
      </c>
    </row>
    <row r="268" spans="3:22" hidden="1" x14ac:dyDescent="0.25">
      <c r="C268" t="s">
        <v>899</v>
      </c>
      <c r="D268" t="s">
        <v>900</v>
      </c>
      <c r="E268">
        <v>1</v>
      </c>
      <c r="F268" t="s">
        <v>865</v>
      </c>
      <c r="K268" t="s">
        <v>992</v>
      </c>
      <c r="L268" t="s">
        <v>1085</v>
      </c>
      <c r="M268" t="s">
        <v>920</v>
      </c>
      <c r="N268" s="24">
        <v>46032</v>
      </c>
      <c r="O268" t="s">
        <v>748</v>
      </c>
      <c r="P268" t="s">
        <v>38</v>
      </c>
      <c r="R268" t="s">
        <v>77</v>
      </c>
      <c r="S268">
        <v>9.9600000000000009</v>
      </c>
      <c r="T268">
        <v>74.569999999999993</v>
      </c>
      <c r="U268">
        <v>0</v>
      </c>
      <c r="V268" t="s">
        <v>751</v>
      </c>
    </row>
    <row r="269" spans="3:22" hidden="1" x14ac:dyDescent="0.25">
      <c r="C269" t="s">
        <v>899</v>
      </c>
      <c r="D269" t="s">
        <v>900</v>
      </c>
      <c r="E269">
        <v>1</v>
      </c>
      <c r="F269" t="s">
        <v>865</v>
      </c>
      <c r="K269" t="s">
        <v>994</v>
      </c>
      <c r="L269" t="s">
        <v>1085</v>
      </c>
      <c r="M269" t="s">
        <v>920</v>
      </c>
      <c r="N269" s="24">
        <v>46032</v>
      </c>
      <c r="O269" t="s">
        <v>748</v>
      </c>
      <c r="P269" t="s">
        <v>38</v>
      </c>
      <c r="R269" t="s">
        <v>77</v>
      </c>
      <c r="S269">
        <v>9.9600000000000009</v>
      </c>
      <c r="T269">
        <v>74.790000000000006</v>
      </c>
      <c r="U269">
        <v>0</v>
      </c>
      <c r="V269" t="s">
        <v>751</v>
      </c>
    </row>
    <row r="270" spans="3:22" hidden="1" x14ac:dyDescent="0.25">
      <c r="C270" t="s">
        <v>899</v>
      </c>
      <c r="D270" t="s">
        <v>900</v>
      </c>
      <c r="E270">
        <v>1</v>
      </c>
      <c r="F270" t="s">
        <v>865</v>
      </c>
      <c r="K270" t="s">
        <v>996</v>
      </c>
      <c r="L270" t="s">
        <v>1085</v>
      </c>
      <c r="M270" t="s">
        <v>920</v>
      </c>
      <c r="N270" s="24">
        <v>46032</v>
      </c>
      <c r="O270" t="s">
        <v>748</v>
      </c>
      <c r="P270" t="s">
        <v>38</v>
      </c>
      <c r="R270" t="s">
        <v>77</v>
      </c>
      <c r="S270">
        <v>9.77</v>
      </c>
      <c r="T270">
        <v>101.16</v>
      </c>
      <c r="U270">
        <v>0</v>
      </c>
      <c r="V270" t="s">
        <v>751</v>
      </c>
    </row>
    <row r="271" spans="3:22" hidden="1" x14ac:dyDescent="0.25">
      <c r="C271" t="s">
        <v>899</v>
      </c>
      <c r="D271" t="s">
        <v>900</v>
      </c>
      <c r="E271">
        <v>1</v>
      </c>
      <c r="F271" t="s">
        <v>865</v>
      </c>
      <c r="K271" t="s">
        <v>998</v>
      </c>
      <c r="L271" t="s">
        <v>1085</v>
      </c>
      <c r="M271" t="s">
        <v>920</v>
      </c>
      <c r="N271" s="24">
        <v>46032</v>
      </c>
      <c r="O271" t="s">
        <v>748</v>
      </c>
      <c r="P271" t="s">
        <v>38</v>
      </c>
      <c r="R271" t="s">
        <v>77</v>
      </c>
      <c r="S271">
        <v>9.7799999999999994</v>
      </c>
      <c r="T271">
        <v>99.77</v>
      </c>
      <c r="U271">
        <v>0</v>
      </c>
      <c r="V271" t="s">
        <v>751</v>
      </c>
    </row>
    <row r="272" spans="3:22" hidden="1" x14ac:dyDescent="0.25">
      <c r="C272" t="s">
        <v>899</v>
      </c>
      <c r="D272" t="s">
        <v>900</v>
      </c>
      <c r="E272">
        <v>1</v>
      </c>
      <c r="F272" t="s">
        <v>865</v>
      </c>
      <c r="K272" t="s">
        <v>1000</v>
      </c>
      <c r="L272" t="s">
        <v>1085</v>
      </c>
      <c r="M272" t="s">
        <v>920</v>
      </c>
      <c r="N272" s="24">
        <v>46032</v>
      </c>
      <c r="O272" t="s">
        <v>748</v>
      </c>
      <c r="P272" t="s">
        <v>38</v>
      </c>
      <c r="R272" t="s">
        <v>77</v>
      </c>
      <c r="S272">
        <v>9.89</v>
      </c>
      <c r="T272">
        <v>85.03</v>
      </c>
      <c r="U272">
        <v>0</v>
      </c>
      <c r="V272" t="s">
        <v>751</v>
      </c>
    </row>
    <row r="273" spans="3:22" hidden="1" x14ac:dyDescent="0.25">
      <c r="C273" t="s">
        <v>899</v>
      </c>
      <c r="D273" t="s">
        <v>900</v>
      </c>
      <c r="E273">
        <v>1</v>
      </c>
      <c r="F273" t="s">
        <v>865</v>
      </c>
      <c r="K273" t="s">
        <v>1002</v>
      </c>
      <c r="L273" t="s">
        <v>1085</v>
      </c>
      <c r="M273" t="s">
        <v>920</v>
      </c>
      <c r="N273" s="24">
        <v>46032</v>
      </c>
      <c r="O273" t="s">
        <v>748</v>
      </c>
      <c r="P273" t="s">
        <v>38</v>
      </c>
      <c r="R273" t="s">
        <v>77</v>
      </c>
      <c r="S273">
        <v>9.9499999999999993</v>
      </c>
      <c r="T273">
        <v>75.239999999999995</v>
      </c>
      <c r="U273">
        <v>0</v>
      </c>
      <c r="V273" t="s">
        <v>751</v>
      </c>
    </row>
    <row r="274" spans="3:22" hidden="1" x14ac:dyDescent="0.25">
      <c r="C274" t="s">
        <v>899</v>
      </c>
      <c r="D274" t="s">
        <v>900</v>
      </c>
      <c r="E274">
        <v>1</v>
      </c>
      <c r="F274" t="s">
        <v>865</v>
      </c>
      <c r="K274" t="s">
        <v>1004</v>
      </c>
      <c r="L274" t="s">
        <v>1085</v>
      </c>
      <c r="M274" t="s">
        <v>920</v>
      </c>
      <c r="N274" s="24">
        <v>46032</v>
      </c>
      <c r="O274" t="s">
        <v>748</v>
      </c>
      <c r="P274" t="s">
        <v>38</v>
      </c>
      <c r="R274" t="s">
        <v>77</v>
      </c>
      <c r="S274">
        <v>10.14</v>
      </c>
      <c r="T274">
        <v>48.35</v>
      </c>
      <c r="U274">
        <v>0</v>
      </c>
      <c r="V274" t="s">
        <v>751</v>
      </c>
    </row>
    <row r="275" spans="3:22" hidden="1" x14ac:dyDescent="0.25">
      <c r="C275" t="s">
        <v>899</v>
      </c>
      <c r="D275" t="s">
        <v>900</v>
      </c>
      <c r="E275">
        <v>1</v>
      </c>
      <c r="F275" t="s">
        <v>865</v>
      </c>
      <c r="K275" t="s">
        <v>1006</v>
      </c>
      <c r="L275" t="s">
        <v>1085</v>
      </c>
      <c r="M275" t="s">
        <v>920</v>
      </c>
      <c r="N275" s="24">
        <v>46032</v>
      </c>
      <c r="O275" t="s">
        <v>748</v>
      </c>
      <c r="P275" t="s">
        <v>38</v>
      </c>
      <c r="R275" t="s">
        <v>77</v>
      </c>
      <c r="S275">
        <v>10.039999999999999</v>
      </c>
      <c r="T275">
        <v>62.3</v>
      </c>
      <c r="U275">
        <v>0</v>
      </c>
      <c r="V275" t="s">
        <v>751</v>
      </c>
    </row>
    <row r="276" spans="3:22" hidden="1" x14ac:dyDescent="0.25">
      <c r="C276" t="s">
        <v>899</v>
      </c>
      <c r="D276" t="s">
        <v>900</v>
      </c>
      <c r="E276">
        <v>1</v>
      </c>
      <c r="F276" t="s">
        <v>865</v>
      </c>
      <c r="K276" t="s">
        <v>1008</v>
      </c>
      <c r="L276" t="s">
        <v>1085</v>
      </c>
      <c r="M276" t="s">
        <v>920</v>
      </c>
      <c r="N276" s="24">
        <v>46032</v>
      </c>
      <c r="O276" t="s">
        <v>748</v>
      </c>
      <c r="P276" t="s">
        <v>38</v>
      </c>
      <c r="R276" t="s">
        <v>77</v>
      </c>
      <c r="S276">
        <v>9.9700000000000006</v>
      </c>
      <c r="T276">
        <v>72.83</v>
      </c>
      <c r="U276">
        <v>0</v>
      </c>
      <c r="V276" t="s">
        <v>751</v>
      </c>
    </row>
    <row r="277" spans="3:22" hidden="1" x14ac:dyDescent="0.25">
      <c r="C277" t="s">
        <v>878</v>
      </c>
      <c r="D277">
        <v>8</v>
      </c>
      <c r="E277">
        <v>14.06</v>
      </c>
      <c r="F277" t="s">
        <v>867</v>
      </c>
      <c r="K277" t="s">
        <v>1010</v>
      </c>
      <c r="L277" t="s">
        <v>1085</v>
      </c>
      <c r="M277" t="s">
        <v>920</v>
      </c>
      <c r="N277" s="24">
        <v>46032</v>
      </c>
      <c r="O277" t="s">
        <v>748</v>
      </c>
      <c r="P277" t="s">
        <v>38</v>
      </c>
      <c r="R277" t="s">
        <v>77</v>
      </c>
      <c r="S277">
        <v>0.08</v>
      </c>
      <c r="T277">
        <v>2.99</v>
      </c>
      <c r="U277">
        <v>0</v>
      </c>
      <c r="V277" t="s">
        <v>752</v>
      </c>
    </row>
    <row r="278" spans="3:22" hidden="1" x14ac:dyDescent="0.25">
      <c r="C278" t="s">
        <v>901</v>
      </c>
      <c r="D278" t="s">
        <v>881</v>
      </c>
      <c r="E278">
        <v>1</v>
      </c>
      <c r="F278" t="s">
        <v>865</v>
      </c>
      <c r="K278" t="s">
        <v>1012</v>
      </c>
      <c r="L278" t="s">
        <v>1085</v>
      </c>
      <c r="M278" t="s">
        <v>920</v>
      </c>
      <c r="N278" s="24">
        <v>46032</v>
      </c>
      <c r="O278" t="s">
        <v>748</v>
      </c>
      <c r="P278" t="s">
        <v>38</v>
      </c>
      <c r="R278" t="s">
        <v>77</v>
      </c>
      <c r="S278">
        <v>9.6300000000000008</v>
      </c>
      <c r="T278">
        <v>28.06</v>
      </c>
      <c r="U278">
        <v>0</v>
      </c>
      <c r="V278" t="s">
        <v>753</v>
      </c>
    </row>
    <row r="279" spans="3:22" hidden="1" x14ac:dyDescent="0.25">
      <c r="C279" t="s">
        <v>901</v>
      </c>
      <c r="D279" t="s">
        <v>881</v>
      </c>
      <c r="E279">
        <v>1</v>
      </c>
      <c r="F279" t="s">
        <v>865</v>
      </c>
      <c r="K279" t="s">
        <v>1014</v>
      </c>
      <c r="L279" t="s">
        <v>1085</v>
      </c>
      <c r="M279" t="s">
        <v>920</v>
      </c>
      <c r="N279" s="24">
        <v>46032</v>
      </c>
      <c r="O279" t="s">
        <v>748</v>
      </c>
      <c r="P279" t="s">
        <v>38</v>
      </c>
      <c r="R279" t="s">
        <v>77</v>
      </c>
      <c r="S279">
        <v>9.6300000000000008</v>
      </c>
      <c r="T279">
        <v>28.06</v>
      </c>
      <c r="U279">
        <v>0</v>
      </c>
      <c r="V279" t="s">
        <v>753</v>
      </c>
    </row>
    <row r="280" spans="3:22" hidden="1" x14ac:dyDescent="0.25">
      <c r="C280" t="s">
        <v>901</v>
      </c>
      <c r="D280" t="s">
        <v>881</v>
      </c>
      <c r="E280">
        <v>1</v>
      </c>
      <c r="F280" t="s">
        <v>865</v>
      </c>
      <c r="K280" t="s">
        <v>1016</v>
      </c>
      <c r="L280" t="s">
        <v>1085</v>
      </c>
      <c r="M280" t="s">
        <v>920</v>
      </c>
      <c r="N280" s="24">
        <v>46032</v>
      </c>
      <c r="O280" t="s">
        <v>748</v>
      </c>
      <c r="P280" t="s">
        <v>38</v>
      </c>
      <c r="R280" t="s">
        <v>77</v>
      </c>
      <c r="S280">
        <v>9.6300000000000008</v>
      </c>
      <c r="T280">
        <v>28.05</v>
      </c>
      <c r="U280">
        <v>0</v>
      </c>
      <c r="V280" t="s">
        <v>753</v>
      </c>
    </row>
    <row r="281" spans="3:22" hidden="1" x14ac:dyDescent="0.25">
      <c r="C281" t="s">
        <v>901</v>
      </c>
      <c r="D281" t="s">
        <v>881</v>
      </c>
      <c r="E281">
        <v>1</v>
      </c>
      <c r="F281" t="s">
        <v>865</v>
      </c>
      <c r="K281" t="s">
        <v>1018</v>
      </c>
      <c r="L281" t="s">
        <v>1085</v>
      </c>
      <c r="M281" t="s">
        <v>920</v>
      </c>
      <c r="N281" s="24">
        <v>46032</v>
      </c>
      <c r="O281" t="s">
        <v>748</v>
      </c>
      <c r="P281" t="s">
        <v>38</v>
      </c>
      <c r="R281" t="s">
        <v>77</v>
      </c>
      <c r="S281">
        <v>9.56</v>
      </c>
      <c r="T281">
        <v>37.549999999999997</v>
      </c>
      <c r="U281">
        <v>0</v>
      </c>
      <c r="V281" t="s">
        <v>753</v>
      </c>
    </row>
    <row r="282" spans="3:22" hidden="1" x14ac:dyDescent="0.25">
      <c r="C282" t="s">
        <v>901</v>
      </c>
      <c r="D282" t="s">
        <v>881</v>
      </c>
      <c r="E282">
        <v>1</v>
      </c>
      <c r="F282" t="s">
        <v>865</v>
      </c>
      <c r="K282" t="s">
        <v>1020</v>
      </c>
      <c r="L282" t="s">
        <v>1085</v>
      </c>
      <c r="M282" t="s">
        <v>920</v>
      </c>
      <c r="N282" s="24">
        <v>46032</v>
      </c>
      <c r="O282" t="s">
        <v>748</v>
      </c>
      <c r="P282" t="s">
        <v>38</v>
      </c>
      <c r="R282" t="s">
        <v>77</v>
      </c>
      <c r="S282">
        <v>9.19</v>
      </c>
      <c r="T282">
        <v>90.67</v>
      </c>
      <c r="U282">
        <v>0</v>
      </c>
      <c r="V282" t="s">
        <v>753</v>
      </c>
    </row>
    <row r="283" spans="3:22" hidden="1" x14ac:dyDescent="0.25">
      <c r="C283" t="s">
        <v>901</v>
      </c>
      <c r="D283" t="s">
        <v>881</v>
      </c>
      <c r="E283">
        <v>1</v>
      </c>
      <c r="F283" t="s">
        <v>865</v>
      </c>
      <c r="K283" t="s">
        <v>1022</v>
      </c>
      <c r="L283" t="s">
        <v>1085</v>
      </c>
      <c r="M283" t="s">
        <v>920</v>
      </c>
      <c r="N283" s="24">
        <v>46032</v>
      </c>
      <c r="O283" t="s">
        <v>748</v>
      </c>
      <c r="P283" t="s">
        <v>38</v>
      </c>
      <c r="R283" t="s">
        <v>77</v>
      </c>
      <c r="S283">
        <v>9.3699999999999992</v>
      </c>
      <c r="T283">
        <v>65.03</v>
      </c>
      <c r="U283">
        <v>0</v>
      </c>
      <c r="V283" t="s">
        <v>753</v>
      </c>
    </row>
    <row r="284" spans="3:22" hidden="1" x14ac:dyDescent="0.25">
      <c r="C284" t="s">
        <v>901</v>
      </c>
      <c r="D284" t="s">
        <v>881</v>
      </c>
      <c r="E284">
        <v>1</v>
      </c>
      <c r="F284" t="s">
        <v>865</v>
      </c>
      <c r="K284" t="s">
        <v>1024</v>
      </c>
      <c r="L284" t="s">
        <v>1085</v>
      </c>
      <c r="M284" t="s">
        <v>920</v>
      </c>
      <c r="N284" s="24">
        <v>46032</v>
      </c>
      <c r="O284" t="s">
        <v>748</v>
      </c>
      <c r="P284" t="s">
        <v>38</v>
      </c>
      <c r="R284" t="s">
        <v>77</v>
      </c>
      <c r="S284">
        <v>9.3000000000000007</v>
      </c>
      <c r="T284">
        <v>75.78</v>
      </c>
      <c r="U284">
        <v>0</v>
      </c>
      <c r="V284" t="s">
        <v>753</v>
      </c>
    </row>
    <row r="285" spans="3:22" hidden="1" x14ac:dyDescent="0.25">
      <c r="C285" t="s">
        <v>901</v>
      </c>
      <c r="D285" t="s">
        <v>881</v>
      </c>
      <c r="E285">
        <v>1</v>
      </c>
      <c r="F285" t="s">
        <v>865</v>
      </c>
      <c r="K285" t="s">
        <v>1026</v>
      </c>
      <c r="L285" t="s">
        <v>1085</v>
      </c>
      <c r="M285" t="s">
        <v>920</v>
      </c>
      <c r="N285" s="24">
        <v>46032</v>
      </c>
      <c r="O285" t="s">
        <v>748</v>
      </c>
      <c r="P285" t="s">
        <v>38</v>
      </c>
      <c r="R285" t="s">
        <v>77</v>
      </c>
      <c r="S285">
        <v>9.3699999999999992</v>
      </c>
      <c r="T285">
        <v>64.81</v>
      </c>
      <c r="U285">
        <v>0</v>
      </c>
      <c r="V285" t="s">
        <v>753</v>
      </c>
    </row>
    <row r="286" spans="3:22" hidden="1" x14ac:dyDescent="0.25">
      <c r="C286" t="s">
        <v>901</v>
      </c>
      <c r="D286" t="s">
        <v>881</v>
      </c>
      <c r="E286">
        <v>1</v>
      </c>
      <c r="F286" t="s">
        <v>865</v>
      </c>
      <c r="K286" t="s">
        <v>1028</v>
      </c>
      <c r="L286" t="s">
        <v>1085</v>
      </c>
      <c r="M286" t="s">
        <v>920</v>
      </c>
      <c r="N286" s="24">
        <v>46032</v>
      </c>
      <c r="O286" t="s">
        <v>748</v>
      </c>
      <c r="P286" t="s">
        <v>38</v>
      </c>
      <c r="R286" t="s">
        <v>77</v>
      </c>
      <c r="S286">
        <v>9.4</v>
      </c>
      <c r="T286">
        <v>60.21</v>
      </c>
      <c r="U286">
        <v>0</v>
      </c>
      <c r="V286" t="s">
        <v>753</v>
      </c>
    </row>
    <row r="287" spans="3:22" hidden="1" x14ac:dyDescent="0.25">
      <c r="C287" t="s">
        <v>901</v>
      </c>
      <c r="D287" t="s">
        <v>881</v>
      </c>
      <c r="E287">
        <v>1</v>
      </c>
      <c r="F287" t="s">
        <v>865</v>
      </c>
      <c r="K287" t="s">
        <v>1030</v>
      </c>
      <c r="L287" t="s">
        <v>1085</v>
      </c>
      <c r="M287" t="s">
        <v>920</v>
      </c>
      <c r="N287" s="24">
        <v>46032</v>
      </c>
      <c r="O287" t="s">
        <v>748</v>
      </c>
      <c r="P287" t="s">
        <v>38</v>
      </c>
      <c r="R287" t="s">
        <v>77</v>
      </c>
      <c r="S287">
        <v>9.17</v>
      </c>
      <c r="T287">
        <v>94.48</v>
      </c>
      <c r="U287">
        <v>0</v>
      </c>
      <c r="V287" t="s">
        <v>753</v>
      </c>
    </row>
    <row r="288" spans="3:22" hidden="1" x14ac:dyDescent="0.25">
      <c r="C288" t="s">
        <v>878</v>
      </c>
      <c r="D288">
        <v>10</v>
      </c>
      <c r="E288">
        <v>1359.07</v>
      </c>
      <c r="F288" t="s">
        <v>867</v>
      </c>
      <c r="K288" t="s">
        <v>1034</v>
      </c>
      <c r="L288" t="s">
        <v>1085</v>
      </c>
      <c r="M288" t="s">
        <v>920</v>
      </c>
      <c r="N288" s="24">
        <v>46032</v>
      </c>
      <c r="O288" t="s">
        <v>748</v>
      </c>
      <c r="P288" t="s">
        <v>38</v>
      </c>
      <c r="R288" t="s">
        <v>77</v>
      </c>
      <c r="S288">
        <v>0.26</v>
      </c>
      <c r="T288">
        <v>17.21</v>
      </c>
      <c r="U288">
        <v>1305.1400000000001</v>
      </c>
      <c r="V288" t="s">
        <v>1088</v>
      </c>
    </row>
    <row r="289" spans="3:22" hidden="1" x14ac:dyDescent="0.25">
      <c r="C289" t="s">
        <v>878</v>
      </c>
      <c r="D289">
        <v>10</v>
      </c>
      <c r="E289">
        <v>-1305.1400000000001</v>
      </c>
      <c r="F289" t="s">
        <v>867</v>
      </c>
      <c r="K289" t="s">
        <v>1121</v>
      </c>
      <c r="L289" t="s">
        <v>1085</v>
      </c>
      <c r="M289" t="s">
        <v>920</v>
      </c>
      <c r="N289" s="24">
        <v>46032</v>
      </c>
      <c r="O289" t="s">
        <v>748</v>
      </c>
      <c r="P289" t="s">
        <v>38</v>
      </c>
      <c r="R289" t="s">
        <v>77</v>
      </c>
    </row>
    <row r="290" spans="3:22" hidden="1" x14ac:dyDescent="0.25">
      <c r="C290" t="s">
        <v>903</v>
      </c>
      <c r="D290" t="s">
        <v>881</v>
      </c>
      <c r="E290">
        <v>1</v>
      </c>
      <c r="F290" t="s">
        <v>865</v>
      </c>
      <c r="K290" t="s">
        <v>1036</v>
      </c>
      <c r="L290" t="s">
        <v>1085</v>
      </c>
      <c r="M290" t="s">
        <v>920</v>
      </c>
      <c r="N290" s="24">
        <v>46032</v>
      </c>
      <c r="O290" t="s">
        <v>748</v>
      </c>
      <c r="P290" t="s">
        <v>38</v>
      </c>
      <c r="R290" t="s">
        <v>77</v>
      </c>
      <c r="S290">
        <v>10.44</v>
      </c>
      <c r="T290">
        <v>23.48</v>
      </c>
      <c r="U290">
        <v>169.54</v>
      </c>
      <c r="V290" t="s">
        <v>754</v>
      </c>
    </row>
    <row r="291" spans="3:22" hidden="1" x14ac:dyDescent="0.25">
      <c r="C291" t="s">
        <v>878</v>
      </c>
      <c r="D291">
        <v>12</v>
      </c>
      <c r="E291">
        <v>-169.54</v>
      </c>
      <c r="F291" t="s">
        <v>867</v>
      </c>
      <c r="K291" t="s">
        <v>1122</v>
      </c>
      <c r="L291" t="s">
        <v>1085</v>
      </c>
      <c r="M291" t="s">
        <v>920</v>
      </c>
      <c r="N291" s="24">
        <v>46032</v>
      </c>
      <c r="O291" t="s">
        <v>748</v>
      </c>
      <c r="P291" t="s">
        <v>38</v>
      </c>
      <c r="R291" t="s">
        <v>77</v>
      </c>
    </row>
    <row r="292" spans="3:22" hidden="1" x14ac:dyDescent="0.25">
      <c r="C292" t="s">
        <v>903</v>
      </c>
      <c r="D292" t="s">
        <v>881</v>
      </c>
      <c r="E292">
        <v>1</v>
      </c>
      <c r="F292" t="s">
        <v>865</v>
      </c>
      <c r="K292" t="s">
        <v>1038</v>
      </c>
      <c r="L292" t="s">
        <v>1085</v>
      </c>
      <c r="M292" t="s">
        <v>920</v>
      </c>
      <c r="N292" s="24">
        <v>46032</v>
      </c>
      <c r="O292" t="s">
        <v>748</v>
      </c>
      <c r="P292" t="s">
        <v>38</v>
      </c>
      <c r="R292" t="s">
        <v>77</v>
      </c>
      <c r="S292">
        <v>10.44</v>
      </c>
      <c r="T292">
        <v>24.38</v>
      </c>
      <c r="U292">
        <v>169.55</v>
      </c>
      <c r="V292" t="s">
        <v>754</v>
      </c>
    </row>
    <row r="293" spans="3:22" hidden="1" x14ac:dyDescent="0.25">
      <c r="C293" t="s">
        <v>878</v>
      </c>
      <c r="D293">
        <v>12</v>
      </c>
      <c r="E293">
        <v>-169.55</v>
      </c>
      <c r="F293" t="s">
        <v>867</v>
      </c>
      <c r="K293" t="s">
        <v>1123</v>
      </c>
      <c r="L293" t="s">
        <v>1085</v>
      </c>
      <c r="M293" t="s">
        <v>920</v>
      </c>
      <c r="N293" s="24">
        <v>46032</v>
      </c>
      <c r="O293" t="s">
        <v>748</v>
      </c>
      <c r="P293" t="s">
        <v>38</v>
      </c>
      <c r="R293" t="s">
        <v>77</v>
      </c>
    </row>
    <row r="294" spans="3:22" hidden="1" x14ac:dyDescent="0.25">
      <c r="C294" t="s">
        <v>903</v>
      </c>
      <c r="D294" t="s">
        <v>881</v>
      </c>
      <c r="E294">
        <v>1</v>
      </c>
      <c r="F294" t="s">
        <v>865</v>
      </c>
      <c r="K294" t="s">
        <v>1040</v>
      </c>
      <c r="L294" t="s">
        <v>1085</v>
      </c>
      <c r="M294" t="s">
        <v>920</v>
      </c>
      <c r="N294" s="24">
        <v>46032</v>
      </c>
      <c r="O294" t="s">
        <v>748</v>
      </c>
      <c r="P294" t="s">
        <v>38</v>
      </c>
      <c r="R294" t="s">
        <v>77</v>
      </c>
      <c r="S294">
        <v>6.58</v>
      </c>
      <c r="T294">
        <v>20.13</v>
      </c>
      <c r="U294">
        <v>728.5</v>
      </c>
      <c r="V294" t="s">
        <v>754</v>
      </c>
    </row>
    <row r="295" spans="3:22" hidden="1" x14ac:dyDescent="0.25">
      <c r="C295" t="s">
        <v>878</v>
      </c>
      <c r="D295">
        <v>12</v>
      </c>
      <c r="E295">
        <v>-728.5</v>
      </c>
      <c r="F295" t="s">
        <v>867</v>
      </c>
      <c r="K295" t="s">
        <v>1124</v>
      </c>
      <c r="L295" t="s">
        <v>1085</v>
      </c>
      <c r="M295" t="s">
        <v>920</v>
      </c>
      <c r="N295" s="24">
        <v>46032</v>
      </c>
      <c r="O295" t="s">
        <v>748</v>
      </c>
      <c r="P295" t="s">
        <v>38</v>
      </c>
      <c r="R295" t="s">
        <v>77</v>
      </c>
    </row>
    <row r="296" spans="3:22" hidden="1" x14ac:dyDescent="0.25">
      <c r="C296" t="s">
        <v>903</v>
      </c>
      <c r="D296" t="s">
        <v>881</v>
      </c>
      <c r="E296">
        <v>1</v>
      </c>
      <c r="F296" t="s">
        <v>865</v>
      </c>
      <c r="K296" t="s">
        <v>1042</v>
      </c>
      <c r="L296" t="s">
        <v>1085</v>
      </c>
      <c r="M296" t="s">
        <v>920</v>
      </c>
      <c r="N296" s="24">
        <v>46032</v>
      </c>
      <c r="O296" t="s">
        <v>748</v>
      </c>
      <c r="P296" t="s">
        <v>38</v>
      </c>
      <c r="R296" t="s">
        <v>77</v>
      </c>
      <c r="S296">
        <v>10.44</v>
      </c>
      <c r="T296">
        <v>24.42</v>
      </c>
      <c r="U296">
        <v>169.56</v>
      </c>
      <c r="V296" t="s">
        <v>754</v>
      </c>
    </row>
    <row r="297" spans="3:22" hidden="1" x14ac:dyDescent="0.25">
      <c r="C297" t="s">
        <v>878</v>
      </c>
      <c r="D297">
        <v>12</v>
      </c>
      <c r="E297">
        <v>-169.56</v>
      </c>
      <c r="F297" t="s">
        <v>867</v>
      </c>
      <c r="K297" t="s">
        <v>1125</v>
      </c>
      <c r="L297" t="s">
        <v>1085</v>
      </c>
      <c r="M297" t="s">
        <v>920</v>
      </c>
      <c r="N297" s="24">
        <v>46032</v>
      </c>
      <c r="O297" t="s">
        <v>748</v>
      </c>
      <c r="P297" t="s">
        <v>38</v>
      </c>
      <c r="R297" t="s">
        <v>77</v>
      </c>
    </row>
    <row r="298" spans="3:22" hidden="1" x14ac:dyDescent="0.25">
      <c r="C298" t="s">
        <v>903</v>
      </c>
      <c r="D298" t="s">
        <v>881</v>
      </c>
      <c r="E298">
        <v>1</v>
      </c>
      <c r="F298" t="s">
        <v>865</v>
      </c>
      <c r="K298" t="s">
        <v>1044</v>
      </c>
      <c r="L298" t="s">
        <v>1085</v>
      </c>
      <c r="M298" t="s">
        <v>920</v>
      </c>
      <c r="N298" s="24">
        <v>46032</v>
      </c>
      <c r="O298" t="s">
        <v>748</v>
      </c>
      <c r="P298" t="s">
        <v>38</v>
      </c>
      <c r="R298" t="s">
        <v>77</v>
      </c>
      <c r="S298">
        <v>10.44</v>
      </c>
      <c r="T298">
        <v>24.6</v>
      </c>
      <c r="U298">
        <v>169.56</v>
      </c>
      <c r="V298" t="s">
        <v>754</v>
      </c>
    </row>
    <row r="299" spans="3:22" hidden="1" x14ac:dyDescent="0.25">
      <c r="C299" t="s">
        <v>878</v>
      </c>
      <c r="D299">
        <v>12</v>
      </c>
      <c r="E299">
        <v>-169.56</v>
      </c>
      <c r="F299" t="s">
        <v>867</v>
      </c>
      <c r="K299" t="s">
        <v>1126</v>
      </c>
      <c r="L299" t="s">
        <v>1085</v>
      </c>
      <c r="M299" t="s">
        <v>920</v>
      </c>
      <c r="N299" s="24">
        <v>46032</v>
      </c>
      <c r="O299" t="s">
        <v>748</v>
      </c>
      <c r="P299" t="s">
        <v>38</v>
      </c>
      <c r="R299" t="s">
        <v>77</v>
      </c>
    </row>
    <row r="300" spans="3:22" hidden="1" x14ac:dyDescent="0.25">
      <c r="C300" t="s">
        <v>878</v>
      </c>
      <c r="D300">
        <v>12</v>
      </c>
      <c r="E300">
        <v>1373.29</v>
      </c>
      <c r="F300" t="s">
        <v>867</v>
      </c>
      <c r="K300" t="s">
        <v>1047</v>
      </c>
      <c r="L300" t="s">
        <v>1085</v>
      </c>
      <c r="M300" t="s">
        <v>920</v>
      </c>
      <c r="N300" s="24">
        <v>46032</v>
      </c>
      <c r="O300" t="s">
        <v>748</v>
      </c>
      <c r="P300" t="s">
        <v>38</v>
      </c>
      <c r="R300" t="s">
        <v>77</v>
      </c>
      <c r="S300">
        <v>2.19</v>
      </c>
      <c r="T300">
        <v>2.33</v>
      </c>
      <c r="U300">
        <v>1055.26</v>
      </c>
      <c r="V300" t="s">
        <v>754</v>
      </c>
    </row>
    <row r="301" spans="3:22" hidden="1" x14ac:dyDescent="0.25">
      <c r="C301" t="s">
        <v>878</v>
      </c>
      <c r="D301">
        <v>12</v>
      </c>
      <c r="E301">
        <v>-1055.26</v>
      </c>
      <c r="F301" t="s">
        <v>867</v>
      </c>
      <c r="K301" t="s">
        <v>1127</v>
      </c>
      <c r="L301" t="s">
        <v>1085</v>
      </c>
      <c r="M301" t="s">
        <v>920</v>
      </c>
      <c r="N301" s="24">
        <v>46032</v>
      </c>
      <c r="O301" t="s">
        <v>748</v>
      </c>
      <c r="P301" t="s">
        <v>38</v>
      </c>
      <c r="R301" t="s">
        <v>77</v>
      </c>
    </row>
    <row r="302" spans="3:22" hidden="1" x14ac:dyDescent="0.25">
      <c r="C302" t="s">
        <v>910</v>
      </c>
      <c r="D302" t="s">
        <v>900</v>
      </c>
      <c r="E302">
        <v>1</v>
      </c>
      <c r="F302" t="s">
        <v>865</v>
      </c>
      <c r="K302" t="s">
        <v>1049</v>
      </c>
      <c r="L302" t="s">
        <v>1085</v>
      </c>
      <c r="M302" t="s">
        <v>920</v>
      </c>
      <c r="N302" s="24">
        <v>46032</v>
      </c>
      <c r="O302" t="s">
        <v>748</v>
      </c>
      <c r="P302" t="s">
        <v>38</v>
      </c>
      <c r="R302" t="s">
        <v>77</v>
      </c>
      <c r="S302">
        <v>20.12</v>
      </c>
      <c r="T302">
        <v>120.3</v>
      </c>
      <c r="U302">
        <v>0</v>
      </c>
      <c r="V302" t="s">
        <v>755</v>
      </c>
    </row>
    <row r="303" spans="3:22" hidden="1" x14ac:dyDescent="0.25">
      <c r="C303" t="s">
        <v>910</v>
      </c>
      <c r="D303" t="s">
        <v>900</v>
      </c>
      <c r="E303">
        <v>1</v>
      </c>
      <c r="F303" t="s">
        <v>865</v>
      </c>
      <c r="K303" t="s">
        <v>1051</v>
      </c>
      <c r="L303" t="s">
        <v>1085</v>
      </c>
      <c r="M303" t="s">
        <v>920</v>
      </c>
      <c r="N303" s="24">
        <v>46032</v>
      </c>
      <c r="O303" t="s">
        <v>748</v>
      </c>
      <c r="P303" t="s">
        <v>38</v>
      </c>
      <c r="R303" t="s">
        <v>77</v>
      </c>
      <c r="S303">
        <v>20.3</v>
      </c>
      <c r="T303">
        <v>94.27</v>
      </c>
      <c r="U303">
        <v>0</v>
      </c>
      <c r="V303" t="s">
        <v>755</v>
      </c>
    </row>
    <row r="304" spans="3:22" hidden="1" x14ac:dyDescent="0.25">
      <c r="C304" t="s">
        <v>878</v>
      </c>
      <c r="D304">
        <v>16</v>
      </c>
      <c r="E304">
        <v>2437.98</v>
      </c>
      <c r="F304" t="s">
        <v>867</v>
      </c>
      <c r="K304" t="s">
        <v>1055</v>
      </c>
      <c r="L304" t="s">
        <v>1085</v>
      </c>
      <c r="M304" t="s">
        <v>920</v>
      </c>
      <c r="N304" s="24">
        <v>46032</v>
      </c>
      <c r="O304" t="s">
        <v>748</v>
      </c>
      <c r="P304" t="s">
        <v>38</v>
      </c>
      <c r="R304" t="s">
        <v>77</v>
      </c>
      <c r="S304">
        <v>3.84</v>
      </c>
      <c r="T304">
        <v>35.79</v>
      </c>
      <c r="U304">
        <v>1850.26</v>
      </c>
      <c r="V304" t="s">
        <v>1089</v>
      </c>
    </row>
    <row r="305" spans="3:22" hidden="1" x14ac:dyDescent="0.25">
      <c r="C305" t="s">
        <v>878</v>
      </c>
      <c r="D305">
        <v>16</v>
      </c>
      <c r="E305">
        <v>-1850.26</v>
      </c>
      <c r="F305" t="s">
        <v>867</v>
      </c>
      <c r="K305" t="s">
        <v>1128</v>
      </c>
      <c r="L305" t="s">
        <v>1085</v>
      </c>
      <c r="M305" t="s">
        <v>920</v>
      </c>
      <c r="N305" s="24">
        <v>46032</v>
      </c>
      <c r="O305" t="s">
        <v>748</v>
      </c>
      <c r="P305" t="s">
        <v>38</v>
      </c>
      <c r="R305" t="s">
        <v>77</v>
      </c>
    </row>
    <row r="306" spans="3:22" hidden="1" x14ac:dyDescent="0.25">
      <c r="C306" t="s">
        <v>912</v>
      </c>
      <c r="D306" t="s">
        <v>900</v>
      </c>
      <c r="E306">
        <v>1</v>
      </c>
      <c r="F306" t="s">
        <v>865</v>
      </c>
      <c r="K306" t="s">
        <v>1057</v>
      </c>
      <c r="L306" t="s">
        <v>1085</v>
      </c>
      <c r="M306" t="s">
        <v>920</v>
      </c>
      <c r="N306" s="24">
        <v>46032</v>
      </c>
      <c r="O306" t="s">
        <v>748</v>
      </c>
      <c r="P306" t="s">
        <v>38</v>
      </c>
      <c r="R306" t="s">
        <v>77</v>
      </c>
      <c r="S306">
        <v>21.86</v>
      </c>
      <c r="T306">
        <v>432.41</v>
      </c>
      <c r="U306">
        <v>190.54</v>
      </c>
      <c r="V306" t="s">
        <v>756</v>
      </c>
    </row>
    <row r="307" spans="3:22" hidden="1" x14ac:dyDescent="0.25">
      <c r="C307" t="s">
        <v>878</v>
      </c>
      <c r="D307">
        <v>20</v>
      </c>
      <c r="E307">
        <v>-190.54</v>
      </c>
      <c r="F307" t="s">
        <v>867</v>
      </c>
      <c r="K307" t="s">
        <v>1129</v>
      </c>
      <c r="L307" t="s">
        <v>1085</v>
      </c>
      <c r="M307" t="s">
        <v>920</v>
      </c>
      <c r="N307" s="24">
        <v>46032</v>
      </c>
      <c r="O307" t="s">
        <v>748</v>
      </c>
      <c r="P307" t="s">
        <v>38</v>
      </c>
      <c r="R307" t="s">
        <v>77</v>
      </c>
    </row>
    <row r="308" spans="3:22" hidden="1" x14ac:dyDescent="0.25">
      <c r="C308" t="s">
        <v>878</v>
      </c>
      <c r="D308">
        <v>20</v>
      </c>
      <c r="E308">
        <v>105.48</v>
      </c>
      <c r="F308" t="s">
        <v>867</v>
      </c>
      <c r="K308" t="s">
        <v>1063</v>
      </c>
      <c r="L308" t="s">
        <v>1085</v>
      </c>
      <c r="M308" t="s">
        <v>920</v>
      </c>
      <c r="N308" s="24">
        <v>46032</v>
      </c>
      <c r="O308" t="s">
        <v>748</v>
      </c>
      <c r="P308" t="s">
        <v>38</v>
      </c>
      <c r="R308" t="s">
        <v>77</v>
      </c>
      <c r="S308">
        <v>0.63</v>
      </c>
      <c r="T308">
        <v>14.93</v>
      </c>
      <c r="U308">
        <v>0</v>
      </c>
      <c r="V308" t="s">
        <v>1090</v>
      </c>
    </row>
    <row r="309" spans="3:22" hidden="1" x14ac:dyDescent="0.25">
      <c r="C309" t="s">
        <v>878</v>
      </c>
      <c r="D309">
        <v>25</v>
      </c>
      <c r="E309">
        <v>1852.47</v>
      </c>
      <c r="F309" t="s">
        <v>867</v>
      </c>
      <c r="K309" t="s">
        <v>1067</v>
      </c>
      <c r="L309" t="s">
        <v>1085</v>
      </c>
      <c r="M309" t="s">
        <v>920</v>
      </c>
      <c r="N309" s="24">
        <v>46032</v>
      </c>
      <c r="O309" t="s">
        <v>748</v>
      </c>
      <c r="P309" t="s">
        <v>38</v>
      </c>
      <c r="R309" t="s">
        <v>77</v>
      </c>
      <c r="S309">
        <v>11.29</v>
      </c>
      <c r="T309">
        <v>227.66</v>
      </c>
      <c r="U309">
        <v>0</v>
      </c>
      <c r="V309" t="s">
        <v>1091</v>
      </c>
    </row>
    <row r="310" spans="3:22" hidden="1" x14ac:dyDescent="0.25">
      <c r="C310" t="s">
        <v>914</v>
      </c>
      <c r="D310" t="s">
        <v>900</v>
      </c>
      <c r="E310">
        <v>1</v>
      </c>
      <c r="F310" t="s">
        <v>865</v>
      </c>
      <c r="K310" t="s">
        <v>1071</v>
      </c>
      <c r="L310" t="s">
        <v>1085</v>
      </c>
      <c r="M310" t="s">
        <v>920</v>
      </c>
      <c r="N310" s="24">
        <v>46032</v>
      </c>
      <c r="O310" t="s">
        <v>748</v>
      </c>
      <c r="P310" t="s">
        <v>38</v>
      </c>
      <c r="R310" t="s">
        <v>77</v>
      </c>
      <c r="S310">
        <v>6.36</v>
      </c>
      <c r="T310">
        <v>101.61</v>
      </c>
      <c r="U310">
        <v>3693.82</v>
      </c>
      <c r="V310" t="s">
        <v>757</v>
      </c>
    </row>
    <row r="311" spans="3:22" hidden="1" x14ac:dyDescent="0.25">
      <c r="C311" t="s">
        <v>878</v>
      </c>
      <c r="D311">
        <v>25</v>
      </c>
      <c r="E311">
        <v>-3693.82</v>
      </c>
      <c r="F311" t="s">
        <v>867</v>
      </c>
      <c r="K311" t="s">
        <v>1130</v>
      </c>
      <c r="L311" t="s">
        <v>1085</v>
      </c>
      <c r="M311" t="s">
        <v>920</v>
      </c>
      <c r="N311" s="24">
        <v>46032</v>
      </c>
      <c r="O311" t="s">
        <v>748</v>
      </c>
      <c r="P311" t="s">
        <v>38</v>
      </c>
      <c r="R311" t="s">
        <v>77</v>
      </c>
    </row>
    <row r="312" spans="3:22" hidden="1" x14ac:dyDescent="0.25">
      <c r="C312" t="s">
        <v>878</v>
      </c>
      <c r="D312">
        <v>30</v>
      </c>
      <c r="E312">
        <v>3939.44</v>
      </c>
      <c r="F312" t="s">
        <v>867</v>
      </c>
      <c r="K312" t="s">
        <v>1076</v>
      </c>
      <c r="L312" t="s">
        <v>1085</v>
      </c>
      <c r="M312" t="s">
        <v>920</v>
      </c>
      <c r="N312" s="24">
        <v>46032</v>
      </c>
      <c r="O312" t="s">
        <v>748</v>
      </c>
      <c r="P312" t="s">
        <v>38</v>
      </c>
      <c r="R312" t="s">
        <v>77</v>
      </c>
      <c r="S312">
        <v>10.02</v>
      </c>
      <c r="T312">
        <v>271.11</v>
      </c>
      <c r="U312">
        <v>2226.81</v>
      </c>
      <c r="V312" t="s">
        <v>1092</v>
      </c>
    </row>
    <row r="313" spans="3:22" hidden="1" x14ac:dyDescent="0.25">
      <c r="C313" t="s">
        <v>878</v>
      </c>
      <c r="D313">
        <v>30</v>
      </c>
      <c r="E313">
        <v>-2226.81</v>
      </c>
      <c r="F313" t="s">
        <v>867</v>
      </c>
      <c r="K313" t="s">
        <v>1131</v>
      </c>
      <c r="L313" t="s">
        <v>1085</v>
      </c>
      <c r="M313" t="s">
        <v>920</v>
      </c>
      <c r="N313" s="24">
        <v>46032</v>
      </c>
      <c r="O313" t="s">
        <v>748</v>
      </c>
      <c r="P313" t="s">
        <v>38</v>
      </c>
      <c r="R313" t="s">
        <v>77</v>
      </c>
    </row>
    <row r="314" spans="3:22" hidden="1" x14ac:dyDescent="0.25">
      <c r="C314" t="s">
        <v>918</v>
      </c>
      <c r="D314">
        <v>60</v>
      </c>
      <c r="E314">
        <v>2310.56</v>
      </c>
      <c r="F314" t="s">
        <v>867</v>
      </c>
      <c r="K314" t="s">
        <v>1080</v>
      </c>
      <c r="L314" t="s">
        <v>1085</v>
      </c>
      <c r="M314" t="s">
        <v>920</v>
      </c>
      <c r="N314" s="24">
        <v>46032</v>
      </c>
      <c r="O314" t="s">
        <v>748</v>
      </c>
      <c r="P314" t="s">
        <v>38</v>
      </c>
      <c r="R314" t="s">
        <v>700</v>
      </c>
      <c r="S314">
        <v>9.36</v>
      </c>
      <c r="T314">
        <v>120.59</v>
      </c>
      <c r="U314">
        <v>843.15</v>
      </c>
      <c r="V314" t="s">
        <v>1093</v>
      </c>
    </row>
    <row r="315" spans="3:22" hidden="1" x14ac:dyDescent="0.25">
      <c r="C315" t="s">
        <v>918</v>
      </c>
      <c r="D315">
        <v>60</v>
      </c>
      <c r="E315">
        <v>-843.15</v>
      </c>
      <c r="F315" t="s">
        <v>867</v>
      </c>
      <c r="K315" t="s">
        <v>1132</v>
      </c>
      <c r="L315" t="s">
        <v>1085</v>
      </c>
      <c r="M315" t="s">
        <v>920</v>
      </c>
      <c r="N315" s="24">
        <v>46032</v>
      </c>
      <c r="O315" t="s">
        <v>748</v>
      </c>
      <c r="P315" t="s">
        <v>38</v>
      </c>
      <c r="R315" t="s">
        <v>700</v>
      </c>
    </row>
    <row r="316" spans="3:22" hidden="1" x14ac:dyDescent="0.25">
      <c r="C316" t="s">
        <v>918</v>
      </c>
      <c r="D316">
        <v>60</v>
      </c>
      <c r="E316">
        <v>2438.85</v>
      </c>
      <c r="F316" t="s">
        <v>867</v>
      </c>
      <c r="K316" t="s">
        <v>1084</v>
      </c>
      <c r="L316" t="s">
        <v>1085</v>
      </c>
      <c r="M316" t="s">
        <v>920</v>
      </c>
      <c r="N316" s="24">
        <v>46032</v>
      </c>
      <c r="O316" t="s">
        <v>748</v>
      </c>
      <c r="P316" t="s">
        <v>38</v>
      </c>
      <c r="R316" t="s">
        <v>700</v>
      </c>
      <c r="S316">
        <v>8.4</v>
      </c>
      <c r="T316">
        <v>125.35</v>
      </c>
      <c r="U316">
        <v>1105.74</v>
      </c>
      <c r="V316" t="s">
        <v>1094</v>
      </c>
    </row>
    <row r="317" spans="3:22" hidden="1" x14ac:dyDescent="0.25">
      <c r="C317" t="s">
        <v>918</v>
      </c>
      <c r="D317">
        <v>60</v>
      </c>
      <c r="E317">
        <v>-1105.74</v>
      </c>
      <c r="F317" t="s">
        <v>867</v>
      </c>
      <c r="K317" t="s">
        <v>1133</v>
      </c>
      <c r="L317" t="s">
        <v>1085</v>
      </c>
      <c r="M317" t="s">
        <v>920</v>
      </c>
      <c r="N317" s="24">
        <v>46032</v>
      </c>
      <c r="O317" t="s">
        <v>748</v>
      </c>
      <c r="P317" t="s">
        <v>38</v>
      </c>
      <c r="R317" t="s">
        <v>700</v>
      </c>
    </row>
    <row r="318" spans="3:22" hidden="1" x14ac:dyDescent="0.25">
      <c r="C318" t="s">
        <v>863</v>
      </c>
      <c r="D318" t="s">
        <v>864</v>
      </c>
      <c r="E318">
        <v>1</v>
      </c>
      <c r="F318" t="s">
        <v>865</v>
      </c>
      <c r="K318" t="s">
        <v>1137</v>
      </c>
      <c r="L318" t="s">
        <v>1307</v>
      </c>
      <c r="M318" t="s">
        <v>920</v>
      </c>
      <c r="N318" t="s">
        <v>1135</v>
      </c>
      <c r="O318" t="s">
        <v>748</v>
      </c>
      <c r="P318" t="s">
        <v>38</v>
      </c>
      <c r="R318" t="s">
        <v>33</v>
      </c>
      <c r="S318">
        <v>0.47</v>
      </c>
      <c r="T318">
        <v>5.43</v>
      </c>
      <c r="U318">
        <v>7.92</v>
      </c>
      <c r="V318" t="s">
        <v>745</v>
      </c>
    </row>
    <row r="319" spans="3:22" hidden="1" x14ac:dyDescent="0.25">
      <c r="C319" t="s">
        <v>866</v>
      </c>
      <c r="D319">
        <v>2</v>
      </c>
      <c r="E319">
        <v>-7.92</v>
      </c>
      <c r="F319" t="s">
        <v>867</v>
      </c>
      <c r="K319" t="s">
        <v>1315</v>
      </c>
      <c r="L319" t="s">
        <v>1307</v>
      </c>
      <c r="M319" t="s">
        <v>920</v>
      </c>
      <c r="N319" t="s">
        <v>1135</v>
      </c>
      <c r="O319" t="s">
        <v>748</v>
      </c>
      <c r="P319" t="s">
        <v>38</v>
      </c>
      <c r="R319" t="s">
        <v>33</v>
      </c>
    </row>
    <row r="320" spans="3:22" hidden="1" x14ac:dyDescent="0.25">
      <c r="C320" t="s">
        <v>863</v>
      </c>
      <c r="D320" t="s">
        <v>864</v>
      </c>
      <c r="E320">
        <v>1</v>
      </c>
      <c r="F320" t="s">
        <v>865</v>
      </c>
      <c r="K320" t="s">
        <v>1139</v>
      </c>
      <c r="L320" t="s">
        <v>1307</v>
      </c>
      <c r="M320" t="s">
        <v>920</v>
      </c>
      <c r="N320" t="s">
        <v>1135</v>
      </c>
      <c r="O320" t="s">
        <v>748</v>
      </c>
      <c r="P320" t="s">
        <v>38</v>
      </c>
      <c r="R320" t="s">
        <v>33</v>
      </c>
      <c r="S320">
        <v>0.56999999999999995</v>
      </c>
      <c r="T320">
        <v>0</v>
      </c>
      <c r="U320">
        <v>0</v>
      </c>
      <c r="V320" t="s">
        <v>745</v>
      </c>
    </row>
    <row r="321" spans="3:22" hidden="1" x14ac:dyDescent="0.25">
      <c r="C321" t="s">
        <v>863</v>
      </c>
      <c r="D321" t="s">
        <v>864</v>
      </c>
      <c r="E321">
        <v>1</v>
      </c>
      <c r="F321" t="s">
        <v>865</v>
      </c>
      <c r="K321" t="s">
        <v>1141</v>
      </c>
      <c r="L321" t="s">
        <v>1307</v>
      </c>
      <c r="M321" t="s">
        <v>920</v>
      </c>
      <c r="N321" t="s">
        <v>1135</v>
      </c>
      <c r="O321" t="s">
        <v>748</v>
      </c>
      <c r="P321" t="s">
        <v>38</v>
      </c>
      <c r="R321" t="s">
        <v>33</v>
      </c>
      <c r="S321">
        <v>0.56999999999999995</v>
      </c>
      <c r="T321">
        <v>0</v>
      </c>
      <c r="U321">
        <v>0</v>
      </c>
      <c r="V321" t="s">
        <v>745</v>
      </c>
    </row>
    <row r="322" spans="3:22" hidden="1" x14ac:dyDescent="0.25">
      <c r="C322" t="s">
        <v>863</v>
      </c>
      <c r="D322" t="s">
        <v>864</v>
      </c>
      <c r="E322">
        <v>1</v>
      </c>
      <c r="F322" t="s">
        <v>865</v>
      </c>
      <c r="K322" t="s">
        <v>1143</v>
      </c>
      <c r="L322" t="s">
        <v>1307</v>
      </c>
      <c r="M322" t="s">
        <v>920</v>
      </c>
      <c r="N322" t="s">
        <v>1135</v>
      </c>
      <c r="O322" t="s">
        <v>748</v>
      </c>
      <c r="P322" t="s">
        <v>38</v>
      </c>
      <c r="R322" t="s">
        <v>33</v>
      </c>
      <c r="S322">
        <v>0.47</v>
      </c>
      <c r="T322">
        <v>0</v>
      </c>
      <c r="U322">
        <v>15.07</v>
      </c>
      <c r="V322" t="s">
        <v>745</v>
      </c>
    </row>
    <row r="323" spans="3:22" hidden="1" x14ac:dyDescent="0.25">
      <c r="C323" t="s">
        <v>866</v>
      </c>
      <c r="D323">
        <v>2</v>
      </c>
      <c r="E323">
        <v>-15.07</v>
      </c>
      <c r="F323" t="s">
        <v>867</v>
      </c>
      <c r="K323" t="s">
        <v>1316</v>
      </c>
      <c r="L323" t="s">
        <v>1307</v>
      </c>
      <c r="M323" t="s">
        <v>920</v>
      </c>
      <c r="N323" t="s">
        <v>1135</v>
      </c>
      <c r="O323" t="s">
        <v>748</v>
      </c>
      <c r="P323" t="s">
        <v>38</v>
      </c>
      <c r="R323" t="s">
        <v>33</v>
      </c>
    </row>
    <row r="324" spans="3:22" hidden="1" x14ac:dyDescent="0.25">
      <c r="C324" t="s">
        <v>863</v>
      </c>
      <c r="D324" t="s">
        <v>864</v>
      </c>
      <c r="E324">
        <v>1</v>
      </c>
      <c r="F324" t="s">
        <v>865</v>
      </c>
      <c r="K324" t="s">
        <v>1145</v>
      </c>
      <c r="L324" t="s">
        <v>1307</v>
      </c>
      <c r="M324" t="s">
        <v>920</v>
      </c>
      <c r="N324" t="s">
        <v>1135</v>
      </c>
      <c r="O324" t="s">
        <v>748</v>
      </c>
      <c r="P324" t="s">
        <v>38</v>
      </c>
      <c r="R324" t="s">
        <v>33</v>
      </c>
      <c r="S324">
        <v>0.47</v>
      </c>
      <c r="T324">
        <v>0</v>
      </c>
      <c r="U324">
        <v>15.07</v>
      </c>
      <c r="V324" t="s">
        <v>745</v>
      </c>
    </row>
    <row r="325" spans="3:22" hidden="1" x14ac:dyDescent="0.25">
      <c r="C325" t="s">
        <v>866</v>
      </c>
      <c r="D325">
        <v>2</v>
      </c>
      <c r="E325">
        <v>-15.07</v>
      </c>
      <c r="F325" t="s">
        <v>867</v>
      </c>
      <c r="K325" t="s">
        <v>1317</v>
      </c>
      <c r="L325" t="s">
        <v>1307</v>
      </c>
      <c r="M325" t="s">
        <v>920</v>
      </c>
      <c r="N325" t="s">
        <v>1135</v>
      </c>
      <c r="O325" t="s">
        <v>748</v>
      </c>
      <c r="P325" t="s">
        <v>38</v>
      </c>
      <c r="R325" t="s">
        <v>33</v>
      </c>
    </row>
    <row r="326" spans="3:22" hidden="1" x14ac:dyDescent="0.25">
      <c r="C326" t="s">
        <v>863</v>
      </c>
      <c r="D326" t="s">
        <v>864</v>
      </c>
      <c r="E326">
        <v>1</v>
      </c>
      <c r="F326" t="s">
        <v>865</v>
      </c>
      <c r="K326" t="s">
        <v>1147</v>
      </c>
      <c r="L326" t="s">
        <v>1307</v>
      </c>
      <c r="M326" t="s">
        <v>920</v>
      </c>
      <c r="N326" t="s">
        <v>1135</v>
      </c>
      <c r="O326" t="s">
        <v>748</v>
      </c>
      <c r="P326" t="s">
        <v>38</v>
      </c>
      <c r="R326" t="s">
        <v>33</v>
      </c>
      <c r="S326">
        <v>0.47</v>
      </c>
      <c r="T326">
        <v>0</v>
      </c>
      <c r="U326">
        <v>15.07</v>
      </c>
      <c r="V326" t="s">
        <v>745</v>
      </c>
    </row>
    <row r="327" spans="3:22" hidden="1" x14ac:dyDescent="0.25">
      <c r="C327" t="s">
        <v>866</v>
      </c>
      <c r="D327">
        <v>2</v>
      </c>
      <c r="E327">
        <v>-15.07</v>
      </c>
      <c r="F327" t="s">
        <v>867</v>
      </c>
      <c r="K327" t="s">
        <v>1318</v>
      </c>
      <c r="L327" t="s">
        <v>1307</v>
      </c>
      <c r="M327" t="s">
        <v>920</v>
      </c>
      <c r="N327" t="s">
        <v>1135</v>
      </c>
      <c r="O327" t="s">
        <v>748</v>
      </c>
      <c r="P327" t="s">
        <v>38</v>
      </c>
      <c r="R327" t="s">
        <v>33</v>
      </c>
    </row>
    <row r="328" spans="3:22" hidden="1" x14ac:dyDescent="0.25">
      <c r="C328" t="s">
        <v>863</v>
      </c>
      <c r="D328" t="s">
        <v>864</v>
      </c>
      <c r="E328">
        <v>1</v>
      </c>
      <c r="F328" t="s">
        <v>865</v>
      </c>
      <c r="K328" t="s">
        <v>1149</v>
      </c>
      <c r="L328" t="s">
        <v>1307</v>
      </c>
      <c r="M328" t="s">
        <v>920</v>
      </c>
      <c r="N328" t="s">
        <v>1135</v>
      </c>
      <c r="O328" t="s">
        <v>748</v>
      </c>
      <c r="P328" t="s">
        <v>38</v>
      </c>
      <c r="R328" t="s">
        <v>33</v>
      </c>
      <c r="S328">
        <v>0.47</v>
      </c>
      <c r="T328">
        <v>0</v>
      </c>
      <c r="U328">
        <v>15.07</v>
      </c>
      <c r="V328" t="s">
        <v>745</v>
      </c>
    </row>
    <row r="329" spans="3:22" hidden="1" x14ac:dyDescent="0.25">
      <c r="C329" t="s">
        <v>866</v>
      </c>
      <c r="D329">
        <v>2</v>
      </c>
      <c r="E329">
        <v>-15.07</v>
      </c>
      <c r="F329" t="s">
        <v>867</v>
      </c>
      <c r="K329" t="s">
        <v>1319</v>
      </c>
      <c r="L329" t="s">
        <v>1307</v>
      </c>
      <c r="M329" t="s">
        <v>920</v>
      </c>
      <c r="N329" t="s">
        <v>1135</v>
      </c>
      <c r="O329" t="s">
        <v>748</v>
      </c>
      <c r="P329" t="s">
        <v>38</v>
      </c>
      <c r="R329" t="s">
        <v>33</v>
      </c>
    </row>
    <row r="330" spans="3:22" hidden="1" x14ac:dyDescent="0.25">
      <c r="C330" t="s">
        <v>863</v>
      </c>
      <c r="D330" t="s">
        <v>864</v>
      </c>
      <c r="E330">
        <v>1</v>
      </c>
      <c r="F330" t="s">
        <v>865</v>
      </c>
      <c r="K330" t="s">
        <v>1151</v>
      </c>
      <c r="L330" t="s">
        <v>1307</v>
      </c>
      <c r="M330" t="s">
        <v>920</v>
      </c>
      <c r="N330" t="s">
        <v>1135</v>
      </c>
      <c r="O330" t="s">
        <v>748</v>
      </c>
      <c r="P330" t="s">
        <v>38</v>
      </c>
      <c r="R330" t="s">
        <v>33</v>
      </c>
      <c r="S330">
        <v>0.44</v>
      </c>
      <c r="T330">
        <v>3.33</v>
      </c>
      <c r="U330">
        <v>15.07</v>
      </c>
      <c r="V330" t="s">
        <v>745</v>
      </c>
    </row>
    <row r="331" spans="3:22" hidden="1" x14ac:dyDescent="0.25">
      <c r="C331" t="s">
        <v>866</v>
      </c>
      <c r="D331">
        <v>2</v>
      </c>
      <c r="E331">
        <v>-15.07</v>
      </c>
      <c r="F331" t="s">
        <v>867</v>
      </c>
      <c r="K331" t="s">
        <v>1320</v>
      </c>
      <c r="L331" t="s">
        <v>1307</v>
      </c>
      <c r="M331" t="s">
        <v>920</v>
      </c>
      <c r="N331" t="s">
        <v>1135</v>
      </c>
      <c r="O331" t="s">
        <v>748</v>
      </c>
      <c r="P331" t="s">
        <v>38</v>
      </c>
      <c r="R331" t="s">
        <v>33</v>
      </c>
    </row>
    <row r="332" spans="3:22" hidden="1" x14ac:dyDescent="0.25">
      <c r="C332" t="s">
        <v>866</v>
      </c>
      <c r="D332">
        <v>2</v>
      </c>
      <c r="E332">
        <v>41.7</v>
      </c>
      <c r="F332" t="s">
        <v>867</v>
      </c>
      <c r="K332" t="s">
        <v>1154</v>
      </c>
      <c r="L332" t="s">
        <v>1307</v>
      </c>
      <c r="M332" t="s">
        <v>920</v>
      </c>
      <c r="N332" t="s">
        <v>1135</v>
      </c>
      <c r="O332" t="s">
        <v>748</v>
      </c>
      <c r="P332" t="s">
        <v>38</v>
      </c>
      <c r="R332" t="s">
        <v>33</v>
      </c>
      <c r="S332">
        <v>0.15</v>
      </c>
      <c r="T332">
        <v>0.56000000000000005</v>
      </c>
      <c r="U332">
        <v>18.899999999999999</v>
      </c>
      <c r="V332" t="s">
        <v>745</v>
      </c>
    </row>
    <row r="333" spans="3:22" hidden="1" x14ac:dyDescent="0.25">
      <c r="C333" t="s">
        <v>866</v>
      </c>
      <c r="D333">
        <v>2</v>
      </c>
      <c r="E333">
        <v>-18.899999999999999</v>
      </c>
      <c r="F333" t="s">
        <v>867</v>
      </c>
      <c r="K333" t="s">
        <v>1321</v>
      </c>
      <c r="L333" t="s">
        <v>1307</v>
      </c>
      <c r="M333" t="s">
        <v>920</v>
      </c>
      <c r="N333" t="s">
        <v>1135</v>
      </c>
      <c r="O333" t="s">
        <v>748</v>
      </c>
      <c r="P333" t="s">
        <v>38</v>
      </c>
      <c r="R333" t="s">
        <v>33</v>
      </c>
    </row>
    <row r="334" spans="3:22" hidden="1" x14ac:dyDescent="0.25">
      <c r="C334" t="s">
        <v>863</v>
      </c>
      <c r="D334" t="s">
        <v>864</v>
      </c>
      <c r="E334">
        <v>1</v>
      </c>
      <c r="F334" t="s">
        <v>865</v>
      </c>
      <c r="K334" t="s">
        <v>1158</v>
      </c>
      <c r="L334" t="s">
        <v>1307</v>
      </c>
      <c r="M334" t="s">
        <v>920</v>
      </c>
      <c r="N334" t="s">
        <v>1135</v>
      </c>
      <c r="O334" t="s">
        <v>748</v>
      </c>
      <c r="P334" t="s">
        <v>38</v>
      </c>
      <c r="R334" t="s">
        <v>33</v>
      </c>
      <c r="S334">
        <v>0.34</v>
      </c>
      <c r="T334">
        <v>0.19</v>
      </c>
      <c r="U334">
        <v>32.880000000000003</v>
      </c>
      <c r="V334" t="s">
        <v>745</v>
      </c>
    </row>
    <row r="335" spans="3:22" hidden="1" x14ac:dyDescent="0.25">
      <c r="C335" t="s">
        <v>866</v>
      </c>
      <c r="D335">
        <v>2</v>
      </c>
      <c r="E335">
        <v>-32.880000000000003</v>
      </c>
      <c r="F335" t="s">
        <v>867</v>
      </c>
      <c r="K335" t="s">
        <v>1322</v>
      </c>
      <c r="L335" t="s">
        <v>1307</v>
      </c>
      <c r="M335" t="s">
        <v>920</v>
      </c>
      <c r="N335" t="s">
        <v>1135</v>
      </c>
      <c r="O335" t="s">
        <v>748</v>
      </c>
      <c r="P335" t="s">
        <v>38</v>
      </c>
      <c r="R335" t="s">
        <v>33</v>
      </c>
    </row>
    <row r="336" spans="3:22" hidden="1" x14ac:dyDescent="0.25">
      <c r="C336" t="s">
        <v>878</v>
      </c>
      <c r="D336">
        <v>5</v>
      </c>
      <c r="E336">
        <v>210.3</v>
      </c>
      <c r="F336" t="s">
        <v>867</v>
      </c>
      <c r="K336" t="s">
        <v>1162</v>
      </c>
      <c r="L336" t="s">
        <v>1307</v>
      </c>
      <c r="M336" t="s">
        <v>920</v>
      </c>
      <c r="N336" t="s">
        <v>1135</v>
      </c>
      <c r="O336" t="s">
        <v>748</v>
      </c>
      <c r="P336" t="s">
        <v>38</v>
      </c>
      <c r="R336" t="s">
        <v>77</v>
      </c>
      <c r="S336">
        <v>1.21</v>
      </c>
      <c r="T336">
        <v>36.57</v>
      </c>
      <c r="U336">
        <v>0</v>
      </c>
      <c r="V336" t="s">
        <v>1308</v>
      </c>
    </row>
    <row r="337" spans="3:22" hidden="1" x14ac:dyDescent="0.25">
      <c r="C337" t="s">
        <v>876</v>
      </c>
      <c r="D337" t="s">
        <v>877</v>
      </c>
      <c r="E337">
        <v>1</v>
      </c>
      <c r="F337" t="s">
        <v>865</v>
      </c>
      <c r="K337" t="s">
        <v>1164</v>
      </c>
      <c r="L337" t="s">
        <v>1307</v>
      </c>
      <c r="M337" t="s">
        <v>920</v>
      </c>
      <c r="N337" t="s">
        <v>1135</v>
      </c>
      <c r="O337" t="s">
        <v>748</v>
      </c>
      <c r="P337" t="s">
        <v>38</v>
      </c>
      <c r="R337" t="s">
        <v>77</v>
      </c>
      <c r="S337">
        <v>0.25</v>
      </c>
      <c r="T337">
        <v>7.8</v>
      </c>
      <c r="U337">
        <v>309.62</v>
      </c>
      <c r="V337" t="s">
        <v>749</v>
      </c>
    </row>
    <row r="338" spans="3:22" hidden="1" x14ac:dyDescent="0.25">
      <c r="C338" t="s">
        <v>878</v>
      </c>
      <c r="D338">
        <v>5</v>
      </c>
      <c r="E338">
        <v>-309.62</v>
      </c>
      <c r="F338" t="s">
        <v>867</v>
      </c>
      <c r="K338" t="s">
        <v>1323</v>
      </c>
      <c r="L338" t="s">
        <v>1307</v>
      </c>
      <c r="M338" t="s">
        <v>920</v>
      </c>
      <c r="N338" t="s">
        <v>1135</v>
      </c>
      <c r="O338" t="s">
        <v>748</v>
      </c>
      <c r="P338" t="s">
        <v>38</v>
      </c>
      <c r="R338" t="s">
        <v>77</v>
      </c>
    </row>
    <row r="339" spans="3:22" hidden="1" x14ac:dyDescent="0.25">
      <c r="C339" t="s">
        <v>880</v>
      </c>
      <c r="D339" t="s">
        <v>881</v>
      </c>
      <c r="E339">
        <v>1</v>
      </c>
      <c r="F339" t="s">
        <v>865</v>
      </c>
      <c r="K339" t="s">
        <v>1168</v>
      </c>
      <c r="L339" t="s">
        <v>1307</v>
      </c>
      <c r="M339" t="s">
        <v>920</v>
      </c>
      <c r="N339" t="s">
        <v>1135</v>
      </c>
      <c r="O339" t="s">
        <v>748</v>
      </c>
      <c r="P339" t="s">
        <v>38</v>
      </c>
      <c r="R339" t="s">
        <v>77</v>
      </c>
      <c r="S339">
        <v>5.07</v>
      </c>
      <c r="T339">
        <v>26.06</v>
      </c>
      <c r="U339">
        <v>92.71</v>
      </c>
      <c r="V339" t="s">
        <v>750</v>
      </c>
    </row>
    <row r="340" spans="3:22" hidden="1" x14ac:dyDescent="0.25">
      <c r="C340" t="s">
        <v>878</v>
      </c>
      <c r="D340">
        <v>6</v>
      </c>
      <c r="E340">
        <v>-92.71</v>
      </c>
      <c r="F340" t="s">
        <v>867</v>
      </c>
      <c r="K340" t="s">
        <v>1324</v>
      </c>
      <c r="L340" t="s">
        <v>1307</v>
      </c>
      <c r="M340" t="s">
        <v>920</v>
      </c>
      <c r="N340" t="s">
        <v>1135</v>
      </c>
      <c r="O340" t="s">
        <v>748</v>
      </c>
      <c r="P340" t="s">
        <v>38</v>
      </c>
      <c r="R340" t="s">
        <v>77</v>
      </c>
    </row>
    <row r="341" spans="3:22" hidden="1" x14ac:dyDescent="0.25">
      <c r="C341" t="s">
        <v>880</v>
      </c>
      <c r="D341" t="s">
        <v>881</v>
      </c>
      <c r="E341">
        <v>1</v>
      </c>
      <c r="F341" t="s">
        <v>865</v>
      </c>
      <c r="K341" t="s">
        <v>1172</v>
      </c>
      <c r="L341" t="s">
        <v>1307</v>
      </c>
      <c r="M341" t="s">
        <v>920</v>
      </c>
      <c r="N341" t="s">
        <v>1135</v>
      </c>
      <c r="O341" t="s">
        <v>748</v>
      </c>
      <c r="P341" t="s">
        <v>38</v>
      </c>
      <c r="R341" t="s">
        <v>77</v>
      </c>
      <c r="S341">
        <v>5.09</v>
      </c>
      <c r="T341">
        <v>22.74</v>
      </c>
      <c r="U341">
        <v>92.71</v>
      </c>
      <c r="V341" t="s">
        <v>750</v>
      </c>
    </row>
    <row r="342" spans="3:22" hidden="1" x14ac:dyDescent="0.25">
      <c r="C342" t="s">
        <v>878</v>
      </c>
      <c r="D342">
        <v>6</v>
      </c>
      <c r="E342">
        <v>-92.71</v>
      </c>
      <c r="F342" t="s">
        <v>867</v>
      </c>
      <c r="K342" t="s">
        <v>1325</v>
      </c>
      <c r="L342" t="s">
        <v>1307</v>
      </c>
      <c r="M342" t="s">
        <v>920</v>
      </c>
      <c r="N342" t="s">
        <v>1135</v>
      </c>
      <c r="O342" t="s">
        <v>748</v>
      </c>
      <c r="P342" t="s">
        <v>38</v>
      </c>
      <c r="R342" t="s">
        <v>77</v>
      </c>
    </row>
    <row r="343" spans="3:22" hidden="1" x14ac:dyDescent="0.25">
      <c r="C343" t="s">
        <v>880</v>
      </c>
      <c r="D343" t="s">
        <v>881</v>
      </c>
      <c r="E343">
        <v>1</v>
      </c>
      <c r="F343" t="s">
        <v>865</v>
      </c>
      <c r="K343" t="s">
        <v>1174</v>
      </c>
      <c r="L343" t="s">
        <v>1307</v>
      </c>
      <c r="M343" t="s">
        <v>920</v>
      </c>
      <c r="N343" t="s">
        <v>1135</v>
      </c>
      <c r="O343" t="s">
        <v>748</v>
      </c>
      <c r="P343" t="s">
        <v>38</v>
      </c>
      <c r="R343" t="s">
        <v>77</v>
      </c>
      <c r="S343">
        <v>5.0599999999999996</v>
      </c>
      <c r="T343">
        <v>26.83</v>
      </c>
      <c r="U343">
        <v>92.71</v>
      </c>
      <c r="V343" t="s">
        <v>750</v>
      </c>
    </row>
    <row r="344" spans="3:22" hidden="1" x14ac:dyDescent="0.25">
      <c r="C344" t="s">
        <v>878</v>
      </c>
      <c r="D344">
        <v>6</v>
      </c>
      <c r="E344">
        <v>-92.71</v>
      </c>
      <c r="F344" t="s">
        <v>867</v>
      </c>
      <c r="K344" t="s">
        <v>1326</v>
      </c>
      <c r="L344" t="s">
        <v>1307</v>
      </c>
      <c r="M344" t="s">
        <v>920</v>
      </c>
      <c r="N344" t="s">
        <v>1135</v>
      </c>
      <c r="O344" t="s">
        <v>748</v>
      </c>
      <c r="P344" t="s">
        <v>38</v>
      </c>
      <c r="R344" t="s">
        <v>77</v>
      </c>
    </row>
    <row r="345" spans="3:22" hidden="1" x14ac:dyDescent="0.25">
      <c r="C345" t="s">
        <v>880</v>
      </c>
      <c r="D345" t="s">
        <v>881</v>
      </c>
      <c r="E345">
        <v>1</v>
      </c>
      <c r="F345" t="s">
        <v>865</v>
      </c>
      <c r="K345" t="s">
        <v>1176</v>
      </c>
      <c r="L345" t="s">
        <v>1307</v>
      </c>
      <c r="M345" t="s">
        <v>920</v>
      </c>
      <c r="N345" t="s">
        <v>1135</v>
      </c>
      <c r="O345" t="s">
        <v>748</v>
      </c>
      <c r="P345" t="s">
        <v>38</v>
      </c>
      <c r="R345" t="s">
        <v>77</v>
      </c>
      <c r="S345">
        <v>5.0599999999999996</v>
      </c>
      <c r="T345">
        <v>26.47</v>
      </c>
      <c r="U345">
        <v>93.17</v>
      </c>
      <c r="V345" t="s">
        <v>750</v>
      </c>
    </row>
    <row r="346" spans="3:22" hidden="1" x14ac:dyDescent="0.25">
      <c r="C346" t="s">
        <v>878</v>
      </c>
      <c r="D346">
        <v>6</v>
      </c>
      <c r="E346">
        <v>-93.17</v>
      </c>
      <c r="F346" t="s">
        <v>867</v>
      </c>
      <c r="K346" t="s">
        <v>1327</v>
      </c>
      <c r="L346" t="s">
        <v>1307</v>
      </c>
      <c r="M346" t="s">
        <v>920</v>
      </c>
      <c r="N346" t="s">
        <v>1135</v>
      </c>
      <c r="O346" t="s">
        <v>748</v>
      </c>
      <c r="P346" t="s">
        <v>38</v>
      </c>
      <c r="R346" t="s">
        <v>77</v>
      </c>
    </row>
    <row r="347" spans="3:22" hidden="1" x14ac:dyDescent="0.25">
      <c r="C347" t="s">
        <v>880</v>
      </c>
      <c r="D347" t="s">
        <v>881</v>
      </c>
      <c r="E347">
        <v>1</v>
      </c>
      <c r="F347" t="s">
        <v>865</v>
      </c>
      <c r="K347" t="s">
        <v>1178</v>
      </c>
      <c r="L347" t="s">
        <v>1307</v>
      </c>
      <c r="M347" t="s">
        <v>920</v>
      </c>
      <c r="N347" t="s">
        <v>1135</v>
      </c>
      <c r="O347" t="s">
        <v>748</v>
      </c>
      <c r="P347" t="s">
        <v>38</v>
      </c>
      <c r="R347" t="s">
        <v>77</v>
      </c>
      <c r="S347">
        <v>5.0599999999999996</v>
      </c>
      <c r="T347">
        <v>39.61</v>
      </c>
      <c r="U347">
        <v>80.27</v>
      </c>
      <c r="V347" t="s">
        <v>750</v>
      </c>
    </row>
    <row r="348" spans="3:22" hidden="1" x14ac:dyDescent="0.25">
      <c r="C348" t="s">
        <v>878</v>
      </c>
      <c r="D348">
        <v>6</v>
      </c>
      <c r="E348">
        <v>-80.27</v>
      </c>
      <c r="F348" t="s">
        <v>867</v>
      </c>
      <c r="K348" t="s">
        <v>1328</v>
      </c>
      <c r="L348" t="s">
        <v>1307</v>
      </c>
      <c r="M348" t="s">
        <v>920</v>
      </c>
      <c r="N348" t="s">
        <v>1135</v>
      </c>
      <c r="O348" t="s">
        <v>748</v>
      </c>
      <c r="P348" t="s">
        <v>38</v>
      </c>
      <c r="R348" t="s">
        <v>77</v>
      </c>
    </row>
    <row r="349" spans="3:22" hidden="1" x14ac:dyDescent="0.25">
      <c r="C349" t="s">
        <v>880</v>
      </c>
      <c r="D349" t="s">
        <v>881</v>
      </c>
      <c r="E349">
        <v>1</v>
      </c>
      <c r="F349" t="s">
        <v>865</v>
      </c>
      <c r="K349" t="s">
        <v>1180</v>
      </c>
      <c r="L349" t="s">
        <v>1307</v>
      </c>
      <c r="M349" t="s">
        <v>920</v>
      </c>
      <c r="N349" t="s">
        <v>1135</v>
      </c>
      <c r="O349" t="s">
        <v>748</v>
      </c>
      <c r="P349" t="s">
        <v>38</v>
      </c>
      <c r="R349" t="s">
        <v>77</v>
      </c>
      <c r="S349">
        <v>5.0599999999999996</v>
      </c>
      <c r="T349">
        <v>39.630000000000003</v>
      </c>
      <c r="U349">
        <v>80.27</v>
      </c>
      <c r="V349" t="s">
        <v>750</v>
      </c>
    </row>
    <row r="350" spans="3:22" hidden="1" x14ac:dyDescent="0.25">
      <c r="C350" t="s">
        <v>878</v>
      </c>
      <c r="D350">
        <v>6</v>
      </c>
      <c r="E350">
        <v>-80.27</v>
      </c>
      <c r="F350" t="s">
        <v>867</v>
      </c>
      <c r="K350" t="s">
        <v>1329</v>
      </c>
      <c r="L350" t="s">
        <v>1307</v>
      </c>
      <c r="M350" t="s">
        <v>920</v>
      </c>
      <c r="N350" t="s">
        <v>1135</v>
      </c>
      <c r="O350" t="s">
        <v>748</v>
      </c>
      <c r="P350" t="s">
        <v>38</v>
      </c>
      <c r="R350" t="s">
        <v>77</v>
      </c>
    </row>
    <row r="351" spans="3:22" hidden="1" x14ac:dyDescent="0.25">
      <c r="C351" t="s">
        <v>880</v>
      </c>
      <c r="D351" t="s">
        <v>881</v>
      </c>
      <c r="E351">
        <v>1</v>
      </c>
      <c r="F351" t="s">
        <v>865</v>
      </c>
      <c r="K351" t="s">
        <v>1182</v>
      </c>
      <c r="L351" t="s">
        <v>1307</v>
      </c>
      <c r="M351" t="s">
        <v>920</v>
      </c>
      <c r="N351" t="s">
        <v>1135</v>
      </c>
      <c r="O351" t="s">
        <v>748</v>
      </c>
      <c r="P351" t="s">
        <v>38</v>
      </c>
      <c r="R351" t="s">
        <v>77</v>
      </c>
      <c r="S351">
        <v>5.0599999999999996</v>
      </c>
      <c r="T351">
        <v>25.3</v>
      </c>
      <c r="U351">
        <v>94.75</v>
      </c>
      <c r="V351" t="s">
        <v>750</v>
      </c>
    </row>
    <row r="352" spans="3:22" hidden="1" x14ac:dyDescent="0.25">
      <c r="C352" t="s">
        <v>878</v>
      </c>
      <c r="D352">
        <v>6</v>
      </c>
      <c r="E352">
        <v>-94.75</v>
      </c>
      <c r="F352" t="s">
        <v>867</v>
      </c>
      <c r="K352" t="s">
        <v>1330</v>
      </c>
      <c r="L352" t="s">
        <v>1307</v>
      </c>
      <c r="M352" t="s">
        <v>920</v>
      </c>
      <c r="N352" t="s">
        <v>1135</v>
      </c>
      <c r="O352" t="s">
        <v>748</v>
      </c>
      <c r="P352" t="s">
        <v>38</v>
      </c>
      <c r="R352" t="s">
        <v>77</v>
      </c>
    </row>
    <row r="353" spans="3:22" hidden="1" x14ac:dyDescent="0.25">
      <c r="C353" t="s">
        <v>880</v>
      </c>
      <c r="D353" t="s">
        <v>881</v>
      </c>
      <c r="E353">
        <v>1</v>
      </c>
      <c r="F353" t="s">
        <v>865</v>
      </c>
      <c r="K353" t="s">
        <v>1184</v>
      </c>
      <c r="L353" t="s">
        <v>1307</v>
      </c>
      <c r="M353" t="s">
        <v>920</v>
      </c>
      <c r="N353" t="s">
        <v>1135</v>
      </c>
      <c r="O353" t="s">
        <v>748</v>
      </c>
      <c r="P353" t="s">
        <v>38</v>
      </c>
      <c r="R353" t="s">
        <v>77</v>
      </c>
      <c r="S353">
        <v>5.0599999999999996</v>
      </c>
      <c r="T353">
        <v>26.64</v>
      </c>
      <c r="U353">
        <v>93.43</v>
      </c>
      <c r="V353" t="s">
        <v>750</v>
      </c>
    </row>
    <row r="354" spans="3:22" hidden="1" x14ac:dyDescent="0.25">
      <c r="C354" t="s">
        <v>878</v>
      </c>
      <c r="D354">
        <v>6</v>
      </c>
      <c r="E354">
        <v>-93.43</v>
      </c>
      <c r="F354" t="s">
        <v>867</v>
      </c>
      <c r="K354" t="s">
        <v>1331</v>
      </c>
      <c r="L354" t="s">
        <v>1307</v>
      </c>
      <c r="M354" t="s">
        <v>920</v>
      </c>
      <c r="N354" t="s">
        <v>1135</v>
      </c>
      <c r="O354" t="s">
        <v>748</v>
      </c>
      <c r="P354" t="s">
        <v>38</v>
      </c>
      <c r="R354" t="s">
        <v>77</v>
      </c>
    </row>
    <row r="355" spans="3:22" hidden="1" x14ac:dyDescent="0.25">
      <c r="C355" t="s">
        <v>880</v>
      </c>
      <c r="D355" t="s">
        <v>881</v>
      </c>
      <c r="E355">
        <v>1</v>
      </c>
      <c r="F355" t="s">
        <v>865</v>
      </c>
      <c r="K355" t="s">
        <v>1186</v>
      </c>
      <c r="L355" t="s">
        <v>1307</v>
      </c>
      <c r="M355" t="s">
        <v>920</v>
      </c>
      <c r="N355" t="s">
        <v>1135</v>
      </c>
      <c r="O355" t="s">
        <v>748</v>
      </c>
      <c r="P355" t="s">
        <v>38</v>
      </c>
      <c r="R355" t="s">
        <v>77</v>
      </c>
      <c r="S355">
        <v>5.15</v>
      </c>
      <c r="T355">
        <v>26.1</v>
      </c>
      <c r="U355">
        <v>80.27</v>
      </c>
      <c r="V355" t="s">
        <v>750</v>
      </c>
    </row>
    <row r="356" spans="3:22" hidden="1" x14ac:dyDescent="0.25">
      <c r="C356" t="s">
        <v>878</v>
      </c>
      <c r="D356">
        <v>6</v>
      </c>
      <c r="E356">
        <v>-80.27</v>
      </c>
      <c r="F356" t="s">
        <v>867</v>
      </c>
      <c r="K356" t="s">
        <v>1332</v>
      </c>
      <c r="L356" t="s">
        <v>1307</v>
      </c>
      <c r="M356" t="s">
        <v>920</v>
      </c>
      <c r="N356" t="s">
        <v>1135</v>
      </c>
      <c r="O356" t="s">
        <v>748</v>
      </c>
      <c r="P356" t="s">
        <v>38</v>
      </c>
      <c r="R356" t="s">
        <v>77</v>
      </c>
    </row>
    <row r="357" spans="3:22" hidden="1" x14ac:dyDescent="0.25">
      <c r="C357" t="s">
        <v>880</v>
      </c>
      <c r="D357" t="s">
        <v>881</v>
      </c>
      <c r="E357">
        <v>1</v>
      </c>
      <c r="F357" t="s">
        <v>865</v>
      </c>
      <c r="K357" t="s">
        <v>1188</v>
      </c>
      <c r="L357" t="s">
        <v>1307</v>
      </c>
      <c r="M357" t="s">
        <v>920</v>
      </c>
      <c r="N357" t="s">
        <v>1135</v>
      </c>
      <c r="O357" t="s">
        <v>748</v>
      </c>
      <c r="P357" t="s">
        <v>38</v>
      </c>
      <c r="R357" t="s">
        <v>77</v>
      </c>
      <c r="S357">
        <v>5.2</v>
      </c>
      <c r="T357">
        <v>34.21</v>
      </c>
      <c r="U357">
        <v>65.959999999999994</v>
      </c>
      <c r="V357" t="s">
        <v>750</v>
      </c>
    </row>
    <row r="358" spans="3:22" hidden="1" x14ac:dyDescent="0.25">
      <c r="C358" t="s">
        <v>878</v>
      </c>
      <c r="D358">
        <v>6</v>
      </c>
      <c r="E358">
        <v>-65.959999999999994</v>
      </c>
      <c r="F358" t="s">
        <v>867</v>
      </c>
      <c r="K358" t="s">
        <v>1333</v>
      </c>
      <c r="L358" t="s">
        <v>1307</v>
      </c>
      <c r="M358" t="s">
        <v>920</v>
      </c>
      <c r="N358" t="s">
        <v>1135</v>
      </c>
      <c r="O358" t="s">
        <v>748</v>
      </c>
      <c r="P358" t="s">
        <v>38</v>
      </c>
      <c r="R358" t="s">
        <v>77</v>
      </c>
    </row>
    <row r="359" spans="3:22" hidden="1" x14ac:dyDescent="0.25">
      <c r="C359" t="s">
        <v>880</v>
      </c>
      <c r="D359" t="s">
        <v>881</v>
      </c>
      <c r="E359">
        <v>1</v>
      </c>
      <c r="F359" t="s">
        <v>865</v>
      </c>
      <c r="K359" t="s">
        <v>1190</v>
      </c>
      <c r="L359" t="s">
        <v>1307</v>
      </c>
      <c r="M359" t="s">
        <v>920</v>
      </c>
      <c r="N359" t="s">
        <v>1135</v>
      </c>
      <c r="O359" t="s">
        <v>748</v>
      </c>
      <c r="P359" t="s">
        <v>38</v>
      </c>
      <c r="R359" t="s">
        <v>77</v>
      </c>
      <c r="S359">
        <v>5.2</v>
      </c>
      <c r="T359">
        <v>34.450000000000003</v>
      </c>
      <c r="U359">
        <v>65.709999999999994</v>
      </c>
      <c r="V359" t="s">
        <v>750</v>
      </c>
    </row>
    <row r="360" spans="3:22" hidden="1" x14ac:dyDescent="0.25">
      <c r="C360" t="s">
        <v>878</v>
      </c>
      <c r="D360">
        <v>6</v>
      </c>
      <c r="E360">
        <v>-65.709999999999994</v>
      </c>
      <c r="F360" t="s">
        <v>867</v>
      </c>
      <c r="K360" t="s">
        <v>1334</v>
      </c>
      <c r="L360" t="s">
        <v>1307</v>
      </c>
      <c r="M360" t="s">
        <v>920</v>
      </c>
      <c r="N360" t="s">
        <v>1135</v>
      </c>
      <c r="O360" t="s">
        <v>748</v>
      </c>
      <c r="P360" t="s">
        <v>38</v>
      </c>
      <c r="R360" t="s">
        <v>77</v>
      </c>
    </row>
    <row r="361" spans="3:22" hidden="1" x14ac:dyDescent="0.25">
      <c r="C361" t="s">
        <v>880</v>
      </c>
      <c r="D361" t="s">
        <v>881</v>
      </c>
      <c r="E361">
        <v>1</v>
      </c>
      <c r="F361" t="s">
        <v>865</v>
      </c>
      <c r="K361" t="s">
        <v>1192</v>
      </c>
      <c r="L361" t="s">
        <v>1307</v>
      </c>
      <c r="M361" t="s">
        <v>920</v>
      </c>
      <c r="N361" t="s">
        <v>1135</v>
      </c>
      <c r="O361" t="s">
        <v>748</v>
      </c>
      <c r="P361" t="s">
        <v>38</v>
      </c>
      <c r="R361" t="s">
        <v>77</v>
      </c>
      <c r="S361">
        <v>5.05</v>
      </c>
      <c r="T361">
        <v>26.46</v>
      </c>
      <c r="U361">
        <v>95.38</v>
      </c>
      <c r="V361" t="s">
        <v>750</v>
      </c>
    </row>
    <row r="362" spans="3:22" hidden="1" x14ac:dyDescent="0.25">
      <c r="C362" t="s">
        <v>878</v>
      </c>
      <c r="D362">
        <v>6</v>
      </c>
      <c r="E362">
        <v>-95.38</v>
      </c>
      <c r="F362" t="s">
        <v>867</v>
      </c>
      <c r="K362" t="s">
        <v>1335</v>
      </c>
      <c r="L362" t="s">
        <v>1307</v>
      </c>
      <c r="M362" t="s">
        <v>920</v>
      </c>
      <c r="N362" t="s">
        <v>1135</v>
      </c>
      <c r="O362" t="s">
        <v>748</v>
      </c>
      <c r="P362" t="s">
        <v>38</v>
      </c>
      <c r="R362" t="s">
        <v>77</v>
      </c>
    </row>
    <row r="363" spans="3:22" hidden="1" x14ac:dyDescent="0.25">
      <c r="C363" t="s">
        <v>880</v>
      </c>
      <c r="D363" t="s">
        <v>881</v>
      </c>
      <c r="E363">
        <v>1</v>
      </c>
      <c r="F363" t="s">
        <v>865</v>
      </c>
      <c r="K363" t="s">
        <v>1194</v>
      </c>
      <c r="L363" t="s">
        <v>1307</v>
      </c>
      <c r="M363" t="s">
        <v>920</v>
      </c>
      <c r="N363" t="s">
        <v>1135</v>
      </c>
      <c r="O363" t="s">
        <v>748</v>
      </c>
      <c r="P363" t="s">
        <v>38</v>
      </c>
      <c r="R363" t="s">
        <v>77</v>
      </c>
      <c r="S363">
        <v>5.05</v>
      </c>
      <c r="T363">
        <v>24.72</v>
      </c>
      <c r="U363">
        <v>97.12</v>
      </c>
      <c r="V363" t="s">
        <v>750</v>
      </c>
    </row>
    <row r="364" spans="3:22" hidden="1" x14ac:dyDescent="0.25">
      <c r="C364" t="s">
        <v>878</v>
      </c>
      <c r="D364">
        <v>6</v>
      </c>
      <c r="E364">
        <v>-97.12</v>
      </c>
      <c r="F364" t="s">
        <v>867</v>
      </c>
      <c r="K364" t="s">
        <v>1336</v>
      </c>
      <c r="L364" t="s">
        <v>1307</v>
      </c>
      <c r="M364" t="s">
        <v>920</v>
      </c>
      <c r="N364" t="s">
        <v>1135</v>
      </c>
      <c r="O364" t="s">
        <v>748</v>
      </c>
      <c r="P364" t="s">
        <v>38</v>
      </c>
      <c r="R364" t="s">
        <v>77</v>
      </c>
    </row>
    <row r="365" spans="3:22" hidden="1" x14ac:dyDescent="0.25">
      <c r="C365" t="s">
        <v>880</v>
      </c>
      <c r="D365" t="s">
        <v>881</v>
      </c>
      <c r="E365">
        <v>1</v>
      </c>
      <c r="F365" t="s">
        <v>865</v>
      </c>
      <c r="K365" t="s">
        <v>1196</v>
      </c>
      <c r="L365" t="s">
        <v>1307</v>
      </c>
      <c r="M365" t="s">
        <v>920</v>
      </c>
      <c r="N365" t="s">
        <v>1135</v>
      </c>
      <c r="O365" t="s">
        <v>748</v>
      </c>
      <c r="P365" t="s">
        <v>38</v>
      </c>
      <c r="R365" t="s">
        <v>77</v>
      </c>
      <c r="S365">
        <v>5.05</v>
      </c>
      <c r="T365">
        <v>24.72</v>
      </c>
      <c r="U365">
        <v>97.12</v>
      </c>
      <c r="V365" t="s">
        <v>750</v>
      </c>
    </row>
    <row r="366" spans="3:22" hidden="1" x14ac:dyDescent="0.25">
      <c r="C366" t="s">
        <v>878</v>
      </c>
      <c r="D366">
        <v>6</v>
      </c>
      <c r="E366">
        <v>-97.12</v>
      </c>
      <c r="F366" t="s">
        <v>867</v>
      </c>
      <c r="K366" t="s">
        <v>1337</v>
      </c>
      <c r="L366" t="s">
        <v>1307</v>
      </c>
      <c r="M366" t="s">
        <v>920</v>
      </c>
      <c r="N366" t="s">
        <v>1135</v>
      </c>
      <c r="O366" t="s">
        <v>748</v>
      </c>
      <c r="P366" t="s">
        <v>38</v>
      </c>
      <c r="R366" t="s">
        <v>77</v>
      </c>
    </row>
    <row r="367" spans="3:22" hidden="1" x14ac:dyDescent="0.25">
      <c r="C367" t="s">
        <v>880</v>
      </c>
      <c r="D367" t="s">
        <v>881</v>
      </c>
      <c r="E367">
        <v>1</v>
      </c>
      <c r="F367" t="s">
        <v>865</v>
      </c>
      <c r="K367" t="s">
        <v>1198</v>
      </c>
      <c r="L367" t="s">
        <v>1307</v>
      </c>
      <c r="M367" t="s">
        <v>920</v>
      </c>
      <c r="N367" t="s">
        <v>1135</v>
      </c>
      <c r="O367" t="s">
        <v>748</v>
      </c>
      <c r="P367" t="s">
        <v>38</v>
      </c>
      <c r="R367" t="s">
        <v>77</v>
      </c>
      <c r="S367">
        <v>5.09</v>
      </c>
      <c r="T367">
        <v>35</v>
      </c>
      <c r="U367">
        <v>80.260000000000005</v>
      </c>
      <c r="V367" t="s">
        <v>750</v>
      </c>
    </row>
    <row r="368" spans="3:22" hidden="1" x14ac:dyDescent="0.25">
      <c r="C368" t="s">
        <v>878</v>
      </c>
      <c r="D368">
        <v>6</v>
      </c>
      <c r="E368">
        <v>-80.260000000000005</v>
      </c>
      <c r="F368" t="s">
        <v>867</v>
      </c>
      <c r="K368" t="s">
        <v>1338</v>
      </c>
      <c r="L368" t="s">
        <v>1307</v>
      </c>
      <c r="M368" t="s">
        <v>920</v>
      </c>
      <c r="N368" t="s">
        <v>1135</v>
      </c>
      <c r="O368" t="s">
        <v>748</v>
      </c>
      <c r="P368" t="s">
        <v>38</v>
      </c>
      <c r="R368" t="s">
        <v>77</v>
      </c>
    </row>
    <row r="369" spans="3:22" hidden="1" x14ac:dyDescent="0.25">
      <c r="C369" t="s">
        <v>880</v>
      </c>
      <c r="D369" t="s">
        <v>881</v>
      </c>
      <c r="E369">
        <v>1</v>
      </c>
      <c r="F369" t="s">
        <v>865</v>
      </c>
      <c r="K369" t="s">
        <v>1200</v>
      </c>
      <c r="L369" t="s">
        <v>1307</v>
      </c>
      <c r="M369" t="s">
        <v>920</v>
      </c>
      <c r="N369" t="s">
        <v>1135</v>
      </c>
      <c r="O369" t="s">
        <v>748</v>
      </c>
      <c r="P369" t="s">
        <v>38</v>
      </c>
      <c r="R369" t="s">
        <v>77</v>
      </c>
      <c r="S369">
        <v>5.16</v>
      </c>
      <c r="T369">
        <v>25.14</v>
      </c>
      <c r="U369">
        <v>80.260000000000005</v>
      </c>
      <c r="V369" t="s">
        <v>750</v>
      </c>
    </row>
    <row r="370" spans="3:22" hidden="1" x14ac:dyDescent="0.25">
      <c r="C370" t="s">
        <v>878</v>
      </c>
      <c r="D370">
        <v>6</v>
      </c>
      <c r="E370">
        <v>-80.260000000000005</v>
      </c>
      <c r="F370" t="s">
        <v>867</v>
      </c>
      <c r="K370" t="s">
        <v>1339</v>
      </c>
      <c r="L370" t="s">
        <v>1307</v>
      </c>
      <c r="M370" t="s">
        <v>920</v>
      </c>
      <c r="N370" t="s">
        <v>1135</v>
      </c>
      <c r="O370" t="s">
        <v>748</v>
      </c>
      <c r="P370" t="s">
        <v>38</v>
      </c>
      <c r="R370" t="s">
        <v>77</v>
      </c>
    </row>
    <row r="371" spans="3:22" hidden="1" x14ac:dyDescent="0.25">
      <c r="C371" t="s">
        <v>880</v>
      </c>
      <c r="D371" t="s">
        <v>881</v>
      </c>
      <c r="E371">
        <v>1</v>
      </c>
      <c r="F371" t="s">
        <v>865</v>
      </c>
      <c r="K371" t="s">
        <v>1202</v>
      </c>
      <c r="L371" t="s">
        <v>1307</v>
      </c>
      <c r="M371" t="s">
        <v>920</v>
      </c>
      <c r="N371" t="s">
        <v>1135</v>
      </c>
      <c r="O371" t="s">
        <v>748</v>
      </c>
      <c r="P371" t="s">
        <v>38</v>
      </c>
      <c r="R371" t="s">
        <v>77</v>
      </c>
      <c r="S371">
        <v>5.41</v>
      </c>
      <c r="T371">
        <v>69.19</v>
      </c>
      <c r="U371">
        <v>0</v>
      </c>
      <c r="V371" t="s">
        <v>750</v>
      </c>
    </row>
    <row r="372" spans="3:22" hidden="1" x14ac:dyDescent="0.25">
      <c r="C372" t="s">
        <v>878</v>
      </c>
      <c r="D372">
        <v>6</v>
      </c>
      <c r="E372">
        <v>446.86</v>
      </c>
      <c r="F372" t="s">
        <v>867</v>
      </c>
      <c r="K372" t="s">
        <v>1204</v>
      </c>
      <c r="L372" t="s">
        <v>1307</v>
      </c>
      <c r="M372" t="s">
        <v>920</v>
      </c>
      <c r="N372" t="s">
        <v>1135</v>
      </c>
      <c r="O372" t="s">
        <v>748</v>
      </c>
      <c r="P372" t="s">
        <v>38</v>
      </c>
      <c r="R372" t="s">
        <v>77</v>
      </c>
      <c r="S372">
        <v>2.4</v>
      </c>
      <c r="T372">
        <v>17.420000000000002</v>
      </c>
      <c r="U372">
        <v>83.87</v>
      </c>
      <c r="V372" t="s">
        <v>1087</v>
      </c>
    </row>
    <row r="373" spans="3:22" hidden="1" x14ac:dyDescent="0.25">
      <c r="C373" t="s">
        <v>878</v>
      </c>
      <c r="D373">
        <v>6</v>
      </c>
      <c r="E373">
        <v>-83.87</v>
      </c>
      <c r="F373" t="s">
        <v>867</v>
      </c>
      <c r="K373" t="s">
        <v>1340</v>
      </c>
      <c r="L373" t="s">
        <v>1307</v>
      </c>
      <c r="M373" t="s">
        <v>920</v>
      </c>
      <c r="N373" t="s">
        <v>1135</v>
      </c>
      <c r="O373" t="s">
        <v>748</v>
      </c>
      <c r="P373" t="s">
        <v>38</v>
      </c>
      <c r="R373" t="s">
        <v>77</v>
      </c>
    </row>
    <row r="374" spans="3:22" hidden="1" x14ac:dyDescent="0.25">
      <c r="C374" t="s">
        <v>899</v>
      </c>
      <c r="D374" t="s">
        <v>900</v>
      </c>
      <c r="E374">
        <v>1</v>
      </c>
      <c r="F374" t="s">
        <v>865</v>
      </c>
      <c r="K374" t="s">
        <v>1206</v>
      </c>
      <c r="L374" t="s">
        <v>1307</v>
      </c>
      <c r="M374" t="s">
        <v>920</v>
      </c>
      <c r="N374" t="s">
        <v>1135</v>
      </c>
      <c r="O374" t="s">
        <v>748</v>
      </c>
      <c r="P374" t="s">
        <v>38</v>
      </c>
      <c r="R374" t="s">
        <v>77</v>
      </c>
      <c r="S374">
        <v>10.15</v>
      </c>
      <c r="T374">
        <v>46.52</v>
      </c>
      <c r="U374">
        <v>0</v>
      </c>
      <c r="V374" t="s">
        <v>751</v>
      </c>
    </row>
    <row r="375" spans="3:22" hidden="1" x14ac:dyDescent="0.25">
      <c r="C375" t="s">
        <v>899</v>
      </c>
      <c r="D375" t="s">
        <v>900</v>
      </c>
      <c r="E375">
        <v>1</v>
      </c>
      <c r="F375" t="s">
        <v>865</v>
      </c>
      <c r="K375" t="s">
        <v>1208</v>
      </c>
      <c r="L375" t="s">
        <v>1307</v>
      </c>
      <c r="M375" t="s">
        <v>920</v>
      </c>
      <c r="N375" t="s">
        <v>1135</v>
      </c>
      <c r="O375" t="s">
        <v>748</v>
      </c>
      <c r="P375" t="s">
        <v>38</v>
      </c>
      <c r="R375" t="s">
        <v>77</v>
      </c>
      <c r="S375">
        <v>9.9600000000000009</v>
      </c>
      <c r="T375">
        <v>74.569999999999993</v>
      </c>
      <c r="U375">
        <v>0</v>
      </c>
      <c r="V375" t="s">
        <v>751</v>
      </c>
    </row>
    <row r="376" spans="3:22" hidden="1" x14ac:dyDescent="0.25">
      <c r="C376" t="s">
        <v>899</v>
      </c>
      <c r="D376" t="s">
        <v>900</v>
      </c>
      <c r="E376">
        <v>1</v>
      </c>
      <c r="F376" t="s">
        <v>865</v>
      </c>
      <c r="K376" t="s">
        <v>1210</v>
      </c>
      <c r="L376" t="s">
        <v>1307</v>
      </c>
      <c r="M376" t="s">
        <v>920</v>
      </c>
      <c r="N376" t="s">
        <v>1135</v>
      </c>
      <c r="O376" t="s">
        <v>748</v>
      </c>
      <c r="P376" t="s">
        <v>38</v>
      </c>
      <c r="R376" t="s">
        <v>77</v>
      </c>
      <c r="S376">
        <v>9.9600000000000009</v>
      </c>
      <c r="T376">
        <v>74.790000000000006</v>
      </c>
      <c r="U376">
        <v>0</v>
      </c>
      <c r="V376" t="s">
        <v>751</v>
      </c>
    </row>
    <row r="377" spans="3:22" hidden="1" x14ac:dyDescent="0.25">
      <c r="C377" t="s">
        <v>899</v>
      </c>
      <c r="D377" t="s">
        <v>900</v>
      </c>
      <c r="E377">
        <v>1</v>
      </c>
      <c r="F377" t="s">
        <v>865</v>
      </c>
      <c r="K377" t="s">
        <v>1212</v>
      </c>
      <c r="L377" t="s">
        <v>1307</v>
      </c>
      <c r="M377" t="s">
        <v>920</v>
      </c>
      <c r="N377" t="s">
        <v>1135</v>
      </c>
      <c r="O377" t="s">
        <v>748</v>
      </c>
      <c r="P377" t="s">
        <v>38</v>
      </c>
      <c r="R377" t="s">
        <v>77</v>
      </c>
      <c r="S377">
        <v>9.77</v>
      </c>
      <c r="T377">
        <v>101.16</v>
      </c>
      <c r="U377">
        <v>0</v>
      </c>
      <c r="V377" t="s">
        <v>751</v>
      </c>
    </row>
    <row r="378" spans="3:22" hidden="1" x14ac:dyDescent="0.25">
      <c r="C378" t="s">
        <v>899</v>
      </c>
      <c r="D378" t="s">
        <v>900</v>
      </c>
      <c r="E378">
        <v>1</v>
      </c>
      <c r="F378" t="s">
        <v>865</v>
      </c>
      <c r="K378" t="s">
        <v>1214</v>
      </c>
      <c r="L378" t="s">
        <v>1307</v>
      </c>
      <c r="M378" t="s">
        <v>920</v>
      </c>
      <c r="N378" t="s">
        <v>1135</v>
      </c>
      <c r="O378" t="s">
        <v>748</v>
      </c>
      <c r="P378" t="s">
        <v>38</v>
      </c>
      <c r="R378" t="s">
        <v>77</v>
      </c>
      <c r="S378">
        <v>9.7799999999999994</v>
      </c>
      <c r="T378">
        <v>99.77</v>
      </c>
      <c r="U378">
        <v>0</v>
      </c>
      <c r="V378" t="s">
        <v>751</v>
      </c>
    </row>
    <row r="379" spans="3:22" hidden="1" x14ac:dyDescent="0.25">
      <c r="C379" t="s">
        <v>899</v>
      </c>
      <c r="D379" t="s">
        <v>900</v>
      </c>
      <c r="E379">
        <v>1</v>
      </c>
      <c r="F379" t="s">
        <v>865</v>
      </c>
      <c r="K379" t="s">
        <v>1216</v>
      </c>
      <c r="L379" t="s">
        <v>1307</v>
      </c>
      <c r="M379" t="s">
        <v>920</v>
      </c>
      <c r="N379" t="s">
        <v>1135</v>
      </c>
      <c r="O379" t="s">
        <v>748</v>
      </c>
      <c r="P379" t="s">
        <v>38</v>
      </c>
      <c r="R379" t="s">
        <v>77</v>
      </c>
      <c r="S379">
        <v>9.89</v>
      </c>
      <c r="T379">
        <v>85.03</v>
      </c>
      <c r="U379">
        <v>0</v>
      </c>
      <c r="V379" t="s">
        <v>751</v>
      </c>
    </row>
    <row r="380" spans="3:22" hidden="1" x14ac:dyDescent="0.25">
      <c r="C380" t="s">
        <v>899</v>
      </c>
      <c r="D380" t="s">
        <v>900</v>
      </c>
      <c r="E380">
        <v>1</v>
      </c>
      <c r="F380" t="s">
        <v>865</v>
      </c>
      <c r="K380" t="s">
        <v>1218</v>
      </c>
      <c r="L380" t="s">
        <v>1307</v>
      </c>
      <c r="M380" t="s">
        <v>920</v>
      </c>
      <c r="N380" t="s">
        <v>1135</v>
      </c>
      <c r="O380" t="s">
        <v>748</v>
      </c>
      <c r="P380" t="s">
        <v>38</v>
      </c>
      <c r="R380" t="s">
        <v>77</v>
      </c>
      <c r="S380">
        <v>9.9499999999999993</v>
      </c>
      <c r="T380">
        <v>75.239999999999995</v>
      </c>
      <c r="U380">
        <v>0</v>
      </c>
      <c r="V380" t="s">
        <v>751</v>
      </c>
    </row>
    <row r="381" spans="3:22" hidden="1" x14ac:dyDescent="0.25">
      <c r="C381" t="s">
        <v>899</v>
      </c>
      <c r="D381" t="s">
        <v>900</v>
      </c>
      <c r="E381">
        <v>1</v>
      </c>
      <c r="F381" t="s">
        <v>865</v>
      </c>
      <c r="K381" t="s">
        <v>1220</v>
      </c>
      <c r="L381" t="s">
        <v>1307</v>
      </c>
      <c r="M381" t="s">
        <v>920</v>
      </c>
      <c r="N381" t="s">
        <v>1135</v>
      </c>
      <c r="O381" t="s">
        <v>748</v>
      </c>
      <c r="P381" t="s">
        <v>38</v>
      </c>
      <c r="R381" t="s">
        <v>77</v>
      </c>
      <c r="S381">
        <v>10.14</v>
      </c>
      <c r="T381">
        <v>48.35</v>
      </c>
      <c r="U381">
        <v>0</v>
      </c>
      <c r="V381" t="s">
        <v>751</v>
      </c>
    </row>
    <row r="382" spans="3:22" hidden="1" x14ac:dyDescent="0.25">
      <c r="C382" t="s">
        <v>899</v>
      </c>
      <c r="D382" t="s">
        <v>900</v>
      </c>
      <c r="E382">
        <v>1</v>
      </c>
      <c r="F382" t="s">
        <v>865</v>
      </c>
      <c r="K382" t="s">
        <v>1222</v>
      </c>
      <c r="L382" t="s">
        <v>1307</v>
      </c>
      <c r="M382" t="s">
        <v>920</v>
      </c>
      <c r="N382" t="s">
        <v>1135</v>
      </c>
      <c r="O382" t="s">
        <v>748</v>
      </c>
      <c r="P382" t="s">
        <v>38</v>
      </c>
      <c r="R382" t="s">
        <v>77</v>
      </c>
      <c r="S382">
        <v>10.039999999999999</v>
      </c>
      <c r="T382">
        <v>62.3</v>
      </c>
      <c r="U382">
        <v>0</v>
      </c>
      <c r="V382" t="s">
        <v>751</v>
      </c>
    </row>
    <row r="383" spans="3:22" hidden="1" x14ac:dyDescent="0.25">
      <c r="C383" t="s">
        <v>899</v>
      </c>
      <c r="D383" t="s">
        <v>900</v>
      </c>
      <c r="E383">
        <v>1</v>
      </c>
      <c r="F383" t="s">
        <v>865</v>
      </c>
      <c r="K383" t="s">
        <v>1224</v>
      </c>
      <c r="L383" t="s">
        <v>1307</v>
      </c>
      <c r="M383" t="s">
        <v>920</v>
      </c>
      <c r="N383" t="s">
        <v>1135</v>
      </c>
      <c r="O383" t="s">
        <v>748</v>
      </c>
      <c r="P383" t="s">
        <v>38</v>
      </c>
      <c r="R383" t="s">
        <v>77</v>
      </c>
      <c r="S383">
        <v>9.9700000000000006</v>
      </c>
      <c r="T383">
        <v>72.83</v>
      </c>
      <c r="U383">
        <v>0</v>
      </c>
      <c r="V383" t="s">
        <v>751</v>
      </c>
    </row>
    <row r="384" spans="3:22" hidden="1" x14ac:dyDescent="0.25">
      <c r="C384" t="s">
        <v>899</v>
      </c>
      <c r="D384" t="s">
        <v>900</v>
      </c>
      <c r="E384">
        <v>1</v>
      </c>
      <c r="F384" t="s">
        <v>865</v>
      </c>
      <c r="K384" t="s">
        <v>1224</v>
      </c>
      <c r="L384" t="s">
        <v>1307</v>
      </c>
      <c r="M384" t="s">
        <v>920</v>
      </c>
      <c r="N384" t="s">
        <v>1135</v>
      </c>
      <c r="O384" t="s">
        <v>748</v>
      </c>
      <c r="P384" t="s">
        <v>38</v>
      </c>
      <c r="R384" t="s">
        <v>77</v>
      </c>
      <c r="S384">
        <v>0.14000000000000001</v>
      </c>
      <c r="T384">
        <v>3.06</v>
      </c>
      <c r="U384">
        <v>1484.53</v>
      </c>
      <c r="V384" t="s">
        <v>751</v>
      </c>
    </row>
    <row r="385" spans="3:22" hidden="1" x14ac:dyDescent="0.25">
      <c r="C385" t="s">
        <v>878</v>
      </c>
      <c r="D385">
        <v>8</v>
      </c>
      <c r="E385">
        <v>-1484.53</v>
      </c>
      <c r="F385" t="s">
        <v>867</v>
      </c>
      <c r="K385" t="s">
        <v>1341</v>
      </c>
      <c r="L385" t="s">
        <v>1307</v>
      </c>
      <c r="M385" t="s">
        <v>920</v>
      </c>
      <c r="N385" t="s">
        <v>1135</v>
      </c>
      <c r="O385" t="s">
        <v>748</v>
      </c>
      <c r="P385" t="s">
        <v>38</v>
      </c>
      <c r="R385" t="s">
        <v>77</v>
      </c>
    </row>
    <row r="386" spans="3:22" hidden="1" x14ac:dyDescent="0.25">
      <c r="C386" t="s">
        <v>901</v>
      </c>
      <c r="D386" t="s">
        <v>881</v>
      </c>
      <c r="E386">
        <v>1</v>
      </c>
      <c r="F386" t="s">
        <v>865</v>
      </c>
      <c r="K386" t="s">
        <v>1228</v>
      </c>
      <c r="L386" t="s">
        <v>1307</v>
      </c>
      <c r="M386" t="s">
        <v>920</v>
      </c>
      <c r="N386" t="s">
        <v>1135</v>
      </c>
      <c r="O386" t="s">
        <v>748</v>
      </c>
      <c r="P386" t="s">
        <v>38</v>
      </c>
      <c r="R386" t="s">
        <v>77</v>
      </c>
      <c r="S386">
        <v>9.6300000000000008</v>
      </c>
      <c r="T386">
        <v>28.06</v>
      </c>
      <c r="U386">
        <v>0</v>
      </c>
      <c r="V386" t="s">
        <v>753</v>
      </c>
    </row>
    <row r="387" spans="3:22" hidden="1" x14ac:dyDescent="0.25">
      <c r="C387" t="s">
        <v>901</v>
      </c>
      <c r="D387" t="s">
        <v>881</v>
      </c>
      <c r="E387">
        <v>1</v>
      </c>
      <c r="F387" t="s">
        <v>865</v>
      </c>
      <c r="K387" t="s">
        <v>1230</v>
      </c>
      <c r="L387" t="s">
        <v>1307</v>
      </c>
      <c r="M387" t="s">
        <v>920</v>
      </c>
      <c r="N387" t="s">
        <v>1135</v>
      </c>
      <c r="O387" t="s">
        <v>748</v>
      </c>
      <c r="P387" t="s">
        <v>38</v>
      </c>
      <c r="R387" t="s">
        <v>77</v>
      </c>
      <c r="S387">
        <v>9.6300000000000008</v>
      </c>
      <c r="T387">
        <v>28.06</v>
      </c>
      <c r="U387">
        <v>0</v>
      </c>
      <c r="V387" t="s">
        <v>753</v>
      </c>
    </row>
    <row r="388" spans="3:22" hidden="1" x14ac:dyDescent="0.25">
      <c r="C388" t="s">
        <v>901</v>
      </c>
      <c r="D388" t="s">
        <v>881</v>
      </c>
      <c r="E388">
        <v>1</v>
      </c>
      <c r="F388" t="s">
        <v>865</v>
      </c>
      <c r="K388" t="s">
        <v>1232</v>
      </c>
      <c r="L388" t="s">
        <v>1307</v>
      </c>
      <c r="M388" t="s">
        <v>920</v>
      </c>
      <c r="N388" t="s">
        <v>1135</v>
      </c>
      <c r="O388" t="s">
        <v>748</v>
      </c>
      <c r="P388" t="s">
        <v>38</v>
      </c>
      <c r="R388" t="s">
        <v>77</v>
      </c>
      <c r="S388">
        <v>9.6300000000000008</v>
      </c>
      <c r="T388">
        <v>28.05</v>
      </c>
      <c r="U388">
        <v>0</v>
      </c>
      <c r="V388" t="s">
        <v>753</v>
      </c>
    </row>
    <row r="389" spans="3:22" hidden="1" x14ac:dyDescent="0.25">
      <c r="C389" t="s">
        <v>901</v>
      </c>
      <c r="D389" t="s">
        <v>881</v>
      </c>
      <c r="E389">
        <v>1</v>
      </c>
      <c r="F389" t="s">
        <v>865</v>
      </c>
      <c r="K389" t="s">
        <v>1234</v>
      </c>
      <c r="L389" t="s">
        <v>1307</v>
      </c>
      <c r="M389" t="s">
        <v>920</v>
      </c>
      <c r="N389" t="s">
        <v>1135</v>
      </c>
      <c r="O389" t="s">
        <v>748</v>
      </c>
      <c r="P389" t="s">
        <v>38</v>
      </c>
      <c r="R389" t="s">
        <v>77</v>
      </c>
      <c r="S389">
        <v>9.56</v>
      </c>
      <c r="T389">
        <v>37.549999999999997</v>
      </c>
      <c r="U389">
        <v>0</v>
      </c>
      <c r="V389" t="s">
        <v>753</v>
      </c>
    </row>
    <row r="390" spans="3:22" hidden="1" x14ac:dyDescent="0.25">
      <c r="C390" t="s">
        <v>901</v>
      </c>
      <c r="D390" t="s">
        <v>881</v>
      </c>
      <c r="E390">
        <v>1</v>
      </c>
      <c r="F390" t="s">
        <v>865</v>
      </c>
      <c r="K390" t="s">
        <v>1236</v>
      </c>
      <c r="L390" t="s">
        <v>1307</v>
      </c>
      <c r="M390" t="s">
        <v>920</v>
      </c>
      <c r="N390" t="s">
        <v>1135</v>
      </c>
      <c r="O390" t="s">
        <v>748</v>
      </c>
      <c r="P390" t="s">
        <v>38</v>
      </c>
      <c r="R390" t="s">
        <v>77</v>
      </c>
      <c r="S390">
        <v>9.19</v>
      </c>
      <c r="T390">
        <v>90.67</v>
      </c>
      <c r="U390">
        <v>0</v>
      </c>
      <c r="V390" t="s">
        <v>753</v>
      </c>
    </row>
    <row r="391" spans="3:22" hidden="1" x14ac:dyDescent="0.25">
      <c r="C391" t="s">
        <v>901</v>
      </c>
      <c r="D391" t="s">
        <v>881</v>
      </c>
      <c r="E391">
        <v>1</v>
      </c>
      <c r="F391" t="s">
        <v>865</v>
      </c>
      <c r="K391" t="s">
        <v>1238</v>
      </c>
      <c r="L391" t="s">
        <v>1307</v>
      </c>
      <c r="M391" t="s">
        <v>920</v>
      </c>
      <c r="N391" t="s">
        <v>1135</v>
      </c>
      <c r="O391" t="s">
        <v>748</v>
      </c>
      <c r="P391" t="s">
        <v>38</v>
      </c>
      <c r="R391" t="s">
        <v>77</v>
      </c>
      <c r="S391">
        <v>9.3699999999999992</v>
      </c>
      <c r="T391">
        <v>65.03</v>
      </c>
      <c r="U391">
        <v>0</v>
      </c>
      <c r="V391" t="s">
        <v>753</v>
      </c>
    </row>
    <row r="392" spans="3:22" hidden="1" x14ac:dyDescent="0.25">
      <c r="C392" t="s">
        <v>901</v>
      </c>
      <c r="D392" t="s">
        <v>881</v>
      </c>
      <c r="E392">
        <v>1</v>
      </c>
      <c r="F392" t="s">
        <v>865</v>
      </c>
      <c r="K392" t="s">
        <v>1240</v>
      </c>
      <c r="L392" t="s">
        <v>1307</v>
      </c>
      <c r="M392" t="s">
        <v>920</v>
      </c>
      <c r="N392" t="s">
        <v>1135</v>
      </c>
      <c r="O392" t="s">
        <v>748</v>
      </c>
      <c r="P392" t="s">
        <v>38</v>
      </c>
      <c r="R392" t="s">
        <v>77</v>
      </c>
      <c r="S392">
        <v>9.3000000000000007</v>
      </c>
      <c r="T392">
        <v>75.78</v>
      </c>
      <c r="U392">
        <v>0</v>
      </c>
      <c r="V392" t="s">
        <v>753</v>
      </c>
    </row>
    <row r="393" spans="3:22" hidden="1" x14ac:dyDescent="0.25">
      <c r="C393" t="s">
        <v>901</v>
      </c>
      <c r="D393" t="s">
        <v>881</v>
      </c>
      <c r="E393">
        <v>1</v>
      </c>
      <c r="F393" t="s">
        <v>865</v>
      </c>
      <c r="K393" t="s">
        <v>1242</v>
      </c>
      <c r="L393" t="s">
        <v>1307</v>
      </c>
      <c r="M393" t="s">
        <v>920</v>
      </c>
      <c r="N393" t="s">
        <v>1135</v>
      </c>
      <c r="O393" t="s">
        <v>748</v>
      </c>
      <c r="P393" t="s">
        <v>38</v>
      </c>
      <c r="R393" t="s">
        <v>77</v>
      </c>
      <c r="S393">
        <v>9.3699999999999992</v>
      </c>
      <c r="T393">
        <v>64.81</v>
      </c>
      <c r="U393">
        <v>0</v>
      </c>
      <c r="V393" t="s">
        <v>753</v>
      </c>
    </row>
    <row r="394" spans="3:22" hidden="1" x14ac:dyDescent="0.25">
      <c r="C394" t="s">
        <v>901</v>
      </c>
      <c r="D394" t="s">
        <v>881</v>
      </c>
      <c r="E394">
        <v>1</v>
      </c>
      <c r="F394" t="s">
        <v>865</v>
      </c>
      <c r="K394" t="s">
        <v>1244</v>
      </c>
      <c r="L394" t="s">
        <v>1307</v>
      </c>
      <c r="M394" t="s">
        <v>920</v>
      </c>
      <c r="N394" t="s">
        <v>1135</v>
      </c>
      <c r="O394" t="s">
        <v>748</v>
      </c>
      <c r="P394" t="s">
        <v>38</v>
      </c>
      <c r="R394" t="s">
        <v>77</v>
      </c>
      <c r="S394">
        <v>9.4</v>
      </c>
      <c r="T394">
        <v>60.21</v>
      </c>
      <c r="U394">
        <v>0</v>
      </c>
      <c r="V394" t="s">
        <v>753</v>
      </c>
    </row>
    <row r="395" spans="3:22" hidden="1" x14ac:dyDescent="0.25">
      <c r="C395" t="s">
        <v>901</v>
      </c>
      <c r="D395" t="s">
        <v>881</v>
      </c>
      <c r="E395">
        <v>1</v>
      </c>
      <c r="F395" t="s">
        <v>865</v>
      </c>
      <c r="K395" t="s">
        <v>1246</v>
      </c>
      <c r="L395" t="s">
        <v>1307</v>
      </c>
      <c r="M395" t="s">
        <v>920</v>
      </c>
      <c r="N395" t="s">
        <v>1135</v>
      </c>
      <c r="O395" t="s">
        <v>748</v>
      </c>
      <c r="P395" t="s">
        <v>38</v>
      </c>
      <c r="R395" t="s">
        <v>77</v>
      </c>
      <c r="S395">
        <v>9.17</v>
      </c>
      <c r="T395">
        <v>94.48</v>
      </c>
      <c r="U395">
        <v>0</v>
      </c>
      <c r="V395" t="s">
        <v>753</v>
      </c>
    </row>
    <row r="396" spans="3:22" hidden="1" x14ac:dyDescent="0.25">
      <c r="C396" t="s">
        <v>878</v>
      </c>
      <c r="D396">
        <v>10</v>
      </c>
      <c r="E396">
        <v>1305.1400000000001</v>
      </c>
      <c r="F396" t="s">
        <v>867</v>
      </c>
      <c r="K396" t="s">
        <v>1250</v>
      </c>
      <c r="L396" t="s">
        <v>1307</v>
      </c>
      <c r="M396" t="s">
        <v>920</v>
      </c>
      <c r="N396" t="s">
        <v>1135</v>
      </c>
      <c r="O396" t="s">
        <v>748</v>
      </c>
      <c r="P396" t="s">
        <v>38</v>
      </c>
      <c r="R396" t="s">
        <v>77</v>
      </c>
      <c r="S396">
        <v>0.33</v>
      </c>
      <c r="T396">
        <v>17.14</v>
      </c>
      <c r="U396">
        <v>1240.6099999999999</v>
      </c>
      <c r="V396" t="s">
        <v>1309</v>
      </c>
    </row>
    <row r="397" spans="3:22" hidden="1" x14ac:dyDescent="0.25">
      <c r="C397" t="s">
        <v>878</v>
      </c>
      <c r="D397">
        <v>10</v>
      </c>
      <c r="E397">
        <v>-1240.6099999999999</v>
      </c>
      <c r="F397" t="s">
        <v>867</v>
      </c>
      <c r="K397" t="s">
        <v>1342</v>
      </c>
      <c r="L397" t="s">
        <v>1307</v>
      </c>
      <c r="M397" t="s">
        <v>920</v>
      </c>
      <c r="N397" t="s">
        <v>1135</v>
      </c>
      <c r="O397" t="s">
        <v>748</v>
      </c>
      <c r="P397" t="s">
        <v>38</v>
      </c>
      <c r="R397" t="s">
        <v>77</v>
      </c>
    </row>
    <row r="398" spans="3:22" hidden="1" x14ac:dyDescent="0.25">
      <c r="C398" t="s">
        <v>903</v>
      </c>
      <c r="D398" t="s">
        <v>881</v>
      </c>
      <c r="E398">
        <v>1</v>
      </c>
      <c r="F398" t="s">
        <v>865</v>
      </c>
      <c r="K398" t="s">
        <v>1254</v>
      </c>
      <c r="L398" t="s">
        <v>1307</v>
      </c>
      <c r="M398" t="s">
        <v>920</v>
      </c>
      <c r="N398" t="s">
        <v>1135</v>
      </c>
      <c r="O398" t="s">
        <v>748</v>
      </c>
      <c r="P398" t="s">
        <v>38</v>
      </c>
      <c r="R398" t="s">
        <v>77</v>
      </c>
      <c r="S398">
        <v>10.44</v>
      </c>
      <c r="T398">
        <v>23.48</v>
      </c>
      <c r="U398">
        <v>169.54</v>
      </c>
      <c r="V398" t="s">
        <v>754</v>
      </c>
    </row>
    <row r="399" spans="3:22" hidden="1" x14ac:dyDescent="0.25">
      <c r="C399" t="s">
        <v>878</v>
      </c>
      <c r="D399">
        <v>12</v>
      </c>
      <c r="E399">
        <v>-169.54</v>
      </c>
      <c r="F399" t="s">
        <v>867</v>
      </c>
      <c r="K399" t="s">
        <v>1343</v>
      </c>
      <c r="L399" t="s">
        <v>1307</v>
      </c>
      <c r="M399" t="s">
        <v>920</v>
      </c>
      <c r="N399" t="s">
        <v>1135</v>
      </c>
      <c r="O399" t="s">
        <v>748</v>
      </c>
      <c r="P399" t="s">
        <v>38</v>
      </c>
      <c r="R399" t="s">
        <v>77</v>
      </c>
    </row>
    <row r="400" spans="3:22" hidden="1" x14ac:dyDescent="0.25">
      <c r="C400" t="s">
        <v>903</v>
      </c>
      <c r="D400" t="s">
        <v>881</v>
      </c>
      <c r="E400">
        <v>1</v>
      </c>
      <c r="F400" t="s">
        <v>865</v>
      </c>
      <c r="K400" t="s">
        <v>1256</v>
      </c>
      <c r="L400" t="s">
        <v>1307</v>
      </c>
      <c r="M400" t="s">
        <v>920</v>
      </c>
      <c r="N400" t="s">
        <v>1135</v>
      </c>
      <c r="O400" t="s">
        <v>748</v>
      </c>
      <c r="P400" t="s">
        <v>38</v>
      </c>
      <c r="R400" t="s">
        <v>77</v>
      </c>
      <c r="S400">
        <v>10.44</v>
      </c>
      <c r="T400">
        <v>24.38</v>
      </c>
      <c r="U400">
        <v>169.55</v>
      </c>
      <c r="V400" t="s">
        <v>754</v>
      </c>
    </row>
    <row r="401" spans="3:22" hidden="1" x14ac:dyDescent="0.25">
      <c r="C401" t="s">
        <v>878</v>
      </c>
      <c r="D401">
        <v>12</v>
      </c>
      <c r="E401">
        <v>-169.55</v>
      </c>
      <c r="F401" t="s">
        <v>867</v>
      </c>
      <c r="K401" t="s">
        <v>1344</v>
      </c>
      <c r="L401" t="s">
        <v>1307</v>
      </c>
      <c r="M401" t="s">
        <v>920</v>
      </c>
      <c r="N401" t="s">
        <v>1135</v>
      </c>
      <c r="O401" t="s">
        <v>748</v>
      </c>
      <c r="P401" t="s">
        <v>38</v>
      </c>
      <c r="R401" t="s">
        <v>77</v>
      </c>
    </row>
    <row r="402" spans="3:22" hidden="1" x14ac:dyDescent="0.25">
      <c r="C402" t="s">
        <v>903</v>
      </c>
      <c r="D402" t="s">
        <v>881</v>
      </c>
      <c r="E402">
        <v>1</v>
      </c>
      <c r="F402" t="s">
        <v>865</v>
      </c>
      <c r="K402" t="s">
        <v>1258</v>
      </c>
      <c r="L402" t="s">
        <v>1307</v>
      </c>
      <c r="M402" t="s">
        <v>920</v>
      </c>
      <c r="N402" t="s">
        <v>1135</v>
      </c>
      <c r="O402" t="s">
        <v>748</v>
      </c>
      <c r="P402" t="s">
        <v>38</v>
      </c>
      <c r="R402" t="s">
        <v>77</v>
      </c>
      <c r="S402">
        <v>6.58</v>
      </c>
      <c r="T402">
        <v>20.13</v>
      </c>
      <c r="U402">
        <v>728.5</v>
      </c>
      <c r="V402" t="s">
        <v>754</v>
      </c>
    </row>
    <row r="403" spans="3:22" hidden="1" x14ac:dyDescent="0.25">
      <c r="C403" t="s">
        <v>878</v>
      </c>
      <c r="D403">
        <v>12</v>
      </c>
      <c r="E403">
        <v>-728.5</v>
      </c>
      <c r="F403" t="s">
        <v>867</v>
      </c>
      <c r="K403" t="s">
        <v>1345</v>
      </c>
      <c r="L403" t="s">
        <v>1307</v>
      </c>
      <c r="M403" t="s">
        <v>920</v>
      </c>
      <c r="N403" t="s">
        <v>1135</v>
      </c>
      <c r="O403" t="s">
        <v>748</v>
      </c>
      <c r="P403" t="s">
        <v>38</v>
      </c>
      <c r="R403" t="s">
        <v>77</v>
      </c>
    </row>
    <row r="404" spans="3:22" hidden="1" x14ac:dyDescent="0.25">
      <c r="C404" t="s">
        <v>903</v>
      </c>
      <c r="D404" t="s">
        <v>881</v>
      </c>
      <c r="E404">
        <v>1</v>
      </c>
      <c r="F404" t="s">
        <v>865</v>
      </c>
      <c r="K404" t="s">
        <v>1260</v>
      </c>
      <c r="L404" t="s">
        <v>1307</v>
      </c>
      <c r="M404" t="s">
        <v>920</v>
      </c>
      <c r="N404" t="s">
        <v>1135</v>
      </c>
      <c r="O404" t="s">
        <v>748</v>
      </c>
      <c r="P404" t="s">
        <v>38</v>
      </c>
      <c r="R404" t="s">
        <v>77</v>
      </c>
      <c r="S404">
        <v>10.44</v>
      </c>
      <c r="T404">
        <v>24.42</v>
      </c>
      <c r="U404">
        <v>169.56</v>
      </c>
      <c r="V404" t="s">
        <v>754</v>
      </c>
    </row>
    <row r="405" spans="3:22" hidden="1" x14ac:dyDescent="0.25">
      <c r="C405" t="s">
        <v>878</v>
      </c>
      <c r="D405">
        <v>12</v>
      </c>
      <c r="E405">
        <v>-169.56</v>
      </c>
      <c r="F405" t="s">
        <v>867</v>
      </c>
      <c r="K405" t="s">
        <v>1346</v>
      </c>
      <c r="L405" t="s">
        <v>1307</v>
      </c>
      <c r="M405" t="s">
        <v>920</v>
      </c>
      <c r="N405" t="s">
        <v>1135</v>
      </c>
      <c r="O405" t="s">
        <v>748</v>
      </c>
      <c r="P405" t="s">
        <v>38</v>
      </c>
      <c r="R405" t="s">
        <v>77</v>
      </c>
    </row>
    <row r="406" spans="3:22" hidden="1" x14ac:dyDescent="0.25">
      <c r="C406" t="s">
        <v>903</v>
      </c>
      <c r="D406" t="s">
        <v>881</v>
      </c>
      <c r="E406">
        <v>1</v>
      </c>
      <c r="F406" t="s">
        <v>865</v>
      </c>
      <c r="K406" t="s">
        <v>1262</v>
      </c>
      <c r="L406" t="s">
        <v>1307</v>
      </c>
      <c r="M406" t="s">
        <v>920</v>
      </c>
      <c r="N406" t="s">
        <v>1135</v>
      </c>
      <c r="O406" t="s">
        <v>748</v>
      </c>
      <c r="P406" t="s">
        <v>38</v>
      </c>
      <c r="R406" t="s">
        <v>77</v>
      </c>
      <c r="S406">
        <v>10.44</v>
      </c>
      <c r="T406">
        <v>24.6</v>
      </c>
      <c r="U406">
        <v>169.56</v>
      </c>
      <c r="V406" t="s">
        <v>754</v>
      </c>
    </row>
    <row r="407" spans="3:22" hidden="1" x14ac:dyDescent="0.25">
      <c r="C407" t="s">
        <v>878</v>
      </c>
      <c r="D407">
        <v>12</v>
      </c>
      <c r="E407">
        <v>-169.56</v>
      </c>
      <c r="F407" t="s">
        <v>867</v>
      </c>
      <c r="K407" t="s">
        <v>1347</v>
      </c>
      <c r="L407" t="s">
        <v>1307</v>
      </c>
      <c r="M407" t="s">
        <v>920</v>
      </c>
      <c r="N407" t="s">
        <v>1135</v>
      </c>
      <c r="O407" t="s">
        <v>748</v>
      </c>
      <c r="P407" t="s">
        <v>38</v>
      </c>
      <c r="R407" t="s">
        <v>77</v>
      </c>
    </row>
    <row r="408" spans="3:22" hidden="1" x14ac:dyDescent="0.25">
      <c r="C408" t="s">
        <v>878</v>
      </c>
      <c r="D408">
        <v>12</v>
      </c>
      <c r="E408">
        <v>1055.26</v>
      </c>
      <c r="F408" t="s">
        <v>867</v>
      </c>
      <c r="K408" t="s">
        <v>1265</v>
      </c>
      <c r="L408" t="s">
        <v>1307</v>
      </c>
      <c r="M408" t="s">
        <v>920</v>
      </c>
      <c r="N408" t="s">
        <v>1135</v>
      </c>
      <c r="O408" t="s">
        <v>748</v>
      </c>
      <c r="P408" t="s">
        <v>38</v>
      </c>
      <c r="R408" t="s">
        <v>77</v>
      </c>
      <c r="S408">
        <v>2.2799999999999998</v>
      </c>
      <c r="T408">
        <v>6.52</v>
      </c>
      <c r="U408">
        <v>720.23</v>
      </c>
      <c r="V408" t="s">
        <v>754</v>
      </c>
    </row>
    <row r="409" spans="3:22" hidden="1" x14ac:dyDescent="0.25">
      <c r="C409" t="s">
        <v>878</v>
      </c>
      <c r="D409">
        <v>12</v>
      </c>
      <c r="E409">
        <v>-720.23</v>
      </c>
      <c r="F409" t="s">
        <v>867</v>
      </c>
      <c r="K409" t="s">
        <v>1348</v>
      </c>
      <c r="L409" t="s">
        <v>1307</v>
      </c>
      <c r="M409" t="s">
        <v>920</v>
      </c>
      <c r="N409" t="s">
        <v>1135</v>
      </c>
      <c r="O409" t="s">
        <v>748</v>
      </c>
      <c r="P409" t="s">
        <v>38</v>
      </c>
      <c r="R409" t="s">
        <v>77</v>
      </c>
    </row>
    <row r="410" spans="3:22" hidden="1" x14ac:dyDescent="0.25">
      <c r="C410" t="s">
        <v>910</v>
      </c>
      <c r="D410" t="s">
        <v>900</v>
      </c>
      <c r="E410">
        <v>1</v>
      </c>
      <c r="F410" t="s">
        <v>865</v>
      </c>
      <c r="K410" t="s">
        <v>1269</v>
      </c>
      <c r="L410" t="s">
        <v>1307</v>
      </c>
      <c r="M410" t="s">
        <v>920</v>
      </c>
      <c r="N410" t="s">
        <v>1135</v>
      </c>
      <c r="O410" t="s">
        <v>748</v>
      </c>
      <c r="P410" t="s">
        <v>38</v>
      </c>
      <c r="R410" t="s">
        <v>77</v>
      </c>
      <c r="S410">
        <v>20.12</v>
      </c>
      <c r="T410">
        <v>120.3</v>
      </c>
      <c r="U410">
        <v>0</v>
      </c>
      <c r="V410" t="s">
        <v>755</v>
      </c>
    </row>
    <row r="411" spans="3:22" hidden="1" x14ac:dyDescent="0.25">
      <c r="C411" t="s">
        <v>910</v>
      </c>
      <c r="D411" t="s">
        <v>900</v>
      </c>
      <c r="E411">
        <v>1</v>
      </c>
      <c r="F411" t="s">
        <v>865</v>
      </c>
      <c r="K411" t="s">
        <v>1271</v>
      </c>
      <c r="L411" t="s">
        <v>1307</v>
      </c>
      <c r="M411" t="s">
        <v>920</v>
      </c>
      <c r="N411" t="s">
        <v>1135</v>
      </c>
      <c r="O411" t="s">
        <v>748</v>
      </c>
      <c r="P411" t="s">
        <v>38</v>
      </c>
      <c r="R411" t="s">
        <v>77</v>
      </c>
      <c r="S411">
        <v>20.3</v>
      </c>
      <c r="T411">
        <v>94.27</v>
      </c>
      <c r="U411">
        <v>0</v>
      </c>
      <c r="V411" t="s">
        <v>755</v>
      </c>
    </row>
    <row r="412" spans="3:22" hidden="1" x14ac:dyDescent="0.25">
      <c r="C412" t="s">
        <v>878</v>
      </c>
      <c r="D412">
        <v>16</v>
      </c>
      <c r="E412">
        <v>1850.26</v>
      </c>
      <c r="F412" t="s">
        <v>867</v>
      </c>
      <c r="K412" t="s">
        <v>1274</v>
      </c>
      <c r="L412" t="s">
        <v>1307</v>
      </c>
      <c r="M412" t="s">
        <v>920</v>
      </c>
      <c r="N412" t="s">
        <v>1135</v>
      </c>
      <c r="O412" t="s">
        <v>748</v>
      </c>
      <c r="P412" t="s">
        <v>38</v>
      </c>
      <c r="R412" t="s">
        <v>77</v>
      </c>
      <c r="S412">
        <v>3.96</v>
      </c>
      <c r="T412">
        <v>35.64</v>
      </c>
      <c r="U412">
        <v>1245.6099999999999</v>
      </c>
      <c r="V412" t="s">
        <v>1089</v>
      </c>
    </row>
    <row r="413" spans="3:22" hidden="1" x14ac:dyDescent="0.25">
      <c r="C413" t="s">
        <v>878</v>
      </c>
      <c r="D413">
        <v>16</v>
      </c>
      <c r="E413">
        <v>-1245.6099999999999</v>
      </c>
      <c r="F413" t="s">
        <v>867</v>
      </c>
      <c r="K413" t="s">
        <v>1349</v>
      </c>
      <c r="L413" t="s">
        <v>1307</v>
      </c>
      <c r="M413" t="s">
        <v>920</v>
      </c>
      <c r="N413" t="s">
        <v>1135</v>
      </c>
      <c r="O413" t="s">
        <v>748</v>
      </c>
      <c r="P413" t="s">
        <v>38</v>
      </c>
      <c r="R413" t="s">
        <v>77</v>
      </c>
    </row>
    <row r="414" spans="3:22" hidden="1" x14ac:dyDescent="0.25">
      <c r="C414" t="s">
        <v>912</v>
      </c>
      <c r="D414" t="s">
        <v>900</v>
      </c>
      <c r="E414">
        <v>1</v>
      </c>
      <c r="F414" t="s">
        <v>865</v>
      </c>
      <c r="K414" t="s">
        <v>1278</v>
      </c>
      <c r="L414" t="s">
        <v>1307</v>
      </c>
      <c r="M414" t="s">
        <v>920</v>
      </c>
      <c r="N414" t="s">
        <v>1135</v>
      </c>
      <c r="O414" t="s">
        <v>748</v>
      </c>
      <c r="P414" t="s">
        <v>38</v>
      </c>
      <c r="R414" t="s">
        <v>77</v>
      </c>
      <c r="S414">
        <v>22.75</v>
      </c>
      <c r="T414">
        <v>385.91</v>
      </c>
      <c r="U414">
        <v>109.14</v>
      </c>
      <c r="V414" t="s">
        <v>756</v>
      </c>
    </row>
    <row r="415" spans="3:22" hidden="1" x14ac:dyDescent="0.25">
      <c r="C415" t="s">
        <v>878</v>
      </c>
      <c r="D415">
        <v>20</v>
      </c>
      <c r="E415">
        <v>-109.14</v>
      </c>
      <c r="F415" t="s">
        <v>867</v>
      </c>
      <c r="K415" t="s">
        <v>1350</v>
      </c>
      <c r="L415" t="s">
        <v>1307</v>
      </c>
      <c r="M415" t="s">
        <v>920</v>
      </c>
      <c r="N415" t="s">
        <v>1135</v>
      </c>
      <c r="O415" t="s">
        <v>748</v>
      </c>
      <c r="P415" t="s">
        <v>38</v>
      </c>
      <c r="R415" t="s">
        <v>77</v>
      </c>
    </row>
    <row r="416" spans="3:22" hidden="1" x14ac:dyDescent="0.25">
      <c r="C416" t="s">
        <v>878</v>
      </c>
      <c r="D416">
        <v>25</v>
      </c>
      <c r="E416">
        <v>3693.82</v>
      </c>
      <c r="F416" t="s">
        <v>867</v>
      </c>
      <c r="K416" t="s">
        <v>1284</v>
      </c>
      <c r="L416" t="s">
        <v>1307</v>
      </c>
      <c r="M416" t="s">
        <v>920</v>
      </c>
      <c r="N416" t="s">
        <v>1135</v>
      </c>
      <c r="O416" t="s">
        <v>748</v>
      </c>
      <c r="P416" t="s">
        <v>38</v>
      </c>
      <c r="R416" t="s">
        <v>77</v>
      </c>
      <c r="S416">
        <v>17.84</v>
      </c>
      <c r="T416">
        <v>314.66000000000003</v>
      </c>
      <c r="U416">
        <v>813.1</v>
      </c>
      <c r="V416" t="s">
        <v>1310</v>
      </c>
    </row>
    <row r="417" spans="3:22" hidden="1" x14ac:dyDescent="0.25">
      <c r="C417" t="s">
        <v>878</v>
      </c>
      <c r="D417">
        <v>25</v>
      </c>
      <c r="E417">
        <v>-813.1</v>
      </c>
      <c r="F417" t="s">
        <v>867</v>
      </c>
      <c r="K417" t="s">
        <v>1351</v>
      </c>
      <c r="L417" t="s">
        <v>1307</v>
      </c>
      <c r="M417" t="s">
        <v>920</v>
      </c>
      <c r="N417" t="s">
        <v>1135</v>
      </c>
      <c r="O417" t="s">
        <v>748</v>
      </c>
      <c r="P417" t="s">
        <v>38</v>
      </c>
      <c r="R417" t="s">
        <v>77</v>
      </c>
    </row>
    <row r="418" spans="3:22" hidden="1" x14ac:dyDescent="0.25">
      <c r="C418" t="s">
        <v>878</v>
      </c>
      <c r="D418">
        <v>30</v>
      </c>
      <c r="E418">
        <v>2226.81</v>
      </c>
      <c r="F418" t="s">
        <v>867</v>
      </c>
      <c r="K418" t="s">
        <v>1290</v>
      </c>
      <c r="L418" t="s">
        <v>1307</v>
      </c>
      <c r="M418" t="s">
        <v>920</v>
      </c>
      <c r="N418" t="s">
        <v>1135</v>
      </c>
      <c r="O418" t="s">
        <v>748</v>
      </c>
      <c r="P418" t="s">
        <v>38</v>
      </c>
      <c r="R418" t="s">
        <v>77</v>
      </c>
      <c r="S418">
        <v>10.24</v>
      </c>
      <c r="T418">
        <v>270.89</v>
      </c>
      <c r="U418">
        <v>482.39</v>
      </c>
      <c r="V418" t="s">
        <v>1311</v>
      </c>
    </row>
    <row r="419" spans="3:22" hidden="1" x14ac:dyDescent="0.25">
      <c r="C419" t="s">
        <v>878</v>
      </c>
      <c r="D419">
        <v>30</v>
      </c>
      <c r="E419">
        <v>-482.39</v>
      </c>
      <c r="F419" t="s">
        <v>867</v>
      </c>
      <c r="K419" t="s">
        <v>1352</v>
      </c>
      <c r="L419" t="s">
        <v>1307</v>
      </c>
      <c r="M419" t="s">
        <v>920</v>
      </c>
      <c r="N419" t="s">
        <v>1135</v>
      </c>
      <c r="O419" t="s">
        <v>748</v>
      </c>
      <c r="P419" t="s">
        <v>38</v>
      </c>
      <c r="R419" t="s">
        <v>77</v>
      </c>
    </row>
    <row r="420" spans="3:22" hidden="1" x14ac:dyDescent="0.25">
      <c r="C420" t="s">
        <v>918</v>
      </c>
      <c r="D420">
        <v>60</v>
      </c>
      <c r="E420">
        <v>843.15</v>
      </c>
      <c r="F420" t="s">
        <v>867</v>
      </c>
      <c r="K420" t="s">
        <v>1296</v>
      </c>
      <c r="L420" t="s">
        <v>1307</v>
      </c>
      <c r="M420" t="s">
        <v>920</v>
      </c>
      <c r="N420" t="s">
        <v>1135</v>
      </c>
      <c r="O420" t="s">
        <v>748</v>
      </c>
      <c r="P420" t="s">
        <v>38</v>
      </c>
      <c r="R420" t="s">
        <v>700</v>
      </c>
      <c r="S420">
        <v>2.0699999999999998</v>
      </c>
      <c r="T420">
        <v>225.57</v>
      </c>
      <c r="U420">
        <v>319.44</v>
      </c>
      <c r="V420" t="s">
        <v>1312</v>
      </c>
    </row>
    <row r="421" spans="3:22" hidden="1" x14ac:dyDescent="0.25">
      <c r="C421" t="s">
        <v>918</v>
      </c>
      <c r="D421">
        <v>60</v>
      </c>
      <c r="E421">
        <v>-319.44</v>
      </c>
      <c r="F421" t="s">
        <v>867</v>
      </c>
      <c r="K421" t="s">
        <v>1353</v>
      </c>
      <c r="L421" t="s">
        <v>1307</v>
      </c>
      <c r="M421" t="s">
        <v>920</v>
      </c>
      <c r="N421" t="s">
        <v>1135</v>
      </c>
      <c r="O421" t="s">
        <v>748</v>
      </c>
      <c r="P421" t="s">
        <v>38</v>
      </c>
      <c r="R421" t="s">
        <v>700</v>
      </c>
    </row>
    <row r="422" spans="3:22" hidden="1" x14ac:dyDescent="0.25">
      <c r="C422" t="s">
        <v>918</v>
      </c>
      <c r="D422">
        <v>60</v>
      </c>
      <c r="E422">
        <v>1105.74</v>
      </c>
      <c r="F422" t="s">
        <v>867</v>
      </c>
      <c r="K422" t="s">
        <v>1300</v>
      </c>
      <c r="L422" t="s">
        <v>1307</v>
      </c>
      <c r="M422" t="s">
        <v>920</v>
      </c>
      <c r="N422" t="s">
        <v>1135</v>
      </c>
      <c r="O422" t="s">
        <v>748</v>
      </c>
      <c r="P422" t="s">
        <v>38</v>
      </c>
      <c r="R422" t="s">
        <v>700</v>
      </c>
      <c r="S422">
        <v>3.25</v>
      </c>
      <c r="T422">
        <v>34.32</v>
      </c>
      <c r="U422">
        <v>603.57000000000005</v>
      </c>
      <c r="V422" t="s">
        <v>1313</v>
      </c>
    </row>
    <row r="423" spans="3:22" hidden="1" x14ac:dyDescent="0.25">
      <c r="C423" t="s">
        <v>918</v>
      </c>
      <c r="D423">
        <v>60</v>
      </c>
      <c r="E423">
        <v>-603.57000000000005</v>
      </c>
      <c r="F423" t="s">
        <v>867</v>
      </c>
      <c r="K423" t="s">
        <v>1354</v>
      </c>
      <c r="L423" t="s">
        <v>1307</v>
      </c>
      <c r="M423" t="s">
        <v>920</v>
      </c>
      <c r="N423" t="s">
        <v>1135</v>
      </c>
      <c r="O423" t="s">
        <v>748</v>
      </c>
      <c r="P423" t="s">
        <v>38</v>
      </c>
      <c r="R423" t="s">
        <v>700</v>
      </c>
    </row>
    <row r="424" spans="3:22" hidden="1" x14ac:dyDescent="0.25">
      <c r="C424" t="s">
        <v>918</v>
      </c>
      <c r="D424">
        <v>60</v>
      </c>
      <c r="E424">
        <v>2792.09</v>
      </c>
      <c r="F424" t="s">
        <v>867</v>
      </c>
      <c r="K424" t="s">
        <v>1304</v>
      </c>
      <c r="L424" t="s">
        <v>1307</v>
      </c>
      <c r="M424" t="s">
        <v>920</v>
      </c>
      <c r="N424" t="s">
        <v>1135</v>
      </c>
      <c r="O424" t="s">
        <v>748</v>
      </c>
      <c r="P424" t="s">
        <v>38</v>
      </c>
      <c r="R424" t="s">
        <v>700</v>
      </c>
      <c r="S424">
        <v>12.88</v>
      </c>
      <c r="T424">
        <v>206.97</v>
      </c>
      <c r="U424">
        <v>732.5</v>
      </c>
      <c r="V424" t="s">
        <v>1314</v>
      </c>
    </row>
    <row r="425" spans="3:22" hidden="1" x14ac:dyDescent="0.25">
      <c r="C425" t="s">
        <v>918</v>
      </c>
      <c r="D425">
        <v>60</v>
      </c>
      <c r="E425">
        <v>-732.5</v>
      </c>
      <c r="F425" t="s">
        <v>867</v>
      </c>
      <c r="K425" t="s">
        <v>1355</v>
      </c>
      <c r="L425" t="s">
        <v>1307</v>
      </c>
      <c r="M425" t="s">
        <v>920</v>
      </c>
      <c r="N425" t="s">
        <v>1135</v>
      </c>
      <c r="O425" t="s">
        <v>748</v>
      </c>
      <c r="P425" t="s">
        <v>38</v>
      </c>
      <c r="R425" t="s">
        <v>700</v>
      </c>
    </row>
    <row r="426" spans="3:22" x14ac:dyDescent="0.25">
      <c r="C426" t="s">
        <v>863</v>
      </c>
      <c r="D426" t="s">
        <v>864</v>
      </c>
      <c r="E426">
        <v>1</v>
      </c>
      <c r="F426" t="s">
        <v>865</v>
      </c>
      <c r="K426" t="s">
        <v>1358</v>
      </c>
      <c r="L426" t="s">
        <v>1519</v>
      </c>
      <c r="M426" t="s">
        <v>920</v>
      </c>
      <c r="N426" t="s">
        <v>1135</v>
      </c>
      <c r="O426" t="s">
        <v>748</v>
      </c>
      <c r="P426" t="s">
        <v>38</v>
      </c>
      <c r="R426" t="s">
        <v>33</v>
      </c>
      <c r="S426">
        <v>0.47</v>
      </c>
      <c r="T426">
        <v>5.43</v>
      </c>
      <c r="U426">
        <v>7.92</v>
      </c>
      <c r="V426" t="s">
        <v>745</v>
      </c>
    </row>
    <row r="427" spans="3:22" x14ac:dyDescent="0.25">
      <c r="C427" t="s">
        <v>866</v>
      </c>
      <c r="D427">
        <v>2</v>
      </c>
      <c r="E427">
        <v>-7.92</v>
      </c>
      <c r="F427" t="s">
        <v>867</v>
      </c>
      <c r="K427" t="s">
        <v>1529</v>
      </c>
      <c r="L427" t="s">
        <v>1519</v>
      </c>
      <c r="M427" t="s">
        <v>920</v>
      </c>
      <c r="N427" t="s">
        <v>1135</v>
      </c>
      <c r="O427" t="s">
        <v>748</v>
      </c>
      <c r="P427" t="s">
        <v>38</v>
      </c>
      <c r="R427" t="s">
        <v>33</v>
      </c>
    </row>
    <row r="428" spans="3:22" x14ac:dyDescent="0.25">
      <c r="C428" t="s">
        <v>863</v>
      </c>
      <c r="D428" t="s">
        <v>864</v>
      </c>
      <c r="E428">
        <v>1</v>
      </c>
      <c r="F428" t="s">
        <v>865</v>
      </c>
      <c r="K428" t="s">
        <v>1360</v>
      </c>
      <c r="L428" t="s">
        <v>1519</v>
      </c>
      <c r="M428" t="s">
        <v>920</v>
      </c>
      <c r="N428" t="s">
        <v>1135</v>
      </c>
      <c r="O428" t="s">
        <v>748</v>
      </c>
      <c r="P428" t="s">
        <v>38</v>
      </c>
      <c r="R428" t="s">
        <v>33</v>
      </c>
      <c r="S428">
        <v>0.56999999999999995</v>
      </c>
      <c r="T428">
        <v>0</v>
      </c>
      <c r="U428">
        <v>0</v>
      </c>
      <c r="V428" t="s">
        <v>745</v>
      </c>
    </row>
    <row r="429" spans="3:22" x14ac:dyDescent="0.25">
      <c r="C429" t="s">
        <v>863</v>
      </c>
      <c r="D429" t="s">
        <v>864</v>
      </c>
      <c r="E429">
        <v>1</v>
      </c>
      <c r="F429" t="s">
        <v>865</v>
      </c>
      <c r="K429" t="s">
        <v>1362</v>
      </c>
      <c r="L429" t="s">
        <v>1519</v>
      </c>
      <c r="M429" t="s">
        <v>920</v>
      </c>
      <c r="N429" t="s">
        <v>1135</v>
      </c>
      <c r="O429" t="s">
        <v>748</v>
      </c>
      <c r="P429" t="s">
        <v>38</v>
      </c>
      <c r="R429" t="s">
        <v>33</v>
      </c>
      <c r="S429">
        <v>0.56999999999999995</v>
      </c>
      <c r="T429">
        <v>0</v>
      </c>
      <c r="U429">
        <v>0</v>
      </c>
      <c r="V429" t="s">
        <v>745</v>
      </c>
    </row>
    <row r="430" spans="3:22" x14ac:dyDescent="0.25">
      <c r="C430" t="s">
        <v>863</v>
      </c>
      <c r="D430" t="s">
        <v>864</v>
      </c>
      <c r="E430">
        <v>1</v>
      </c>
      <c r="F430" t="s">
        <v>865</v>
      </c>
      <c r="K430" t="s">
        <v>1364</v>
      </c>
      <c r="L430" t="s">
        <v>1519</v>
      </c>
      <c r="M430" t="s">
        <v>920</v>
      </c>
      <c r="N430" t="s">
        <v>1135</v>
      </c>
      <c r="O430" t="s">
        <v>748</v>
      </c>
      <c r="P430" t="s">
        <v>38</v>
      </c>
      <c r="R430" t="s">
        <v>33</v>
      </c>
      <c r="S430">
        <v>0.47</v>
      </c>
      <c r="T430">
        <v>0</v>
      </c>
      <c r="U430">
        <v>15.07</v>
      </c>
      <c r="V430" t="s">
        <v>745</v>
      </c>
    </row>
    <row r="431" spans="3:22" x14ac:dyDescent="0.25">
      <c r="C431" t="s">
        <v>866</v>
      </c>
      <c r="D431">
        <v>2</v>
      </c>
      <c r="E431">
        <v>-15.07</v>
      </c>
      <c r="F431" t="s">
        <v>867</v>
      </c>
      <c r="K431" t="s">
        <v>1530</v>
      </c>
      <c r="L431" t="s">
        <v>1519</v>
      </c>
      <c r="M431" t="s">
        <v>920</v>
      </c>
      <c r="N431" t="s">
        <v>1135</v>
      </c>
      <c r="O431" t="s">
        <v>748</v>
      </c>
      <c r="P431" t="s">
        <v>38</v>
      </c>
      <c r="R431" t="s">
        <v>33</v>
      </c>
    </row>
    <row r="432" spans="3:22" x14ac:dyDescent="0.25">
      <c r="C432" t="s">
        <v>863</v>
      </c>
      <c r="D432" t="s">
        <v>864</v>
      </c>
      <c r="E432">
        <v>1</v>
      </c>
      <c r="F432" t="s">
        <v>865</v>
      </c>
      <c r="K432" t="s">
        <v>1366</v>
      </c>
      <c r="L432" t="s">
        <v>1519</v>
      </c>
      <c r="M432" t="s">
        <v>920</v>
      </c>
      <c r="N432" t="s">
        <v>1135</v>
      </c>
      <c r="O432" t="s">
        <v>748</v>
      </c>
      <c r="P432" t="s">
        <v>38</v>
      </c>
      <c r="R432" t="s">
        <v>33</v>
      </c>
      <c r="S432">
        <v>0.47</v>
      </c>
      <c r="T432">
        <v>0</v>
      </c>
      <c r="U432">
        <v>15.07</v>
      </c>
      <c r="V432" t="s">
        <v>745</v>
      </c>
    </row>
    <row r="433" spans="3:22" x14ac:dyDescent="0.25">
      <c r="C433" t="s">
        <v>866</v>
      </c>
      <c r="D433">
        <v>2</v>
      </c>
      <c r="E433">
        <v>-15.07</v>
      </c>
      <c r="F433" t="s">
        <v>867</v>
      </c>
      <c r="K433" t="s">
        <v>1531</v>
      </c>
      <c r="L433" t="s">
        <v>1519</v>
      </c>
      <c r="M433" t="s">
        <v>920</v>
      </c>
      <c r="N433" t="s">
        <v>1135</v>
      </c>
      <c r="O433" t="s">
        <v>748</v>
      </c>
      <c r="P433" t="s">
        <v>38</v>
      </c>
      <c r="R433" t="s">
        <v>33</v>
      </c>
    </row>
    <row r="434" spans="3:22" x14ac:dyDescent="0.25">
      <c r="C434" t="s">
        <v>863</v>
      </c>
      <c r="D434" t="s">
        <v>864</v>
      </c>
      <c r="E434">
        <v>1</v>
      </c>
      <c r="F434" t="s">
        <v>865</v>
      </c>
      <c r="K434" t="s">
        <v>1368</v>
      </c>
      <c r="L434" t="s">
        <v>1519</v>
      </c>
      <c r="M434" t="s">
        <v>920</v>
      </c>
      <c r="N434" t="s">
        <v>1135</v>
      </c>
      <c r="O434" t="s">
        <v>748</v>
      </c>
      <c r="P434" t="s">
        <v>38</v>
      </c>
      <c r="R434" t="s">
        <v>33</v>
      </c>
      <c r="S434">
        <v>0.47</v>
      </c>
      <c r="T434">
        <v>0</v>
      </c>
      <c r="U434">
        <v>15.07</v>
      </c>
      <c r="V434" t="s">
        <v>745</v>
      </c>
    </row>
    <row r="435" spans="3:22" x14ac:dyDescent="0.25">
      <c r="C435" t="s">
        <v>866</v>
      </c>
      <c r="D435">
        <v>2</v>
      </c>
      <c r="E435">
        <v>-15.07</v>
      </c>
      <c r="F435" t="s">
        <v>867</v>
      </c>
      <c r="K435" t="s">
        <v>1532</v>
      </c>
      <c r="L435" t="s">
        <v>1519</v>
      </c>
      <c r="M435" t="s">
        <v>920</v>
      </c>
      <c r="N435" t="s">
        <v>1135</v>
      </c>
      <c r="O435" t="s">
        <v>748</v>
      </c>
      <c r="P435" t="s">
        <v>38</v>
      </c>
      <c r="R435" t="s">
        <v>33</v>
      </c>
    </row>
    <row r="436" spans="3:22" x14ac:dyDescent="0.25">
      <c r="C436" t="s">
        <v>863</v>
      </c>
      <c r="D436" t="s">
        <v>864</v>
      </c>
      <c r="E436">
        <v>1</v>
      </c>
      <c r="F436" t="s">
        <v>865</v>
      </c>
      <c r="K436" t="s">
        <v>1370</v>
      </c>
      <c r="L436" t="s">
        <v>1519</v>
      </c>
      <c r="M436" t="s">
        <v>920</v>
      </c>
      <c r="N436" t="s">
        <v>1135</v>
      </c>
      <c r="O436" t="s">
        <v>748</v>
      </c>
      <c r="P436" t="s">
        <v>38</v>
      </c>
      <c r="R436" t="s">
        <v>33</v>
      </c>
      <c r="S436">
        <v>0.47</v>
      </c>
      <c r="T436">
        <v>0</v>
      </c>
      <c r="U436">
        <v>15.07</v>
      </c>
      <c r="V436" t="s">
        <v>745</v>
      </c>
    </row>
    <row r="437" spans="3:22" x14ac:dyDescent="0.25">
      <c r="C437" t="s">
        <v>866</v>
      </c>
      <c r="D437">
        <v>2</v>
      </c>
      <c r="E437">
        <v>-15.07</v>
      </c>
      <c r="F437" t="s">
        <v>867</v>
      </c>
      <c r="K437" t="s">
        <v>1533</v>
      </c>
      <c r="L437" t="s">
        <v>1519</v>
      </c>
      <c r="M437" t="s">
        <v>920</v>
      </c>
      <c r="N437" t="s">
        <v>1135</v>
      </c>
      <c r="O437" t="s">
        <v>748</v>
      </c>
      <c r="P437" t="s">
        <v>38</v>
      </c>
      <c r="R437" t="s">
        <v>33</v>
      </c>
    </row>
    <row r="438" spans="3:22" x14ac:dyDescent="0.25">
      <c r="C438" t="s">
        <v>863</v>
      </c>
      <c r="D438" t="s">
        <v>864</v>
      </c>
      <c r="E438">
        <v>1</v>
      </c>
      <c r="F438" t="s">
        <v>865</v>
      </c>
      <c r="K438" t="s">
        <v>1372</v>
      </c>
      <c r="L438" t="s">
        <v>1519</v>
      </c>
      <c r="M438" t="s">
        <v>920</v>
      </c>
      <c r="N438" t="s">
        <v>1135</v>
      </c>
      <c r="O438" t="s">
        <v>748</v>
      </c>
      <c r="P438" t="s">
        <v>38</v>
      </c>
      <c r="R438" t="s">
        <v>33</v>
      </c>
      <c r="S438">
        <v>0.44</v>
      </c>
      <c r="T438">
        <v>3.33</v>
      </c>
      <c r="U438">
        <v>15.07</v>
      </c>
      <c r="V438" t="s">
        <v>745</v>
      </c>
    </row>
    <row r="439" spans="3:22" x14ac:dyDescent="0.25">
      <c r="C439" t="s">
        <v>866</v>
      </c>
      <c r="D439">
        <v>2</v>
      </c>
      <c r="E439">
        <v>-15.07</v>
      </c>
      <c r="F439" t="s">
        <v>867</v>
      </c>
      <c r="K439" t="s">
        <v>1534</v>
      </c>
      <c r="L439" t="s">
        <v>1519</v>
      </c>
      <c r="M439" t="s">
        <v>920</v>
      </c>
      <c r="N439" t="s">
        <v>1135</v>
      </c>
      <c r="O439" t="s">
        <v>748</v>
      </c>
      <c r="P439" t="s">
        <v>38</v>
      </c>
      <c r="R439" t="s">
        <v>33</v>
      </c>
    </row>
    <row r="440" spans="3:22" x14ac:dyDescent="0.25">
      <c r="C440" t="s">
        <v>863</v>
      </c>
      <c r="D440" t="s">
        <v>864</v>
      </c>
      <c r="E440">
        <v>1</v>
      </c>
      <c r="F440" t="s">
        <v>865</v>
      </c>
      <c r="K440" t="s">
        <v>1374</v>
      </c>
      <c r="L440" t="s">
        <v>1519</v>
      </c>
      <c r="M440" t="s">
        <v>920</v>
      </c>
      <c r="N440" t="s">
        <v>1135</v>
      </c>
      <c r="O440" t="s">
        <v>748</v>
      </c>
      <c r="P440" t="s">
        <v>38</v>
      </c>
      <c r="R440" t="s">
        <v>33</v>
      </c>
      <c r="S440">
        <v>0.14000000000000001</v>
      </c>
      <c r="T440">
        <v>0</v>
      </c>
      <c r="U440">
        <v>61.67</v>
      </c>
      <c r="V440" t="s">
        <v>745</v>
      </c>
    </row>
    <row r="441" spans="3:22" x14ac:dyDescent="0.25">
      <c r="C441" t="s">
        <v>866</v>
      </c>
      <c r="D441">
        <v>2</v>
      </c>
      <c r="E441">
        <v>-61.67</v>
      </c>
      <c r="F441" t="s">
        <v>867</v>
      </c>
      <c r="K441" t="s">
        <v>1535</v>
      </c>
      <c r="L441" t="s">
        <v>1519</v>
      </c>
      <c r="M441" t="s">
        <v>920</v>
      </c>
      <c r="N441" t="s">
        <v>1135</v>
      </c>
      <c r="O441" t="s">
        <v>748</v>
      </c>
      <c r="P441" t="s">
        <v>38</v>
      </c>
      <c r="R441" t="s">
        <v>33</v>
      </c>
    </row>
    <row r="442" spans="3:22" x14ac:dyDescent="0.25">
      <c r="C442" t="s">
        <v>863</v>
      </c>
      <c r="D442" t="s">
        <v>864</v>
      </c>
      <c r="E442">
        <v>1</v>
      </c>
      <c r="F442" t="s">
        <v>865</v>
      </c>
      <c r="K442" t="s">
        <v>1376</v>
      </c>
      <c r="L442" t="s">
        <v>1519</v>
      </c>
      <c r="M442" t="s">
        <v>920</v>
      </c>
      <c r="N442" t="s">
        <v>1135</v>
      </c>
      <c r="O442" t="s">
        <v>748</v>
      </c>
      <c r="P442" t="s">
        <v>38</v>
      </c>
      <c r="R442" t="s">
        <v>33</v>
      </c>
      <c r="S442">
        <v>0.34</v>
      </c>
      <c r="T442">
        <v>0.19</v>
      </c>
      <c r="U442">
        <v>32.880000000000003</v>
      </c>
      <c r="V442" t="s">
        <v>745</v>
      </c>
    </row>
    <row r="443" spans="3:22" x14ac:dyDescent="0.25">
      <c r="C443" t="s">
        <v>866</v>
      </c>
      <c r="D443">
        <v>2</v>
      </c>
      <c r="E443">
        <v>-32.880000000000003</v>
      </c>
      <c r="F443" t="s">
        <v>867</v>
      </c>
      <c r="K443" t="s">
        <v>1536</v>
      </c>
      <c r="L443" t="s">
        <v>1519</v>
      </c>
      <c r="M443" t="s">
        <v>920</v>
      </c>
      <c r="N443" t="s">
        <v>1135</v>
      </c>
      <c r="O443" t="s">
        <v>748</v>
      </c>
      <c r="P443" t="s">
        <v>38</v>
      </c>
      <c r="R443" t="s">
        <v>33</v>
      </c>
    </row>
    <row r="444" spans="3:22" x14ac:dyDescent="0.25">
      <c r="C444" t="s">
        <v>878</v>
      </c>
      <c r="D444">
        <v>5</v>
      </c>
      <c r="E444">
        <v>309.62</v>
      </c>
      <c r="F444" t="s">
        <v>867</v>
      </c>
      <c r="K444" t="s">
        <v>1380</v>
      </c>
      <c r="L444" t="s">
        <v>1519</v>
      </c>
      <c r="M444" t="s">
        <v>920</v>
      </c>
      <c r="N444" t="s">
        <v>1135</v>
      </c>
      <c r="O444" t="s">
        <v>748</v>
      </c>
      <c r="P444" t="s">
        <v>38</v>
      </c>
      <c r="R444" t="s">
        <v>77</v>
      </c>
      <c r="S444">
        <v>1.42</v>
      </c>
      <c r="T444">
        <v>43.23</v>
      </c>
      <c r="U444">
        <v>62.17</v>
      </c>
      <c r="V444" t="s">
        <v>1520</v>
      </c>
    </row>
    <row r="445" spans="3:22" x14ac:dyDescent="0.25">
      <c r="C445" t="s">
        <v>878</v>
      </c>
      <c r="D445">
        <v>5</v>
      </c>
      <c r="E445">
        <v>-62.17</v>
      </c>
      <c r="F445" t="s">
        <v>867</v>
      </c>
      <c r="K445" t="s">
        <v>1537</v>
      </c>
      <c r="L445" t="s">
        <v>1519</v>
      </c>
      <c r="M445" t="s">
        <v>920</v>
      </c>
      <c r="N445" t="s">
        <v>1135</v>
      </c>
      <c r="O445" t="s">
        <v>748</v>
      </c>
      <c r="P445" t="s">
        <v>38</v>
      </c>
      <c r="R445" t="s">
        <v>77</v>
      </c>
    </row>
    <row r="446" spans="3:22" x14ac:dyDescent="0.25">
      <c r="C446" t="s">
        <v>880</v>
      </c>
      <c r="D446" t="s">
        <v>881</v>
      </c>
      <c r="E446">
        <v>1</v>
      </c>
      <c r="F446" t="s">
        <v>865</v>
      </c>
      <c r="K446" t="s">
        <v>1382</v>
      </c>
      <c r="L446" t="s">
        <v>1519</v>
      </c>
      <c r="M446" t="s">
        <v>920</v>
      </c>
      <c r="N446" t="s">
        <v>1135</v>
      </c>
      <c r="O446" t="s">
        <v>748</v>
      </c>
      <c r="P446" t="s">
        <v>38</v>
      </c>
      <c r="R446" t="s">
        <v>77</v>
      </c>
      <c r="S446">
        <v>5.0199999999999996</v>
      </c>
      <c r="T446">
        <v>32.47</v>
      </c>
      <c r="U446">
        <v>92.71</v>
      </c>
      <c r="V446" t="s">
        <v>750</v>
      </c>
    </row>
    <row r="447" spans="3:22" x14ac:dyDescent="0.25">
      <c r="C447" t="s">
        <v>878</v>
      </c>
      <c r="D447">
        <v>6</v>
      </c>
      <c r="E447">
        <v>-92.71</v>
      </c>
      <c r="F447" t="s">
        <v>867</v>
      </c>
      <c r="K447" t="s">
        <v>1538</v>
      </c>
      <c r="L447" t="s">
        <v>1519</v>
      </c>
      <c r="M447" t="s">
        <v>920</v>
      </c>
      <c r="N447" t="s">
        <v>1135</v>
      </c>
      <c r="O447" t="s">
        <v>748</v>
      </c>
      <c r="P447" t="s">
        <v>38</v>
      </c>
      <c r="R447" t="s">
        <v>77</v>
      </c>
    </row>
    <row r="448" spans="3:22" x14ac:dyDescent="0.25">
      <c r="C448" t="s">
        <v>880</v>
      </c>
      <c r="D448" t="s">
        <v>881</v>
      </c>
      <c r="E448">
        <v>1</v>
      </c>
      <c r="F448" t="s">
        <v>865</v>
      </c>
      <c r="K448" t="s">
        <v>1384</v>
      </c>
      <c r="L448" t="s">
        <v>1519</v>
      </c>
      <c r="M448" t="s">
        <v>920</v>
      </c>
      <c r="N448" t="s">
        <v>1135</v>
      </c>
      <c r="O448" t="s">
        <v>748</v>
      </c>
      <c r="P448" t="s">
        <v>38</v>
      </c>
      <c r="R448" t="s">
        <v>77</v>
      </c>
      <c r="S448">
        <v>5.09</v>
      </c>
      <c r="T448">
        <v>22.74</v>
      </c>
      <c r="U448">
        <v>92.71</v>
      </c>
      <c r="V448" t="s">
        <v>750</v>
      </c>
    </row>
    <row r="449" spans="3:22" x14ac:dyDescent="0.25">
      <c r="C449" t="s">
        <v>878</v>
      </c>
      <c r="D449">
        <v>6</v>
      </c>
      <c r="E449">
        <v>-92.71</v>
      </c>
      <c r="F449" t="s">
        <v>867</v>
      </c>
      <c r="K449" t="s">
        <v>1539</v>
      </c>
      <c r="L449" t="s">
        <v>1519</v>
      </c>
      <c r="M449" t="s">
        <v>920</v>
      </c>
      <c r="N449" t="s">
        <v>1135</v>
      </c>
      <c r="O449" t="s">
        <v>748</v>
      </c>
      <c r="P449" t="s">
        <v>38</v>
      </c>
      <c r="R449" t="s">
        <v>77</v>
      </c>
    </row>
    <row r="450" spans="3:22" x14ac:dyDescent="0.25">
      <c r="C450" t="s">
        <v>880</v>
      </c>
      <c r="D450" t="s">
        <v>881</v>
      </c>
      <c r="E450">
        <v>1</v>
      </c>
      <c r="F450" t="s">
        <v>865</v>
      </c>
      <c r="K450" t="s">
        <v>1386</v>
      </c>
      <c r="L450" t="s">
        <v>1519</v>
      </c>
      <c r="M450" t="s">
        <v>920</v>
      </c>
      <c r="N450" t="s">
        <v>1135</v>
      </c>
      <c r="O450" t="s">
        <v>748</v>
      </c>
      <c r="P450" t="s">
        <v>38</v>
      </c>
      <c r="R450" t="s">
        <v>77</v>
      </c>
      <c r="S450">
        <v>5.0599999999999996</v>
      </c>
      <c r="T450">
        <v>26.83</v>
      </c>
      <c r="U450">
        <v>92.71</v>
      </c>
      <c r="V450" t="s">
        <v>750</v>
      </c>
    </row>
    <row r="451" spans="3:22" x14ac:dyDescent="0.25">
      <c r="C451" t="s">
        <v>878</v>
      </c>
      <c r="D451">
        <v>6</v>
      </c>
      <c r="E451">
        <v>-92.71</v>
      </c>
      <c r="F451" t="s">
        <v>867</v>
      </c>
      <c r="K451" t="s">
        <v>1540</v>
      </c>
      <c r="L451" t="s">
        <v>1519</v>
      </c>
      <c r="M451" t="s">
        <v>920</v>
      </c>
      <c r="N451" t="s">
        <v>1135</v>
      </c>
      <c r="O451" t="s">
        <v>748</v>
      </c>
      <c r="P451" t="s">
        <v>38</v>
      </c>
      <c r="R451" t="s">
        <v>77</v>
      </c>
    </row>
    <row r="452" spans="3:22" x14ac:dyDescent="0.25">
      <c r="C452" t="s">
        <v>880</v>
      </c>
      <c r="D452" t="s">
        <v>881</v>
      </c>
      <c r="E452">
        <v>1</v>
      </c>
      <c r="F452" t="s">
        <v>865</v>
      </c>
      <c r="K452" t="s">
        <v>1388</v>
      </c>
      <c r="L452" t="s">
        <v>1519</v>
      </c>
      <c r="M452" t="s">
        <v>920</v>
      </c>
      <c r="N452" t="s">
        <v>1135</v>
      </c>
      <c r="O452" t="s">
        <v>748</v>
      </c>
      <c r="P452" t="s">
        <v>38</v>
      </c>
      <c r="R452" t="s">
        <v>77</v>
      </c>
      <c r="S452">
        <v>5.0599999999999996</v>
      </c>
      <c r="T452">
        <v>26.47</v>
      </c>
      <c r="U452">
        <v>93.17</v>
      </c>
      <c r="V452" t="s">
        <v>750</v>
      </c>
    </row>
    <row r="453" spans="3:22" x14ac:dyDescent="0.25">
      <c r="C453" t="s">
        <v>878</v>
      </c>
      <c r="D453">
        <v>6</v>
      </c>
      <c r="E453">
        <v>-93.17</v>
      </c>
      <c r="F453" t="s">
        <v>867</v>
      </c>
      <c r="K453" t="s">
        <v>1541</v>
      </c>
      <c r="L453" t="s">
        <v>1519</v>
      </c>
      <c r="M453" t="s">
        <v>920</v>
      </c>
      <c r="N453" t="s">
        <v>1135</v>
      </c>
      <c r="O453" t="s">
        <v>748</v>
      </c>
      <c r="P453" t="s">
        <v>38</v>
      </c>
      <c r="R453" t="s">
        <v>77</v>
      </c>
    </row>
    <row r="454" spans="3:22" x14ac:dyDescent="0.25">
      <c r="C454" t="s">
        <v>880</v>
      </c>
      <c r="D454" t="s">
        <v>881</v>
      </c>
      <c r="E454">
        <v>1</v>
      </c>
      <c r="F454" t="s">
        <v>865</v>
      </c>
      <c r="K454" t="s">
        <v>1390</v>
      </c>
      <c r="L454" t="s">
        <v>1519</v>
      </c>
      <c r="M454" t="s">
        <v>920</v>
      </c>
      <c r="N454" t="s">
        <v>1135</v>
      </c>
      <c r="O454" t="s">
        <v>748</v>
      </c>
      <c r="P454" t="s">
        <v>38</v>
      </c>
      <c r="R454" t="s">
        <v>77</v>
      </c>
      <c r="S454">
        <v>5.0599999999999996</v>
      </c>
      <c r="T454">
        <v>39.61</v>
      </c>
      <c r="U454">
        <v>80.27</v>
      </c>
      <c r="V454" t="s">
        <v>750</v>
      </c>
    </row>
    <row r="455" spans="3:22" x14ac:dyDescent="0.25">
      <c r="C455" t="s">
        <v>878</v>
      </c>
      <c r="D455">
        <v>6</v>
      </c>
      <c r="E455">
        <v>-80.27</v>
      </c>
      <c r="F455" t="s">
        <v>867</v>
      </c>
      <c r="K455" t="s">
        <v>1542</v>
      </c>
      <c r="L455" t="s">
        <v>1519</v>
      </c>
      <c r="M455" t="s">
        <v>920</v>
      </c>
      <c r="N455" t="s">
        <v>1135</v>
      </c>
      <c r="O455" t="s">
        <v>748</v>
      </c>
      <c r="P455" t="s">
        <v>38</v>
      </c>
      <c r="R455" t="s">
        <v>77</v>
      </c>
    </row>
    <row r="456" spans="3:22" x14ac:dyDescent="0.25">
      <c r="C456" t="s">
        <v>880</v>
      </c>
      <c r="D456" t="s">
        <v>881</v>
      </c>
      <c r="E456">
        <v>1</v>
      </c>
      <c r="F456" t="s">
        <v>865</v>
      </c>
      <c r="K456" t="s">
        <v>1392</v>
      </c>
      <c r="L456" t="s">
        <v>1519</v>
      </c>
      <c r="M456" t="s">
        <v>920</v>
      </c>
      <c r="N456" t="s">
        <v>1135</v>
      </c>
      <c r="O456" t="s">
        <v>748</v>
      </c>
      <c r="P456" t="s">
        <v>38</v>
      </c>
      <c r="R456" t="s">
        <v>77</v>
      </c>
      <c r="S456">
        <v>5.0599999999999996</v>
      </c>
      <c r="T456">
        <v>39.630000000000003</v>
      </c>
      <c r="U456">
        <v>80.27</v>
      </c>
      <c r="V456" t="s">
        <v>750</v>
      </c>
    </row>
    <row r="457" spans="3:22" x14ac:dyDescent="0.25">
      <c r="C457" t="s">
        <v>878</v>
      </c>
      <c r="D457">
        <v>6</v>
      </c>
      <c r="E457">
        <v>-80.27</v>
      </c>
      <c r="F457" t="s">
        <v>867</v>
      </c>
      <c r="K457" t="s">
        <v>1543</v>
      </c>
      <c r="L457" t="s">
        <v>1519</v>
      </c>
      <c r="M457" t="s">
        <v>920</v>
      </c>
      <c r="N457" t="s">
        <v>1135</v>
      </c>
      <c r="O457" t="s">
        <v>748</v>
      </c>
      <c r="P457" t="s">
        <v>38</v>
      </c>
      <c r="R457" t="s">
        <v>77</v>
      </c>
    </row>
    <row r="458" spans="3:22" x14ac:dyDescent="0.25">
      <c r="C458" t="s">
        <v>880</v>
      </c>
      <c r="D458" t="s">
        <v>881</v>
      </c>
      <c r="E458">
        <v>1</v>
      </c>
      <c r="F458" t="s">
        <v>865</v>
      </c>
      <c r="K458" t="s">
        <v>1394</v>
      </c>
      <c r="L458" t="s">
        <v>1519</v>
      </c>
      <c r="M458" t="s">
        <v>920</v>
      </c>
      <c r="N458" t="s">
        <v>1135</v>
      </c>
      <c r="O458" t="s">
        <v>748</v>
      </c>
      <c r="P458" t="s">
        <v>38</v>
      </c>
      <c r="R458" t="s">
        <v>77</v>
      </c>
      <c r="S458">
        <v>5.0599999999999996</v>
      </c>
      <c r="T458">
        <v>25.3</v>
      </c>
      <c r="U458">
        <v>94.75</v>
      </c>
      <c r="V458" t="s">
        <v>750</v>
      </c>
    </row>
    <row r="459" spans="3:22" x14ac:dyDescent="0.25">
      <c r="C459" t="s">
        <v>878</v>
      </c>
      <c r="D459">
        <v>6</v>
      </c>
      <c r="E459">
        <v>-94.75</v>
      </c>
      <c r="F459" t="s">
        <v>867</v>
      </c>
      <c r="K459" t="s">
        <v>1544</v>
      </c>
      <c r="L459" t="s">
        <v>1519</v>
      </c>
      <c r="M459" t="s">
        <v>920</v>
      </c>
      <c r="N459" t="s">
        <v>1135</v>
      </c>
      <c r="O459" t="s">
        <v>748</v>
      </c>
      <c r="P459" t="s">
        <v>38</v>
      </c>
      <c r="R459" t="s">
        <v>77</v>
      </c>
    </row>
    <row r="460" spans="3:22" x14ac:dyDescent="0.25">
      <c r="C460" t="s">
        <v>880</v>
      </c>
      <c r="D460" t="s">
        <v>881</v>
      </c>
      <c r="E460">
        <v>1</v>
      </c>
      <c r="F460" t="s">
        <v>865</v>
      </c>
      <c r="K460" t="s">
        <v>1396</v>
      </c>
      <c r="L460" t="s">
        <v>1519</v>
      </c>
      <c r="M460" t="s">
        <v>920</v>
      </c>
      <c r="N460" t="s">
        <v>1135</v>
      </c>
      <c r="O460" t="s">
        <v>748</v>
      </c>
      <c r="P460" t="s">
        <v>38</v>
      </c>
      <c r="R460" t="s">
        <v>77</v>
      </c>
      <c r="S460">
        <v>5.0599999999999996</v>
      </c>
      <c r="T460">
        <v>26.64</v>
      </c>
      <c r="U460">
        <v>93.43</v>
      </c>
      <c r="V460" t="s">
        <v>750</v>
      </c>
    </row>
    <row r="461" spans="3:22" x14ac:dyDescent="0.25">
      <c r="C461" t="s">
        <v>878</v>
      </c>
      <c r="D461">
        <v>6</v>
      </c>
      <c r="E461">
        <v>-93.43</v>
      </c>
      <c r="F461" t="s">
        <v>867</v>
      </c>
      <c r="K461" t="s">
        <v>1545</v>
      </c>
      <c r="L461" t="s">
        <v>1519</v>
      </c>
      <c r="M461" t="s">
        <v>920</v>
      </c>
      <c r="N461" t="s">
        <v>1135</v>
      </c>
      <c r="O461" t="s">
        <v>748</v>
      </c>
      <c r="P461" t="s">
        <v>38</v>
      </c>
      <c r="R461" t="s">
        <v>77</v>
      </c>
    </row>
    <row r="462" spans="3:22" x14ac:dyDescent="0.25">
      <c r="C462" t="s">
        <v>880</v>
      </c>
      <c r="D462" t="s">
        <v>881</v>
      </c>
      <c r="E462">
        <v>1</v>
      </c>
      <c r="F462" t="s">
        <v>865</v>
      </c>
      <c r="K462" t="s">
        <v>1398</v>
      </c>
      <c r="L462" t="s">
        <v>1519</v>
      </c>
      <c r="M462" t="s">
        <v>920</v>
      </c>
      <c r="N462" t="s">
        <v>1135</v>
      </c>
      <c r="O462" t="s">
        <v>748</v>
      </c>
      <c r="P462" t="s">
        <v>38</v>
      </c>
      <c r="R462" t="s">
        <v>77</v>
      </c>
      <c r="S462">
        <v>5.15</v>
      </c>
      <c r="T462">
        <v>26.1</v>
      </c>
      <c r="U462">
        <v>80.27</v>
      </c>
      <c r="V462" t="s">
        <v>750</v>
      </c>
    </row>
    <row r="463" spans="3:22" x14ac:dyDescent="0.25">
      <c r="C463" t="s">
        <v>878</v>
      </c>
      <c r="D463">
        <v>6</v>
      </c>
      <c r="E463">
        <v>-80.27</v>
      </c>
      <c r="F463" t="s">
        <v>867</v>
      </c>
      <c r="K463" t="s">
        <v>1546</v>
      </c>
      <c r="L463" t="s">
        <v>1519</v>
      </c>
      <c r="M463" t="s">
        <v>920</v>
      </c>
      <c r="N463" t="s">
        <v>1135</v>
      </c>
      <c r="O463" t="s">
        <v>748</v>
      </c>
      <c r="P463" t="s">
        <v>38</v>
      </c>
      <c r="R463" t="s">
        <v>77</v>
      </c>
    </row>
    <row r="464" spans="3:22" x14ac:dyDescent="0.25">
      <c r="C464" t="s">
        <v>880</v>
      </c>
      <c r="D464" t="s">
        <v>881</v>
      </c>
      <c r="E464">
        <v>1</v>
      </c>
      <c r="F464" t="s">
        <v>865</v>
      </c>
      <c r="K464" t="s">
        <v>1400</v>
      </c>
      <c r="L464" t="s">
        <v>1519</v>
      </c>
      <c r="M464" t="s">
        <v>920</v>
      </c>
      <c r="N464" t="s">
        <v>1135</v>
      </c>
      <c r="O464" t="s">
        <v>748</v>
      </c>
      <c r="P464" t="s">
        <v>38</v>
      </c>
      <c r="R464" t="s">
        <v>77</v>
      </c>
      <c r="S464">
        <v>5.2</v>
      </c>
      <c r="T464">
        <v>34.21</v>
      </c>
      <c r="U464">
        <v>65.959999999999994</v>
      </c>
      <c r="V464" t="s">
        <v>750</v>
      </c>
    </row>
    <row r="465" spans="3:22" x14ac:dyDescent="0.25">
      <c r="C465" t="s">
        <v>878</v>
      </c>
      <c r="D465">
        <v>6</v>
      </c>
      <c r="E465">
        <v>-65.959999999999994</v>
      </c>
      <c r="F465" t="s">
        <v>867</v>
      </c>
      <c r="K465" t="s">
        <v>1547</v>
      </c>
      <c r="L465" t="s">
        <v>1519</v>
      </c>
      <c r="M465" t="s">
        <v>920</v>
      </c>
      <c r="N465" t="s">
        <v>1135</v>
      </c>
      <c r="O465" t="s">
        <v>748</v>
      </c>
      <c r="P465" t="s">
        <v>38</v>
      </c>
      <c r="R465" t="s">
        <v>77</v>
      </c>
    </row>
    <row r="466" spans="3:22" x14ac:dyDescent="0.25">
      <c r="C466" t="s">
        <v>880</v>
      </c>
      <c r="D466" t="s">
        <v>881</v>
      </c>
      <c r="E466">
        <v>1</v>
      </c>
      <c r="F466" t="s">
        <v>865</v>
      </c>
      <c r="K466" t="s">
        <v>1402</v>
      </c>
      <c r="L466" t="s">
        <v>1519</v>
      </c>
      <c r="M466" t="s">
        <v>920</v>
      </c>
      <c r="N466" t="s">
        <v>1135</v>
      </c>
      <c r="O466" t="s">
        <v>748</v>
      </c>
      <c r="P466" t="s">
        <v>38</v>
      </c>
      <c r="R466" t="s">
        <v>77</v>
      </c>
      <c r="S466">
        <v>5.2</v>
      </c>
      <c r="T466">
        <v>34.450000000000003</v>
      </c>
      <c r="U466">
        <v>65.709999999999994</v>
      </c>
      <c r="V466" t="s">
        <v>750</v>
      </c>
    </row>
    <row r="467" spans="3:22" x14ac:dyDescent="0.25">
      <c r="C467" t="s">
        <v>878</v>
      </c>
      <c r="D467">
        <v>6</v>
      </c>
      <c r="E467">
        <v>-65.709999999999994</v>
      </c>
      <c r="F467" t="s">
        <v>867</v>
      </c>
      <c r="K467" t="s">
        <v>1548</v>
      </c>
      <c r="L467" t="s">
        <v>1519</v>
      </c>
      <c r="M467" t="s">
        <v>920</v>
      </c>
      <c r="N467" t="s">
        <v>1135</v>
      </c>
      <c r="O467" t="s">
        <v>748</v>
      </c>
      <c r="P467" t="s">
        <v>38</v>
      </c>
      <c r="R467" t="s">
        <v>77</v>
      </c>
    </row>
    <row r="468" spans="3:22" x14ac:dyDescent="0.25">
      <c r="C468" t="s">
        <v>880</v>
      </c>
      <c r="D468" t="s">
        <v>881</v>
      </c>
      <c r="E468">
        <v>1</v>
      </c>
      <c r="F468" t="s">
        <v>865</v>
      </c>
      <c r="K468" t="s">
        <v>1404</v>
      </c>
      <c r="L468" t="s">
        <v>1519</v>
      </c>
      <c r="M468" t="s">
        <v>920</v>
      </c>
      <c r="N468" t="s">
        <v>1135</v>
      </c>
      <c r="O468" t="s">
        <v>748</v>
      </c>
      <c r="P468" t="s">
        <v>38</v>
      </c>
      <c r="R468" t="s">
        <v>77</v>
      </c>
      <c r="S468">
        <v>5.05</v>
      </c>
      <c r="T468">
        <v>26.46</v>
      </c>
      <c r="U468">
        <v>95.38</v>
      </c>
      <c r="V468" t="s">
        <v>750</v>
      </c>
    </row>
    <row r="469" spans="3:22" x14ac:dyDescent="0.25">
      <c r="C469" t="s">
        <v>878</v>
      </c>
      <c r="D469">
        <v>6</v>
      </c>
      <c r="E469">
        <v>-95.38</v>
      </c>
      <c r="F469" t="s">
        <v>867</v>
      </c>
      <c r="K469" t="s">
        <v>1549</v>
      </c>
      <c r="L469" t="s">
        <v>1519</v>
      </c>
      <c r="M469" t="s">
        <v>920</v>
      </c>
      <c r="N469" t="s">
        <v>1135</v>
      </c>
      <c r="O469" t="s">
        <v>748</v>
      </c>
      <c r="P469" t="s">
        <v>38</v>
      </c>
      <c r="R469" t="s">
        <v>77</v>
      </c>
    </row>
    <row r="470" spans="3:22" x14ac:dyDescent="0.25">
      <c r="C470" t="s">
        <v>880</v>
      </c>
      <c r="D470" t="s">
        <v>881</v>
      </c>
      <c r="E470">
        <v>1</v>
      </c>
      <c r="F470" t="s">
        <v>865</v>
      </c>
      <c r="K470" t="s">
        <v>1406</v>
      </c>
      <c r="L470" t="s">
        <v>1519</v>
      </c>
      <c r="M470" t="s">
        <v>920</v>
      </c>
      <c r="N470" t="s">
        <v>1135</v>
      </c>
      <c r="O470" t="s">
        <v>748</v>
      </c>
      <c r="P470" t="s">
        <v>38</v>
      </c>
      <c r="R470" t="s">
        <v>77</v>
      </c>
      <c r="S470">
        <v>5.05</v>
      </c>
      <c r="T470">
        <v>24.72</v>
      </c>
      <c r="U470">
        <v>97.12</v>
      </c>
      <c r="V470" t="s">
        <v>750</v>
      </c>
    </row>
    <row r="471" spans="3:22" x14ac:dyDescent="0.25">
      <c r="C471" t="s">
        <v>878</v>
      </c>
      <c r="D471">
        <v>6</v>
      </c>
      <c r="E471">
        <v>-97.12</v>
      </c>
      <c r="F471" t="s">
        <v>867</v>
      </c>
      <c r="K471" t="s">
        <v>1550</v>
      </c>
      <c r="L471" t="s">
        <v>1519</v>
      </c>
      <c r="M471" t="s">
        <v>920</v>
      </c>
      <c r="N471" t="s">
        <v>1135</v>
      </c>
      <c r="O471" t="s">
        <v>748</v>
      </c>
      <c r="P471" t="s">
        <v>38</v>
      </c>
      <c r="R471" t="s">
        <v>77</v>
      </c>
    </row>
    <row r="472" spans="3:22" x14ac:dyDescent="0.25">
      <c r="C472" t="s">
        <v>880</v>
      </c>
      <c r="D472" t="s">
        <v>881</v>
      </c>
      <c r="E472">
        <v>1</v>
      </c>
      <c r="F472" t="s">
        <v>865</v>
      </c>
      <c r="K472" t="s">
        <v>1408</v>
      </c>
      <c r="L472" t="s">
        <v>1519</v>
      </c>
      <c r="M472" t="s">
        <v>920</v>
      </c>
      <c r="N472" t="s">
        <v>1135</v>
      </c>
      <c r="O472" t="s">
        <v>748</v>
      </c>
      <c r="P472" t="s">
        <v>38</v>
      </c>
      <c r="R472" t="s">
        <v>77</v>
      </c>
      <c r="S472">
        <v>5.05</v>
      </c>
      <c r="T472">
        <v>24.72</v>
      </c>
      <c r="U472">
        <v>97.12</v>
      </c>
      <c r="V472" t="s">
        <v>750</v>
      </c>
    </row>
    <row r="473" spans="3:22" x14ac:dyDescent="0.25">
      <c r="C473" t="s">
        <v>878</v>
      </c>
      <c r="D473">
        <v>6</v>
      </c>
      <c r="E473">
        <v>-97.12</v>
      </c>
      <c r="F473" t="s">
        <v>867</v>
      </c>
      <c r="K473" t="s">
        <v>1551</v>
      </c>
      <c r="L473" t="s">
        <v>1519</v>
      </c>
      <c r="M473" t="s">
        <v>920</v>
      </c>
      <c r="N473" t="s">
        <v>1135</v>
      </c>
      <c r="O473" t="s">
        <v>748</v>
      </c>
      <c r="P473" t="s">
        <v>38</v>
      </c>
      <c r="R473" t="s">
        <v>77</v>
      </c>
    </row>
    <row r="474" spans="3:22" x14ac:dyDescent="0.25">
      <c r="C474" t="s">
        <v>880</v>
      </c>
      <c r="D474" t="s">
        <v>881</v>
      </c>
      <c r="E474">
        <v>1</v>
      </c>
      <c r="F474" t="s">
        <v>865</v>
      </c>
      <c r="K474" t="s">
        <v>1410</v>
      </c>
      <c r="L474" t="s">
        <v>1519</v>
      </c>
      <c r="M474" t="s">
        <v>920</v>
      </c>
      <c r="N474" t="s">
        <v>1135</v>
      </c>
      <c r="O474" t="s">
        <v>748</v>
      </c>
      <c r="P474" t="s">
        <v>38</v>
      </c>
      <c r="R474" t="s">
        <v>77</v>
      </c>
      <c r="S474">
        <v>5.09</v>
      </c>
      <c r="T474">
        <v>35</v>
      </c>
      <c r="U474">
        <v>80.260000000000005</v>
      </c>
      <c r="V474" t="s">
        <v>750</v>
      </c>
    </row>
    <row r="475" spans="3:22" x14ac:dyDescent="0.25">
      <c r="C475" t="s">
        <v>878</v>
      </c>
      <c r="D475">
        <v>6</v>
      </c>
      <c r="E475">
        <v>-80.260000000000005</v>
      </c>
      <c r="F475" t="s">
        <v>867</v>
      </c>
      <c r="K475" t="s">
        <v>1552</v>
      </c>
      <c r="L475" t="s">
        <v>1519</v>
      </c>
      <c r="M475" t="s">
        <v>920</v>
      </c>
      <c r="N475" t="s">
        <v>1135</v>
      </c>
      <c r="O475" t="s">
        <v>748</v>
      </c>
      <c r="P475" t="s">
        <v>38</v>
      </c>
      <c r="R475" t="s">
        <v>77</v>
      </c>
    </row>
    <row r="476" spans="3:22" x14ac:dyDescent="0.25">
      <c r="C476" t="s">
        <v>880</v>
      </c>
      <c r="D476" t="s">
        <v>881</v>
      </c>
      <c r="E476">
        <v>1</v>
      </c>
      <c r="F476" t="s">
        <v>865</v>
      </c>
      <c r="K476" t="s">
        <v>1412</v>
      </c>
      <c r="L476" t="s">
        <v>1519</v>
      </c>
      <c r="M476" t="s">
        <v>920</v>
      </c>
      <c r="N476" t="s">
        <v>1135</v>
      </c>
      <c r="O476" t="s">
        <v>748</v>
      </c>
      <c r="P476" t="s">
        <v>38</v>
      </c>
      <c r="R476" t="s">
        <v>77</v>
      </c>
      <c r="S476">
        <v>5.16</v>
      </c>
      <c r="T476">
        <v>25.14</v>
      </c>
      <c r="U476">
        <v>80.260000000000005</v>
      </c>
      <c r="V476" t="s">
        <v>750</v>
      </c>
    </row>
    <row r="477" spans="3:22" x14ac:dyDescent="0.25">
      <c r="C477" t="s">
        <v>878</v>
      </c>
      <c r="D477">
        <v>6</v>
      </c>
      <c r="E477">
        <v>-80.260000000000005</v>
      </c>
      <c r="F477" t="s">
        <v>867</v>
      </c>
      <c r="K477" t="s">
        <v>1553</v>
      </c>
      <c r="L477" t="s">
        <v>1519</v>
      </c>
      <c r="M477" t="s">
        <v>920</v>
      </c>
      <c r="N477" t="s">
        <v>1135</v>
      </c>
      <c r="O477" t="s">
        <v>748</v>
      </c>
      <c r="P477" t="s">
        <v>38</v>
      </c>
      <c r="R477" t="s">
        <v>77</v>
      </c>
    </row>
    <row r="478" spans="3:22" x14ac:dyDescent="0.25">
      <c r="C478" t="s">
        <v>880</v>
      </c>
      <c r="D478" t="s">
        <v>881</v>
      </c>
      <c r="E478">
        <v>1</v>
      </c>
      <c r="F478" t="s">
        <v>865</v>
      </c>
      <c r="K478" t="s">
        <v>1414</v>
      </c>
      <c r="L478" t="s">
        <v>1519</v>
      </c>
      <c r="M478" t="s">
        <v>920</v>
      </c>
      <c r="N478" t="s">
        <v>1135</v>
      </c>
      <c r="O478" t="s">
        <v>748</v>
      </c>
      <c r="P478" t="s">
        <v>38</v>
      </c>
      <c r="R478" t="s">
        <v>77</v>
      </c>
      <c r="S478">
        <v>5.41</v>
      </c>
      <c r="T478">
        <v>69.19</v>
      </c>
      <c r="U478">
        <v>0</v>
      </c>
      <c r="V478" t="s">
        <v>750</v>
      </c>
    </row>
    <row r="479" spans="3:22" x14ac:dyDescent="0.25">
      <c r="C479" t="s">
        <v>878</v>
      </c>
      <c r="D479">
        <v>6</v>
      </c>
      <c r="E479">
        <v>446.86</v>
      </c>
      <c r="F479" t="s">
        <v>867</v>
      </c>
      <c r="K479" t="s">
        <v>1416</v>
      </c>
      <c r="L479" t="s">
        <v>1519</v>
      </c>
      <c r="M479" t="s">
        <v>920</v>
      </c>
      <c r="N479" t="s">
        <v>1135</v>
      </c>
      <c r="O479" t="s">
        <v>748</v>
      </c>
      <c r="P479" t="s">
        <v>38</v>
      </c>
      <c r="R479" t="s">
        <v>77</v>
      </c>
      <c r="S479">
        <v>2.4</v>
      </c>
      <c r="T479">
        <v>17.420000000000002</v>
      </c>
      <c r="U479">
        <v>83.87</v>
      </c>
      <c r="V479" t="s">
        <v>1087</v>
      </c>
    </row>
    <row r="480" spans="3:22" x14ac:dyDescent="0.25">
      <c r="C480" t="s">
        <v>878</v>
      </c>
      <c r="D480">
        <v>6</v>
      </c>
      <c r="E480">
        <v>-83.87</v>
      </c>
      <c r="F480" t="s">
        <v>867</v>
      </c>
      <c r="K480" t="s">
        <v>1554</v>
      </c>
      <c r="L480" t="s">
        <v>1519</v>
      </c>
      <c r="M480" t="s">
        <v>920</v>
      </c>
      <c r="N480" t="s">
        <v>1135</v>
      </c>
      <c r="O480" t="s">
        <v>748</v>
      </c>
      <c r="P480" t="s">
        <v>38</v>
      </c>
      <c r="R480" t="s">
        <v>77</v>
      </c>
    </row>
    <row r="481" spans="3:22" x14ac:dyDescent="0.25">
      <c r="C481" t="s">
        <v>899</v>
      </c>
      <c r="D481" t="s">
        <v>900</v>
      </c>
      <c r="E481">
        <v>1</v>
      </c>
      <c r="F481" t="s">
        <v>865</v>
      </c>
      <c r="K481" t="s">
        <v>1418</v>
      </c>
      <c r="L481" t="s">
        <v>1519</v>
      </c>
      <c r="M481" t="s">
        <v>920</v>
      </c>
      <c r="N481" t="s">
        <v>1135</v>
      </c>
      <c r="O481" t="s">
        <v>748</v>
      </c>
      <c r="P481" t="s">
        <v>38</v>
      </c>
      <c r="R481" t="s">
        <v>77</v>
      </c>
      <c r="S481">
        <v>10.15</v>
      </c>
      <c r="T481">
        <v>46.52</v>
      </c>
      <c r="U481">
        <v>0</v>
      </c>
      <c r="V481" t="s">
        <v>751</v>
      </c>
    </row>
    <row r="482" spans="3:22" x14ac:dyDescent="0.25">
      <c r="C482" t="s">
        <v>899</v>
      </c>
      <c r="D482" t="s">
        <v>900</v>
      </c>
      <c r="E482">
        <v>1</v>
      </c>
      <c r="F482" t="s">
        <v>865</v>
      </c>
      <c r="K482" t="s">
        <v>1420</v>
      </c>
      <c r="L482" t="s">
        <v>1519</v>
      </c>
      <c r="M482" t="s">
        <v>920</v>
      </c>
      <c r="N482" t="s">
        <v>1135</v>
      </c>
      <c r="O482" t="s">
        <v>748</v>
      </c>
      <c r="P482" t="s">
        <v>38</v>
      </c>
      <c r="R482" t="s">
        <v>77</v>
      </c>
      <c r="S482">
        <v>9.9600000000000009</v>
      </c>
      <c r="T482">
        <v>74.569999999999993</v>
      </c>
      <c r="U482">
        <v>0</v>
      </c>
      <c r="V482" t="s">
        <v>751</v>
      </c>
    </row>
    <row r="483" spans="3:22" x14ac:dyDescent="0.25">
      <c r="C483" t="s">
        <v>899</v>
      </c>
      <c r="D483" t="s">
        <v>900</v>
      </c>
      <c r="E483">
        <v>1</v>
      </c>
      <c r="F483" t="s">
        <v>865</v>
      </c>
      <c r="K483" t="s">
        <v>1422</v>
      </c>
      <c r="L483" t="s">
        <v>1519</v>
      </c>
      <c r="M483" t="s">
        <v>920</v>
      </c>
      <c r="N483" t="s">
        <v>1135</v>
      </c>
      <c r="O483" t="s">
        <v>748</v>
      </c>
      <c r="P483" t="s">
        <v>38</v>
      </c>
      <c r="R483" t="s">
        <v>77</v>
      </c>
      <c r="S483">
        <v>9.9600000000000009</v>
      </c>
      <c r="T483">
        <v>74.790000000000006</v>
      </c>
      <c r="U483">
        <v>0</v>
      </c>
      <c r="V483" t="s">
        <v>751</v>
      </c>
    </row>
    <row r="484" spans="3:22" x14ac:dyDescent="0.25">
      <c r="C484" t="s">
        <v>899</v>
      </c>
      <c r="D484" t="s">
        <v>900</v>
      </c>
      <c r="E484">
        <v>1</v>
      </c>
      <c r="F484" t="s">
        <v>865</v>
      </c>
      <c r="K484" t="s">
        <v>1424</v>
      </c>
      <c r="L484" t="s">
        <v>1519</v>
      </c>
      <c r="M484" t="s">
        <v>920</v>
      </c>
      <c r="N484" t="s">
        <v>1135</v>
      </c>
      <c r="O484" t="s">
        <v>748</v>
      </c>
      <c r="P484" t="s">
        <v>38</v>
      </c>
      <c r="R484" t="s">
        <v>77</v>
      </c>
      <c r="S484">
        <v>9.77</v>
      </c>
      <c r="T484">
        <v>101.16</v>
      </c>
      <c r="U484">
        <v>0</v>
      </c>
      <c r="V484" t="s">
        <v>751</v>
      </c>
    </row>
    <row r="485" spans="3:22" x14ac:dyDescent="0.25">
      <c r="C485" t="s">
        <v>899</v>
      </c>
      <c r="D485" t="s">
        <v>900</v>
      </c>
      <c r="E485">
        <v>1</v>
      </c>
      <c r="F485" t="s">
        <v>865</v>
      </c>
      <c r="K485" t="s">
        <v>1426</v>
      </c>
      <c r="L485" t="s">
        <v>1519</v>
      </c>
      <c r="M485" t="s">
        <v>920</v>
      </c>
      <c r="N485" t="s">
        <v>1135</v>
      </c>
      <c r="O485" t="s">
        <v>748</v>
      </c>
      <c r="P485" t="s">
        <v>38</v>
      </c>
      <c r="R485" t="s">
        <v>77</v>
      </c>
      <c r="S485">
        <v>9.7799999999999994</v>
      </c>
      <c r="T485">
        <v>99.77</v>
      </c>
      <c r="U485">
        <v>0</v>
      </c>
      <c r="V485" t="s">
        <v>751</v>
      </c>
    </row>
    <row r="486" spans="3:22" x14ac:dyDescent="0.25">
      <c r="C486" t="s">
        <v>899</v>
      </c>
      <c r="D486" t="s">
        <v>900</v>
      </c>
      <c r="E486">
        <v>1</v>
      </c>
      <c r="F486" t="s">
        <v>865</v>
      </c>
      <c r="K486" t="s">
        <v>1428</v>
      </c>
      <c r="L486" t="s">
        <v>1519</v>
      </c>
      <c r="M486" t="s">
        <v>920</v>
      </c>
      <c r="N486" t="s">
        <v>1135</v>
      </c>
      <c r="O486" t="s">
        <v>748</v>
      </c>
      <c r="P486" t="s">
        <v>38</v>
      </c>
      <c r="R486" t="s">
        <v>77</v>
      </c>
      <c r="S486">
        <v>9.89</v>
      </c>
      <c r="T486">
        <v>85.03</v>
      </c>
      <c r="U486">
        <v>0</v>
      </c>
      <c r="V486" t="s">
        <v>751</v>
      </c>
    </row>
    <row r="487" spans="3:22" x14ac:dyDescent="0.25">
      <c r="C487" t="s">
        <v>899</v>
      </c>
      <c r="D487" t="s">
        <v>900</v>
      </c>
      <c r="E487">
        <v>1</v>
      </c>
      <c r="F487" t="s">
        <v>865</v>
      </c>
      <c r="K487" t="s">
        <v>1430</v>
      </c>
      <c r="L487" t="s">
        <v>1519</v>
      </c>
      <c r="M487" t="s">
        <v>920</v>
      </c>
      <c r="N487" t="s">
        <v>1135</v>
      </c>
      <c r="O487" t="s">
        <v>748</v>
      </c>
      <c r="P487" t="s">
        <v>38</v>
      </c>
      <c r="R487" t="s">
        <v>77</v>
      </c>
      <c r="S487">
        <v>9.9499999999999993</v>
      </c>
      <c r="T487">
        <v>75.239999999999995</v>
      </c>
      <c r="U487">
        <v>0</v>
      </c>
      <c r="V487" t="s">
        <v>751</v>
      </c>
    </row>
    <row r="488" spans="3:22" x14ac:dyDescent="0.25">
      <c r="C488" t="s">
        <v>899</v>
      </c>
      <c r="D488" t="s">
        <v>900</v>
      </c>
      <c r="E488">
        <v>1</v>
      </c>
      <c r="F488" t="s">
        <v>865</v>
      </c>
      <c r="K488" t="s">
        <v>1432</v>
      </c>
      <c r="L488" t="s">
        <v>1519</v>
      </c>
      <c r="M488" t="s">
        <v>920</v>
      </c>
      <c r="N488" t="s">
        <v>1135</v>
      </c>
      <c r="O488" t="s">
        <v>748</v>
      </c>
      <c r="P488" t="s">
        <v>38</v>
      </c>
      <c r="R488" t="s">
        <v>77</v>
      </c>
      <c r="S488">
        <v>10.14</v>
      </c>
      <c r="T488">
        <v>48.35</v>
      </c>
      <c r="U488">
        <v>0</v>
      </c>
      <c r="V488" t="s">
        <v>751</v>
      </c>
    </row>
    <row r="489" spans="3:22" x14ac:dyDescent="0.25">
      <c r="C489" t="s">
        <v>899</v>
      </c>
      <c r="D489" t="s">
        <v>900</v>
      </c>
      <c r="E489">
        <v>1</v>
      </c>
      <c r="F489" t="s">
        <v>865</v>
      </c>
      <c r="K489" t="s">
        <v>1434</v>
      </c>
      <c r="L489" t="s">
        <v>1519</v>
      </c>
      <c r="M489" t="s">
        <v>920</v>
      </c>
      <c r="N489" t="s">
        <v>1135</v>
      </c>
      <c r="O489" t="s">
        <v>748</v>
      </c>
      <c r="P489" t="s">
        <v>38</v>
      </c>
      <c r="R489" t="s">
        <v>77</v>
      </c>
      <c r="S489">
        <v>10.039999999999999</v>
      </c>
      <c r="T489">
        <v>62.3</v>
      </c>
      <c r="U489">
        <v>0</v>
      </c>
      <c r="V489" t="s">
        <v>751</v>
      </c>
    </row>
    <row r="490" spans="3:22" x14ac:dyDescent="0.25">
      <c r="C490" t="s">
        <v>899</v>
      </c>
      <c r="D490" t="s">
        <v>900</v>
      </c>
      <c r="E490">
        <v>1</v>
      </c>
      <c r="F490" t="s">
        <v>865</v>
      </c>
      <c r="K490" t="s">
        <v>1436</v>
      </c>
      <c r="L490" t="s">
        <v>1519</v>
      </c>
      <c r="M490" t="s">
        <v>920</v>
      </c>
      <c r="N490" t="s">
        <v>1135</v>
      </c>
      <c r="O490" t="s">
        <v>748</v>
      </c>
      <c r="P490" t="s">
        <v>38</v>
      </c>
      <c r="R490" t="s">
        <v>77</v>
      </c>
      <c r="S490">
        <v>9.9700000000000006</v>
      </c>
      <c r="T490">
        <v>72.83</v>
      </c>
      <c r="U490">
        <v>0</v>
      </c>
      <c r="V490" t="s">
        <v>751</v>
      </c>
    </row>
    <row r="491" spans="3:22" x14ac:dyDescent="0.25">
      <c r="C491" t="s">
        <v>878</v>
      </c>
      <c r="D491">
        <v>8</v>
      </c>
      <c r="E491">
        <v>1450.68</v>
      </c>
      <c r="F491" t="s">
        <v>867</v>
      </c>
      <c r="K491" t="s">
        <v>1440</v>
      </c>
      <c r="L491" t="s">
        <v>1519</v>
      </c>
      <c r="M491" t="s">
        <v>920</v>
      </c>
      <c r="N491" t="s">
        <v>1135</v>
      </c>
      <c r="O491" t="s">
        <v>748</v>
      </c>
      <c r="P491" t="s">
        <v>38</v>
      </c>
      <c r="R491" t="s">
        <v>77</v>
      </c>
      <c r="S491">
        <v>0.08</v>
      </c>
      <c r="T491">
        <v>2.37</v>
      </c>
      <c r="U491">
        <v>1437.24</v>
      </c>
      <c r="V491" t="s">
        <v>1521</v>
      </c>
    </row>
    <row r="492" spans="3:22" x14ac:dyDescent="0.25">
      <c r="C492" t="s">
        <v>878</v>
      </c>
      <c r="D492">
        <v>8</v>
      </c>
      <c r="E492">
        <v>-1437.24</v>
      </c>
      <c r="F492" t="s">
        <v>867</v>
      </c>
      <c r="K492" t="s">
        <v>1555</v>
      </c>
      <c r="L492" t="s">
        <v>1519</v>
      </c>
      <c r="M492" t="s">
        <v>920</v>
      </c>
      <c r="N492" t="s">
        <v>1135</v>
      </c>
      <c r="O492" t="s">
        <v>748</v>
      </c>
      <c r="P492" t="s">
        <v>38</v>
      </c>
      <c r="R492" t="s">
        <v>77</v>
      </c>
    </row>
    <row r="493" spans="3:22" x14ac:dyDescent="0.25">
      <c r="C493" t="s">
        <v>901</v>
      </c>
      <c r="D493" t="s">
        <v>881</v>
      </c>
      <c r="E493">
        <v>1</v>
      </c>
      <c r="F493" t="s">
        <v>865</v>
      </c>
      <c r="K493" t="s">
        <v>1442</v>
      </c>
      <c r="L493" t="s">
        <v>1519</v>
      </c>
      <c r="M493" t="s">
        <v>920</v>
      </c>
      <c r="N493" t="s">
        <v>1135</v>
      </c>
      <c r="O493" t="s">
        <v>748</v>
      </c>
      <c r="P493" t="s">
        <v>38</v>
      </c>
      <c r="R493" t="s">
        <v>77</v>
      </c>
      <c r="S493">
        <v>9.6300000000000008</v>
      </c>
      <c r="T493">
        <v>28.06</v>
      </c>
      <c r="U493">
        <v>0</v>
      </c>
      <c r="V493" t="s">
        <v>753</v>
      </c>
    </row>
    <row r="494" spans="3:22" x14ac:dyDescent="0.25">
      <c r="C494" t="s">
        <v>901</v>
      </c>
      <c r="D494" t="s">
        <v>881</v>
      </c>
      <c r="E494">
        <v>1</v>
      </c>
      <c r="F494" t="s">
        <v>865</v>
      </c>
      <c r="K494" t="s">
        <v>1444</v>
      </c>
      <c r="L494" t="s">
        <v>1519</v>
      </c>
      <c r="M494" t="s">
        <v>920</v>
      </c>
      <c r="N494" t="s">
        <v>1135</v>
      </c>
      <c r="O494" t="s">
        <v>748</v>
      </c>
      <c r="P494" t="s">
        <v>38</v>
      </c>
      <c r="R494" t="s">
        <v>77</v>
      </c>
      <c r="S494">
        <v>9.6300000000000008</v>
      </c>
      <c r="T494">
        <v>28.06</v>
      </c>
      <c r="U494">
        <v>0</v>
      </c>
      <c r="V494" t="s">
        <v>753</v>
      </c>
    </row>
    <row r="495" spans="3:22" x14ac:dyDescent="0.25">
      <c r="C495" t="s">
        <v>901</v>
      </c>
      <c r="D495" t="s">
        <v>881</v>
      </c>
      <c r="E495">
        <v>1</v>
      </c>
      <c r="F495" t="s">
        <v>865</v>
      </c>
      <c r="K495" t="s">
        <v>1446</v>
      </c>
      <c r="L495" t="s">
        <v>1519</v>
      </c>
      <c r="M495" t="s">
        <v>920</v>
      </c>
      <c r="N495" t="s">
        <v>1135</v>
      </c>
      <c r="O495" t="s">
        <v>748</v>
      </c>
      <c r="P495" t="s">
        <v>38</v>
      </c>
      <c r="R495" t="s">
        <v>77</v>
      </c>
      <c r="S495">
        <v>9.6300000000000008</v>
      </c>
      <c r="T495">
        <v>28.05</v>
      </c>
      <c r="U495">
        <v>0</v>
      </c>
      <c r="V495" t="s">
        <v>753</v>
      </c>
    </row>
    <row r="496" spans="3:22" x14ac:dyDescent="0.25">
      <c r="C496" t="s">
        <v>901</v>
      </c>
      <c r="D496" t="s">
        <v>881</v>
      </c>
      <c r="E496">
        <v>1</v>
      </c>
      <c r="F496" t="s">
        <v>865</v>
      </c>
      <c r="K496" t="s">
        <v>1448</v>
      </c>
      <c r="L496" t="s">
        <v>1519</v>
      </c>
      <c r="M496" t="s">
        <v>920</v>
      </c>
      <c r="N496" t="s">
        <v>1135</v>
      </c>
      <c r="O496" t="s">
        <v>748</v>
      </c>
      <c r="P496" t="s">
        <v>38</v>
      </c>
      <c r="R496" t="s">
        <v>77</v>
      </c>
      <c r="S496">
        <v>9.56</v>
      </c>
      <c r="T496">
        <v>37.549999999999997</v>
      </c>
      <c r="U496">
        <v>0</v>
      </c>
      <c r="V496" t="s">
        <v>753</v>
      </c>
    </row>
    <row r="497" spans="3:22" x14ac:dyDescent="0.25">
      <c r="C497" t="s">
        <v>901</v>
      </c>
      <c r="D497" t="s">
        <v>881</v>
      </c>
      <c r="E497">
        <v>1</v>
      </c>
      <c r="F497" t="s">
        <v>865</v>
      </c>
      <c r="K497" t="s">
        <v>1450</v>
      </c>
      <c r="L497" t="s">
        <v>1519</v>
      </c>
      <c r="M497" t="s">
        <v>920</v>
      </c>
      <c r="N497" t="s">
        <v>1135</v>
      </c>
      <c r="O497" t="s">
        <v>748</v>
      </c>
      <c r="P497" t="s">
        <v>38</v>
      </c>
      <c r="R497" t="s">
        <v>77</v>
      </c>
      <c r="S497">
        <v>9.19</v>
      </c>
      <c r="T497">
        <v>90.67</v>
      </c>
      <c r="U497">
        <v>0</v>
      </c>
      <c r="V497" t="s">
        <v>753</v>
      </c>
    </row>
    <row r="498" spans="3:22" x14ac:dyDescent="0.25">
      <c r="C498" t="s">
        <v>901</v>
      </c>
      <c r="D498" t="s">
        <v>881</v>
      </c>
      <c r="E498">
        <v>1</v>
      </c>
      <c r="F498" t="s">
        <v>865</v>
      </c>
      <c r="K498" t="s">
        <v>1452</v>
      </c>
      <c r="L498" t="s">
        <v>1519</v>
      </c>
      <c r="M498" t="s">
        <v>920</v>
      </c>
      <c r="N498" t="s">
        <v>1135</v>
      </c>
      <c r="O498" t="s">
        <v>748</v>
      </c>
      <c r="P498" t="s">
        <v>38</v>
      </c>
      <c r="R498" t="s">
        <v>77</v>
      </c>
      <c r="S498">
        <v>9.3699999999999992</v>
      </c>
      <c r="T498">
        <v>65.03</v>
      </c>
      <c r="U498">
        <v>0</v>
      </c>
      <c r="V498" t="s">
        <v>753</v>
      </c>
    </row>
    <row r="499" spans="3:22" x14ac:dyDescent="0.25">
      <c r="C499" t="s">
        <v>901</v>
      </c>
      <c r="D499" t="s">
        <v>881</v>
      </c>
      <c r="E499">
        <v>1</v>
      </c>
      <c r="F499" t="s">
        <v>865</v>
      </c>
      <c r="K499" t="s">
        <v>1454</v>
      </c>
      <c r="L499" t="s">
        <v>1519</v>
      </c>
      <c r="M499" t="s">
        <v>920</v>
      </c>
      <c r="N499" t="s">
        <v>1135</v>
      </c>
      <c r="O499" t="s">
        <v>748</v>
      </c>
      <c r="P499" t="s">
        <v>38</v>
      </c>
      <c r="R499" t="s">
        <v>77</v>
      </c>
      <c r="S499">
        <v>9.3000000000000007</v>
      </c>
      <c r="T499">
        <v>75.78</v>
      </c>
      <c r="U499">
        <v>0</v>
      </c>
      <c r="V499" t="s">
        <v>753</v>
      </c>
    </row>
    <row r="500" spans="3:22" x14ac:dyDescent="0.25">
      <c r="C500" t="s">
        <v>901</v>
      </c>
      <c r="D500" t="s">
        <v>881</v>
      </c>
      <c r="E500">
        <v>1</v>
      </c>
      <c r="F500" t="s">
        <v>865</v>
      </c>
      <c r="K500" t="s">
        <v>1456</v>
      </c>
      <c r="L500" t="s">
        <v>1519</v>
      </c>
      <c r="M500" t="s">
        <v>920</v>
      </c>
      <c r="N500" t="s">
        <v>1135</v>
      </c>
      <c r="O500" t="s">
        <v>748</v>
      </c>
      <c r="P500" t="s">
        <v>38</v>
      </c>
      <c r="R500" t="s">
        <v>77</v>
      </c>
      <c r="S500">
        <v>9.3699999999999992</v>
      </c>
      <c r="T500">
        <v>64.81</v>
      </c>
      <c r="U500">
        <v>0</v>
      </c>
      <c r="V500" t="s">
        <v>753</v>
      </c>
    </row>
    <row r="501" spans="3:22" x14ac:dyDescent="0.25">
      <c r="C501" t="s">
        <v>901</v>
      </c>
      <c r="D501" t="s">
        <v>881</v>
      </c>
      <c r="E501">
        <v>1</v>
      </c>
      <c r="F501" t="s">
        <v>865</v>
      </c>
      <c r="K501" t="s">
        <v>1458</v>
      </c>
      <c r="L501" t="s">
        <v>1519</v>
      </c>
      <c r="M501" t="s">
        <v>920</v>
      </c>
      <c r="N501" t="s">
        <v>1135</v>
      </c>
      <c r="O501" t="s">
        <v>748</v>
      </c>
      <c r="P501" t="s">
        <v>38</v>
      </c>
      <c r="R501" t="s">
        <v>77</v>
      </c>
      <c r="S501">
        <v>9.4</v>
      </c>
      <c r="T501">
        <v>60.21</v>
      </c>
      <c r="U501">
        <v>0</v>
      </c>
      <c r="V501" t="s">
        <v>753</v>
      </c>
    </row>
    <row r="502" spans="3:22" x14ac:dyDescent="0.25">
      <c r="C502" t="s">
        <v>901</v>
      </c>
      <c r="D502" t="s">
        <v>881</v>
      </c>
      <c r="E502">
        <v>1</v>
      </c>
      <c r="F502" t="s">
        <v>865</v>
      </c>
      <c r="K502" t="s">
        <v>1460</v>
      </c>
      <c r="L502" t="s">
        <v>1519</v>
      </c>
      <c r="M502" t="s">
        <v>920</v>
      </c>
      <c r="N502" t="s">
        <v>1135</v>
      </c>
      <c r="O502" t="s">
        <v>748</v>
      </c>
      <c r="P502" t="s">
        <v>38</v>
      </c>
      <c r="R502" t="s">
        <v>77</v>
      </c>
      <c r="S502">
        <v>9.17</v>
      </c>
      <c r="T502">
        <v>94.48</v>
      </c>
      <c r="U502">
        <v>0</v>
      </c>
      <c r="V502" t="s">
        <v>753</v>
      </c>
    </row>
    <row r="503" spans="3:22" x14ac:dyDescent="0.25">
      <c r="C503" t="s">
        <v>878</v>
      </c>
      <c r="D503">
        <v>10</v>
      </c>
      <c r="E503">
        <v>1240.6099999999999</v>
      </c>
      <c r="F503" t="s">
        <v>867</v>
      </c>
      <c r="K503" t="s">
        <v>1464</v>
      </c>
      <c r="L503" t="s">
        <v>1519</v>
      </c>
      <c r="M503" t="s">
        <v>920</v>
      </c>
      <c r="N503" t="s">
        <v>1135</v>
      </c>
      <c r="O503" t="s">
        <v>748</v>
      </c>
      <c r="P503" t="s">
        <v>38</v>
      </c>
      <c r="R503" t="s">
        <v>77</v>
      </c>
      <c r="S503">
        <v>0.27</v>
      </c>
      <c r="T503">
        <v>15.54</v>
      </c>
      <c r="U503">
        <v>1186.92</v>
      </c>
      <c r="V503" t="s">
        <v>1522</v>
      </c>
    </row>
    <row r="504" spans="3:22" x14ac:dyDescent="0.25">
      <c r="C504" t="s">
        <v>878</v>
      </c>
      <c r="D504">
        <v>10</v>
      </c>
      <c r="E504">
        <v>-1186.92</v>
      </c>
      <c r="F504" t="s">
        <v>867</v>
      </c>
      <c r="K504" t="s">
        <v>1556</v>
      </c>
      <c r="L504" t="s">
        <v>1519</v>
      </c>
      <c r="M504" t="s">
        <v>920</v>
      </c>
      <c r="N504" t="s">
        <v>1135</v>
      </c>
      <c r="O504" t="s">
        <v>748</v>
      </c>
      <c r="P504" t="s">
        <v>38</v>
      </c>
      <c r="R504" t="s">
        <v>77</v>
      </c>
    </row>
    <row r="505" spans="3:22" x14ac:dyDescent="0.25">
      <c r="C505" t="s">
        <v>903</v>
      </c>
      <c r="D505" t="s">
        <v>881</v>
      </c>
      <c r="E505">
        <v>1</v>
      </c>
      <c r="F505" t="s">
        <v>865</v>
      </c>
      <c r="K505" t="s">
        <v>1466</v>
      </c>
      <c r="L505" t="s">
        <v>1519</v>
      </c>
      <c r="M505" t="s">
        <v>920</v>
      </c>
      <c r="N505" t="s">
        <v>1135</v>
      </c>
      <c r="O505" t="s">
        <v>748</v>
      </c>
      <c r="P505" t="s">
        <v>38</v>
      </c>
      <c r="R505" t="s">
        <v>77</v>
      </c>
      <c r="S505">
        <v>10.44</v>
      </c>
      <c r="T505">
        <v>23.48</v>
      </c>
      <c r="U505">
        <v>169.54</v>
      </c>
      <c r="V505" t="s">
        <v>754</v>
      </c>
    </row>
    <row r="506" spans="3:22" x14ac:dyDescent="0.25">
      <c r="C506" t="s">
        <v>878</v>
      </c>
      <c r="D506">
        <v>12</v>
      </c>
      <c r="E506">
        <v>-169.54</v>
      </c>
      <c r="F506" t="s">
        <v>867</v>
      </c>
      <c r="K506" t="s">
        <v>1557</v>
      </c>
      <c r="L506" t="s">
        <v>1519</v>
      </c>
      <c r="M506" t="s">
        <v>920</v>
      </c>
      <c r="N506" t="s">
        <v>1135</v>
      </c>
      <c r="O506" t="s">
        <v>748</v>
      </c>
      <c r="P506" t="s">
        <v>38</v>
      </c>
      <c r="R506" t="s">
        <v>77</v>
      </c>
    </row>
    <row r="507" spans="3:22" x14ac:dyDescent="0.25">
      <c r="C507" t="s">
        <v>903</v>
      </c>
      <c r="D507" t="s">
        <v>881</v>
      </c>
      <c r="E507">
        <v>1</v>
      </c>
      <c r="F507" t="s">
        <v>865</v>
      </c>
      <c r="K507" t="s">
        <v>1468</v>
      </c>
      <c r="L507" t="s">
        <v>1519</v>
      </c>
      <c r="M507" t="s">
        <v>920</v>
      </c>
      <c r="N507" t="s">
        <v>1135</v>
      </c>
      <c r="O507" t="s">
        <v>748</v>
      </c>
      <c r="P507" t="s">
        <v>38</v>
      </c>
      <c r="R507" t="s">
        <v>77</v>
      </c>
      <c r="S507">
        <v>10.44</v>
      </c>
      <c r="T507">
        <v>24.38</v>
      </c>
      <c r="U507">
        <v>169.55</v>
      </c>
      <c r="V507" t="s">
        <v>754</v>
      </c>
    </row>
    <row r="508" spans="3:22" x14ac:dyDescent="0.25">
      <c r="C508" t="s">
        <v>878</v>
      </c>
      <c r="D508">
        <v>12</v>
      </c>
      <c r="E508">
        <v>-169.55</v>
      </c>
      <c r="F508" t="s">
        <v>867</v>
      </c>
      <c r="K508" t="s">
        <v>1558</v>
      </c>
      <c r="L508" t="s">
        <v>1519</v>
      </c>
      <c r="M508" t="s">
        <v>920</v>
      </c>
      <c r="N508" t="s">
        <v>1135</v>
      </c>
      <c r="O508" t="s">
        <v>748</v>
      </c>
      <c r="P508" t="s">
        <v>38</v>
      </c>
      <c r="R508" t="s">
        <v>77</v>
      </c>
    </row>
    <row r="509" spans="3:22" x14ac:dyDescent="0.25">
      <c r="C509" t="s">
        <v>903</v>
      </c>
      <c r="D509" t="s">
        <v>881</v>
      </c>
      <c r="E509">
        <v>1</v>
      </c>
      <c r="F509" t="s">
        <v>865</v>
      </c>
      <c r="K509" t="s">
        <v>1470</v>
      </c>
      <c r="L509" t="s">
        <v>1519</v>
      </c>
      <c r="M509" t="s">
        <v>920</v>
      </c>
      <c r="N509" t="s">
        <v>1135</v>
      </c>
      <c r="O509" t="s">
        <v>748</v>
      </c>
      <c r="P509" t="s">
        <v>38</v>
      </c>
      <c r="R509" t="s">
        <v>77</v>
      </c>
      <c r="S509">
        <v>6.58</v>
      </c>
      <c r="T509">
        <v>20.13</v>
      </c>
      <c r="U509">
        <v>728.5</v>
      </c>
      <c r="V509" t="s">
        <v>754</v>
      </c>
    </row>
    <row r="510" spans="3:22" x14ac:dyDescent="0.25">
      <c r="C510" t="s">
        <v>878</v>
      </c>
      <c r="D510">
        <v>12</v>
      </c>
      <c r="E510">
        <v>-728.5</v>
      </c>
      <c r="F510" t="s">
        <v>867</v>
      </c>
      <c r="K510" t="s">
        <v>1559</v>
      </c>
      <c r="L510" t="s">
        <v>1519</v>
      </c>
      <c r="M510" t="s">
        <v>920</v>
      </c>
      <c r="N510" t="s">
        <v>1135</v>
      </c>
      <c r="O510" t="s">
        <v>748</v>
      </c>
      <c r="P510" t="s">
        <v>38</v>
      </c>
      <c r="R510" t="s">
        <v>77</v>
      </c>
    </row>
    <row r="511" spans="3:22" x14ac:dyDescent="0.25">
      <c r="C511" t="s">
        <v>903</v>
      </c>
      <c r="D511" t="s">
        <v>881</v>
      </c>
      <c r="E511">
        <v>1</v>
      </c>
      <c r="F511" t="s">
        <v>865</v>
      </c>
      <c r="K511" t="s">
        <v>1472</v>
      </c>
      <c r="L511" t="s">
        <v>1519</v>
      </c>
      <c r="M511" t="s">
        <v>920</v>
      </c>
      <c r="N511" t="s">
        <v>1135</v>
      </c>
      <c r="O511" t="s">
        <v>748</v>
      </c>
      <c r="P511" t="s">
        <v>38</v>
      </c>
      <c r="R511" t="s">
        <v>77</v>
      </c>
      <c r="S511">
        <v>10.44</v>
      </c>
      <c r="T511">
        <v>24.42</v>
      </c>
      <c r="U511">
        <v>169.56</v>
      </c>
      <c r="V511" t="s">
        <v>754</v>
      </c>
    </row>
    <row r="512" spans="3:22" x14ac:dyDescent="0.25">
      <c r="C512" t="s">
        <v>878</v>
      </c>
      <c r="D512">
        <v>12</v>
      </c>
      <c r="E512">
        <v>-169.56</v>
      </c>
      <c r="F512" t="s">
        <v>867</v>
      </c>
      <c r="K512" t="s">
        <v>1560</v>
      </c>
      <c r="L512" t="s">
        <v>1519</v>
      </c>
      <c r="M512" t="s">
        <v>920</v>
      </c>
      <c r="N512" t="s">
        <v>1135</v>
      </c>
      <c r="O512" t="s">
        <v>748</v>
      </c>
      <c r="P512" t="s">
        <v>38</v>
      </c>
      <c r="R512" t="s">
        <v>77</v>
      </c>
    </row>
    <row r="513" spans="3:22" x14ac:dyDescent="0.25">
      <c r="C513" t="s">
        <v>903</v>
      </c>
      <c r="D513" t="s">
        <v>881</v>
      </c>
      <c r="E513">
        <v>1</v>
      </c>
      <c r="F513" t="s">
        <v>865</v>
      </c>
      <c r="K513" t="s">
        <v>1474</v>
      </c>
      <c r="L513" t="s">
        <v>1519</v>
      </c>
      <c r="M513" t="s">
        <v>920</v>
      </c>
      <c r="N513" t="s">
        <v>1135</v>
      </c>
      <c r="O513" t="s">
        <v>748</v>
      </c>
      <c r="P513" t="s">
        <v>38</v>
      </c>
      <c r="R513" t="s">
        <v>77</v>
      </c>
      <c r="S513">
        <v>10.44</v>
      </c>
      <c r="T513">
        <v>24.6</v>
      </c>
      <c r="U513">
        <v>169.56</v>
      </c>
      <c r="V513" t="s">
        <v>754</v>
      </c>
    </row>
    <row r="514" spans="3:22" x14ac:dyDescent="0.25">
      <c r="C514" t="s">
        <v>878</v>
      </c>
      <c r="D514">
        <v>12</v>
      </c>
      <c r="E514">
        <v>-169.56</v>
      </c>
      <c r="F514" t="s">
        <v>867</v>
      </c>
      <c r="K514" t="s">
        <v>1561</v>
      </c>
      <c r="L514" t="s">
        <v>1519</v>
      </c>
      <c r="M514" t="s">
        <v>920</v>
      </c>
      <c r="N514" t="s">
        <v>1135</v>
      </c>
      <c r="O514" t="s">
        <v>748</v>
      </c>
      <c r="P514" t="s">
        <v>38</v>
      </c>
      <c r="R514" t="s">
        <v>77</v>
      </c>
    </row>
    <row r="515" spans="3:22" x14ac:dyDescent="0.25">
      <c r="C515" t="s">
        <v>903</v>
      </c>
      <c r="D515" t="s">
        <v>881</v>
      </c>
      <c r="E515">
        <v>1</v>
      </c>
      <c r="F515" t="s">
        <v>865</v>
      </c>
      <c r="K515" t="s">
        <v>1476</v>
      </c>
      <c r="L515" t="s">
        <v>1519</v>
      </c>
      <c r="M515" t="s">
        <v>920</v>
      </c>
      <c r="N515" t="s">
        <v>1135</v>
      </c>
      <c r="O515" t="s">
        <v>748</v>
      </c>
      <c r="P515" t="s">
        <v>38</v>
      </c>
      <c r="R515" t="s">
        <v>77</v>
      </c>
      <c r="S515">
        <v>2.19</v>
      </c>
      <c r="T515">
        <v>6.61</v>
      </c>
      <c r="U515">
        <v>1373.29</v>
      </c>
      <c r="V515" t="s">
        <v>754</v>
      </c>
    </row>
    <row r="516" spans="3:22" x14ac:dyDescent="0.25">
      <c r="C516" t="s">
        <v>878</v>
      </c>
      <c r="D516">
        <v>12</v>
      </c>
      <c r="E516">
        <v>-1373.29</v>
      </c>
      <c r="F516" t="s">
        <v>867</v>
      </c>
      <c r="K516" t="s">
        <v>1562</v>
      </c>
      <c r="L516" t="s">
        <v>1519</v>
      </c>
      <c r="M516" t="s">
        <v>920</v>
      </c>
      <c r="N516" t="s">
        <v>1135</v>
      </c>
      <c r="O516" t="s">
        <v>748</v>
      </c>
      <c r="P516" t="s">
        <v>38</v>
      </c>
      <c r="R516" t="s">
        <v>77</v>
      </c>
    </row>
    <row r="517" spans="3:22" x14ac:dyDescent="0.25">
      <c r="C517" t="s">
        <v>910</v>
      </c>
      <c r="D517" t="s">
        <v>900</v>
      </c>
      <c r="E517">
        <v>1</v>
      </c>
      <c r="F517" t="s">
        <v>865</v>
      </c>
      <c r="K517" t="s">
        <v>1478</v>
      </c>
      <c r="L517" t="s">
        <v>1519</v>
      </c>
      <c r="M517" t="s">
        <v>920</v>
      </c>
      <c r="N517" t="s">
        <v>1135</v>
      </c>
      <c r="O517" t="s">
        <v>748</v>
      </c>
      <c r="P517" t="s">
        <v>38</v>
      </c>
      <c r="R517" t="s">
        <v>77</v>
      </c>
      <c r="S517">
        <v>20.12</v>
      </c>
      <c r="T517">
        <v>120.3</v>
      </c>
      <c r="U517">
        <v>0</v>
      </c>
      <c r="V517" t="s">
        <v>755</v>
      </c>
    </row>
    <row r="518" spans="3:22" x14ac:dyDescent="0.25">
      <c r="C518" t="s">
        <v>910</v>
      </c>
      <c r="D518" t="s">
        <v>900</v>
      </c>
      <c r="E518">
        <v>1</v>
      </c>
      <c r="F518" t="s">
        <v>865</v>
      </c>
      <c r="K518" t="s">
        <v>1480</v>
      </c>
      <c r="L518" t="s">
        <v>1519</v>
      </c>
      <c r="M518" t="s">
        <v>920</v>
      </c>
      <c r="N518" t="s">
        <v>1135</v>
      </c>
      <c r="O518" t="s">
        <v>748</v>
      </c>
      <c r="P518" t="s">
        <v>38</v>
      </c>
      <c r="R518" t="s">
        <v>77</v>
      </c>
      <c r="S518">
        <v>20.3</v>
      </c>
      <c r="T518">
        <v>94.27</v>
      </c>
      <c r="U518">
        <v>0</v>
      </c>
      <c r="V518" t="s">
        <v>755</v>
      </c>
    </row>
    <row r="519" spans="3:22" x14ac:dyDescent="0.25">
      <c r="C519" t="s">
        <v>878</v>
      </c>
      <c r="D519">
        <v>16</v>
      </c>
      <c r="E519">
        <v>1244.81</v>
      </c>
      <c r="F519" t="s">
        <v>867</v>
      </c>
      <c r="K519" t="s">
        <v>1483</v>
      </c>
      <c r="L519" t="s">
        <v>1519</v>
      </c>
      <c r="M519" t="s">
        <v>920</v>
      </c>
      <c r="N519" t="s">
        <v>1135</v>
      </c>
      <c r="O519" t="s">
        <v>748</v>
      </c>
      <c r="P519" t="s">
        <v>38</v>
      </c>
      <c r="R519" t="s">
        <v>77</v>
      </c>
      <c r="S519">
        <v>1.93</v>
      </c>
      <c r="T519">
        <v>56.68</v>
      </c>
      <c r="U519">
        <v>910.98</v>
      </c>
      <c r="V519" t="s">
        <v>755</v>
      </c>
    </row>
    <row r="520" spans="3:22" x14ac:dyDescent="0.25">
      <c r="C520" t="s">
        <v>878</v>
      </c>
      <c r="D520">
        <v>16</v>
      </c>
      <c r="E520">
        <v>-910.98</v>
      </c>
      <c r="F520" t="s">
        <v>867</v>
      </c>
      <c r="K520" t="s">
        <v>1563</v>
      </c>
      <c r="L520" t="s">
        <v>1519</v>
      </c>
      <c r="M520" t="s">
        <v>920</v>
      </c>
      <c r="N520" t="s">
        <v>1135</v>
      </c>
      <c r="O520" t="s">
        <v>748</v>
      </c>
      <c r="P520" t="s">
        <v>38</v>
      </c>
      <c r="R520" t="s">
        <v>77</v>
      </c>
    </row>
    <row r="521" spans="3:22" x14ac:dyDescent="0.25">
      <c r="C521" t="s">
        <v>910</v>
      </c>
      <c r="D521" t="s">
        <v>900</v>
      </c>
      <c r="E521">
        <v>1</v>
      </c>
      <c r="F521" t="s">
        <v>865</v>
      </c>
      <c r="K521" t="s">
        <v>1485</v>
      </c>
      <c r="L521" t="s">
        <v>1519</v>
      </c>
      <c r="M521" t="s">
        <v>920</v>
      </c>
      <c r="N521" t="s">
        <v>1135</v>
      </c>
      <c r="O521" t="s">
        <v>748</v>
      </c>
      <c r="P521" t="s">
        <v>38</v>
      </c>
      <c r="R521" t="s">
        <v>77</v>
      </c>
      <c r="S521">
        <v>1.93</v>
      </c>
      <c r="T521">
        <v>17.09</v>
      </c>
      <c r="U521">
        <v>2720.33</v>
      </c>
      <c r="V521" t="s">
        <v>755</v>
      </c>
    </row>
    <row r="522" spans="3:22" x14ac:dyDescent="0.25">
      <c r="C522" t="s">
        <v>878</v>
      </c>
      <c r="D522">
        <v>16</v>
      </c>
      <c r="E522">
        <v>-2720.33</v>
      </c>
      <c r="F522" t="s">
        <v>867</v>
      </c>
      <c r="K522" t="s">
        <v>1564</v>
      </c>
      <c r="L522" t="s">
        <v>1519</v>
      </c>
      <c r="M522" t="s">
        <v>920</v>
      </c>
      <c r="N522" t="s">
        <v>1135</v>
      </c>
      <c r="O522" t="s">
        <v>748</v>
      </c>
      <c r="P522" t="s">
        <v>38</v>
      </c>
      <c r="R522" t="s">
        <v>77</v>
      </c>
    </row>
    <row r="523" spans="3:22" x14ac:dyDescent="0.25">
      <c r="C523" t="s">
        <v>912</v>
      </c>
      <c r="D523" t="s">
        <v>900</v>
      </c>
      <c r="E523">
        <v>1</v>
      </c>
      <c r="F523" t="s">
        <v>865</v>
      </c>
      <c r="K523" t="s">
        <v>1487</v>
      </c>
      <c r="L523" t="s">
        <v>1519</v>
      </c>
      <c r="M523" t="s">
        <v>920</v>
      </c>
      <c r="N523" t="s">
        <v>1135</v>
      </c>
      <c r="O523" t="s">
        <v>748</v>
      </c>
      <c r="P523" t="s">
        <v>38</v>
      </c>
      <c r="R523" t="s">
        <v>77</v>
      </c>
      <c r="S523">
        <v>21.04</v>
      </c>
      <c r="T523">
        <v>370.35</v>
      </c>
      <c r="U523">
        <v>371.41</v>
      </c>
      <c r="V523" t="s">
        <v>756</v>
      </c>
    </row>
    <row r="524" spans="3:22" x14ac:dyDescent="0.25">
      <c r="C524" t="s">
        <v>878</v>
      </c>
      <c r="D524">
        <v>20</v>
      </c>
      <c r="E524">
        <v>-371.41</v>
      </c>
      <c r="F524" t="s">
        <v>867</v>
      </c>
      <c r="K524" t="s">
        <v>1565</v>
      </c>
      <c r="L524" t="s">
        <v>1519</v>
      </c>
      <c r="M524" t="s">
        <v>920</v>
      </c>
      <c r="N524" t="s">
        <v>1135</v>
      </c>
      <c r="O524" t="s">
        <v>748</v>
      </c>
      <c r="P524" t="s">
        <v>38</v>
      </c>
      <c r="R524" t="s">
        <v>77</v>
      </c>
    </row>
    <row r="525" spans="3:22" x14ac:dyDescent="0.25">
      <c r="C525" t="s">
        <v>878</v>
      </c>
      <c r="D525">
        <v>20</v>
      </c>
      <c r="E525">
        <v>190.54</v>
      </c>
      <c r="F525" t="s">
        <v>867</v>
      </c>
      <c r="K525" t="s">
        <v>1491</v>
      </c>
      <c r="L525" t="s">
        <v>1519</v>
      </c>
      <c r="M525" t="s">
        <v>920</v>
      </c>
      <c r="N525" t="s">
        <v>1135</v>
      </c>
      <c r="O525" t="s">
        <v>748</v>
      </c>
      <c r="P525" t="s">
        <v>38</v>
      </c>
      <c r="R525" t="s">
        <v>77</v>
      </c>
      <c r="S525">
        <v>1.1000000000000001</v>
      </c>
      <c r="T525">
        <v>32.479999999999997</v>
      </c>
      <c r="U525">
        <v>0</v>
      </c>
      <c r="V525" t="s">
        <v>1523</v>
      </c>
    </row>
    <row r="526" spans="3:22" x14ac:dyDescent="0.25">
      <c r="C526" t="s">
        <v>878</v>
      </c>
      <c r="D526">
        <v>20</v>
      </c>
      <c r="E526">
        <v>84.26</v>
      </c>
      <c r="F526" t="s">
        <v>867</v>
      </c>
      <c r="K526" t="s">
        <v>1495</v>
      </c>
      <c r="L526" t="s">
        <v>1519</v>
      </c>
      <c r="M526" t="s">
        <v>920</v>
      </c>
      <c r="N526" t="s">
        <v>1135</v>
      </c>
      <c r="O526" t="s">
        <v>748</v>
      </c>
      <c r="P526" t="s">
        <v>38</v>
      </c>
      <c r="R526" t="s">
        <v>77</v>
      </c>
      <c r="S526">
        <v>0.47</v>
      </c>
      <c r="T526">
        <v>16.940000000000001</v>
      </c>
      <c r="U526">
        <v>0</v>
      </c>
      <c r="V526" t="s">
        <v>1524</v>
      </c>
    </row>
    <row r="527" spans="3:22" x14ac:dyDescent="0.25">
      <c r="C527" t="s">
        <v>878</v>
      </c>
      <c r="D527">
        <v>25</v>
      </c>
      <c r="E527">
        <v>4710</v>
      </c>
      <c r="F527" t="s">
        <v>867</v>
      </c>
      <c r="K527" t="s">
        <v>1497</v>
      </c>
      <c r="L527" t="s">
        <v>1519</v>
      </c>
      <c r="M527" t="s">
        <v>920</v>
      </c>
      <c r="N527" t="s">
        <v>1135</v>
      </c>
      <c r="O527" t="s">
        <v>748</v>
      </c>
      <c r="P527" t="s">
        <v>38</v>
      </c>
      <c r="R527" t="s">
        <v>77</v>
      </c>
      <c r="S527">
        <v>12.46</v>
      </c>
      <c r="T527">
        <v>264.45</v>
      </c>
      <c r="U527">
        <v>2653.21</v>
      </c>
      <c r="V527" t="s">
        <v>757</v>
      </c>
    </row>
    <row r="528" spans="3:22" x14ac:dyDescent="0.25">
      <c r="C528" t="s">
        <v>878</v>
      </c>
      <c r="D528">
        <v>25</v>
      </c>
      <c r="E528">
        <v>-2653.21</v>
      </c>
      <c r="F528" t="s">
        <v>867</v>
      </c>
      <c r="K528" t="s">
        <v>1566</v>
      </c>
      <c r="L528" t="s">
        <v>1519</v>
      </c>
      <c r="M528" t="s">
        <v>920</v>
      </c>
      <c r="N528" t="s">
        <v>1135</v>
      </c>
      <c r="O528" t="s">
        <v>748</v>
      </c>
      <c r="P528" t="s">
        <v>38</v>
      </c>
      <c r="R528" t="s">
        <v>77</v>
      </c>
    </row>
    <row r="529" spans="3:22" x14ac:dyDescent="0.25">
      <c r="C529" t="s">
        <v>878</v>
      </c>
      <c r="D529">
        <v>25</v>
      </c>
      <c r="E529">
        <v>813.1</v>
      </c>
      <c r="F529" t="s">
        <v>867</v>
      </c>
      <c r="K529" t="s">
        <v>1501</v>
      </c>
      <c r="L529" t="s">
        <v>1519</v>
      </c>
      <c r="M529" t="s">
        <v>920</v>
      </c>
      <c r="N529" t="s">
        <v>1135</v>
      </c>
      <c r="O529" t="s">
        <v>748</v>
      </c>
      <c r="P529" t="s">
        <v>38</v>
      </c>
      <c r="R529" t="s">
        <v>77</v>
      </c>
      <c r="S529">
        <v>5.19</v>
      </c>
      <c r="T529">
        <v>66.05</v>
      </c>
      <c r="U529">
        <v>0</v>
      </c>
      <c r="V529" t="s">
        <v>1525</v>
      </c>
    </row>
    <row r="530" spans="3:22" x14ac:dyDescent="0.25">
      <c r="C530" t="s">
        <v>878</v>
      </c>
      <c r="D530">
        <v>30</v>
      </c>
      <c r="E530">
        <v>482.39</v>
      </c>
      <c r="F530" t="s">
        <v>867</v>
      </c>
      <c r="K530" t="s">
        <v>1505</v>
      </c>
      <c r="L530" t="s">
        <v>1519</v>
      </c>
      <c r="M530" t="s">
        <v>920</v>
      </c>
      <c r="N530" t="s">
        <v>1135</v>
      </c>
      <c r="O530" t="s">
        <v>748</v>
      </c>
      <c r="P530" t="s">
        <v>38</v>
      </c>
      <c r="R530" t="s">
        <v>77</v>
      </c>
      <c r="S530">
        <v>2.87</v>
      </c>
      <c r="T530">
        <v>70.099999999999994</v>
      </c>
      <c r="U530">
        <v>0</v>
      </c>
      <c r="V530" t="s">
        <v>1526</v>
      </c>
    </row>
    <row r="531" spans="3:22" x14ac:dyDescent="0.25">
      <c r="C531" t="s">
        <v>916</v>
      </c>
      <c r="D531" t="s">
        <v>900</v>
      </c>
      <c r="E531">
        <v>1</v>
      </c>
      <c r="F531" t="s">
        <v>865</v>
      </c>
      <c r="K531" t="s">
        <v>1507</v>
      </c>
      <c r="L531" t="s">
        <v>1519</v>
      </c>
      <c r="M531" t="s">
        <v>920</v>
      </c>
      <c r="N531" t="s">
        <v>1135</v>
      </c>
      <c r="O531" t="s">
        <v>748</v>
      </c>
      <c r="P531" t="s">
        <v>38</v>
      </c>
      <c r="R531" t="s">
        <v>77</v>
      </c>
      <c r="S531">
        <v>7.3</v>
      </c>
      <c r="T531">
        <v>173.52</v>
      </c>
      <c r="U531">
        <v>4428.91</v>
      </c>
      <c r="V531" t="s">
        <v>758</v>
      </c>
    </row>
    <row r="532" spans="3:22" x14ac:dyDescent="0.25">
      <c r="C532" t="s">
        <v>878</v>
      </c>
      <c r="D532">
        <v>30</v>
      </c>
      <c r="E532">
        <v>-4428.91</v>
      </c>
      <c r="F532" t="s">
        <v>867</v>
      </c>
      <c r="K532" t="s">
        <v>1567</v>
      </c>
      <c r="L532" t="s">
        <v>1519</v>
      </c>
      <c r="M532" t="s">
        <v>920</v>
      </c>
      <c r="N532" t="s">
        <v>1135</v>
      </c>
      <c r="O532" t="s">
        <v>748</v>
      </c>
      <c r="P532" t="s">
        <v>38</v>
      </c>
      <c r="R532" t="s">
        <v>77</v>
      </c>
    </row>
    <row r="533" spans="3:22" x14ac:dyDescent="0.25">
      <c r="C533" t="s">
        <v>918</v>
      </c>
      <c r="D533">
        <v>60</v>
      </c>
      <c r="E533">
        <v>732.5</v>
      </c>
      <c r="F533" t="s">
        <v>867</v>
      </c>
      <c r="K533" t="s">
        <v>1511</v>
      </c>
      <c r="L533" t="s">
        <v>1519</v>
      </c>
      <c r="M533" t="s">
        <v>920</v>
      </c>
      <c r="N533" t="s">
        <v>1135</v>
      </c>
      <c r="O533" t="s">
        <v>748</v>
      </c>
      <c r="P533" t="s">
        <v>38</v>
      </c>
      <c r="R533" t="s">
        <v>700</v>
      </c>
      <c r="S533">
        <v>2.0699999999999998</v>
      </c>
      <c r="T533">
        <v>176.1</v>
      </c>
      <c r="U533">
        <v>258.26</v>
      </c>
      <c r="V533" t="s">
        <v>1527</v>
      </c>
    </row>
    <row r="534" spans="3:22" x14ac:dyDescent="0.25">
      <c r="C534" t="s">
        <v>918</v>
      </c>
      <c r="D534">
        <v>60</v>
      </c>
      <c r="E534">
        <v>-258.26</v>
      </c>
      <c r="F534" t="s">
        <v>867</v>
      </c>
      <c r="K534" t="s">
        <v>1568</v>
      </c>
      <c r="L534" t="s">
        <v>1519</v>
      </c>
      <c r="M534" t="s">
        <v>920</v>
      </c>
      <c r="N534" t="s">
        <v>1135</v>
      </c>
      <c r="O534" t="s">
        <v>748</v>
      </c>
      <c r="P534" t="s">
        <v>38</v>
      </c>
      <c r="R534" t="s">
        <v>700</v>
      </c>
    </row>
    <row r="535" spans="3:22" x14ac:dyDescent="0.25">
      <c r="C535" t="s">
        <v>918</v>
      </c>
      <c r="D535">
        <v>60</v>
      </c>
      <c r="E535">
        <v>2441.66</v>
      </c>
      <c r="F535" t="s">
        <v>867</v>
      </c>
      <c r="K535" t="s">
        <v>1514</v>
      </c>
      <c r="L535" t="s">
        <v>1519</v>
      </c>
      <c r="M535" t="s">
        <v>920</v>
      </c>
      <c r="N535" t="s">
        <v>1135</v>
      </c>
      <c r="O535" t="s">
        <v>748</v>
      </c>
      <c r="P535" t="s">
        <v>38</v>
      </c>
      <c r="R535" t="s">
        <v>700</v>
      </c>
      <c r="S535">
        <v>12.43</v>
      </c>
      <c r="T535">
        <v>653.08000000000004</v>
      </c>
      <c r="U535">
        <v>0</v>
      </c>
      <c r="V535" t="s">
        <v>1094</v>
      </c>
    </row>
    <row r="536" spans="3:22" x14ac:dyDescent="0.25">
      <c r="C536" t="s">
        <v>918</v>
      </c>
      <c r="D536">
        <v>60</v>
      </c>
      <c r="E536">
        <v>1311.26</v>
      </c>
      <c r="F536" t="s">
        <v>867</v>
      </c>
      <c r="K536" t="s">
        <v>1518</v>
      </c>
      <c r="L536" t="s">
        <v>1519</v>
      </c>
      <c r="M536" t="s">
        <v>920</v>
      </c>
      <c r="N536" t="s">
        <v>1135</v>
      </c>
      <c r="O536" t="s">
        <v>748</v>
      </c>
      <c r="P536" t="s">
        <v>38</v>
      </c>
      <c r="R536" t="s">
        <v>700</v>
      </c>
      <c r="S536">
        <v>3.25</v>
      </c>
      <c r="T536">
        <v>68.61</v>
      </c>
      <c r="U536">
        <v>774.8</v>
      </c>
      <c r="V536" t="s">
        <v>1528</v>
      </c>
    </row>
    <row r="537" spans="3:22" x14ac:dyDescent="0.25">
      <c r="C537" t="s">
        <v>918</v>
      </c>
      <c r="D537">
        <v>60</v>
      </c>
      <c r="E537">
        <v>-774.8</v>
      </c>
      <c r="F537" t="s">
        <v>867</v>
      </c>
      <c r="K537" t="s">
        <v>1569</v>
      </c>
      <c r="L537" t="s">
        <v>1519</v>
      </c>
      <c r="M537" t="s">
        <v>920</v>
      </c>
      <c r="N537" t="s">
        <v>1135</v>
      </c>
      <c r="O537" t="s">
        <v>748</v>
      </c>
      <c r="P537" t="s">
        <v>38</v>
      </c>
      <c r="R537" t="s">
        <v>700</v>
      </c>
    </row>
  </sheetData>
  <autoFilter ref="A1:Y537" xr:uid="{712593DC-2920-4A6E-BC2B-122094AF9E6C}">
    <filterColumn colId="11">
      <filters>
        <filter val="VT-CTV-TT-004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List chi tiet</vt:lpstr>
      <vt:lpstr>Phieu vat tu</vt:lpstr>
      <vt:lpstr>Hao hut vat tu</vt:lpstr>
      <vt:lpstr>LSX-VT</vt:lpstr>
      <vt:lpstr>SAP</vt:lpstr>
      <vt:lpstr>'Hao hut vat tu'!Print_Area</vt:lpstr>
      <vt:lpstr>'List chi tiet'!Print_Area</vt:lpstr>
      <vt:lpstr>'LSX-VT'!Print_Area</vt:lpstr>
      <vt:lpstr>'Phieu vat tu'!Print_Area</vt:lpstr>
      <vt:lpstr>SAP!Print_Area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Trung, Phan Thanh - Nesting</dc:creator>
  <cp:lastModifiedBy>Huy, Vo Le - Nesting</cp:lastModifiedBy>
  <dcterms:created xsi:type="dcterms:W3CDTF">2026-09-26T02:57:23Z</dcterms:created>
  <dcterms:modified xsi:type="dcterms:W3CDTF">2026-10-01T03:51:52Z</dcterms:modified>
</cp:coreProperties>
</file>